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9431C6FF-BEB5-45A6-8985-2D35234F7B49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49" i="1" l="1"/>
  <c r="CL13" i="1"/>
  <c r="CL10" i="1"/>
  <c r="CL6" i="1"/>
  <c r="N4" i="1" l="1"/>
  <c r="BF13" i="1"/>
  <c r="BE13" i="1"/>
  <c r="BD13" i="1"/>
  <c r="BC13" i="1"/>
  <c r="AA12" i="1"/>
  <c r="Z12" i="1"/>
  <c r="Y12" i="1"/>
  <c r="Y14" i="1" s="1"/>
  <c r="X12" i="1"/>
  <c r="W12" i="1"/>
  <c r="V12" i="1"/>
  <c r="U12" i="1"/>
  <c r="T12" i="1"/>
  <c r="S12" i="1"/>
  <c r="R12" i="1"/>
  <c r="Q12" i="1"/>
  <c r="X9" i="1"/>
  <c r="X4" i="1"/>
  <c r="AK6" i="1"/>
  <c r="AK10" i="1"/>
  <c r="CK13" i="1"/>
  <c r="AA14" i="1" l="1"/>
  <c r="S14" i="1"/>
  <c r="Z14" i="1"/>
  <c r="W14" i="1"/>
  <c r="U14" i="1"/>
  <c r="R14" i="1"/>
  <c r="X14" i="1"/>
  <c r="V14" i="1"/>
  <c r="T14" i="1"/>
  <c r="AX13" i="1"/>
  <c r="Z4" i="1" l="1"/>
  <c r="CK10" i="1"/>
  <c r="CJ10" i="1"/>
  <c r="CK6" i="1"/>
  <c r="CJ6" i="1"/>
  <c r="AE12" i="1"/>
  <c r="AD12" i="1"/>
  <c r="AC12" i="1"/>
  <c r="AB12" i="1"/>
  <c r="AE9" i="1"/>
  <c r="AD9" i="1"/>
  <c r="AC9" i="1"/>
  <c r="AB9" i="1"/>
  <c r="AA9" i="1"/>
  <c r="Z9" i="1"/>
  <c r="Y9" i="1"/>
  <c r="W9" i="1"/>
  <c r="V9" i="1"/>
  <c r="U9" i="1"/>
  <c r="T9" i="1"/>
  <c r="S9" i="1"/>
  <c r="R9" i="1"/>
  <c r="Q9" i="1"/>
  <c r="P9" i="1"/>
  <c r="O9" i="1"/>
  <c r="N9" i="1"/>
  <c r="Y4" i="1"/>
  <c r="Y7" i="1" s="1"/>
  <c r="W4" i="1"/>
  <c r="V4" i="1"/>
  <c r="U4" i="1"/>
  <c r="T4" i="1"/>
  <c r="S4" i="1"/>
  <c r="R4" i="1"/>
  <c r="Q4" i="1"/>
  <c r="P4" i="1"/>
  <c r="O4" i="1"/>
  <c r="O7" i="1" s="1"/>
  <c r="CI13" i="1"/>
  <c r="CH13" i="1"/>
  <c r="CL14" i="1" s="1"/>
  <c r="CG13" i="1"/>
  <c r="CF13" i="1"/>
  <c r="CE13" i="1"/>
  <c r="CD13" i="1"/>
  <c r="CC13" i="1"/>
  <c r="CB13" i="1"/>
  <c r="CA13" i="1"/>
  <c r="BZ13" i="1"/>
  <c r="BY13" i="1"/>
  <c r="BX13" i="1"/>
  <c r="BW13" i="1"/>
  <c r="BV13" i="1"/>
  <c r="BU13" i="1"/>
  <c r="BT13" i="1"/>
  <c r="BS13" i="1"/>
  <c r="BR13" i="1"/>
  <c r="BQ13" i="1"/>
  <c r="BP13" i="1"/>
  <c r="BO13" i="1"/>
  <c r="BN13" i="1"/>
  <c r="BM13" i="1"/>
  <c r="BL13" i="1"/>
  <c r="BK13" i="1"/>
  <c r="BJ13" i="1"/>
  <c r="BJ14" i="1" s="1"/>
  <c r="BI13" i="1"/>
  <c r="BI14" i="1" s="1"/>
  <c r="BH13" i="1"/>
  <c r="BH14" i="1" s="1"/>
  <c r="BG13" i="1"/>
  <c r="BB13" i="1"/>
  <c r="BB14" i="1" s="1"/>
  <c r="BA13" i="1"/>
  <c r="BA14" i="1" s="1"/>
  <c r="AZ13" i="1"/>
  <c r="AY13" i="1"/>
  <c r="BC14" i="1" s="1"/>
  <c r="CJ13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Z10" i="1"/>
  <c r="BA10" i="1"/>
  <c r="BB10" i="1"/>
  <c r="BC10" i="1"/>
  <c r="BD10" i="1"/>
  <c r="BE10" i="1"/>
  <c r="BF10" i="1"/>
  <c r="BG10" i="1"/>
  <c r="BH10" i="1"/>
  <c r="BI10" i="1"/>
  <c r="BJ10" i="1"/>
  <c r="BK10" i="1"/>
  <c r="BL10" i="1"/>
  <c r="BM10" i="1"/>
  <c r="BN10" i="1"/>
  <c r="BO10" i="1"/>
  <c r="BP10" i="1"/>
  <c r="BQ10" i="1"/>
  <c r="BR10" i="1"/>
  <c r="BS10" i="1"/>
  <c r="BT10" i="1"/>
  <c r="BU10" i="1"/>
  <c r="BV10" i="1"/>
  <c r="BW10" i="1"/>
  <c r="BX10" i="1"/>
  <c r="BY10" i="1"/>
  <c r="BZ10" i="1"/>
  <c r="CA10" i="1"/>
  <c r="CB10" i="1"/>
  <c r="CC10" i="1"/>
  <c r="CD10" i="1"/>
  <c r="CE10" i="1"/>
  <c r="CF10" i="1"/>
  <c r="CG10" i="1"/>
  <c r="CH10" i="1"/>
  <c r="CI10" i="1"/>
  <c r="AJ10" i="1"/>
  <c r="CI6" i="1"/>
  <c r="CH6" i="1"/>
  <c r="CG6" i="1"/>
  <c r="CF6" i="1"/>
  <c r="CE6" i="1"/>
  <c r="CD6" i="1"/>
  <c r="CC6" i="1"/>
  <c r="CB6" i="1"/>
  <c r="CA6" i="1"/>
  <c r="BZ6" i="1"/>
  <c r="BY6" i="1"/>
  <c r="BX6" i="1"/>
  <c r="BW6" i="1"/>
  <c r="BV6" i="1"/>
  <c r="BU6" i="1"/>
  <c r="BT6" i="1"/>
  <c r="BS6" i="1"/>
  <c r="BR6" i="1"/>
  <c r="BQ6" i="1"/>
  <c r="BP6" i="1"/>
  <c r="BO6" i="1"/>
  <c r="BN6" i="1"/>
  <c r="BM6" i="1"/>
  <c r="BL6" i="1"/>
  <c r="BK6" i="1"/>
  <c r="BJ6" i="1"/>
  <c r="BI6" i="1"/>
  <c r="BH6" i="1"/>
  <c r="BG6" i="1"/>
  <c r="BF6" i="1"/>
  <c r="BE6" i="1"/>
  <c r="BD6" i="1"/>
  <c r="BC6" i="1"/>
  <c r="BB6" i="1"/>
  <c r="BA6" i="1"/>
  <c r="AZ6" i="1"/>
  <c r="AY6" i="1"/>
  <c r="AX6" i="1"/>
  <c r="AW6" i="1"/>
  <c r="AV6" i="1"/>
  <c r="AU6" i="1"/>
  <c r="AT6" i="1"/>
  <c r="AS6" i="1"/>
  <c r="AR6" i="1"/>
  <c r="AQ6" i="1"/>
  <c r="AP6" i="1"/>
  <c r="AO6" i="1"/>
  <c r="AN6" i="1"/>
  <c r="AM6" i="1"/>
  <c r="AL6" i="1"/>
  <c r="AJ6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46" i="1"/>
  <c r="AB19" i="1"/>
  <c r="AC19" i="1"/>
  <c r="AD19" i="1"/>
  <c r="AE19" i="1"/>
  <c r="AB32" i="1"/>
  <c r="AC32" i="1"/>
  <c r="AD32" i="1"/>
  <c r="AE32" i="1"/>
  <c r="AE31" i="1"/>
  <c r="AD31" i="1"/>
  <c r="AC31" i="1"/>
  <c r="AB31" i="1"/>
  <c r="AJ219" i="1"/>
  <c r="CM6" i="1" l="1"/>
  <c r="AA10" i="1"/>
  <c r="CN6" i="1"/>
  <c r="CO6" i="1" s="1"/>
  <c r="S7" i="1"/>
  <c r="P7" i="1"/>
  <c r="T7" i="1"/>
  <c r="CJ14" i="1"/>
  <c r="BQ14" i="1"/>
  <c r="BY14" i="1"/>
  <c r="CG14" i="1"/>
  <c r="BR14" i="1"/>
  <c r="BZ14" i="1"/>
  <c r="CH14" i="1"/>
  <c r="Q7" i="1"/>
  <c r="U7" i="1"/>
  <c r="V10" i="1"/>
  <c r="BK14" i="1"/>
  <c r="BS14" i="1"/>
  <c r="CA14" i="1"/>
  <c r="CI14" i="1"/>
  <c r="R7" i="1"/>
  <c r="V7" i="1"/>
  <c r="W10" i="1"/>
  <c r="X10" i="1"/>
  <c r="Z7" i="1"/>
  <c r="BP14" i="1"/>
  <c r="BX14" i="1"/>
  <c r="CF14" i="1"/>
  <c r="W7" i="1"/>
  <c r="X7" i="1"/>
  <c r="Y10" i="1"/>
  <c r="BD14" i="1"/>
  <c r="BL14" i="1"/>
  <c r="BT14" i="1"/>
  <c r="CB14" i="1"/>
  <c r="BE14" i="1"/>
  <c r="BM14" i="1"/>
  <c r="BU14" i="1"/>
  <c r="CC14" i="1"/>
  <c r="CK14" i="1"/>
  <c r="BF14" i="1"/>
  <c r="BN14" i="1"/>
  <c r="BV14" i="1"/>
  <c r="CD14" i="1"/>
  <c r="BG14" i="1"/>
  <c r="BO14" i="1"/>
  <c r="BW14" i="1"/>
  <c r="CE14" i="1"/>
  <c r="AE10" i="1"/>
  <c r="AD10" i="1"/>
  <c r="AC10" i="1"/>
  <c r="AB10" i="1"/>
  <c r="Z10" i="1"/>
  <c r="U10" i="1"/>
  <c r="T10" i="1"/>
  <c r="S10" i="1"/>
  <c r="R10" i="1"/>
  <c r="Q10" i="1"/>
  <c r="P10" i="1"/>
  <c r="O10" i="1"/>
  <c r="B1" i="9"/>
  <c r="AD42" i="2"/>
  <c r="AC57" i="2"/>
  <c r="AB81" i="2"/>
  <c r="AB26" i="2"/>
  <c r="AC98" i="2"/>
  <c r="AE97" i="2"/>
  <c r="AF21" i="2"/>
  <c r="AF46" i="2"/>
  <c r="AD81" i="2"/>
  <c r="AD27" i="2"/>
  <c r="AC105" i="2"/>
  <c r="AF96" i="2"/>
  <c r="AE32" i="2"/>
  <c r="AF57" i="2"/>
  <c r="AD84" i="2"/>
  <c r="AF50" i="2"/>
  <c r="AB94" i="2"/>
  <c r="AD24" i="2"/>
  <c r="AD49" i="2"/>
  <c r="AB86" i="2"/>
  <c r="AA145" i="1" s="1"/>
  <c r="AA141" i="1" s="1"/>
  <c r="AC9" i="2"/>
  <c r="AE45" i="2"/>
  <c r="AF17" i="2"/>
  <c r="AC16" i="2"/>
  <c r="AC85" i="2"/>
  <c r="AD65" i="2"/>
  <c r="AB47" i="2"/>
  <c r="AA134" i="1" s="1"/>
  <c r="AE61" i="2"/>
  <c r="AE88" i="2"/>
  <c r="AC89" i="2"/>
  <c r="AE31" i="2"/>
  <c r="AD58" i="2"/>
  <c r="AD56" i="2"/>
  <c r="AF74" i="2"/>
  <c r="AF97" i="2"/>
  <c r="AB35" i="2"/>
  <c r="AA61" i="1" s="1"/>
  <c r="AE6" i="2"/>
  <c r="AE27" i="2"/>
  <c r="AC47" i="2"/>
  <c r="AD50" i="2"/>
  <c r="AD59" i="2"/>
  <c r="AF5" i="2"/>
  <c r="AF27" i="2"/>
  <c r="AE99" i="2"/>
  <c r="AC83" i="2"/>
  <c r="AD8" i="2"/>
  <c r="AD30" i="2"/>
  <c r="AE7" i="2"/>
  <c r="AC87" i="2"/>
  <c r="AD7" i="2"/>
  <c r="AC30" i="2"/>
  <c r="AB73" i="2"/>
  <c r="AB85" i="2"/>
  <c r="AA180" i="1" s="1"/>
  <c r="AC97" i="2"/>
  <c r="AD25" i="2"/>
  <c r="AF31" i="2"/>
  <c r="AC65" i="2"/>
  <c r="AF14" i="2"/>
  <c r="AE104" i="2"/>
  <c r="AD21" i="2"/>
  <c r="AC90" i="2"/>
  <c r="AD109" i="2"/>
  <c r="AF25" i="2"/>
  <c r="AF40" i="2"/>
  <c r="AF66" i="2"/>
  <c r="AC95" i="2"/>
  <c r="AB109" i="2"/>
  <c r="AF75" i="2"/>
  <c r="AD6" i="2"/>
  <c r="AE44" i="2"/>
  <c r="AF73" i="2"/>
  <c r="AC24" i="2"/>
  <c r="AD79" i="2"/>
  <c r="AF86" i="2"/>
  <c r="AD51" i="2"/>
  <c r="AB7" i="2"/>
  <c r="AA19" i="1" s="1"/>
  <c r="AC26" i="2"/>
  <c r="AE11" i="2"/>
  <c r="AD93" i="2"/>
  <c r="AC6" i="2"/>
  <c r="AB99" i="2"/>
  <c r="AF23" i="2"/>
  <c r="AB14" i="2"/>
  <c r="AA30" i="1" s="1"/>
  <c r="AF13" i="2"/>
  <c r="AE98" i="2"/>
  <c r="AB42" i="2"/>
  <c r="AA128" i="1" s="1"/>
  <c r="AE92" i="2"/>
  <c r="AB90" i="2"/>
  <c r="AC48" i="2"/>
  <c r="AD77" i="2"/>
  <c r="AF64" i="2"/>
  <c r="AF34" i="2"/>
  <c r="AB91" i="2"/>
  <c r="AB108" i="2"/>
  <c r="AA89" i="1" s="1"/>
  <c r="AF93" i="2"/>
  <c r="AE76" i="2"/>
  <c r="AB97" i="2"/>
  <c r="AC14" i="2"/>
  <c r="AC22" i="2"/>
  <c r="AB18" i="2"/>
  <c r="AA35" i="1" s="1"/>
  <c r="AE22" i="2"/>
  <c r="AF77" i="2"/>
  <c r="AF78" i="2"/>
  <c r="AB57" i="2"/>
  <c r="AA165" i="1" s="1"/>
  <c r="AD68" i="2"/>
  <c r="AF32" i="2"/>
  <c r="AE36" i="2"/>
  <c r="AC77" i="2"/>
  <c r="AD23" i="2"/>
  <c r="AB55" i="2"/>
  <c r="AF107" i="2"/>
  <c r="AD53" i="2"/>
  <c r="AF84" i="2"/>
  <c r="AB107" i="2"/>
  <c r="AA88" i="1" s="1"/>
  <c r="AD95" i="2"/>
  <c r="AE86" i="2"/>
  <c r="AE48" i="2"/>
  <c r="AD72" i="2"/>
  <c r="AF24" i="2"/>
  <c r="AC20" i="2"/>
  <c r="AB30" i="2"/>
  <c r="AA49" i="1" s="1"/>
  <c r="AE107" i="2"/>
  <c r="AD90" i="2"/>
  <c r="AE69" i="2"/>
  <c r="AC18" i="2"/>
  <c r="AF106" i="2"/>
  <c r="AB27" i="2"/>
  <c r="AA42" i="1" s="1"/>
  <c r="AC69" i="2"/>
  <c r="AB24" i="2"/>
  <c r="AE52" i="2"/>
  <c r="AD76" i="2"/>
  <c r="AC82" i="2"/>
  <c r="AB74" i="2"/>
  <c r="AF56" i="2"/>
  <c r="AE34" i="2"/>
  <c r="AD12" i="2"/>
  <c r="AF98" i="2"/>
  <c r="AC45" i="2"/>
  <c r="AD40" i="2"/>
  <c r="AC94" i="2"/>
  <c r="AE60" i="2"/>
  <c r="AE43" i="2"/>
  <c r="AD26" i="2"/>
  <c r="AC5" i="2"/>
  <c r="AE41" i="2"/>
  <c r="AB15" i="2"/>
  <c r="AA33" i="1" s="1"/>
  <c r="AB6" i="2"/>
  <c r="AA18" i="1" s="1"/>
  <c r="AB53" i="2"/>
  <c r="AF52" i="2"/>
  <c r="AB82" i="2"/>
  <c r="AF19" i="2"/>
  <c r="AE75" i="2"/>
  <c r="AC71" i="2"/>
  <c r="AC36" i="2"/>
  <c r="AC70" i="2"/>
  <c r="AD22" i="2"/>
  <c r="AE83" i="2"/>
  <c r="AC75" i="2"/>
  <c r="AF89" i="2"/>
  <c r="AE85" i="2"/>
  <c r="AE50" i="2"/>
  <c r="AC21" i="2"/>
  <c r="AE57" i="2"/>
  <c r="AC76" i="2"/>
  <c r="AE72" i="2"/>
  <c r="AE15" i="2"/>
  <c r="AE10" i="2"/>
  <c r="AE65" i="2"/>
  <c r="AD43" i="2"/>
  <c r="AE14" i="2"/>
  <c r="AE73" i="2"/>
  <c r="AD71" i="2"/>
  <c r="AE56" i="2"/>
  <c r="AF18" i="2"/>
  <c r="AC41" i="2"/>
  <c r="AE16" i="2"/>
  <c r="AD91" i="2"/>
  <c r="AD83" i="2"/>
  <c r="AC43" i="2"/>
  <c r="AE62" i="2"/>
  <c r="AD70" i="2"/>
  <c r="AD52" i="2"/>
  <c r="AC27" i="2"/>
  <c r="AB40" i="2"/>
  <c r="AD99" i="2"/>
  <c r="AB12" i="2"/>
  <c r="AA25" i="1" s="1"/>
  <c r="AB105" i="2"/>
  <c r="AC60" i="2"/>
  <c r="AD63" i="2"/>
  <c r="AF99" i="2"/>
  <c r="AC19" i="2"/>
  <c r="AF87" i="2"/>
  <c r="AD34" i="2"/>
  <c r="AB29" i="2"/>
  <c r="AA57" i="1" s="1"/>
  <c r="AF10" i="2"/>
  <c r="AF68" i="2"/>
  <c r="AB84" i="2"/>
  <c r="AB9" i="2"/>
  <c r="AB96" i="2"/>
  <c r="AB16" i="2"/>
  <c r="AC93" i="2"/>
  <c r="AC108" i="2"/>
  <c r="AC8" i="2"/>
  <c r="AC52" i="2"/>
  <c r="AF43" i="2"/>
  <c r="AD47" i="2"/>
  <c r="AF72" i="2"/>
  <c r="AB8" i="2"/>
  <c r="AC63" i="2"/>
  <c r="AF81" i="2"/>
  <c r="AE105" i="2"/>
  <c r="AD73" i="2"/>
  <c r="AF51" i="2"/>
  <c r="AD5" i="2"/>
  <c r="AC56" i="2"/>
  <c r="AD48" i="2"/>
  <c r="AB50" i="2"/>
  <c r="AD66" i="2"/>
  <c r="AD88" i="2"/>
  <c r="AC46" i="2"/>
  <c r="AF29" i="2"/>
  <c r="AF54" i="2"/>
  <c r="AD97" i="2"/>
  <c r="AF26" i="2"/>
  <c r="AE8" i="2"/>
  <c r="AD32" i="2"/>
  <c r="AD57" i="2"/>
  <c r="AB106" i="2"/>
  <c r="AA87" i="1" s="1"/>
  <c r="AC12" i="2"/>
  <c r="AB36" i="2"/>
  <c r="AF110" i="2"/>
  <c r="AC28" i="2"/>
  <c r="AB22" i="2"/>
  <c r="AD64" i="2"/>
  <c r="AC7" i="2"/>
  <c r="AB98" i="2"/>
  <c r="AB62" i="2"/>
  <c r="AB76" i="2"/>
  <c r="AA154" i="1" s="1"/>
  <c r="AA189" i="1" s="1"/>
  <c r="AC25" i="2"/>
  <c r="AF8" i="2"/>
  <c r="AD28" i="2"/>
  <c r="AC84" i="2"/>
  <c r="AC29" i="2"/>
  <c r="AD13" i="2"/>
  <c r="AB31" i="2"/>
  <c r="AC92" i="2"/>
  <c r="AF22" i="2"/>
  <c r="AB80" i="2"/>
  <c r="AA157" i="1" s="1"/>
  <c r="AE25" i="2"/>
  <c r="AC61" i="2"/>
  <c r="AC107" i="2"/>
  <c r="AD16" i="2"/>
  <c r="AD41" i="2"/>
  <c r="AB70" i="2"/>
  <c r="AE110" i="2"/>
  <c r="AF109" i="2"/>
  <c r="AC72" i="2"/>
  <c r="AF16" i="2"/>
  <c r="AF28" i="2"/>
  <c r="AF108" i="2"/>
  <c r="AD33" i="2"/>
  <c r="AF69" i="2"/>
  <c r="AB33" i="2"/>
  <c r="AA56" i="1" s="1"/>
  <c r="AC91" i="2"/>
  <c r="AB32" i="2"/>
  <c r="AA55" i="1" s="1"/>
  <c r="AE33" i="2"/>
  <c r="AE26" i="2"/>
  <c r="AD87" i="2"/>
  <c r="AC86" i="2"/>
  <c r="AB58" i="2"/>
  <c r="AB65" i="2"/>
  <c r="AD69" i="2"/>
  <c r="AD9" i="2"/>
  <c r="AF105" i="2"/>
  <c r="AE18" i="2"/>
  <c r="AF35" i="2"/>
  <c r="AC44" i="2"/>
  <c r="AC55" i="2"/>
  <c r="AC96" i="2"/>
  <c r="AB5" i="2"/>
  <c r="AB111" i="2" s="1"/>
  <c r="AE28" i="2"/>
  <c r="AC51" i="2"/>
  <c r="AE66" i="2"/>
  <c r="AF60" i="2"/>
  <c r="AB69" i="2"/>
  <c r="AC50" i="2"/>
  <c r="AE12" i="2"/>
  <c r="AC54" i="2"/>
  <c r="AE87" i="2"/>
  <c r="AE96" i="2"/>
  <c r="AE108" i="2"/>
  <c r="AC33" i="2"/>
  <c r="AF48" i="2"/>
  <c r="AE89" i="2"/>
  <c r="AC74" i="2"/>
  <c r="AD80" i="2"/>
  <c r="AC73" i="2"/>
  <c r="AF94" i="2"/>
  <c r="AC62" i="2"/>
  <c r="AE67" i="2"/>
  <c r="AC64" i="2"/>
  <c r="AC78" i="2"/>
  <c r="AE90" i="2"/>
  <c r="AC40" i="2"/>
  <c r="AC109" i="2"/>
  <c r="AE24" i="2"/>
  <c r="AF11" i="2"/>
  <c r="AB79" i="2"/>
  <c r="AA156" i="1" s="1"/>
  <c r="AD45" i="2"/>
  <c r="AF15" i="2"/>
  <c r="AE35" i="2"/>
  <c r="AB51" i="2"/>
  <c r="AA160" i="1" s="1"/>
  <c r="AB19" i="2"/>
  <c r="AA32" i="1" s="1"/>
  <c r="AB44" i="2"/>
  <c r="AF76" i="2"/>
  <c r="AB92" i="2"/>
  <c r="AC34" i="2"/>
  <c r="AB64" i="2"/>
  <c r="AA143" i="1" s="1"/>
  <c r="AB61" i="2"/>
  <c r="AB83" i="2"/>
  <c r="AA174" i="1" s="1"/>
  <c r="AC35" i="2"/>
  <c r="AF7" i="2"/>
  <c r="AB88" i="2"/>
  <c r="AF41" i="2"/>
  <c r="AF6" i="2"/>
  <c r="AD46" i="2"/>
  <c r="AE59" i="2"/>
  <c r="AB87" i="2"/>
  <c r="AA136" i="1" s="1"/>
  <c r="AF65" i="2"/>
  <c r="AF63" i="2"/>
  <c r="AF85" i="2"/>
  <c r="AC42" i="2"/>
  <c r="AD98" i="2"/>
  <c r="AF45" i="2"/>
  <c r="AF55" i="2"/>
  <c r="AC13" i="2"/>
  <c r="AE49" i="2"/>
  <c r="AD20" i="2"/>
  <c r="AE64" i="2"/>
  <c r="AE79" i="2"/>
  <c r="AC17" i="2"/>
  <c r="AE53" i="2"/>
  <c r="AB23" i="2"/>
  <c r="AA45" i="1" s="1"/>
  <c r="AC68" i="2"/>
  <c r="AE68" i="2"/>
  <c r="AC80" i="2"/>
  <c r="AC104" i="2"/>
  <c r="AD74" i="2"/>
  <c r="AD96" i="2"/>
  <c r="AC58" i="2"/>
  <c r="AB21" i="2"/>
  <c r="AE54" i="2"/>
  <c r="AE84" i="2"/>
  <c r="AB67" i="2"/>
  <c r="AC11" i="2"/>
  <c r="AC15" i="2"/>
  <c r="AB11" i="2"/>
  <c r="AA23" i="1" s="1"/>
  <c r="AE42" i="2"/>
  <c r="AD54" i="2"/>
  <c r="AB56" i="2"/>
  <c r="AA137" i="1" s="1"/>
  <c r="AF79" i="2"/>
  <c r="AB46" i="2"/>
  <c r="AE81" i="2"/>
  <c r="AE63" i="2"/>
  <c r="AD29" i="2"/>
  <c r="AB34" i="2"/>
  <c r="AF53" i="2"/>
  <c r="AD19" i="2"/>
  <c r="AB60" i="2"/>
  <c r="AD86" i="2"/>
  <c r="AC81" i="2"/>
  <c r="AD18" i="2"/>
  <c r="AE82" i="2"/>
  <c r="AC88" i="2"/>
  <c r="AF33" i="2"/>
  <c r="AF82" i="2"/>
  <c r="AF80" i="2"/>
  <c r="AC31" i="2"/>
  <c r="AC110" i="2"/>
  <c r="AF88" i="2"/>
  <c r="AD67" i="2"/>
  <c r="AB17" i="2"/>
  <c r="AA31" i="1" s="1"/>
  <c r="AF59" i="2"/>
  <c r="AB110" i="2"/>
  <c r="AA77" i="1" s="1"/>
  <c r="AF62" i="2"/>
  <c r="AB41" i="2"/>
  <c r="AA127" i="1" s="1"/>
  <c r="AD36" i="2"/>
  <c r="AB68" i="2"/>
  <c r="AA146" i="1" s="1"/>
  <c r="AD14" i="2"/>
  <c r="AB52" i="2"/>
  <c r="AA161" i="1" s="1"/>
  <c r="AF92" i="2"/>
  <c r="AB54" i="2"/>
  <c r="AA163" i="1" s="1"/>
  <c r="AE30" i="2"/>
  <c r="AF9" i="2"/>
  <c r="AB66" i="2"/>
  <c r="AC99" i="2"/>
  <c r="AD15" i="2"/>
  <c r="AF104" i="2"/>
  <c r="AB93" i="2"/>
  <c r="AA182" i="1" s="1"/>
  <c r="AB20" i="2"/>
  <c r="AD44" i="2"/>
  <c r="AF42" i="2"/>
  <c r="AE58" i="2"/>
  <c r="AD107" i="2"/>
  <c r="AC53" i="2"/>
  <c r="AB13" i="2"/>
  <c r="AA34" i="1" s="1"/>
  <c r="AD61" i="2"/>
  <c r="AB78" i="2"/>
  <c r="AA170" i="1" s="1"/>
  <c r="AE80" i="2"/>
  <c r="AF95" i="2"/>
  <c r="AD31" i="2"/>
  <c r="AB49" i="2"/>
  <c r="AA173" i="1" s="1"/>
  <c r="AE5" i="2"/>
  <c r="AE70" i="2"/>
  <c r="AB89" i="2"/>
  <c r="AF12" i="2"/>
  <c r="AB59" i="2"/>
  <c r="AD55" i="2"/>
  <c r="AB43" i="2"/>
  <c r="AA129" i="1" s="1"/>
  <c r="AD85" i="2"/>
  <c r="AD17" i="2"/>
  <c r="AF61" i="2"/>
  <c r="AB95" i="2"/>
  <c r="AA181" i="1" s="1"/>
  <c r="AD104" i="2"/>
  <c r="AD110" i="2"/>
  <c r="AD89" i="2"/>
  <c r="AB77" i="2"/>
  <c r="AA155" i="1" s="1"/>
  <c r="AF44" i="2"/>
  <c r="AF30" i="2"/>
  <c r="AF83" i="2"/>
  <c r="AE77" i="2"/>
  <c r="AB48" i="2"/>
  <c r="AA135" i="1" s="1"/>
  <c r="AB10" i="2"/>
  <c r="AF71" i="2"/>
  <c r="AE19" i="2"/>
  <c r="AE29" i="2"/>
  <c r="AE51" i="2"/>
  <c r="AB71" i="2"/>
  <c r="AA150" i="1" s="1"/>
  <c r="AF67" i="2"/>
  <c r="AF58" i="2"/>
  <c r="AE23" i="2"/>
  <c r="AD35" i="2"/>
  <c r="AD10" i="2"/>
  <c r="AF49" i="2"/>
  <c r="AC67" i="2"/>
  <c r="AF90" i="2"/>
  <c r="AD62" i="2"/>
  <c r="AE94" i="2"/>
  <c r="AD60" i="2"/>
  <c r="AE40" i="2"/>
  <c r="AE55" i="2"/>
  <c r="AD106" i="2"/>
  <c r="AF36" i="2"/>
  <c r="AC59" i="2"/>
  <c r="AE93" i="2"/>
  <c r="AB45" i="2"/>
  <c r="AA132" i="1" s="1"/>
  <c r="AB72" i="2"/>
  <c r="AA152" i="1" s="1"/>
  <c r="AE13" i="2"/>
  <c r="AF91" i="2"/>
  <c r="AE71" i="2"/>
  <c r="AE95" i="2"/>
  <c r="AF70" i="2"/>
  <c r="AF20" i="2"/>
  <c r="AE20" i="2"/>
  <c r="AB25" i="2"/>
  <c r="AA46" i="1" s="1"/>
  <c r="AE9" i="2"/>
  <c r="AF47" i="2"/>
  <c r="AE46" i="2"/>
  <c r="AE78" i="2"/>
  <c r="AC79" i="2"/>
  <c r="AD11" i="2"/>
  <c r="AC23" i="2"/>
  <c r="AD92" i="2"/>
  <c r="AC106" i="2"/>
  <c r="AC32" i="2"/>
  <c r="AB104" i="2"/>
  <c r="AD82" i="2"/>
  <c r="AD105" i="2"/>
  <c r="AD75" i="2"/>
  <c r="AB28" i="2"/>
  <c r="AC49" i="2"/>
  <c r="AE109" i="2"/>
  <c r="AD78" i="2"/>
  <c r="AE21" i="2"/>
  <c r="AE91" i="2"/>
  <c r="AB63" i="2"/>
  <c r="AA142" i="1" s="1"/>
  <c r="AB75" i="2"/>
  <c r="AA169" i="1" s="1"/>
  <c r="AA171" i="1" s="1"/>
  <c r="AC10" i="2"/>
  <c r="AD94" i="2"/>
  <c r="AC66" i="2"/>
  <c r="AE47" i="2"/>
  <c r="AE17" i="2"/>
  <c r="AE74" i="2"/>
  <c r="AE106" i="2"/>
  <c r="AD108" i="2"/>
  <c r="L1" i="9"/>
  <c r="A1" i="9"/>
  <c r="AB113" i="2" l="1"/>
  <c r="AA84" i="1" s="1"/>
  <c r="AC112" i="2"/>
  <c r="AC111" i="2"/>
  <c r="AA164" i="1"/>
  <c r="AA144" i="1"/>
  <c r="AA138" i="1"/>
  <c r="AA159" i="1"/>
  <c r="AA153" i="1"/>
  <c r="AA147" i="1"/>
  <c r="AA148" i="1" s="1"/>
  <c r="AA183" i="1"/>
  <c r="AA43" i="1"/>
  <c r="AA204" i="1"/>
  <c r="AA263" i="1"/>
  <c r="AA241" i="1"/>
  <c r="AA20" i="1"/>
  <c r="AA262" i="1"/>
  <c r="AA47" i="1"/>
  <c r="AA130" i="1"/>
  <c r="AA193" i="1"/>
  <c r="AA36" i="1"/>
  <c r="AA166" i="1"/>
  <c r="AA190" i="1"/>
  <c r="AA158" i="1"/>
  <c r="AF113" i="2"/>
  <c r="AF111" i="2"/>
  <c r="AF112" i="2"/>
  <c r="AD113" i="2"/>
  <c r="AD111" i="2"/>
  <c r="AD112" i="2"/>
  <c r="AE113" i="2"/>
  <c r="AE111" i="2"/>
  <c r="AB112" i="2"/>
  <c r="AA83" i="1" s="1"/>
  <c r="AE112" i="2"/>
  <c r="CP6" i="1"/>
  <c r="DB249" i="1"/>
  <c r="DA249" i="1"/>
  <c r="CZ249" i="1"/>
  <c r="CY249" i="1"/>
  <c r="CX249" i="1"/>
  <c r="CW249" i="1"/>
  <c r="CV249" i="1"/>
  <c r="CU249" i="1"/>
  <c r="CT249" i="1"/>
  <c r="CS249" i="1"/>
  <c r="CR249" i="1"/>
  <c r="CQ249" i="1"/>
  <c r="CP249" i="1"/>
  <c r="CO249" i="1"/>
  <c r="CN249" i="1"/>
  <c r="CM249" i="1"/>
  <c r="CL249" i="1"/>
  <c r="CK249" i="1"/>
  <c r="CK146" i="1"/>
  <c r="CM146" i="1" s="1"/>
  <c r="CN146" i="1" s="1"/>
  <c r="CO146" i="1" s="1"/>
  <c r="CP146" i="1" s="1"/>
  <c r="CQ146" i="1" s="1"/>
  <c r="CR146" i="1" s="1"/>
  <c r="CS146" i="1" s="1"/>
  <c r="CT146" i="1" s="1"/>
  <c r="CU146" i="1" s="1"/>
  <c r="CV146" i="1" s="1"/>
  <c r="CW146" i="1" s="1"/>
  <c r="CX146" i="1" s="1"/>
  <c r="CY146" i="1" s="1"/>
  <c r="CZ146" i="1" s="1"/>
  <c r="DA146" i="1" s="1"/>
  <c r="DB146" i="1" s="1"/>
  <c r="CH162" i="1"/>
  <c r="CJ249" i="1"/>
  <c r="Z249" i="1"/>
  <c r="AC113" i="2"/>
  <c r="AA178" i="1" l="1"/>
  <c r="AA119" i="1" s="1"/>
  <c r="AA258" i="1"/>
  <c r="AA37" i="1"/>
  <c r="AA108" i="1"/>
  <c r="AA254" i="1"/>
  <c r="AA26" i="1"/>
  <c r="AA195" i="1"/>
  <c r="AA194" i="1" s="1"/>
  <c r="AA167" i="1"/>
  <c r="AA175" i="1" s="1"/>
  <c r="AA192" i="1"/>
  <c r="AA185" i="1"/>
  <c r="AA139" i="1"/>
  <c r="AA256" i="1"/>
  <c r="CQ6" i="1"/>
  <c r="AA4" i="1"/>
  <c r="AA7" i="1" s="1"/>
  <c r="CI249" i="1"/>
  <c r="CG146" i="1"/>
  <c r="CG249" i="1"/>
  <c r="CH249" i="1"/>
  <c r="AB23" i="1"/>
  <c r="AC23" i="1"/>
  <c r="AD23" i="1"/>
  <c r="AE23" i="1"/>
  <c r="AB24" i="1"/>
  <c r="AC24" i="1"/>
  <c r="AD24" i="1"/>
  <c r="AE24" i="1"/>
  <c r="AB34" i="1"/>
  <c r="AC34" i="1"/>
  <c r="AD34" i="1"/>
  <c r="AE34" i="1"/>
  <c r="AB35" i="1"/>
  <c r="AC35" i="1"/>
  <c r="AD35" i="1"/>
  <c r="AE35" i="1"/>
  <c r="AB57" i="1"/>
  <c r="AC57" i="1"/>
  <c r="AD57" i="1"/>
  <c r="AE57" i="1"/>
  <c r="AB169" i="1"/>
  <c r="AC169" i="1"/>
  <c r="AD169" i="1"/>
  <c r="AE169" i="1"/>
  <c r="AB183" i="1"/>
  <c r="AC183" i="1"/>
  <c r="AD183" i="1"/>
  <c r="AE183" i="1"/>
  <c r="CE146" i="1"/>
  <c r="CE249" i="1"/>
  <c r="CF249" i="1"/>
  <c r="AI207" i="1"/>
  <c r="AI212" i="1"/>
  <c r="AI216" i="1"/>
  <c r="AI219" i="1"/>
  <c r="AI249" i="1"/>
  <c r="Y249" i="1"/>
  <c r="AM146" i="1"/>
  <c r="AO146" i="1"/>
  <c r="AQ146" i="1"/>
  <c r="AS146" i="1"/>
  <c r="AU146" i="1"/>
  <c r="AW146" i="1"/>
  <c r="AY146" i="1"/>
  <c r="BA146" i="1"/>
  <c r="BC146" i="1"/>
  <c r="BE146" i="1"/>
  <c r="BG146" i="1"/>
  <c r="BI146" i="1"/>
  <c r="BK146" i="1"/>
  <c r="BM146" i="1"/>
  <c r="BO146" i="1"/>
  <c r="BQ146" i="1"/>
  <c r="BS146" i="1"/>
  <c r="BU146" i="1"/>
  <c r="BW146" i="1"/>
  <c r="BY146" i="1"/>
  <c r="CA146" i="1"/>
  <c r="CC146" i="1"/>
  <c r="CD249" i="1"/>
  <c r="CC249" i="1"/>
  <c r="AJ249" i="1"/>
  <c r="AK249" i="1"/>
  <c r="AL249" i="1"/>
  <c r="CB249" i="1"/>
  <c r="CA249" i="1"/>
  <c r="BZ249" i="1"/>
  <c r="BY249" i="1"/>
  <c r="BX249" i="1"/>
  <c r="BW249" i="1"/>
  <c r="BV249" i="1"/>
  <c r="BU249" i="1"/>
  <c r="BT249" i="1"/>
  <c r="BS249" i="1"/>
  <c r="BR249" i="1"/>
  <c r="BQ249" i="1"/>
  <c r="BP249" i="1"/>
  <c r="BO249" i="1"/>
  <c r="BN249" i="1"/>
  <c r="BM249" i="1"/>
  <c r="BL249" i="1"/>
  <c r="BK249" i="1"/>
  <c r="BJ249" i="1"/>
  <c r="BI249" i="1"/>
  <c r="BH249" i="1"/>
  <c r="BG249" i="1"/>
  <c r="BF249" i="1"/>
  <c r="BE249" i="1"/>
  <c r="BD249" i="1"/>
  <c r="BC249" i="1"/>
  <c r="BB249" i="1"/>
  <c r="BA249" i="1"/>
  <c r="AZ249" i="1"/>
  <c r="AY249" i="1"/>
  <c r="AX249" i="1"/>
  <c r="AW249" i="1"/>
  <c r="AV249" i="1"/>
  <c r="AU249" i="1"/>
  <c r="AT249" i="1"/>
  <c r="AS249" i="1"/>
  <c r="AR249" i="1"/>
  <c r="AQ249" i="1"/>
  <c r="AP249" i="1"/>
  <c r="AO249" i="1"/>
  <c r="AN249" i="1"/>
  <c r="AM249" i="1"/>
  <c r="X249" i="1"/>
  <c r="W249" i="1"/>
  <c r="V249" i="1"/>
  <c r="U249" i="1"/>
  <c r="T249" i="1"/>
  <c r="S249" i="1"/>
  <c r="R249" i="1"/>
  <c r="Q249" i="1"/>
  <c r="P249" i="1"/>
  <c r="O249" i="1"/>
  <c r="N249" i="1"/>
  <c r="M249" i="1"/>
  <c r="L249" i="1"/>
  <c r="K249" i="1"/>
  <c r="J249" i="1"/>
  <c r="I249" i="1"/>
  <c r="H249" i="1"/>
  <c r="G249" i="1"/>
  <c r="F249" i="1"/>
  <c r="E249" i="1"/>
  <c r="D249" i="1"/>
  <c r="C249" i="1"/>
  <c r="B249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38" i="1" l="1"/>
  <c r="AA27" i="1"/>
  <c r="AA196" i="1"/>
  <c r="AA191" i="1"/>
  <c r="AA176" i="1"/>
  <c r="CR6" i="1"/>
  <c r="CS6" i="1" s="1"/>
  <c r="Y1" i="1"/>
  <c r="Z1" i="1" s="1"/>
  <c r="AA242" i="1" l="1"/>
  <c r="AA243" i="1" s="1"/>
  <c r="AA44" i="1"/>
  <c r="AA39" i="1"/>
  <c r="AA122" i="1"/>
  <c r="CT6" i="1"/>
  <c r="AA1" i="1"/>
  <c r="AB1" i="1" s="1"/>
  <c r="AC1" i="1" s="1"/>
  <c r="AD1" i="1" s="1"/>
  <c r="AE1" i="1" s="1"/>
  <c r="AA48" i="1" l="1"/>
  <c r="AA65" i="1"/>
  <c r="A1" i="3"/>
  <c r="AA51" i="1" l="1"/>
  <c r="AA50" i="1"/>
  <c r="A1" i="6"/>
  <c r="A1" i="4"/>
  <c r="AA52" i="1" l="1"/>
  <c r="AA255" i="1" s="1"/>
  <c r="AA244" i="1"/>
  <c r="AA58" i="1"/>
  <c r="AB45" i="1"/>
  <c r="AA203" i="1" l="1"/>
  <c r="AA205" i="1" s="1"/>
  <c r="AA64" i="1"/>
  <c r="AA62" i="1"/>
  <c r="CU6" i="1"/>
  <c r="CV6" i="1" s="1"/>
  <c r="AC45" i="1"/>
  <c r="CW6" i="1" l="1"/>
  <c r="AD45" i="1"/>
  <c r="BT10" i="3"/>
  <c r="BO8" i="3"/>
  <c r="BI35" i="3"/>
  <c r="BU9" i="3"/>
  <c r="BM34" i="3"/>
  <c r="Z54" i="2"/>
  <c r="BL20" i="3"/>
  <c r="BB33" i="3"/>
  <c r="BC25" i="3"/>
  <c r="BT19" i="3"/>
  <c r="BQ6" i="3"/>
  <c r="BM22" i="3"/>
  <c r="BO34" i="3"/>
  <c r="BF10" i="3"/>
  <c r="CL23" i="1" s="1"/>
  <c r="BU35" i="3"/>
  <c r="BG6" i="3"/>
  <c r="BB25" i="3"/>
  <c r="BJ40" i="3"/>
  <c r="BE21" i="3"/>
  <c r="AA79" i="2"/>
  <c r="BF35" i="3"/>
  <c r="CL56" i="1" s="1"/>
  <c r="BC22" i="3"/>
  <c r="Y87" i="2"/>
  <c r="BV15" i="3"/>
  <c r="BG28" i="3"/>
  <c r="BL16" i="3"/>
  <c r="BI12" i="3"/>
  <c r="BO5" i="3"/>
  <c r="BG32" i="3"/>
  <c r="BJ39" i="3"/>
  <c r="Y50" i="2"/>
  <c r="BI26" i="3"/>
  <c r="Z58" i="2"/>
  <c r="BQ10" i="3"/>
  <c r="BE36" i="3"/>
  <c r="BO41" i="3"/>
  <c r="BN24" i="3"/>
  <c r="BT14" i="3"/>
  <c r="BV19" i="3"/>
  <c r="BM41" i="3"/>
  <c r="BQ7" i="3"/>
  <c r="BK25" i="3"/>
  <c r="BO9" i="3"/>
  <c r="BG42" i="3"/>
  <c r="BG13" i="3"/>
  <c r="Z21" i="2"/>
  <c r="BG37" i="3"/>
  <c r="BD16" i="3"/>
  <c r="AA48" i="2"/>
  <c r="Y29" i="2"/>
  <c r="Y95" i="2"/>
  <c r="BS29" i="3"/>
  <c r="BR34" i="3"/>
  <c r="BS40" i="3"/>
  <c r="BI23" i="3"/>
  <c r="BF27" i="3"/>
  <c r="Y104" i="2"/>
  <c r="BP34" i="3"/>
  <c r="Z98" i="2"/>
  <c r="BC38" i="3"/>
  <c r="BT26" i="3"/>
  <c r="BU28" i="3"/>
  <c r="BP39" i="3"/>
  <c r="BS26" i="3"/>
  <c r="BQ18" i="3"/>
  <c r="BL37" i="3"/>
  <c r="BP22" i="3"/>
  <c r="BV20" i="3"/>
  <c r="BR7" i="3"/>
  <c r="BM15" i="3"/>
  <c r="Z25" i="2"/>
  <c r="BQ22" i="3"/>
  <c r="BT32" i="3"/>
  <c r="BE33" i="3"/>
  <c r="BV24" i="3"/>
  <c r="BR11" i="3"/>
  <c r="BE19" i="3"/>
  <c r="AA106" i="2"/>
  <c r="Y88" i="2"/>
  <c r="BE8" i="3"/>
  <c r="Z91" i="2"/>
  <c r="BI38" i="3"/>
  <c r="AA83" i="2"/>
  <c r="BS46" i="3"/>
  <c r="BR46" i="3"/>
  <c r="BP38" i="3"/>
  <c r="BU5" i="3"/>
  <c r="BI20" i="3"/>
  <c r="Y10" i="2"/>
  <c r="BN9" i="3"/>
  <c r="AA33" i="2"/>
  <c r="BD22" i="3"/>
  <c r="BL26" i="3"/>
  <c r="BD21" i="3"/>
  <c r="BH23" i="3"/>
  <c r="Z11" i="2"/>
  <c r="Z97" i="2"/>
  <c r="AA96" i="2"/>
  <c r="BO61" i="3"/>
  <c r="FJ5" i="4" a="1"/>
  <c r="BU88" i="3"/>
  <c r="FQ6" i="4" a="1"/>
  <c r="BK8" i="3"/>
  <c r="AA74" i="2"/>
  <c r="AA62" i="2"/>
  <c r="AA88" i="2"/>
  <c r="FC14" i="4" a="1"/>
  <c r="AA43" i="2"/>
  <c r="FM6" i="4" a="1"/>
  <c r="BS6" i="3"/>
  <c r="BE29" i="3"/>
  <c r="Z73" i="2"/>
  <c r="BC36" i="3"/>
  <c r="BP33" i="3"/>
  <c r="Y45" i="2"/>
  <c r="BL18" i="3"/>
  <c r="FE11" i="4" a="1"/>
  <c r="Z63" i="2"/>
  <c r="BE16" i="3"/>
  <c r="BO32" i="3"/>
  <c r="BE38" i="3"/>
  <c r="BU33" i="3"/>
  <c r="BP23" i="3"/>
  <c r="BC8" i="3"/>
  <c r="BJ16" i="3"/>
  <c r="BK14" i="3"/>
  <c r="Z14" i="2"/>
  <c r="BL28" i="3"/>
  <c r="BQ30" i="3"/>
  <c r="BP19" i="3"/>
  <c r="BJ21" i="3"/>
  <c r="BV32" i="3"/>
  <c r="BT5" i="3"/>
  <c r="BT57" i="3" s="1"/>
  <c r="BI11" i="3"/>
  <c r="AA8" i="2"/>
  <c r="AA80" i="2"/>
  <c r="BG35" i="3"/>
  <c r="BC28" i="3"/>
  <c r="BF28" i="3"/>
  <c r="CL42" i="1" s="1"/>
  <c r="BD27" i="3"/>
  <c r="FF9" i="4" a="1"/>
  <c r="BV39" i="3"/>
  <c r="BK29" i="3"/>
  <c r="BQ27" i="3"/>
  <c r="BP37" i="3"/>
  <c r="BO29" i="3"/>
  <c r="BE18" i="3"/>
  <c r="BJ20" i="3"/>
  <c r="BD19" i="3"/>
  <c r="Z67" i="2"/>
  <c r="BE10" i="3"/>
  <c r="BQ34" i="3"/>
  <c r="BE5" i="3"/>
  <c r="BL38" i="3"/>
  <c r="BV36" i="3"/>
  <c r="BE12" i="3"/>
  <c r="BV45" i="3"/>
  <c r="BM42" i="3"/>
  <c r="BQ31" i="3"/>
  <c r="BP35" i="3"/>
  <c r="BO33" i="3"/>
  <c r="BM28" i="3"/>
  <c r="BH33" i="3"/>
  <c r="AA28" i="2"/>
  <c r="AA17" i="2"/>
  <c r="BG23" i="3"/>
  <c r="Z86" i="2"/>
  <c r="AA99" i="2"/>
  <c r="AA59" i="2"/>
  <c r="BE76" i="3"/>
  <c r="BH6" i="3"/>
  <c r="BO18" i="3"/>
  <c r="BH28" i="3"/>
  <c r="BU19" i="3"/>
  <c r="BT12" i="3"/>
  <c r="Y35" i="2"/>
  <c r="BG9" i="3"/>
  <c r="AA27" i="2"/>
  <c r="BC15" i="3"/>
  <c r="BK13" i="3"/>
  <c r="BR12" i="3"/>
  <c r="BM19" i="3"/>
  <c r="BG34" i="3"/>
  <c r="BQ42" i="3"/>
  <c r="BU6" i="3"/>
  <c r="BE24" i="3"/>
  <c r="BV46" i="3"/>
  <c r="BI37" i="3"/>
  <c r="BL24" i="3"/>
  <c r="Z79" i="2"/>
  <c r="BV5" i="3"/>
  <c r="BU10" i="3"/>
  <c r="BK37" i="3"/>
  <c r="BS8" i="3"/>
  <c r="BL10" i="3"/>
  <c r="BN37" i="3"/>
  <c r="Y106" i="2"/>
  <c r="Z13" i="2"/>
  <c r="BJ28" i="3"/>
  <c r="BA27" i="3"/>
  <c r="Z48" i="2"/>
  <c r="BD20" i="3"/>
  <c r="BN45" i="3"/>
  <c r="BO28" i="3"/>
  <c r="BI24" i="3"/>
  <c r="BU29" i="3"/>
  <c r="BP11" i="3"/>
  <c r="BB17" i="3"/>
  <c r="BK35" i="3"/>
  <c r="BD25" i="3"/>
  <c r="BQ28" i="3"/>
  <c r="BP31" i="3"/>
  <c r="BH14" i="3"/>
  <c r="BV30" i="3"/>
  <c r="BS41" i="3"/>
  <c r="BM23" i="3"/>
  <c r="AA10" i="2"/>
  <c r="Y28" i="2"/>
  <c r="BI28" i="3"/>
  <c r="Z15" i="2"/>
  <c r="BH7" i="3"/>
  <c r="BV13" i="3"/>
  <c r="BU18" i="3"/>
  <c r="BI46" i="3"/>
  <c r="BS16" i="3"/>
  <c r="BF37" i="3"/>
  <c r="BM24" i="3"/>
  <c r="Y78" i="2"/>
  <c r="BA17" i="3"/>
  <c r="BF32" i="3"/>
  <c r="Y96" i="2"/>
  <c r="Z104" i="2"/>
  <c r="FE5" i="4" a="1"/>
  <c r="FE15" i="4" a="1"/>
  <c r="BS23" i="3"/>
  <c r="BR28" i="3"/>
  <c r="BV10" i="3"/>
  <c r="BK18" i="3"/>
  <c r="BE45" i="3"/>
  <c r="Z76" i="2"/>
  <c r="BT31" i="3"/>
  <c r="AA71" i="2"/>
  <c r="Y12" i="2"/>
  <c r="BF30" i="3"/>
  <c r="BS42" i="3"/>
  <c r="BU22" i="3"/>
  <c r="BT36" i="3"/>
  <c r="BS20" i="3"/>
  <c r="BR23" i="3"/>
  <c r="BS27" i="3"/>
  <c r="BR32" i="3"/>
  <c r="BS36" i="3"/>
  <c r="BM21" i="3"/>
  <c r="BJ17" i="3"/>
  <c r="AA19" i="2"/>
  <c r="BP14" i="3"/>
  <c r="AA65" i="2"/>
  <c r="Z64" i="2"/>
  <c r="BN42" i="3"/>
  <c r="AA56" i="2"/>
  <c r="BA34" i="3"/>
  <c r="FF11" i="4" a="1"/>
  <c r="BE75" i="3"/>
  <c r="BQ14" i="3"/>
  <c r="BN30" i="3"/>
  <c r="BT27" i="3"/>
  <c r="BV16" i="3"/>
  <c r="BU45" i="3"/>
  <c r="BK12" i="3"/>
  <c r="BD29" i="3"/>
  <c r="Y60" i="2"/>
  <c r="BN21" i="3"/>
  <c r="Z77" i="2"/>
  <c r="BV23" i="3"/>
  <c r="BL14" i="3"/>
  <c r="BQ11" i="3"/>
  <c r="BG39" i="3"/>
  <c r="BP24" i="3"/>
  <c r="BU30" i="3"/>
  <c r="BP27" i="3"/>
  <c r="BS28" i="3"/>
  <c r="BK39" i="3"/>
  <c r="BF6" i="3"/>
  <c r="CL18" i="1" s="1"/>
  <c r="BA42" i="3"/>
  <c r="BK32" i="3"/>
  <c r="BU34" i="3"/>
  <c r="BI5" i="3"/>
  <c r="BS32" i="3"/>
  <c r="BV11" i="3"/>
  <c r="BU16" i="3"/>
  <c r="BJ18" i="3"/>
  <c r="BS14" i="3"/>
  <c r="BH30" i="3"/>
  <c r="BI18" i="3"/>
  <c r="Y25" i="2"/>
  <c r="BA45" i="3"/>
  <c r="BJ6" i="3"/>
  <c r="Y16" i="2"/>
  <c r="AA14" i="2"/>
  <c r="BF19" i="3"/>
  <c r="BU42" i="3"/>
  <c r="BM11" i="3"/>
  <c r="BT11" i="3"/>
  <c r="BR19" i="3"/>
  <c r="BL45" i="3"/>
  <c r="Z57" i="2"/>
  <c r="Y17" i="2"/>
  <c r="BK34" i="3"/>
  <c r="Y90" i="2"/>
  <c r="BD26" i="3"/>
  <c r="FE9" i="4" a="1"/>
  <c r="BB13" i="3"/>
  <c r="BP42" i="3"/>
  <c r="BO12" i="3"/>
  <c r="BF9" i="3"/>
  <c r="BU13" i="3"/>
  <c r="BF26" i="3"/>
  <c r="CL57" i="1" s="1"/>
  <c r="Y99" i="2"/>
  <c r="BH32" i="3"/>
  <c r="BC21" i="3"/>
  <c r="BD37" i="3"/>
  <c r="BT42" i="3"/>
  <c r="BN31" i="3"/>
  <c r="BR6" i="3"/>
  <c r="BE15" i="3"/>
  <c r="BT38" i="3"/>
  <c r="BO7" i="3"/>
  <c r="BM37" i="3"/>
  <c r="BO16" i="3"/>
  <c r="BL22" i="3"/>
  <c r="BU17" i="3"/>
  <c r="BH31" i="3"/>
  <c r="Y32" i="2"/>
  <c r="BF45" i="3"/>
  <c r="CL73" i="1" s="1"/>
  <c r="BA24" i="3"/>
  <c r="BB15" i="3"/>
  <c r="BM25" i="3"/>
  <c r="Y30" i="2"/>
  <c r="AA75" i="2"/>
  <c r="EY16" i="4" a="1"/>
  <c r="BE64" i="3"/>
  <c r="BQ38" i="3"/>
  <c r="BG8" i="3"/>
  <c r="BK9" i="3"/>
  <c r="BV40" i="3"/>
  <c r="BP46" i="3"/>
  <c r="BH8" i="3"/>
  <c r="AA81" i="2"/>
  <c r="AA90" i="2"/>
  <c r="BJ42" i="3"/>
  <c r="BC39" i="3"/>
  <c r="BS7" i="3"/>
  <c r="BF20" i="3"/>
  <c r="CL19" i="1" s="1"/>
  <c r="BQ35" i="3"/>
  <c r="BM5" i="3"/>
  <c r="BM91" i="3" s="1"/>
  <c r="BM20" i="3"/>
  <c r="BS35" i="3"/>
  <c r="BI21" i="3"/>
  <c r="BE41" i="3"/>
  <c r="BR31" i="3"/>
  <c r="BL41" i="3"/>
  <c r="BI19" i="3"/>
  <c r="BE34" i="3"/>
  <c r="BO45" i="3"/>
  <c r="BK24" i="3"/>
  <c r="BN15" i="3"/>
  <c r="BR35" i="3"/>
  <c r="BT25" i="3"/>
  <c r="BK40" i="3"/>
  <c r="Y62" i="2"/>
  <c r="BF39" i="3"/>
  <c r="BD7" i="3"/>
  <c r="BB37" i="3"/>
  <c r="BV7" i="3"/>
  <c r="BU12" i="3"/>
  <c r="BL11" i="3"/>
  <c r="BS10" i="3"/>
  <c r="BN17" i="3"/>
  <c r="BH46" i="3"/>
  <c r="Z19" i="2"/>
  <c r="Z72" i="2"/>
  <c r="BN34" i="3"/>
  <c r="BB46" i="3"/>
  <c r="BM39" i="3"/>
  <c r="AA110" i="2"/>
  <c r="BC23" i="3"/>
  <c r="Z56" i="2"/>
  <c r="EY6" i="4" a="1"/>
  <c r="BM76" i="3"/>
  <c r="BT69" i="3"/>
  <c r="FU7" i="4" a="1"/>
  <c r="FO6" i="4" a="1"/>
  <c r="HF5" i="4" a="1"/>
  <c r="BR39" i="3"/>
  <c r="AA30" i="2"/>
  <c r="BJ29" i="3"/>
  <c r="FC9" i="4" a="1"/>
  <c r="BD12" i="3"/>
  <c r="BV64" i="3"/>
  <c r="GY11" i="4" a="1"/>
  <c r="BT48" i="3"/>
  <c r="BT28" i="3"/>
  <c r="Z10" i="2"/>
  <c r="BF7" i="3"/>
  <c r="BR22" i="3"/>
  <c r="Y43" i="2"/>
  <c r="BH12" i="3"/>
  <c r="BU40" i="3"/>
  <c r="BG10" i="3"/>
  <c r="BO42" i="3"/>
  <c r="BR17" i="3"/>
  <c r="BF38" i="3"/>
  <c r="AA73" i="2"/>
  <c r="AA87" i="2"/>
  <c r="BG30" i="3"/>
  <c r="AA22" i="2"/>
  <c r="BC37" i="3"/>
  <c r="BH39" i="3"/>
  <c r="BP30" i="3"/>
  <c r="BH10" i="3"/>
  <c r="BG5" i="3"/>
  <c r="BR45" i="3"/>
  <c r="BI27" i="3"/>
  <c r="BL32" i="3"/>
  <c r="AA76" i="2"/>
  <c r="BG21" i="3"/>
  <c r="Z65" i="2"/>
  <c r="Y9" i="2"/>
  <c r="FE16" i="4" a="1"/>
  <c r="BQ8" i="3"/>
  <c r="BG29" i="3"/>
  <c r="BO37" i="3"/>
  <c r="BN38" i="3"/>
  <c r="BU37" i="3"/>
  <c r="BM7" i="3"/>
  <c r="BA16" i="3"/>
  <c r="BN16" i="3"/>
  <c r="BE27" i="3"/>
  <c r="Z49" i="2"/>
  <c r="BL40" i="3"/>
  <c r="BV17" i="3"/>
  <c r="BM33" i="3"/>
  <c r="BQ5" i="3"/>
  <c r="BM18" i="3"/>
  <c r="BQ12" i="3"/>
  <c r="BH5" i="3"/>
  <c r="BP5" i="3"/>
  <c r="BV14" i="3"/>
  <c r="BU41" i="3"/>
  <c r="BE11" i="3"/>
  <c r="BD23" i="3"/>
  <c r="AA109" i="2"/>
  <c r="BJ13" i="3"/>
  <c r="AA86" i="2"/>
  <c r="BG11" i="3"/>
  <c r="Z71" i="2"/>
  <c r="FD7" i="4" a="1"/>
  <c r="AA34" i="2"/>
  <c r="BQ94" i="3"/>
  <c r="BT35" i="3"/>
  <c r="BU26" i="3"/>
  <c r="BP21" i="3"/>
  <c r="BS24" i="3"/>
  <c r="BJ10" i="3"/>
  <c r="BV6" i="3"/>
  <c r="BK7" i="3"/>
  <c r="BK15" i="3"/>
  <c r="BC42" i="3"/>
  <c r="BV8" i="3"/>
  <c r="BM12" i="3"/>
  <c r="BD46" i="3"/>
  <c r="BB21" i="3"/>
  <c r="BP13" i="3"/>
  <c r="BT33" i="3"/>
  <c r="BB16" i="3"/>
  <c r="BA6" i="3"/>
  <c r="BI31" i="3"/>
  <c r="BU15" i="3"/>
  <c r="BL46" i="3"/>
  <c r="BR25" i="3"/>
  <c r="BC41" i="3"/>
  <c r="Y73" i="2"/>
  <c r="Y48" i="2"/>
  <c r="BV21" i="3"/>
  <c r="BM27" i="3"/>
  <c r="BL17" i="3"/>
  <c r="Y49" i="2"/>
  <c r="Y74" i="2"/>
  <c r="BO20" i="3"/>
  <c r="BU21" i="3"/>
  <c r="BR14" i="3"/>
  <c r="BI7" i="3"/>
  <c r="BH13" i="3"/>
  <c r="BS13" i="3"/>
  <c r="BQ41" i="3"/>
  <c r="BO19" i="3"/>
  <c r="BA26" i="3"/>
  <c r="Z35" i="2"/>
  <c r="AA64" i="2"/>
  <c r="Y47" i="2"/>
  <c r="BU36" i="3"/>
  <c r="BQ45" i="3"/>
  <c r="BR37" i="3"/>
  <c r="Y44" i="2"/>
  <c r="BB19" i="3"/>
  <c r="Y71" i="2"/>
  <c r="BK27" i="3"/>
  <c r="BJ30" i="3"/>
  <c r="BC31" i="3"/>
  <c r="Z78" i="2"/>
  <c r="BU47" i="3"/>
  <c r="BT88" i="3"/>
  <c r="GI11" i="4" a="1"/>
  <c r="BM8" i="3"/>
  <c r="Z89" i="2"/>
  <c r="AA55" i="2"/>
  <c r="Y79" i="2"/>
  <c r="BH62" i="3"/>
  <c r="BQ93" i="3"/>
  <c r="GW5" i="4" a="1"/>
  <c r="BO13" i="3"/>
  <c r="BT37" i="3"/>
  <c r="AA108" i="2"/>
  <c r="BL35" i="3"/>
  <c r="Y20" i="2"/>
  <c r="Z16" i="2"/>
  <c r="Z45" i="2"/>
  <c r="BP56" i="3"/>
  <c r="BH54" i="3"/>
  <c r="BV67" i="3"/>
  <c r="FM7" i="4" a="1"/>
  <c r="GJ6" i="4" a="1"/>
  <c r="FV15" i="4" a="1"/>
  <c r="BP45" i="3"/>
  <c r="Y81" i="2"/>
  <c r="BN23" i="3"/>
  <c r="FC11" i="4" a="1"/>
  <c r="Z7" i="2"/>
  <c r="BP78" i="3"/>
  <c r="BQ65" i="3"/>
  <c r="BV85" i="3"/>
  <c r="FR12" i="4" a="1"/>
  <c r="BS38" i="3"/>
  <c r="BJ37" i="3"/>
  <c r="BV35" i="3"/>
  <c r="BH40" i="3"/>
  <c r="AA54" i="2"/>
  <c r="Y14" i="2"/>
  <c r="BV37" i="3"/>
  <c r="BK42" i="3"/>
  <c r="Y13" i="2"/>
  <c r="AA61" i="2"/>
  <c r="Y55" i="2"/>
  <c r="BU20" i="3"/>
  <c r="BT29" i="3"/>
  <c r="AA42" i="2"/>
  <c r="Y109" i="2"/>
  <c r="BI36" i="3"/>
  <c r="BU39" i="3"/>
  <c r="BP17" i="3"/>
  <c r="BK36" i="3"/>
  <c r="Y108" i="2"/>
  <c r="Z30" i="2"/>
  <c r="BD31" i="3"/>
  <c r="BS5" i="3"/>
  <c r="BI32" i="3"/>
  <c r="BL8" i="3"/>
  <c r="AA41" i="2"/>
  <c r="BQ16" i="3"/>
  <c r="BT22" i="3"/>
  <c r="BR5" i="3"/>
  <c r="BR38" i="3"/>
  <c r="BK30" i="3"/>
  <c r="AA77" i="2"/>
  <c r="BO40" i="3"/>
  <c r="BP12" i="3"/>
  <c r="BT39" i="3"/>
  <c r="BB18" i="3"/>
  <c r="AA21" i="2"/>
  <c r="BF15" i="3"/>
  <c r="CL34" i="1" s="1"/>
  <c r="AA31" i="2"/>
  <c r="BT15" i="3"/>
  <c r="BV26" i="3"/>
  <c r="BO21" i="3"/>
  <c r="BA35" i="3"/>
  <c r="AA85" i="2"/>
  <c r="AA46" i="2"/>
  <c r="BK11" i="3"/>
  <c r="BC11" i="3"/>
  <c r="EY11" i="4" a="1"/>
  <c r="FF16" i="4" a="1"/>
  <c r="BE50" i="3"/>
  <c r="BE65" i="3"/>
  <c r="FR16" i="4" a="1"/>
  <c r="GZ8" i="4" a="1"/>
  <c r="BV28" i="3"/>
  <c r="AA5" i="2"/>
  <c r="BD32" i="3"/>
  <c r="EY15" i="4" a="1"/>
  <c r="BH57" i="3"/>
  <c r="BT92" i="3"/>
  <c r="FW7" i="4" a="1"/>
  <c r="BL29" i="3"/>
  <c r="Z55" i="2"/>
  <c r="BV9" i="3"/>
  <c r="BI25" i="3"/>
  <c r="Z75" i="2"/>
  <c r="Y18" i="2"/>
  <c r="BC5" i="3"/>
  <c r="BM90" i="3"/>
  <c r="BE56" i="3"/>
  <c r="BT65" i="3"/>
  <c r="GN7" i="4" a="1"/>
  <c r="FJ11" i="4" a="1"/>
  <c r="BK26" i="3"/>
  <c r="BL31" i="3"/>
  <c r="BF41" i="3"/>
  <c r="AA24" i="2"/>
  <c r="FB6" i="4" a="1"/>
  <c r="EX5" i="4" a="1"/>
  <c r="BR61" i="3"/>
  <c r="BM82" i="3"/>
  <c r="BO97" i="3"/>
  <c r="GS12" i="4" a="1"/>
  <c r="BS37" i="3"/>
  <c r="Z9" i="2"/>
  <c r="BL6" i="3"/>
  <c r="Z82" i="2"/>
  <c r="AA52" i="2"/>
  <c r="BQ84" i="3"/>
  <c r="BP57" i="3"/>
  <c r="BO24" i="3"/>
  <c r="Z81" i="2"/>
  <c r="Z22" i="2"/>
  <c r="Z68" i="2"/>
  <c r="Y54" i="2"/>
  <c r="Y56" i="2"/>
  <c r="BQ55" i="3"/>
  <c r="BQ54" i="3"/>
  <c r="BV78" i="3"/>
  <c r="FM9" i="4" a="1"/>
  <c r="FS12" i="4" a="1"/>
  <c r="BQ56" i="3"/>
  <c r="BI40" i="3"/>
  <c r="AA63" i="2"/>
  <c r="Y11" i="2"/>
  <c r="FF14" i="4" a="1"/>
  <c r="BG26" i="3"/>
  <c r="Z12" i="2"/>
  <c r="BG24" i="3"/>
  <c r="BS19" i="3"/>
  <c r="BT40" i="3"/>
  <c r="BN25" i="3"/>
  <c r="AA44" i="2"/>
  <c r="BS21" i="3"/>
  <c r="BP25" i="3"/>
  <c r="Y72" i="2"/>
  <c r="AA105" i="2"/>
  <c r="FF7" i="4" a="1"/>
  <c r="BU46" i="3"/>
  <c r="BJ45" i="3"/>
  <c r="Y26" i="2"/>
  <c r="Y34" i="2"/>
  <c r="BR30" i="3"/>
  <c r="BQ36" i="3"/>
  <c r="BK16" i="3"/>
  <c r="BN14" i="3"/>
  <c r="BH15" i="3"/>
  <c r="BC32" i="3"/>
  <c r="Z43" i="2"/>
  <c r="BR10" i="3"/>
  <c r="BP7" i="3"/>
  <c r="BI34" i="3"/>
  <c r="AA16" i="2"/>
  <c r="BQ40" i="3"/>
  <c r="BK17" i="3"/>
  <c r="BM31" i="3"/>
  <c r="BO22" i="3"/>
  <c r="BU23" i="3"/>
  <c r="BD33" i="3"/>
  <c r="BL36" i="3"/>
  <c r="BG17" i="3"/>
  <c r="BE14" i="3"/>
  <c r="BH21" i="3"/>
  <c r="Y66" i="2"/>
  <c r="BL21" i="3"/>
  <c r="BQ24" i="3"/>
  <c r="BN39" i="3"/>
  <c r="BS34" i="3"/>
  <c r="BP10" i="3"/>
  <c r="BN11" i="3"/>
  <c r="BM14" i="3"/>
  <c r="BA33" i="3"/>
  <c r="BH42" i="3"/>
  <c r="BC29" i="3"/>
  <c r="EX6" i="4" a="1"/>
  <c r="FF8" i="4" a="1"/>
  <c r="BQ86" i="3"/>
  <c r="BI83" i="3"/>
  <c r="BH90" i="3"/>
  <c r="FV14" i="4" a="1"/>
  <c r="GA7" i="4" a="1"/>
  <c r="BU7" i="3"/>
  <c r="BI45" i="3"/>
  <c r="Z96" i="2"/>
  <c r="Z94" i="2"/>
  <c r="BM48" i="3"/>
  <c r="BH66" i="3"/>
  <c r="FP6" i="4" a="1"/>
  <c r="BV58" i="3"/>
  <c r="BE40" i="3"/>
  <c r="Z107" i="2"/>
  <c r="BI8" i="3"/>
  <c r="BK38" i="3"/>
  <c r="BK22" i="3"/>
  <c r="EZ14" i="4" a="1"/>
  <c r="FD15" i="4" a="1"/>
  <c r="BH85" i="3"/>
  <c r="BQ60" i="3"/>
  <c r="HD11" i="4" a="1"/>
  <c r="BV94" i="3"/>
  <c r="GT9" i="4" a="1"/>
  <c r="BT16" i="3"/>
  <c r="Z66" i="2"/>
  <c r="BJ5" i="3"/>
  <c r="BJ55" i="3" s="1"/>
  <c r="BD39" i="3"/>
  <c r="BB6" i="3"/>
  <c r="EZ13" i="4" a="1"/>
  <c r="BG56" i="3"/>
  <c r="BM72" i="3"/>
  <c r="BG91" i="3"/>
  <c r="GB8" i="4" a="1"/>
  <c r="HA13" i="4" a="1"/>
  <c r="BO31" i="3"/>
  <c r="AA58" i="2"/>
  <c r="BJ38" i="3"/>
  <c r="EY13" i="4" a="1"/>
  <c r="Z28" i="2"/>
  <c r="BQ95" i="3"/>
  <c r="BP80" i="3"/>
  <c r="BQ39" i="3"/>
  <c r="BM26" i="3"/>
  <c r="AA11" i="2"/>
  <c r="Y92" i="2"/>
  <c r="EX13" i="4" a="1"/>
  <c r="Y107" i="2"/>
  <c r="BT66" i="3"/>
  <c r="FP8" i="4" a="1"/>
  <c r="BV77" i="3"/>
  <c r="BF33" i="3"/>
  <c r="BG25" i="3"/>
  <c r="Y57" i="2"/>
  <c r="Y59" i="2"/>
  <c r="FF5" i="4" a="1"/>
  <c r="BT6" i="3"/>
  <c r="BV33" i="3"/>
  <c r="BE37" i="3"/>
  <c r="BF22" i="3"/>
  <c r="AA78" i="2"/>
  <c r="Y82" i="2"/>
  <c r="BR15" i="3"/>
  <c r="BS17" i="3"/>
  <c r="BF25" i="3"/>
  <c r="CL46" i="1" s="1"/>
  <c r="BT34" i="3"/>
  <c r="BI15" i="3"/>
  <c r="BL7" i="3"/>
  <c r="Y93" i="2"/>
  <c r="BP16" i="3"/>
  <c r="BE17" i="3"/>
  <c r="BF14" i="3"/>
  <c r="CL33" i="1" s="1"/>
  <c r="BC27" i="3"/>
  <c r="BC34" i="3"/>
  <c r="BF31" i="3"/>
  <c r="BR21" i="3"/>
  <c r="BB9" i="3"/>
  <c r="Y68" i="2"/>
  <c r="BO14" i="3"/>
  <c r="BT7" i="3"/>
  <c r="BV38" i="3"/>
  <c r="BH27" i="3"/>
  <c r="BN36" i="3"/>
  <c r="BC35" i="3"/>
  <c r="EZ6" i="4" a="1"/>
  <c r="BJ7" i="3"/>
  <c r="BE26" i="3"/>
  <c r="BD8" i="3"/>
  <c r="BN28" i="3"/>
  <c r="BS31" i="3"/>
  <c r="BO46" i="3"/>
  <c r="BV25" i="3"/>
  <c r="BQ13" i="3"/>
  <c r="BO15" i="3"/>
  <c r="BK33" i="3"/>
  <c r="BJ33" i="3"/>
  <c r="BJ26" i="3"/>
  <c r="BP15" i="3"/>
  <c r="BL33" i="3"/>
  <c r="BT30" i="3"/>
  <c r="BL9" i="3"/>
  <c r="BE39" i="3"/>
  <c r="BR20" i="3"/>
  <c r="BF23" i="3"/>
  <c r="CL45" i="1" s="1"/>
  <c r="BK20" i="3"/>
  <c r="BN8" i="3"/>
  <c r="BP20" i="3"/>
  <c r="BQ20" i="3"/>
  <c r="Z6" i="2"/>
  <c r="BF34" i="3"/>
  <c r="CL55" i="1" s="1"/>
  <c r="FA8" i="4" a="1"/>
  <c r="BC30" i="3"/>
  <c r="BG15" i="3"/>
  <c r="BR41" i="3"/>
  <c r="BH11" i="3"/>
  <c r="BN35" i="3"/>
  <c r="BI22" i="3"/>
  <c r="BU11" i="3"/>
  <c r="BT9" i="3"/>
  <c r="BL42" i="3"/>
  <c r="BD15" i="3"/>
  <c r="BT20" i="3"/>
  <c r="BM17" i="3"/>
  <c r="Z110" i="2"/>
  <c r="BA31" i="3"/>
  <c r="BQ29" i="3"/>
  <c r="BH38" i="3"/>
  <c r="BS22" i="3"/>
  <c r="Z44" i="2"/>
  <c r="BJ11" i="3"/>
  <c r="EY7" i="4" a="1"/>
  <c r="BJ32" i="3"/>
  <c r="BR27" i="3"/>
  <c r="Z92" i="2"/>
  <c r="BF17" i="3"/>
  <c r="CL31" i="1" s="1"/>
  <c r="BL12" i="3"/>
  <c r="BJ35" i="3"/>
  <c r="BS9" i="3"/>
  <c r="BQ37" i="3"/>
  <c r="BS45" i="3"/>
  <c r="BL25" i="3"/>
  <c r="BR18" i="3"/>
  <c r="BK10" i="3"/>
  <c r="BN18" i="3"/>
  <c r="BM45" i="3"/>
  <c r="BK45" i="3"/>
  <c r="BF13" i="3"/>
  <c r="BG41" i="3"/>
  <c r="BI39" i="3"/>
  <c r="BH59" i="3"/>
  <c r="BR24" i="3"/>
  <c r="BO25" i="3"/>
  <c r="Z61" i="2"/>
  <c r="BH17" i="3"/>
  <c r="BR26" i="3"/>
  <c r="BO27" i="3"/>
  <c r="BH26" i="3"/>
  <c r="BL23" i="3"/>
  <c r="BQ32" i="3"/>
  <c r="BI13" i="3"/>
  <c r="BE32" i="3"/>
  <c r="BE42" i="3"/>
  <c r="Y42" i="2"/>
  <c r="BV12" i="3"/>
  <c r="BK6" i="3"/>
  <c r="BP32" i="3"/>
  <c r="BD6" i="3"/>
  <c r="BC7" i="3"/>
  <c r="FA9" i="4" a="1"/>
  <c r="BK46" i="3"/>
  <c r="BO10" i="3"/>
  <c r="BO38" i="3"/>
  <c r="BV41" i="3"/>
  <c r="AA104" i="2"/>
  <c r="BG18" i="3"/>
  <c r="BB22" i="3"/>
  <c r="BV42" i="3"/>
  <c r="BJ41" i="3"/>
  <c r="BQ17" i="3"/>
  <c r="BC12" i="3"/>
  <c r="BV31" i="3"/>
  <c r="BN32" i="3"/>
  <c r="AA35" i="2"/>
  <c r="BR33" i="3"/>
  <c r="BD45" i="3"/>
  <c r="BM74" i="3"/>
  <c r="BG70" i="3"/>
  <c r="GL5" i="4" a="1"/>
  <c r="BK23" i="3"/>
  <c r="BB27" i="3"/>
  <c r="AA70" i="2"/>
  <c r="BE60" i="3"/>
  <c r="FQ9" i="4" a="1"/>
  <c r="BD36" i="3"/>
  <c r="BB32" i="3"/>
  <c r="Z53" i="2"/>
  <c r="AA20" i="2"/>
  <c r="Y69" i="2"/>
  <c r="GE9" i="4" a="1"/>
  <c r="BO88" i="3"/>
  <c r="FQ13" i="4" a="1"/>
  <c r="W6" i="2"/>
  <c r="BE35" i="3"/>
  <c r="EX16" i="4" a="1"/>
  <c r="BP81" i="3"/>
  <c r="BE80" i="3"/>
  <c r="BN5" i="3"/>
  <c r="BE6" i="3"/>
  <c r="Y75" i="2"/>
  <c r="Y105" i="2"/>
  <c r="EX11" i="4" a="1"/>
  <c r="BM66" i="3"/>
  <c r="BU8" i="3"/>
  <c r="BB20" i="3"/>
  <c r="BM16" i="3"/>
  <c r="Y70" i="2"/>
  <c r="BM65" i="3"/>
  <c r="BH69" i="3"/>
  <c r="BQ23" i="3"/>
  <c r="BQ25" i="3"/>
  <c r="BJ25" i="3"/>
  <c r="BS25" i="3"/>
  <c r="AA7" i="2"/>
  <c r="BQ9" i="3"/>
  <c r="BI42" i="3"/>
  <c r="BE25" i="3"/>
  <c r="BT46" i="3"/>
  <c r="BF5" i="3"/>
  <c r="BA32" i="3"/>
  <c r="BS15" i="3"/>
  <c r="BH25" i="3"/>
  <c r="BK5" i="3"/>
  <c r="BJ22" i="3"/>
  <c r="BB26" i="3"/>
  <c r="GI5" i="4" a="1"/>
  <c r="GP5" i="4" a="1"/>
  <c r="BC10" i="3"/>
  <c r="BB23" i="3"/>
  <c r="Z41" i="2"/>
  <c r="BE96" i="3"/>
  <c r="BU77" i="3"/>
  <c r="FZ16" i="4" a="1"/>
  <c r="BE13" i="3"/>
  <c r="Y91" i="2"/>
  <c r="BH34" i="3"/>
  <c r="FB12" i="4" a="1"/>
  <c r="FD14" i="4" a="1"/>
  <c r="GQ8" i="4" a="1"/>
  <c r="GP13" i="4" a="1"/>
  <c r="BH20" i="3"/>
  <c r="BN12" i="3"/>
  <c r="FC15" i="4" a="1"/>
  <c r="BP49" i="3"/>
  <c r="BQ68" i="3"/>
  <c r="BP41" i="3"/>
  <c r="AA92" i="2"/>
  <c r="BB41" i="3"/>
  <c r="FA5" i="4" a="1"/>
  <c r="BM68" i="3"/>
  <c r="BJ9" i="3"/>
  <c r="BA15" i="3"/>
  <c r="AA72" i="2"/>
  <c r="EZ5" i="4" a="1"/>
  <c r="BH96" i="3"/>
  <c r="BM59" i="3"/>
  <c r="BQ87" i="3"/>
  <c r="BO77" i="3"/>
  <c r="BI17" i="3"/>
  <c r="BN33" i="3"/>
  <c r="Y41" i="2"/>
  <c r="AA15" i="2"/>
  <c r="BP8" i="3"/>
  <c r="Z62" i="2"/>
  <c r="BC18" i="3"/>
  <c r="AA13" i="2"/>
  <c r="BO39" i="3"/>
  <c r="BD30" i="3"/>
  <c r="BM6" i="3"/>
  <c r="BI29" i="3"/>
  <c r="BG36" i="3"/>
  <c r="BV34" i="3"/>
  <c r="BH16" i="3"/>
  <c r="Y8" i="2"/>
  <c r="BQ33" i="3"/>
  <c r="Y36" i="2"/>
  <c r="BS33" i="3"/>
  <c r="BJ19" i="3"/>
  <c r="BU27" i="3"/>
  <c r="AA68" i="2"/>
  <c r="BP9" i="3"/>
  <c r="BT8" i="3"/>
  <c r="AB39" i="3"/>
  <c r="AA66" i="2"/>
  <c r="BC24" i="3"/>
  <c r="GE5" i="4" a="1"/>
  <c r="GW8" i="4" a="1"/>
  <c r="BT18" i="3"/>
  <c r="FD13" i="4" a="1"/>
  <c r="HB14" i="4" a="1"/>
  <c r="C4" i="2"/>
  <c r="BG38" i="3"/>
  <c r="BP40" i="3"/>
  <c r="Z32" i="2"/>
  <c r="BP87" i="3"/>
  <c r="BK64" i="3"/>
  <c r="FQ8" i="4" a="1"/>
  <c r="GH15" i="4" a="1"/>
  <c r="BJ15" i="3"/>
  <c r="Y15" i="2"/>
  <c r="AA32" i="2"/>
  <c r="BP61" i="3"/>
  <c r="GG6" i="4" a="1"/>
  <c r="BO6" i="3"/>
  <c r="BK21" i="3"/>
  <c r="Y61" i="2"/>
  <c r="FC6" i="4" a="1"/>
  <c r="BG46" i="3"/>
  <c r="Z99" i="2"/>
  <c r="BA22" i="3"/>
  <c r="AV10" i="3"/>
  <c r="BO75" i="3"/>
  <c r="FW6" i="4" a="1"/>
  <c r="BU60" i="3"/>
  <c r="BP6" i="3"/>
  <c r="Y24" i="2"/>
  <c r="FA11" i="4" a="1"/>
  <c r="FA16" i="4" a="1"/>
  <c r="AA51" i="2"/>
  <c r="BA39" i="3"/>
  <c r="Z29" i="2"/>
  <c r="AA67" i="2"/>
  <c r="BM30" i="3"/>
  <c r="BJ46" i="3"/>
  <c r="BJ31" i="3"/>
  <c r="AA94" i="2"/>
  <c r="BQ78" i="3"/>
  <c r="GX6" i="4" a="1"/>
  <c r="BV87" i="3"/>
  <c r="HG7" i="4" a="1"/>
  <c r="GQ11" i="4" a="1"/>
  <c r="BM40" i="3"/>
  <c r="FC12" i="4" a="1"/>
  <c r="BM62" i="3"/>
  <c r="FS6" i="4" a="1"/>
  <c r="FH15" i="4" a="1"/>
  <c r="BE81" i="3"/>
  <c r="FR7" i="4" a="1"/>
  <c r="BT59" i="3"/>
  <c r="GS9" i="4" a="1"/>
  <c r="GI14" i="4" a="1"/>
  <c r="BA11" i="3"/>
  <c r="BM10" i="3"/>
  <c r="AA89" i="2"/>
  <c r="BE94" i="3"/>
  <c r="GN6" i="4" a="1"/>
  <c r="GB9" i="4" a="1"/>
  <c r="BT73" i="3"/>
  <c r="BJ93" i="3"/>
  <c r="GV11" i="4" a="1"/>
  <c r="BN74" i="3"/>
  <c r="FY5" i="4" a="1"/>
  <c r="GI16" i="4" a="1"/>
  <c r="Y84" i="2"/>
  <c r="BN22" i="3"/>
  <c r="X6" i="2"/>
  <c r="HB7" i="4" a="1"/>
  <c r="BH93" i="3"/>
  <c r="GS11" i="4" a="1"/>
  <c r="BV84" i="3"/>
  <c r="FL9" i="4" a="1"/>
  <c r="GK11" i="4" a="1"/>
  <c r="BH35" i="3"/>
  <c r="FD11" i="4" a="1"/>
  <c r="BV81" i="3"/>
  <c r="GM11" i="4" a="1"/>
  <c r="BP28" i="3"/>
  <c r="BK41" i="3"/>
  <c r="BS18" i="3"/>
  <c r="BG20" i="3"/>
  <c r="Z105" i="2"/>
  <c r="BO11" i="3"/>
  <c r="Z85" i="2"/>
  <c r="BN19" i="3"/>
  <c r="BI33" i="3"/>
  <c r="BF46" i="3"/>
  <c r="CL74" i="1" s="1"/>
  <c r="CK74" i="1" s="1"/>
  <c r="CJ74" i="1" s="1"/>
  <c r="AY29" i="3"/>
  <c r="BE7" i="3"/>
  <c r="BH36" i="3"/>
  <c r="Y23" i="2"/>
  <c r="Z59" i="2"/>
  <c r="EZ7" i="4" a="1"/>
  <c r="FG11" i="4" a="1"/>
  <c r="FW12" i="4" a="1"/>
  <c r="BT13" i="3"/>
  <c r="FE12" i="4" a="1"/>
  <c r="BH56" i="3"/>
  <c r="BQ46" i="3"/>
  <c r="Y33" i="2"/>
  <c r="BS12" i="3"/>
  <c r="AA53" i="2"/>
  <c r="BC40" i="3"/>
  <c r="BE48" i="3"/>
  <c r="GK7" i="4" a="1"/>
  <c r="BM55" i="3"/>
  <c r="BR40" i="3"/>
  <c r="Z50" i="2"/>
  <c r="Z31" i="2"/>
  <c r="BA18" i="3"/>
  <c r="BP96" i="3"/>
  <c r="BE97" i="3"/>
  <c r="GX5" i="4" a="1"/>
  <c r="BQ21" i="3"/>
  <c r="BH22" i="3"/>
  <c r="Z18" i="2"/>
  <c r="Z17" i="2"/>
  <c r="BS39" i="3"/>
  <c r="BL27" i="3"/>
  <c r="BA23" i="3"/>
  <c r="Y52" i="2"/>
  <c r="BH64" i="3"/>
  <c r="BQ63" i="3"/>
  <c r="HC6" i="4" a="1"/>
  <c r="Y64" i="2"/>
  <c r="BN29" i="3"/>
  <c r="FD9" i="4" a="1"/>
  <c r="BV27" i="3"/>
  <c r="BU38" i="3"/>
  <c r="BN26" i="3"/>
  <c r="BD28" i="3"/>
  <c r="AA57" i="2"/>
  <c r="BI10" i="3"/>
  <c r="Y83" i="2"/>
  <c r="BB45" i="3"/>
  <c r="Z26" i="2"/>
  <c r="BE62" i="3"/>
  <c r="BT50" i="3"/>
  <c r="GP8" i="4" a="1"/>
  <c r="GY7" i="4" a="1"/>
  <c r="FO8" i="4" a="1"/>
  <c r="BA41" i="3"/>
  <c r="BA5" i="3"/>
  <c r="BH19" i="3"/>
  <c r="BU24" i="3"/>
  <c r="FF12" i="4" a="1"/>
  <c r="BO35" i="3"/>
  <c r="BF12" i="3"/>
  <c r="CL24" i="1" s="1"/>
  <c r="BF21" i="3"/>
  <c r="CL32" i="1" s="1"/>
  <c r="BK19" i="3"/>
  <c r="BL30" i="3"/>
  <c r="Z40" i="2"/>
  <c r="BK28" i="3"/>
  <c r="BJ34" i="3"/>
  <c r="AA9" i="2"/>
  <c r="BA13" i="3"/>
  <c r="BA10" i="3"/>
  <c r="BU58" i="3"/>
  <c r="BS48" i="3"/>
  <c r="BQ26" i="3"/>
  <c r="Y85" i="2"/>
  <c r="BB7" i="3"/>
  <c r="BQ72" i="3"/>
  <c r="BF29" i="3"/>
  <c r="CL49" i="1" s="1"/>
  <c r="BN27" i="3"/>
  <c r="BU31" i="3"/>
  <c r="BJ36" i="3"/>
  <c r="FA7" i="4" a="1"/>
  <c r="BV65" i="3"/>
  <c r="GC12" i="4" a="1"/>
  <c r="FK15" i="4" a="1"/>
  <c r="BQ15" i="3"/>
  <c r="AA6" i="2"/>
  <c r="BC33" i="3"/>
  <c r="BD9" i="3"/>
  <c r="BQ97" i="3"/>
  <c r="GS8" i="4" a="1"/>
  <c r="BI9" i="3"/>
  <c r="Z36" i="2"/>
  <c r="BB42" i="3"/>
  <c r="FD8" i="4" a="1"/>
  <c r="BG14" i="3"/>
  <c r="BJ27" i="3"/>
  <c r="AA107" i="2"/>
  <c r="BB29" i="3"/>
  <c r="GG7" i="4" a="1"/>
  <c r="BJ24" i="3"/>
  <c r="AA26" i="2"/>
  <c r="BM46" i="3"/>
  <c r="Z74" i="2"/>
  <c r="BU32" i="3"/>
  <c r="BN7" i="3"/>
  <c r="BN40" i="3"/>
  <c r="BE30" i="3"/>
  <c r="FB9" i="4" a="1"/>
  <c r="BE9" i="3"/>
  <c r="BT41" i="3"/>
  <c r="BA28" i="3"/>
  <c r="Y97" i="2"/>
  <c r="BP47" i="3"/>
  <c r="BP62" i="3"/>
  <c r="FY12" i="4" a="1"/>
  <c r="GK14" i="4" a="1"/>
  <c r="GE7" i="4" a="1"/>
  <c r="BV59" i="3"/>
  <c r="BA7" i="3"/>
  <c r="Y89" i="2"/>
  <c r="Z90" i="2"/>
  <c r="Y31" i="2"/>
  <c r="Y80" i="2"/>
  <c r="BR8" i="3"/>
  <c r="FB5" i="4" a="1"/>
  <c r="BF42" i="3"/>
  <c r="CL61" i="1" s="1"/>
  <c r="BM9" i="3"/>
  <c r="BT23" i="3"/>
  <c r="BV29" i="3"/>
  <c r="BL13" i="3"/>
  <c r="AA47" i="2"/>
  <c r="BQ19" i="3"/>
  <c r="BF24" i="3"/>
  <c r="BO36" i="3"/>
  <c r="BM35" i="3"/>
  <c r="BD40" i="3"/>
  <c r="BT21" i="3"/>
  <c r="BD35" i="3"/>
  <c r="BA30" i="3"/>
  <c r="GK8" i="4" a="1"/>
  <c r="BR16" i="3"/>
  <c r="BG16" i="3"/>
  <c r="BO17" i="3"/>
  <c r="Y76" i="2"/>
  <c r="EY8" i="4" a="1"/>
  <c r="GQ12" i="4" a="1"/>
  <c r="FT12" i="4" a="1"/>
  <c r="BS30" i="3"/>
  <c r="Y46" i="2"/>
  <c r="Z60" i="2"/>
  <c r="Z52" i="2"/>
  <c r="BQ75" i="3"/>
  <c r="GI8" i="4" a="1"/>
  <c r="BE46" i="3"/>
  <c r="AA91" i="2"/>
  <c r="EZ9" i="4" a="1"/>
  <c r="FB15" i="4" a="1"/>
  <c r="BQ47" i="3"/>
  <c r="BQ61" i="3"/>
  <c r="BF16" i="3"/>
  <c r="CL30" i="1" s="1"/>
  <c r="AA12" i="2"/>
  <c r="FD12" i="4" a="1"/>
  <c r="FD6" i="4" a="1"/>
  <c r="BP88" i="3"/>
  <c r="BP79" i="3"/>
  <c r="FK8" i="4" a="1"/>
  <c r="BU14" i="3"/>
  <c r="BD18" i="3"/>
  <c r="BE22" i="3"/>
  <c r="Z27" i="2"/>
  <c r="BN46" i="3"/>
  <c r="BM29" i="3"/>
  <c r="BA29" i="3"/>
  <c r="BG45" i="3"/>
  <c r="FB16" i="4" a="1"/>
  <c r="BL34" i="3"/>
  <c r="BH37" i="3"/>
  <c r="BF8" i="3"/>
  <c r="BD34" i="3"/>
  <c r="FL13" i="4" a="1"/>
  <c r="GL11" i="4" a="1"/>
  <c r="GF6" i="4" a="1"/>
  <c r="FX6" i="4" a="1"/>
  <c r="AA93" i="2"/>
  <c r="FI8" i="4" a="1"/>
  <c r="GZ12" i="4" a="1"/>
  <c r="GM5" i="4" a="1"/>
  <c r="HC9" i="4" a="1"/>
  <c r="GE6" i="4" a="1"/>
  <c r="HH15" i="4" a="1"/>
  <c r="BA46" i="3"/>
  <c r="FZ8" i="4" a="1"/>
  <c r="FK11" i="4" a="1"/>
  <c r="BV95" i="3"/>
  <c r="FS8" i="4" a="1"/>
  <c r="HE9" i="4" a="1"/>
  <c r="GM14" i="4" a="1"/>
  <c r="Y6" i="2"/>
  <c r="EZ16" i="4" a="1"/>
  <c r="BP77" i="3"/>
  <c r="HH6" i="4" a="1"/>
  <c r="FH13" i="4" a="1"/>
  <c r="GU5" i="4" a="1"/>
  <c r="BV79" i="3"/>
  <c r="HG6" i="4" a="1"/>
  <c r="GZ15" i="4" a="1"/>
  <c r="BA14" i="3"/>
  <c r="Z20" i="2"/>
  <c r="BT45" i="3"/>
  <c r="BJ14" i="3"/>
  <c r="BP18" i="3"/>
  <c r="BE20" i="3"/>
  <c r="BR36" i="3"/>
  <c r="BN41" i="3"/>
  <c r="BR42" i="3"/>
  <c r="Y21" i="2"/>
  <c r="AA50" i="2"/>
  <c r="BG12" i="3"/>
  <c r="Y51" i="2"/>
  <c r="BP29" i="3"/>
  <c r="AA40" i="2"/>
  <c r="BQ74" i="3"/>
  <c r="BV88" i="3"/>
  <c r="BL5" i="3"/>
  <c r="Z84" i="2"/>
  <c r="EZ8" i="4" a="1"/>
  <c r="FU6" i="4" a="1"/>
  <c r="BE23" i="3"/>
  <c r="BN10" i="3"/>
  <c r="BJ12" i="3"/>
  <c r="BA9" i="3"/>
  <c r="EX14" i="4" a="1"/>
  <c r="GP16" i="4" a="1"/>
  <c r="HD9" i="4" a="1"/>
  <c r="Z70" i="2"/>
  <c r="BO26" i="3"/>
  <c r="FW11" i="4" a="1"/>
  <c r="Y40" i="2"/>
  <c r="BD38" i="3"/>
  <c r="BG27" i="3"/>
  <c r="FB8" i="4" a="1"/>
  <c r="BP65" i="3"/>
  <c r="BT17" i="3"/>
  <c r="BB12" i="3"/>
  <c r="BA37" i="3"/>
  <c r="BS11" i="3"/>
  <c r="BF36" i="3"/>
  <c r="FJ7" i="4" a="1"/>
  <c r="HH12" i="4" a="1"/>
  <c r="GB13" i="4" a="1"/>
  <c r="FN6" i="4" a="1"/>
  <c r="GO5" i="4" a="1"/>
  <c r="GV14" i="4" a="1"/>
  <c r="HA16" i="4" a="1"/>
  <c r="Z42" i="2"/>
  <c r="Z47" i="2"/>
  <c r="BL55" i="3"/>
  <c r="BP58" i="3"/>
  <c r="FK7" i="4" a="1"/>
  <c r="HH8" i="4" a="1"/>
  <c r="GQ7" i="4" a="1"/>
  <c r="FX5" i="4" a="1"/>
  <c r="GF16" i="4" a="1"/>
  <c r="AA45" i="2"/>
  <c r="BP94" i="3"/>
  <c r="BL94" i="3"/>
  <c r="Z80" i="2"/>
  <c r="BI30" i="3"/>
  <c r="GC6" i="4" a="1"/>
  <c r="BU25" i="3"/>
  <c r="FA6" i="4" a="1"/>
  <c r="HA8" i="4" a="1"/>
  <c r="BC9" i="3"/>
  <c r="V6" i="2"/>
  <c r="BC17" i="3"/>
  <c r="AA25" i="2"/>
  <c r="AA97" i="2"/>
  <c r="BH18" i="3"/>
  <c r="BH41" i="3"/>
  <c r="HD6" i="4" a="1"/>
  <c r="BF40" i="3"/>
  <c r="BQ91" i="3"/>
  <c r="GE14" i="4" a="1"/>
  <c r="GC8" i="4" a="1"/>
  <c r="BV50" i="3"/>
  <c r="FO7" i="4" a="1"/>
  <c r="GV5" i="4" a="1"/>
  <c r="FV9" i="4" a="1"/>
  <c r="FC7" i="4" a="1"/>
  <c r="FA15" i="4" a="1"/>
  <c r="BQ64" i="3"/>
  <c r="GR13" i="4" a="1"/>
  <c r="GS7" i="4" a="1"/>
  <c r="FX7" i="4" a="1"/>
  <c r="FQ5" i="4" a="1"/>
  <c r="GL8" i="4" a="1"/>
  <c r="FC16" i="4" a="1"/>
  <c r="BQ70" i="3"/>
  <c r="FK9" i="4" a="1"/>
  <c r="GR7" i="4" a="1"/>
  <c r="GB6" i="4" a="1"/>
  <c r="FZ7" i="4" a="1"/>
  <c r="FT15" i="4" a="1"/>
  <c r="FB14" i="4" a="1"/>
  <c r="BQ67" i="3"/>
  <c r="GV9" i="4" a="1"/>
  <c r="BL95" i="3"/>
  <c r="FG12" i="4" a="1"/>
  <c r="BV61" i="3"/>
  <c r="FT8" i="4" a="1"/>
  <c r="HA11" i="4" a="1"/>
  <c r="BP71" i="3"/>
  <c r="Z8" i="2"/>
  <c r="BG40" i="3"/>
  <c r="BA36" i="3"/>
  <c r="Y94" i="2"/>
  <c r="FH11" i="4" a="1"/>
  <c r="GX16" i="4" a="1"/>
  <c r="Z34" i="2"/>
  <c r="BI14" i="3"/>
  <c r="BQ77" i="3"/>
  <c r="BA12" i="3"/>
  <c r="BM32" i="3"/>
  <c r="BK31" i="3"/>
  <c r="BN13" i="3"/>
  <c r="BA8" i="3"/>
  <c r="BL82" i="3"/>
  <c r="FS5" i="4" a="1"/>
  <c r="HB6" i="4" a="1"/>
  <c r="AA49" i="2"/>
  <c r="FX13" i="4" a="1"/>
  <c r="GW7" i="4" a="1"/>
  <c r="FG7" i="4" a="1"/>
  <c r="FM8" i="4" a="1"/>
  <c r="GS15" i="4" a="1"/>
  <c r="Y67" i="2"/>
  <c r="EZ12" i="4" a="1"/>
  <c r="GF15" i="4" a="1"/>
  <c r="HA7" i="4" a="1"/>
  <c r="GD6" i="4" a="1"/>
  <c r="FW5" i="4" a="1"/>
  <c r="GT12" i="4" a="1"/>
  <c r="BA19" i="3"/>
  <c r="BB35" i="3"/>
  <c r="BV75" i="3"/>
  <c r="GV15" i="4" a="1"/>
  <c r="FH8" i="4" a="1"/>
  <c r="FL6" i="4" a="1"/>
  <c r="GM7" i="4" a="1"/>
  <c r="FO16" i="4" a="1"/>
  <c r="Z24" i="2"/>
  <c r="BG19" i="3"/>
  <c r="BR13" i="3"/>
  <c r="BM38" i="3"/>
  <c r="AA29" i="2"/>
  <c r="BR9" i="3"/>
  <c r="AA18" i="2"/>
  <c r="BL80" i="3"/>
  <c r="BJ23" i="3"/>
  <c r="BP70" i="3"/>
  <c r="GX12" i="4" a="1"/>
  <c r="BH9" i="3"/>
  <c r="BP36" i="3"/>
  <c r="BG33" i="3"/>
  <c r="BC20" i="3"/>
  <c r="AA84" i="2"/>
  <c r="BQ89" i="3"/>
  <c r="GG11" i="4" a="1"/>
  <c r="GL9" i="4" a="1"/>
  <c r="GF5" i="4" a="1"/>
  <c r="BB11" i="3"/>
  <c r="BL89" i="3"/>
  <c r="FN9" i="4" a="1"/>
  <c r="GE11" i="4" a="1"/>
  <c r="GR14" i="4" a="1"/>
  <c r="HE13" i="4" a="1"/>
  <c r="BP67" i="3"/>
  <c r="Z87" i="2"/>
  <c r="HD5" i="4" a="1"/>
  <c r="FV6" i="4" a="1"/>
  <c r="GF9" i="4" a="1"/>
  <c r="HA15" i="4" a="1"/>
  <c r="BM36" i="3"/>
  <c r="Y86" i="2"/>
  <c r="BV76" i="3"/>
  <c r="HB13" i="4" a="1"/>
  <c r="GN5" i="4" a="1"/>
  <c r="FH12" i="4" a="1"/>
  <c r="GK13" i="4" a="1"/>
  <c r="FE14" i="4" a="1"/>
  <c r="BV92" i="3"/>
  <c r="HD15" i="4" a="1"/>
  <c r="FP15" i="4" a="1"/>
  <c r="BP75" i="3"/>
  <c r="FW9" i="4" a="1"/>
  <c r="FG9" i="4" a="1"/>
  <c r="FV12" i="4" a="1"/>
  <c r="FW16" i="4" a="1"/>
  <c r="BQ48" i="3"/>
  <c r="BA20" i="3"/>
  <c r="EX7" i="4" a="1"/>
  <c r="FB13" i="4" a="1"/>
  <c r="HG13" i="4" a="1"/>
  <c r="FT11" i="4" a="1"/>
  <c r="Z95" i="2"/>
  <c r="BB10" i="3"/>
  <c r="BP93" i="3"/>
  <c r="HC13" i="4" a="1"/>
  <c r="FT14" i="4" a="1"/>
  <c r="GH11" i="4" a="1"/>
  <c r="FE6" i="4" a="1"/>
  <c r="GK5" i="4" a="1"/>
  <c r="GF7" i="4" a="1"/>
  <c r="AA82" i="2"/>
  <c r="HG5" i="4" a="1"/>
  <c r="GB12" i="4" a="1"/>
  <c r="GN12" i="4" a="1"/>
  <c r="BG7" i="3"/>
  <c r="BB38" i="3"/>
  <c r="BI41" i="3"/>
  <c r="Y98" i="2"/>
  <c r="BO23" i="3"/>
  <c r="Y65" i="2"/>
  <c r="BN20" i="3"/>
  <c r="FW13" i="4" a="1"/>
  <c r="Z108" i="2"/>
  <c r="BG22" i="3"/>
  <c r="Y19" i="2"/>
  <c r="BG31" i="3"/>
  <c r="FF13" i="4" a="1"/>
  <c r="BP64" i="3"/>
  <c r="FN12" i="4" a="1"/>
  <c r="GJ16" i="4" a="1"/>
  <c r="FZ5" i="4" a="1"/>
  <c r="Y53" i="2"/>
  <c r="BP59" i="3"/>
  <c r="HB11" i="4" a="1"/>
  <c r="HG11" i="4" a="1"/>
  <c r="FH16" i="4" a="1"/>
  <c r="FY16" i="4" a="1"/>
  <c r="EY14" i="4" a="1"/>
  <c r="GN14" i="4" a="1"/>
  <c r="GA6" i="4" a="1"/>
  <c r="HH14" i="4" a="1"/>
  <c r="AA36" i="2"/>
  <c r="EY5" i="4" a="1"/>
  <c r="BP89" i="3"/>
  <c r="FR5" i="4" a="1"/>
  <c r="BP54" i="3"/>
  <c r="FZ12" i="4" a="1"/>
  <c r="FQ11" i="4" a="1"/>
  <c r="GW16" i="4" a="1"/>
  <c r="BB31" i="3"/>
  <c r="BV60" i="3"/>
  <c r="GH6" i="4" a="1"/>
  <c r="HB8" i="4" a="1"/>
  <c r="BP55" i="3"/>
  <c r="FO9" i="4" a="1"/>
  <c r="BV72" i="3"/>
  <c r="GE8" i="4" a="1"/>
  <c r="GD16" i="4" a="1"/>
  <c r="BP26" i="3"/>
  <c r="BL56" i="3"/>
  <c r="BD24" i="3"/>
  <c r="BL61" i="3"/>
  <c r="GA13" i="4" a="1"/>
  <c r="BV62" i="3"/>
  <c r="GO9" i="4" a="1"/>
  <c r="BL39" i="3"/>
  <c r="BV22" i="3"/>
  <c r="FB11" i="4" a="1"/>
  <c r="BD41" i="3"/>
  <c r="Y58" i="2"/>
  <c r="AA98" i="2"/>
  <c r="BM73" i="3"/>
  <c r="FD5" i="4" a="1"/>
  <c r="FL15" i="4" a="1"/>
  <c r="BD13" i="3"/>
  <c r="BT24" i="3"/>
  <c r="BC14" i="3"/>
  <c r="BM13" i="3"/>
  <c r="FE8" i="4" a="1"/>
  <c r="BM71" i="3"/>
  <c r="GD12" i="4" a="1"/>
  <c r="GD5" i="4" a="1"/>
  <c r="GH8" i="4" a="1"/>
  <c r="Z83" i="2"/>
  <c r="GB5" i="4" a="1"/>
  <c r="GR11" i="4" a="1"/>
  <c r="BV18" i="3"/>
  <c r="BB24" i="3"/>
  <c r="BP50" i="3"/>
  <c r="BQ81" i="3"/>
  <c r="C5" i="2"/>
  <c r="BU66" i="3"/>
  <c r="BI6" i="3"/>
  <c r="Z46" i="2"/>
  <c r="BI94" i="3"/>
  <c r="BO30" i="3"/>
  <c r="BC13" i="3"/>
  <c r="BL19" i="3"/>
  <c r="AA69" i="2"/>
  <c r="BR29" i="3"/>
  <c r="BB28" i="3"/>
  <c r="BT94" i="3"/>
  <c r="FO11" i="4" a="1"/>
  <c r="HD14" i="4" a="1"/>
  <c r="Y5" i="2"/>
  <c r="BQ79" i="3"/>
  <c r="GB11" i="4" a="1"/>
  <c r="GR16" i="4" a="1"/>
  <c r="BO82" i="3"/>
  <c r="GA5" i="4" a="1"/>
  <c r="GG16" i="4" a="1"/>
  <c r="BB30" i="3"/>
  <c r="BQ49" i="3"/>
  <c r="BQ71" i="3"/>
  <c r="BJ95" i="3"/>
  <c r="HB12" i="4" a="1"/>
  <c r="FK12" i="4" a="1"/>
  <c r="GY6" i="4" a="1"/>
  <c r="GU9" i="4" a="1"/>
  <c r="FB7" i="4" a="1"/>
  <c r="BN6" i="3"/>
  <c r="FG6" i="4" a="1"/>
  <c r="BP90" i="3"/>
  <c r="GP14" i="4" a="1"/>
  <c r="BJ64" i="3"/>
  <c r="FO14" i="4" a="1"/>
  <c r="FI6" i="4" a="1"/>
  <c r="GY16" i="4" a="1"/>
  <c r="BD42" i="3"/>
  <c r="BP83" i="3"/>
  <c r="GW12" i="4" a="1"/>
  <c r="BJ57" i="3"/>
  <c r="GP12" i="4" a="1"/>
  <c r="BN73" i="3"/>
  <c r="FH7" i="4" a="1"/>
  <c r="HG16" i="4" a="1"/>
  <c r="FW14" i="4" a="1"/>
  <c r="FF15" i="4" a="1"/>
  <c r="BT91" i="3"/>
  <c r="BC26" i="3"/>
  <c r="FZ15" i="4" a="1"/>
  <c r="FJ8" i="4" a="1"/>
  <c r="GJ12" i="4" a="1"/>
  <c r="GJ15" i="4" a="1"/>
  <c r="EY12" i="4" a="1"/>
  <c r="GO7" i="4" a="1"/>
  <c r="FS9" i="4" a="1"/>
  <c r="BC19" i="3"/>
  <c r="BA25" i="3"/>
  <c r="FQ14" i="4" a="1"/>
  <c r="GJ14" i="4" a="1"/>
  <c r="FC13" i="4" a="1"/>
  <c r="GM12" i="4" a="1"/>
  <c r="GT7" i="4" a="1"/>
  <c r="GJ5" i="4" a="1"/>
  <c r="GH7" i="4" a="1"/>
  <c r="GP11" i="4" a="1"/>
  <c r="FU15" i="4" a="1"/>
  <c r="Z109" i="2"/>
  <c r="GW14" i="4" a="1"/>
  <c r="GO15" i="4" a="1"/>
  <c r="HH11" i="4" a="1"/>
  <c r="FY8" i="4" a="1"/>
  <c r="BF18" i="3"/>
  <c r="CL35" i="1" s="1"/>
  <c r="BQ83" i="3"/>
  <c r="FC8" i="4" a="1"/>
  <c r="BV90" i="3"/>
  <c r="EX8" i="4" a="1"/>
  <c r="FA14" i="4" a="1"/>
  <c r="BQ80" i="3"/>
  <c r="BH24" i="3"/>
  <c r="AA95" i="2"/>
  <c r="FN8" i="4" a="1"/>
  <c r="BV47" i="3"/>
  <c r="HA12" i="4" a="1"/>
  <c r="GI15" i="4" a="1"/>
  <c r="HD13" i="4" a="1"/>
  <c r="GM9" i="4" a="1"/>
  <c r="GV7" i="4" a="1"/>
  <c r="FV16" i="4" a="1"/>
  <c r="BB5" i="3"/>
  <c r="BQ69" i="3"/>
  <c r="FE7" i="4" a="1"/>
  <c r="GD7" i="4" a="1"/>
  <c r="HF16" i="4" a="1"/>
  <c r="FT5" i="4" a="1"/>
  <c r="GU6" i="4" a="1"/>
  <c r="BP74" i="3"/>
  <c r="EZ15" i="4" a="1"/>
  <c r="BQ85" i="3"/>
  <c r="FL16" i="4" a="1"/>
  <c r="BB14" i="3"/>
  <c r="GI9" i="4" a="1"/>
  <c r="FR14" i="4" a="1"/>
  <c r="HE12" i="4" a="1"/>
  <c r="GL6" i="4" a="1"/>
  <c r="GF14" i="4" a="1"/>
  <c r="GK16" i="4" a="1"/>
  <c r="BQ59" i="3"/>
  <c r="FI12" i="4" a="1"/>
  <c r="GE13" i="4" a="1"/>
  <c r="GL13" i="4" a="1"/>
  <c r="HH13" i="4" a="1"/>
  <c r="GY8" i="4" a="1"/>
  <c r="BV55" i="3"/>
  <c r="FZ13" i="4" a="1"/>
  <c r="FY14" i="4" a="1"/>
  <c r="GW15" i="4" a="1"/>
  <c r="FG8" i="4" a="1"/>
  <c r="GZ14" i="4" a="1"/>
  <c r="GO14" i="4" a="1"/>
  <c r="GF11" i="4" a="1"/>
  <c r="GL16" i="4" a="1"/>
  <c r="FI9" i="4" a="1"/>
  <c r="HH16" i="4" a="1"/>
  <c r="BV70" i="3"/>
  <c r="FK16" i="4" a="1"/>
  <c r="FI13" i="4" a="1"/>
  <c r="FY11" i="4" a="1"/>
  <c r="HC8" i="4" a="1"/>
  <c r="GF8" i="4" a="1"/>
  <c r="FL11" i="4" a="1"/>
  <c r="GL12" i="4" a="1"/>
  <c r="GD14" i="4" a="1"/>
  <c r="GX11" i="4" a="1"/>
  <c r="FJ12" i="4" a="1"/>
  <c r="FS7" i="4" a="1"/>
  <c r="GU7" i="4" a="1"/>
  <c r="AS35" i="3"/>
  <c r="BF11" i="3"/>
  <c r="CL25" i="1" s="1"/>
  <c r="GY13" i="4" a="1"/>
  <c r="BI16" i="3"/>
  <c r="HB5" i="4" a="1"/>
  <c r="BP48" i="3"/>
  <c r="BD11" i="3"/>
  <c r="FO13" i="4" a="1"/>
  <c r="GT6" i="4" a="1"/>
  <c r="HE16" i="4" a="1"/>
  <c r="Y7" i="2"/>
  <c r="Z23" i="2"/>
  <c r="HF8" i="4" a="1"/>
  <c r="FV11" i="4" a="1"/>
  <c r="BB8" i="3"/>
  <c r="GZ5" i="4" a="1"/>
  <c r="BV69" i="3"/>
  <c r="GN9" i="4" a="1"/>
  <c r="BP63" i="3"/>
  <c r="Z33" i="2"/>
  <c r="BP86" i="3"/>
  <c r="FY9" i="4" a="1"/>
  <c r="GA14" i="4" a="1"/>
  <c r="BH29" i="3"/>
  <c r="GI6" i="4" a="1"/>
  <c r="FV7" i="4" a="1"/>
  <c r="GB7" i="4" a="1"/>
  <c r="GX14" i="4" a="1"/>
  <c r="FJ9" i="4" a="1"/>
  <c r="GK9" i="4" a="1"/>
  <c r="GF12" i="4" a="1"/>
  <c r="FR13" i="4" a="1"/>
  <c r="GA15" i="4" a="1"/>
  <c r="GC11" i="4" a="1"/>
  <c r="HE6" i="4" a="1"/>
  <c r="HD8" i="4" a="1"/>
  <c r="BV49" i="3"/>
  <c r="FO12" i="4" a="1"/>
  <c r="FK13" i="4" a="1"/>
  <c r="FO5" i="4" a="1"/>
  <c r="GM15" i="4" a="1"/>
  <c r="GT8" i="4" a="1"/>
  <c r="BV56" i="3"/>
  <c r="GD9" i="4" a="1"/>
  <c r="FG15" i="4" a="1"/>
  <c r="FR6" i="4" a="1"/>
  <c r="HD16" i="4" a="1"/>
  <c r="GO6" i="4" a="1"/>
  <c r="BV86" i="3"/>
  <c r="FT16" i="4" a="1"/>
  <c r="GR12" i="4" a="1"/>
  <c r="GW6" i="4" a="1"/>
  <c r="AW5" i="6" a="1"/>
  <c r="AE5" i="6" a="1"/>
  <c r="R5" i="6" a="1"/>
  <c r="AZ29" i="3"/>
  <c r="AW17" i="3"/>
  <c r="EV9" i="4" a="1"/>
  <c r="AW40" i="3"/>
  <c r="AV37" i="3"/>
  <c r="S6" i="6" a="1"/>
  <c r="AW29" i="3"/>
  <c r="Q6" i="6" a="1"/>
  <c r="AU27" i="3"/>
  <c r="EM5" i="4" a="1"/>
  <c r="AS41" i="3"/>
  <c r="AY6" i="6" a="1"/>
  <c r="ER13" i="4" a="1"/>
  <c r="AS20" i="3"/>
  <c r="AY22" i="3"/>
  <c r="ES7" i="4" a="1"/>
  <c r="AV45" i="3"/>
  <c r="AS45" i="3"/>
  <c r="ER14" i="4" a="1"/>
  <c r="AY19" i="3"/>
  <c r="AZ12" i="3"/>
  <c r="AV11" i="3"/>
  <c r="EN11" i="4" a="1"/>
  <c r="AZ14" i="3"/>
  <c r="Z69" i="2"/>
  <c r="HF7" i="4" a="1"/>
  <c r="BB40" i="3"/>
  <c r="FP12" i="4" a="1"/>
  <c r="FP16" i="4" a="1"/>
  <c r="GV12" i="4" a="1"/>
  <c r="BD10" i="3"/>
  <c r="BL91" i="3"/>
  <c r="BP82" i="3"/>
  <c r="GU14" i="4" a="1"/>
  <c r="FP7" i="4" a="1"/>
  <c r="BA21" i="3"/>
  <c r="EX9" i="4" a="1"/>
  <c r="BC16" i="3"/>
  <c r="BP76" i="3"/>
  <c r="FL12" i="4" a="1"/>
  <c r="FZ6" i="4" a="1"/>
  <c r="BV96" i="3"/>
  <c r="HF9" i="4" a="1"/>
  <c r="BE28" i="3"/>
  <c r="BQ50" i="3"/>
  <c r="BV57" i="3"/>
  <c r="FT9" i="4" a="1"/>
  <c r="GJ13" i="4" a="1"/>
  <c r="BD5" i="3"/>
  <c r="BL93" i="3"/>
  <c r="BQ73" i="3"/>
  <c r="GR6" i="4" a="1"/>
  <c r="BV71" i="3"/>
  <c r="FA13" i="4" a="1"/>
  <c r="BP73" i="3"/>
  <c r="FG13" i="4" a="1"/>
  <c r="GG5" i="4" a="1"/>
  <c r="GC9" i="4" a="1"/>
  <c r="GQ9" i="4" a="1"/>
  <c r="GG14" i="4" a="1"/>
  <c r="GM8" i="4" a="1"/>
  <c r="FW8" i="4" a="1"/>
  <c r="FJ15" i="4" a="1"/>
  <c r="FT6" i="4" a="1"/>
  <c r="BP72" i="3"/>
  <c r="GQ5" i="4" a="1"/>
  <c r="BV54" i="3"/>
  <c r="GW11" i="4" a="1"/>
  <c r="HB15" i="4" a="1"/>
  <c r="GE16" i="4" a="1"/>
  <c r="GY15" i="4" a="1"/>
  <c r="FM16" i="4" a="1"/>
  <c r="GD13" i="4" a="1"/>
  <c r="BV91" i="3"/>
  <c r="FM11" i="4" a="1"/>
  <c r="GC14" i="4" a="1"/>
  <c r="FH9" i="4" a="1"/>
  <c r="GR9" i="4" a="1"/>
  <c r="BV80" i="3"/>
  <c r="GX13" i="4" a="1"/>
  <c r="GF13" i="4" a="1"/>
  <c r="HH7" i="4" a="1"/>
  <c r="GX8" i="4" a="1"/>
  <c r="FV5" i="4" a="1"/>
  <c r="FU8" i="4" a="1"/>
  <c r="GR8" i="4" a="1"/>
  <c r="FI11" i="4" a="1"/>
  <c r="GW9" i="4" a="1"/>
  <c r="GJ11" i="4" a="1"/>
  <c r="GA11" i="4" a="1"/>
  <c r="FJ14" i="4" a="1"/>
  <c r="FU13" i="4" a="1"/>
  <c r="GT13" i="4" a="1"/>
  <c r="FN14" i="4" a="1"/>
  <c r="FQ15" i="4" a="1"/>
  <c r="FC5" i="4" a="1"/>
  <c r="FH5" i="4" a="1"/>
  <c r="GB16" i="4" a="1"/>
  <c r="Y22" i="2"/>
  <c r="FI7" i="4" a="1"/>
  <c r="GZ16" i="4" a="1"/>
  <c r="HG12" i="4" a="1"/>
  <c r="BB34" i="3"/>
  <c r="FX12" i="4" a="1"/>
  <c r="FF6" i="4" a="1"/>
  <c r="BE31" i="3"/>
  <c r="BB83" i="3"/>
  <c r="GM13" i="4" a="1"/>
  <c r="GK6" i="4" a="1"/>
  <c r="FN11" i="4" a="1"/>
  <c r="Z106" i="2"/>
  <c r="GG13" i="4" a="1"/>
  <c r="FI14" i="4" a="1"/>
  <c r="Y110" i="2"/>
  <c r="BQ92" i="3"/>
  <c r="FR8" i="4" a="1"/>
  <c r="FR15" i="4" a="1"/>
  <c r="BD14" i="3"/>
  <c r="GV8" i="4" a="1"/>
  <c r="GT11" i="4" a="1"/>
  <c r="GO16" i="4" a="1"/>
  <c r="FV13" i="4" a="1"/>
  <c r="GD11" i="4" a="1"/>
  <c r="FM13" i="4" a="1"/>
  <c r="GK12" i="4" a="1"/>
  <c r="HD12" i="4" a="1"/>
  <c r="GQ14" i="4" a="1"/>
  <c r="HD7" i="4" a="1"/>
  <c r="HF11" i="4" a="1"/>
  <c r="HC14" i="4" a="1"/>
  <c r="FJ16" i="4" a="1"/>
  <c r="BP85" i="3"/>
  <c r="FN16" i="4" a="1"/>
  <c r="HA6" i="4" a="1"/>
  <c r="Y63" i="2"/>
  <c r="FV8" i="4" a="1"/>
  <c r="FP14" i="4" a="1"/>
  <c r="GA16" i="4" a="1"/>
  <c r="BL96" i="3"/>
  <c r="FA12" i="4" a="1"/>
  <c r="FK6" i="4" a="1"/>
  <c r="BL50" i="3"/>
  <c r="GP9" i="4" a="1"/>
  <c r="GH14" i="4" a="1"/>
  <c r="BB73" i="3"/>
  <c r="BA40" i="3"/>
  <c r="BQ96" i="3"/>
  <c r="GH16" i="4" a="1"/>
  <c r="HC12" i="4" a="1"/>
  <c r="FT13" i="4" a="1"/>
  <c r="Y27" i="2"/>
  <c r="HA14" i="4" a="1"/>
  <c r="HF15" i="4" a="1"/>
  <c r="GR15" i="4" a="1"/>
  <c r="FZ11" i="4" a="1"/>
  <c r="GY14" i="4" a="1"/>
  <c r="FU5" i="4" a="1"/>
  <c r="Z93" i="2"/>
  <c r="BL15" i="3"/>
  <c r="GC15" i="4" a="1"/>
  <c r="FG14" i="4" a="1"/>
  <c r="BL86" i="3"/>
  <c r="FW15" i="4" a="1"/>
  <c r="GP7" i="4" a="1"/>
  <c r="BP84" i="3"/>
  <c r="GX9" i="4" a="1"/>
  <c r="GZ7" i="4" a="1"/>
  <c r="GJ7" i="4" a="1"/>
  <c r="FD16" i="4" a="1"/>
  <c r="BQ57" i="3"/>
  <c r="HF13" i="4" a="1"/>
  <c r="GU13" i="4" a="1"/>
  <c r="Z51" i="2"/>
  <c r="GZ9" i="4" a="1"/>
  <c r="GS13" i="4" a="1"/>
  <c r="FL5" i="4" a="1"/>
  <c r="Z88" i="2"/>
  <c r="GD8" i="4" a="1"/>
  <c r="FU12" i="4" a="1"/>
  <c r="BH45" i="3"/>
  <c r="FX11" i="4" a="1"/>
  <c r="GV13" i="4" a="1"/>
  <c r="FG5" i="4" a="1"/>
  <c r="GS6" i="4" a="1"/>
  <c r="FR11" i="4" a="1"/>
  <c r="GQ15" i="4" a="1"/>
  <c r="BL84" i="3"/>
  <c r="EX15" i="4" a="1"/>
  <c r="BV73" i="3"/>
  <c r="GX15" i="4" a="1"/>
  <c r="BB36" i="3"/>
  <c r="HC7" i="4" a="1"/>
  <c r="FH14" i="4" a="1"/>
  <c r="BJ8" i="3"/>
  <c r="GJ8" i="4" a="1"/>
  <c r="Y112" i="2"/>
  <c r="BB39" i="3"/>
  <c r="FU11" i="4" a="1"/>
  <c r="GV16" i="4" a="1"/>
  <c r="GI7" i="4" a="1"/>
  <c r="GO11" i="4" a="1"/>
  <c r="EY9" i="4" a="1"/>
  <c r="Y77" i="2"/>
  <c r="AA23" i="2"/>
  <c r="HG14" i="4" a="1"/>
  <c r="GY9" i="4" a="1"/>
  <c r="GT15" i="4" a="1"/>
  <c r="BL60" i="3"/>
  <c r="FZ9" i="4" a="1"/>
  <c r="FU9" i="4" a="1"/>
  <c r="GO13" i="4" a="1"/>
  <c r="BV82" i="3"/>
  <c r="HG8" i="4" a="1"/>
  <c r="BD56" i="3"/>
  <c r="FP11" i="4" a="1"/>
  <c r="FQ16" i="4" a="1"/>
  <c r="FY7" i="4" a="1"/>
  <c r="GM16" i="4" a="1"/>
  <c r="GQ16" i="4" a="1"/>
  <c r="BL76" i="3"/>
  <c r="BV68" i="3"/>
  <c r="FM5" i="4" a="1"/>
  <c r="HC5" i="4" a="1"/>
  <c r="BP97" i="3"/>
  <c r="GI13" i="4" a="1"/>
  <c r="AW11" i="3"/>
  <c r="AU14" i="3"/>
  <c r="AF21" i="3"/>
  <c r="ES14" i="4" a="1"/>
  <c r="AZ32" i="3"/>
  <c r="AV6" i="6" a="1"/>
  <c r="AU24" i="3"/>
  <c r="AF35" i="3"/>
  <c r="AV26" i="3"/>
  <c r="EQ11" i="4" a="1"/>
  <c r="AW23" i="3"/>
  <c r="AY7" i="3"/>
  <c r="EO7" i="4" a="1"/>
  <c r="AU36" i="3"/>
  <c r="ES9" i="4" a="1"/>
  <c r="AY10" i="3"/>
  <c r="AF25" i="3"/>
  <c r="AU37" i="3"/>
  <c r="AV34" i="3"/>
  <c r="ER8" i="4" a="1"/>
  <c r="AF37" i="3"/>
  <c r="EL14" i="4" a="1"/>
  <c r="AS10" i="3"/>
  <c r="C6" i="6" a="1"/>
  <c r="ER15" i="4" a="1"/>
  <c r="AV36" i="3"/>
  <c r="I6" i="6" a="1"/>
  <c r="EW12" i="4" a="1"/>
  <c r="AW41" i="3"/>
  <c r="J6" i="6" a="1"/>
  <c r="AU22" i="3"/>
  <c r="EN16" i="4" a="1"/>
  <c r="AT41" i="3"/>
  <c r="AH5" i="6" a="1"/>
  <c r="L6" i="6" a="1"/>
  <c r="AP5" i="3"/>
  <c r="AZ33" i="3"/>
  <c r="C5" i="6" a="1"/>
  <c r="AW18" i="3"/>
  <c r="AX7" i="3"/>
  <c r="ET16" i="4" a="1"/>
  <c r="AF27" i="3"/>
  <c r="AT17" i="3"/>
  <c r="AT33" i="3"/>
  <c r="AZ28" i="3"/>
  <c r="AX6" i="3"/>
  <c r="EV13" i="4" a="1"/>
  <c r="AW10" i="3"/>
  <c r="N5" i="6" a="1"/>
  <c r="AZ40" i="3"/>
  <c r="AU18" i="3"/>
  <c r="AT19" i="3"/>
  <c r="AS7" i="3"/>
  <c r="AF17" i="3"/>
  <c r="EW9" i="4" a="1"/>
  <c r="AW5" i="3"/>
  <c r="EQ9" i="4" a="1"/>
  <c r="AT27" i="3"/>
  <c r="AY40" i="3"/>
  <c r="EU6" i="4" a="1"/>
  <c r="F6" i="6" a="1"/>
  <c r="AV21" i="3"/>
  <c r="AU8" i="3"/>
  <c r="AY6" i="3"/>
  <c r="S5" i="6" a="1"/>
  <c r="ES15" i="4" a="1"/>
  <c r="AS34" i="3"/>
  <c r="AT7" i="3"/>
  <c r="EN5" i="4" a="1"/>
  <c r="AZ10" i="3"/>
  <c r="EV11" i="4" a="1"/>
  <c r="BL66" i="3"/>
  <c r="BN79" i="3"/>
  <c r="BB54" i="3"/>
  <c r="BB70" i="3"/>
  <c r="BB56" i="3"/>
  <c r="BB78" i="3"/>
  <c r="BB47" i="3"/>
  <c r="BD60" i="3"/>
  <c r="BD79" i="3"/>
  <c r="BD82" i="3"/>
  <c r="BD78" i="3"/>
  <c r="AY20" i="3"/>
  <c r="AV40" i="3"/>
  <c r="EQ8" i="4" a="1"/>
  <c r="AW27" i="3"/>
  <c r="EU8" i="4" a="1"/>
  <c r="AV15" i="3"/>
  <c r="AW15" i="3"/>
  <c r="AF11" i="3"/>
  <c r="EW14" i="4" a="1"/>
  <c r="AS33" i="3"/>
  <c r="AS15" i="3"/>
  <c r="AW25" i="3"/>
  <c r="AY12" i="3"/>
  <c r="AZ30" i="3"/>
  <c r="EL5" i="4" a="1"/>
  <c r="AV23" i="3"/>
  <c r="AU17" i="3"/>
  <c r="EN6" i="4" a="1"/>
  <c r="ER7" i="4" a="1"/>
  <c r="M6" i="6" a="1"/>
  <c r="BN81" i="3"/>
  <c r="BB71" i="3"/>
  <c r="BB95" i="3"/>
  <c r="EN9" i="4" a="1"/>
  <c r="AZ39" i="3"/>
  <c r="AT42" i="3"/>
  <c r="FR9" i="4" a="1"/>
  <c r="FI5" i="4" a="1"/>
  <c r="HB16" i="4" a="1"/>
  <c r="BN65" i="3"/>
  <c r="AW12" i="3"/>
  <c r="P6" i="6" a="1"/>
  <c r="AF31" i="3"/>
  <c r="AT14" i="3"/>
  <c r="AZ16" i="3"/>
  <c r="EP15" i="4" a="1"/>
  <c r="AW21" i="3"/>
  <c r="AW9" i="3"/>
  <c r="AZ37" i="3"/>
  <c r="AY11" i="3"/>
  <c r="AS8" i="3"/>
  <c r="AW13" i="3"/>
  <c r="AF18" i="3"/>
  <c r="EV14" i="4" a="1"/>
  <c r="AS18" i="3"/>
  <c r="AS31" i="3"/>
  <c r="BB57" i="3"/>
  <c r="GQ6" i="4" a="1"/>
  <c r="BC6" i="3"/>
  <c r="BQ88" i="3"/>
  <c r="EZ11" i="4" a="1"/>
  <c r="GA12" i="4" a="1"/>
  <c r="GA9" i="4" a="1"/>
  <c r="GG15" i="4" a="1"/>
  <c r="GN15" i="4" a="1"/>
  <c r="GX7" i="4" a="1"/>
  <c r="FS11" i="4" a="1"/>
  <c r="HG15" i="4" a="1"/>
  <c r="BE49" i="3"/>
  <c r="FI15" i="4" a="1"/>
  <c r="BP69" i="3"/>
  <c r="FY15" i="4" a="1"/>
  <c r="FS14" i="4" a="1"/>
  <c r="EX12" i="4" a="1"/>
  <c r="BV83" i="3"/>
  <c r="GG8" i="4" a="1"/>
  <c r="GU12" i="4" a="1"/>
  <c r="FS15" i="4" a="1"/>
  <c r="BT62" i="3"/>
  <c r="BP95" i="3"/>
  <c r="GG12" i="4" a="1"/>
  <c r="GN11" i="4" a="1"/>
  <c r="BQ82" i="3"/>
  <c r="BT76" i="3"/>
  <c r="GN8" i="4" a="1"/>
  <c r="AT10" i="3"/>
  <c r="T6" i="6" a="1"/>
  <c r="AZ35" i="3"/>
  <c r="BQ62" i="3"/>
  <c r="AU30" i="3"/>
  <c r="AX40" i="3"/>
  <c r="AF8" i="3"/>
  <c r="AS37" i="3"/>
  <c r="C5" i="3"/>
  <c r="EL16" i="4" a="1"/>
  <c r="AQ6" i="6" a="1"/>
  <c r="AF40" i="3"/>
  <c r="EM8" i="4" a="1"/>
  <c r="AF36" i="3"/>
  <c r="AS30" i="3"/>
  <c r="AW14" i="3"/>
  <c r="AV38" i="3"/>
  <c r="ET11" i="4" a="1"/>
  <c r="AF38" i="3"/>
  <c r="AZ22" i="3"/>
  <c r="Z5" i="6" a="1"/>
  <c r="EU7" i="4" a="1"/>
  <c r="AF24" i="3"/>
  <c r="AS38" i="3"/>
  <c r="EN12" i="4" a="1"/>
  <c r="AX8" i="3"/>
  <c r="AU46" i="3"/>
  <c r="AV46" i="3"/>
  <c r="AT34" i="3"/>
  <c r="AY15" i="3"/>
  <c r="AY17" i="3"/>
  <c r="EU5" i="4" a="1"/>
  <c r="V6" i="6" a="1"/>
  <c r="EU16" i="4" a="1"/>
  <c r="AX42" i="3"/>
  <c r="AW33" i="3"/>
  <c r="AT31" i="3"/>
  <c r="AX27" i="3"/>
  <c r="AW20" i="3"/>
  <c r="AV19" i="3"/>
  <c r="AY33" i="3"/>
  <c r="ES6" i="4" a="1"/>
  <c r="AZ9" i="3"/>
  <c r="AS28" i="3"/>
  <c r="AU39" i="3"/>
  <c r="AU40" i="3"/>
  <c r="EW8" i="4" a="1"/>
  <c r="EM11" i="4" a="1"/>
  <c r="AO5" i="6" a="1"/>
  <c r="AV20" i="3"/>
  <c r="I5" i="6" a="1"/>
  <c r="AX15" i="3"/>
  <c r="BT49" i="3"/>
  <c r="BD54" i="3"/>
  <c r="BC45" i="3"/>
  <c r="HF14" i="4" a="1"/>
  <c r="FK5" i="4" a="1"/>
  <c r="BC46" i="3"/>
  <c r="AS14" i="3"/>
  <c r="EO8" i="4" a="1"/>
  <c r="ET13" i="4" a="1"/>
  <c r="AW31" i="3"/>
  <c r="AX13" i="3"/>
  <c r="AP6" i="6" a="1"/>
  <c r="AY27" i="3"/>
  <c r="AF5" i="3"/>
  <c r="AM6" i="6" a="1"/>
  <c r="AU42" i="3"/>
  <c r="U5" i="6" a="1"/>
  <c r="AC5" i="6" a="1"/>
  <c r="AF10" i="3"/>
  <c r="AY13" i="3"/>
  <c r="BD73" i="3"/>
  <c r="FM12" i="4" a="1"/>
  <c r="BH55" i="3"/>
  <c r="FU16" i="4" a="1"/>
  <c r="BN76" i="3"/>
  <c r="GS5" i="4" a="1"/>
  <c r="GH13" i="4" a="1"/>
  <c r="HH9" i="4" a="1"/>
  <c r="FY6" i="4" a="1"/>
  <c r="BN83" i="3"/>
  <c r="HA9" i="4" a="1"/>
  <c r="BM69" i="3"/>
  <c r="FI16" i="4" a="1"/>
  <c r="HC11" i="4" a="1"/>
  <c r="GB15" i="4" a="1"/>
  <c r="FX14" i="4" a="1"/>
  <c r="GR5" i="4" a="1"/>
  <c r="GB14" i="4" a="1"/>
  <c r="BV97" i="3"/>
  <c r="GH9" i="4" a="1"/>
  <c r="BT83" i="3"/>
  <c r="BH84" i="3"/>
  <c r="BE47" i="3"/>
  <c r="AY46" i="3"/>
  <c r="AX37" i="3"/>
  <c r="AS19" i="3"/>
  <c r="AU41" i="3"/>
  <c r="EQ12" i="4" a="1"/>
  <c r="EV8" i="4" a="1"/>
  <c r="AU32" i="3"/>
  <c r="G5" i="6" a="1"/>
  <c r="ER11" i="4" a="1"/>
  <c r="AY18" i="3"/>
  <c r="AX9" i="3"/>
  <c r="AX35" i="3"/>
  <c r="AS39" i="3"/>
  <c r="AS42" i="3"/>
  <c r="AY16" i="3"/>
  <c r="AU35" i="3"/>
  <c r="AX38" i="3"/>
  <c r="EW5" i="4" a="1"/>
  <c r="AX18" i="3"/>
  <c r="EL6" i="4" a="1"/>
  <c r="AF46" i="3"/>
  <c r="EL9" i="4" a="1"/>
  <c r="AZ36" i="3"/>
  <c r="AY9" i="3"/>
  <c r="AT13" i="3"/>
  <c r="AF13" i="3"/>
  <c r="AS11" i="3"/>
  <c r="AY39" i="3"/>
  <c r="T5" i="6" a="1"/>
  <c r="AY37" i="3"/>
  <c r="K5" i="6" a="1"/>
  <c r="K6" i="6" a="1"/>
  <c r="AS6" i="6" a="1"/>
  <c r="AV33" i="3"/>
  <c r="AW16" i="3"/>
  <c r="AV22" i="3"/>
  <c r="AV25" i="3"/>
  <c r="EV15" i="4" a="1"/>
  <c r="P5" i="6" a="1"/>
  <c r="AS21" i="3"/>
  <c r="AS36" i="3"/>
  <c r="EP7" i="4" a="1"/>
  <c r="L5" i="6" a="1"/>
  <c r="EL12" i="4" a="1"/>
  <c r="EV12" i="4" a="1"/>
  <c r="AV24" i="3"/>
  <c r="AU19" i="3"/>
  <c r="AU34" i="3"/>
  <c r="AB5" i="6" a="1"/>
  <c r="AR7" i="3"/>
  <c r="EW13" i="4" a="1"/>
  <c r="AF41" i="3"/>
  <c r="EQ7" i="4" a="1"/>
  <c r="AG6" i="6" a="1"/>
  <c r="EM13" i="4" a="1"/>
  <c r="AZ7" i="3"/>
  <c r="AX19" i="3"/>
  <c r="EQ14" i="4" a="1"/>
  <c r="AS25" i="3"/>
  <c r="Z6" i="6" a="1"/>
  <c r="AX11" i="3"/>
  <c r="AT12" i="3"/>
  <c r="AT25" i="3"/>
  <c r="EU9" i="4" a="1"/>
  <c r="AT30" i="3"/>
  <c r="AF12" i="3"/>
  <c r="AF26" i="3"/>
  <c r="AF16" i="3"/>
  <c r="AL5" i="6" a="1"/>
  <c r="EO15" i="4" a="1"/>
  <c r="AR6" i="3"/>
  <c r="AX41" i="3"/>
  <c r="BL97" i="3"/>
  <c r="BN78" i="3"/>
  <c r="BB89" i="3"/>
  <c r="BB59" i="3"/>
  <c r="EV5" i="4" a="1"/>
  <c r="BV89" i="3"/>
  <c r="GY5" i="4" a="1"/>
  <c r="HF6" i="4" a="1"/>
  <c r="BH92" i="3"/>
  <c r="EP9" i="4" a="1"/>
  <c r="AA5" i="6" a="1"/>
  <c r="AF33" i="3"/>
  <c r="EL8" i="4" a="1"/>
  <c r="AZ11" i="3"/>
  <c r="AF15" i="3"/>
  <c r="AX45" i="3"/>
  <c r="AV9" i="3"/>
  <c r="AW6" i="6" a="1"/>
  <c r="EV16" i="4" a="1"/>
  <c r="ET12" i="4" a="1"/>
  <c r="AV18" i="3"/>
  <c r="AU38" i="3"/>
  <c r="AS5" i="6" a="1"/>
  <c r="BN91" i="3"/>
  <c r="GU11" i="4" a="1"/>
  <c r="FJ13" i="4" a="1"/>
  <c r="FM14" i="4" a="1"/>
  <c r="BM89" i="3"/>
  <c r="BP91" i="3"/>
  <c r="AA60" i="2"/>
  <c r="FK14" i="4" a="1"/>
  <c r="FU14" i="4" a="1"/>
  <c r="GU8" i="4" a="1"/>
  <c r="FJ6" i="4" a="1"/>
  <c r="GZ11" i="4" a="1"/>
  <c r="FN5" i="4" a="1"/>
  <c r="FX16" i="4" a="1"/>
  <c r="BE58" i="3"/>
  <c r="GL7" i="4" a="1"/>
  <c r="BT89" i="3"/>
  <c r="GE12" i="4" a="1"/>
  <c r="FL8" i="4" a="1"/>
  <c r="GH5" i="4" a="1"/>
  <c r="GP6" i="4" a="1"/>
  <c r="GL14" i="4" a="1"/>
  <c r="BN55" i="3"/>
  <c r="GC7" i="4" a="1"/>
  <c r="AK5" i="6" a="1"/>
  <c r="AZ13" i="3"/>
  <c r="AY36" i="3"/>
  <c r="AS24" i="3"/>
  <c r="ES16" i="4" a="1"/>
  <c r="AF42" i="3"/>
  <c r="AU31" i="3"/>
  <c r="ET6" i="4" a="1"/>
  <c r="AY30" i="3"/>
  <c r="AT21" i="3"/>
  <c r="AZ46" i="3"/>
  <c r="AT5" i="6" a="1"/>
  <c r="AY32" i="3"/>
  <c r="ES11" i="4" a="1"/>
  <c r="AW34" i="3"/>
  <c r="AT18" i="3"/>
  <c r="F45" i="3"/>
  <c r="AU25" i="3"/>
  <c r="D5" i="6" a="1"/>
  <c r="AX12" i="3"/>
  <c r="AA6" i="6" a="1"/>
  <c r="AB6" i="6" a="1"/>
  <c r="AU7" i="3"/>
  <c r="AD5" i="6" a="1"/>
  <c r="AT37" i="3"/>
  <c r="EM15" i="4" a="1"/>
  <c r="V5" i="6" a="1"/>
  <c r="AT26" i="3"/>
  <c r="AU10" i="3"/>
  <c r="EN7" i="4" a="1"/>
  <c r="AS6" i="3"/>
  <c r="AX33" i="3"/>
  <c r="AW26" i="3"/>
  <c r="EO13" i="4" a="1"/>
  <c r="EN14" i="4" a="1"/>
  <c r="AF14" i="3"/>
  <c r="AZ31" i="3"/>
  <c r="ER12" i="4" a="1"/>
  <c r="AS17" i="3"/>
  <c r="EW16" i="4" a="1"/>
  <c r="AV41" i="3"/>
  <c r="AV8" i="3"/>
  <c r="AZ26" i="3"/>
  <c r="AN6" i="6" a="1"/>
  <c r="F46" i="3"/>
  <c r="AU11" i="3"/>
  <c r="AU5" i="3"/>
  <c r="AW39" i="3"/>
  <c r="AP7" i="3"/>
  <c r="AF22" i="3"/>
  <c r="AS46" i="3"/>
  <c r="AY28" i="3"/>
  <c r="AZ6" i="3"/>
  <c r="AJ6" i="6" a="1"/>
  <c r="Y5" i="6" a="1"/>
  <c r="AU26" i="3"/>
  <c r="AV28" i="3"/>
  <c r="F5" i="6" a="1"/>
  <c r="D6" i="6" a="1"/>
  <c r="AR6" i="6" a="1"/>
  <c r="AX6" i="6" a="1"/>
  <c r="AL6" i="6" a="1"/>
  <c r="AW35" i="3"/>
  <c r="EV6" i="4" a="1"/>
  <c r="AO6" i="6" a="1"/>
  <c r="AT9" i="3"/>
  <c r="AW6" i="3"/>
  <c r="AZ19" i="3"/>
  <c r="AS9" i="3"/>
  <c r="AU9" i="3"/>
  <c r="AF6" i="3"/>
  <c r="AK6" i="6" a="1"/>
  <c r="BN56" i="3"/>
  <c r="BB60" i="3"/>
  <c r="BB72" i="3"/>
  <c r="AW22" i="3"/>
  <c r="AU13" i="3"/>
  <c r="EP5" i="4" a="1"/>
  <c r="AU21" i="3"/>
  <c r="EW15" i="4" a="1"/>
  <c r="AX5" i="6" a="1"/>
  <c r="EO9" i="4" a="1"/>
  <c r="AY34" i="3"/>
  <c r="AE6" i="6" a="1"/>
  <c r="AF39" i="3"/>
  <c r="AZ8" i="3"/>
  <c r="AY45" i="3"/>
  <c r="M5" i="6" a="1"/>
  <c r="U6" i="6" a="1"/>
  <c r="EM16" i="4" a="1"/>
  <c r="AR5" i="3"/>
  <c r="AP6" i="3"/>
  <c r="E5" i="6" a="1"/>
  <c r="EM9" i="4" a="1"/>
  <c r="AZ5" i="3"/>
  <c r="AV5" i="3"/>
  <c r="EL7" i="4" a="1"/>
  <c r="EO12" i="4" a="1"/>
  <c r="BN97" i="3"/>
  <c r="BB69" i="3"/>
  <c r="BB55" i="3"/>
  <c r="BD75" i="3"/>
  <c r="EP12" i="4" a="1"/>
  <c r="AT6" i="3"/>
  <c r="AF9" i="3"/>
  <c r="G6" i="6" a="1"/>
  <c r="ES8" i="4" a="1"/>
  <c r="AU45" i="3"/>
  <c r="BB97" i="3"/>
  <c r="AX21" i="3"/>
  <c r="AZ23" i="3"/>
  <c r="AH6" i="6" a="1"/>
  <c r="ET8" i="4" a="1"/>
  <c r="AU28" i="3"/>
  <c r="AX29" i="3"/>
  <c r="AX46" i="3"/>
  <c r="AU33" i="3"/>
  <c r="AF19" i="3"/>
  <c r="AF28" i="3"/>
  <c r="W6" i="6" a="1"/>
  <c r="EM7" i="4" a="1"/>
  <c r="AY5" i="3"/>
  <c r="Y6" i="6" a="1"/>
  <c r="BB85" i="3"/>
  <c r="BV66" i="3"/>
  <c r="FX8" i="4" a="1"/>
  <c r="GY12" i="4" a="1"/>
  <c r="AS40" i="3"/>
  <c r="AT32" i="3"/>
  <c r="AV17" i="3"/>
  <c r="AT39" i="3"/>
  <c r="ET7" i="4" a="1"/>
  <c r="AS26" i="3"/>
  <c r="AT45" i="3"/>
  <c r="EP16" i="4" a="1"/>
  <c r="AT46" i="3"/>
  <c r="AF34" i="3"/>
  <c r="AT20" i="3"/>
  <c r="AY41" i="3"/>
  <c r="ET9" i="4" a="1"/>
  <c r="AT11" i="3"/>
  <c r="EU12" i="4" a="1"/>
  <c r="GM6" i="4" a="1"/>
  <c r="BE89" i="3"/>
  <c r="GQ13" i="4" a="1"/>
  <c r="BV93" i="3"/>
  <c r="BH83" i="3"/>
  <c r="BH71" i="3"/>
  <c r="GL15" i="4" a="1"/>
  <c r="GN13" i="4" a="1"/>
  <c r="FP9" i="4" a="1"/>
  <c r="FM15" i="4" a="1"/>
  <c r="GU15" i="4" a="1"/>
  <c r="FE13" i="4" a="1"/>
  <c r="FG16" i="4" a="1"/>
  <c r="BP68" i="3"/>
  <c r="GJ9" i="4" a="1"/>
  <c r="GG9" i="4" a="1"/>
  <c r="FN7" i="4" a="1"/>
  <c r="GT14" i="4" a="1"/>
  <c r="FN13" i="4" a="1"/>
  <c r="FL14" i="4" a="1"/>
  <c r="FP5" i="4" a="1"/>
  <c r="HF12" i="4" a="1"/>
  <c r="FS16" i="4" a="1"/>
  <c r="HC16" i="4" a="1"/>
  <c r="FP13" i="4" a="1"/>
  <c r="FQ12" i="4" a="1"/>
  <c r="GO8" i="4" a="1"/>
  <c r="GH12" i="4" a="1"/>
  <c r="AX22" i="3"/>
  <c r="EU11" i="4" a="1"/>
  <c r="AU6" i="3"/>
  <c r="AF6" i="6" a="1"/>
  <c r="AX26" i="3"/>
  <c r="AZ17" i="3"/>
  <c r="EP8" i="4" a="1"/>
  <c r="AX34" i="3"/>
  <c r="AY23" i="3"/>
  <c r="Q5" i="6" a="1"/>
  <c r="AY42" i="3"/>
  <c r="AS22" i="3"/>
  <c r="AG5" i="6" a="1"/>
  <c r="AZ20" i="3"/>
  <c r="ES12" i="4" a="1"/>
  <c r="AZ38" i="3"/>
  <c r="AU6" i="6" a="1"/>
  <c r="AI6" i="6" a="1"/>
  <c r="EQ6" i="4" a="1"/>
  <c r="AY31" i="3"/>
  <c r="AZ27" i="3"/>
  <c r="AZ25" i="3"/>
  <c r="EN15" i="4" a="1"/>
  <c r="AX14" i="3"/>
  <c r="AX17" i="3"/>
  <c r="EL11" i="4" a="1"/>
  <c r="AU20" i="3"/>
  <c r="EP11" i="4" a="1"/>
  <c r="AJ5" i="6" a="1"/>
  <c r="EO6" i="4" a="1"/>
  <c r="AS13" i="3"/>
  <c r="AX28" i="3"/>
  <c r="EQ13" i="4" a="1"/>
  <c r="AF7" i="3"/>
  <c r="BV48" i="3"/>
  <c r="AV32" i="3"/>
  <c r="AW46" i="3"/>
  <c r="ET14" i="4" a="1"/>
  <c r="AX25" i="3"/>
  <c r="EN13" i="4" a="1"/>
  <c r="AW36" i="3"/>
  <c r="AT38" i="3"/>
  <c r="X5" i="6" a="1"/>
  <c r="AT8" i="3"/>
  <c r="AC6" i="6" a="1"/>
  <c r="AQ5" i="6" a="1"/>
  <c r="AZ24" i="3"/>
  <c r="AF30" i="3"/>
  <c r="EU14" i="4" a="1"/>
  <c r="AW32" i="3"/>
  <c r="EP13" i="4" a="1"/>
  <c r="AP5" i="6" a="1"/>
  <c r="EO16" i="4" a="1"/>
  <c r="AT40" i="3"/>
  <c r="O5" i="6" a="1"/>
  <c r="AV29" i="3"/>
  <c r="AN5" i="6" a="1"/>
  <c r="BD48" i="3"/>
  <c r="AW37" i="3"/>
  <c r="EL15" i="4" a="1"/>
  <c r="H5" i="6" a="1"/>
  <c r="C5" i="4" a="1"/>
  <c r="AW42" i="3"/>
  <c r="AT29" i="3"/>
  <c r="AU5" i="6" a="1"/>
  <c r="AF45" i="3"/>
  <c r="AX30" i="3"/>
  <c r="AS32" i="3"/>
  <c r="AT22" i="3"/>
  <c r="BB77" i="3"/>
  <c r="BD55" i="3"/>
  <c r="BV74" i="3"/>
  <c r="HE15" i="4" a="1"/>
  <c r="O6" i="6" a="1"/>
  <c r="Z5" i="2"/>
  <c r="GI12" i="4" a="1"/>
  <c r="GV6" i="4" a="1"/>
  <c r="GS14" i="4" a="1"/>
  <c r="BH79" i="3"/>
  <c r="FN15" i="4" a="1"/>
  <c r="BN50" i="3"/>
  <c r="FX15" i="4" a="1"/>
  <c r="FQ7" i="4" a="1"/>
  <c r="GS16" i="4" a="1"/>
  <c r="HB9" i="4" a="1"/>
  <c r="HE8" i="4" a="1"/>
  <c r="BB64" i="3"/>
  <c r="GT5" i="4" a="1"/>
  <c r="GN16" i="4" a="1"/>
  <c r="BU84" i="3"/>
  <c r="GZ6" i="4" a="1"/>
  <c r="HE14" i="4" a="1"/>
  <c r="HE7" i="4" a="1"/>
  <c r="FX9" i="4" a="1"/>
  <c r="BT96" i="3"/>
  <c r="BV63" i="3"/>
  <c r="BL70" i="3"/>
  <c r="HH5" i="4" a="1"/>
  <c r="BA38" i="3"/>
  <c r="FH6" i="4" a="1"/>
  <c r="BO57" i="3"/>
  <c r="FZ14" i="4" a="1"/>
  <c r="AV5" i="6" a="1"/>
  <c r="AV39" i="3"/>
  <c r="EU13" i="4" a="1"/>
  <c r="AW8" i="3"/>
  <c r="AY21" i="3"/>
  <c r="AZ15" i="3"/>
  <c r="AW19" i="3"/>
  <c r="AX20" i="3"/>
  <c r="AZ18" i="3"/>
  <c r="AV27" i="3"/>
  <c r="R6" i="6" a="1"/>
  <c r="EL13" i="4" a="1"/>
  <c r="AD6" i="6" a="1"/>
  <c r="AB5" i="3"/>
  <c r="W5" i="6" a="1"/>
  <c r="AZ41" i="3"/>
  <c r="AS5" i="3"/>
  <c r="AY35" i="3"/>
  <c r="AZ42" i="3"/>
  <c r="EW6" i="4" a="1"/>
  <c r="AV31" i="3"/>
  <c r="AM5" i="6" a="1"/>
  <c r="AY26" i="3"/>
  <c r="EM12" i="4" a="1"/>
  <c r="AW24" i="3"/>
  <c r="AV14" i="3"/>
  <c r="ET5" i="4" a="1"/>
  <c r="AX32" i="3"/>
  <c r="AT24" i="3"/>
  <c r="AU16" i="3"/>
  <c r="EP14" i="4" a="1"/>
  <c r="AT6" i="6" a="1"/>
  <c r="AT5" i="3"/>
  <c r="EO5" i="4" a="1"/>
  <c r="AS12" i="3"/>
  <c r="H6" i="6" a="1"/>
  <c r="EQ16" i="4" a="1"/>
  <c r="AI5" i="6" a="1"/>
  <c r="AY24" i="3"/>
  <c r="N6" i="6" a="1"/>
  <c r="EW7" i="4" a="1"/>
  <c r="AV16" i="3"/>
  <c r="AF29" i="3"/>
  <c r="AY38" i="3"/>
  <c r="AT35" i="3"/>
  <c r="AW38" i="3"/>
  <c r="AU12" i="3"/>
  <c r="AX5" i="3"/>
  <c r="EV7" i="4" a="1"/>
  <c r="AT15" i="3"/>
  <c r="AT23" i="3"/>
  <c r="AY5" i="6" a="1"/>
  <c r="ER9" i="4" a="1"/>
  <c r="AW45" i="3"/>
  <c r="AV7" i="3"/>
  <c r="C6" i="4" a="1"/>
  <c r="AF23" i="3"/>
  <c r="AT36" i="3"/>
  <c r="ET15" i="4" a="1"/>
  <c r="BN94" i="3"/>
  <c r="AY25" i="3"/>
  <c r="AV12" i="3"/>
  <c r="AX10" i="3"/>
  <c r="AV42" i="3"/>
  <c r="AX24" i="3"/>
  <c r="J5" i="6" a="1"/>
  <c r="AS16" i="3"/>
  <c r="AX31" i="3"/>
  <c r="BB65" i="3"/>
  <c r="HE5" i="4" a="1"/>
  <c r="GA8" i="4" a="1"/>
  <c r="EM14" i="4" a="1"/>
  <c r="BT47" i="3"/>
  <c r="GC13" i="4" a="1"/>
  <c r="GE15" i="4" a="1"/>
  <c r="GO12" i="4" a="1"/>
  <c r="GW13" i="4" a="1"/>
  <c r="GC5" i="4" a="1"/>
  <c r="HE11" i="4" a="1"/>
  <c r="BH89" i="3"/>
  <c r="GZ13" i="4" a="1"/>
  <c r="BD17" i="3"/>
  <c r="FS13" i="4" a="1"/>
  <c r="Y113" i="2"/>
  <c r="BT70" i="3"/>
  <c r="BQ58" i="3"/>
  <c r="FO15" i="4" a="1"/>
  <c r="BM64" i="3"/>
  <c r="FT7" i="4" a="1"/>
  <c r="GT16" i="4" a="1"/>
  <c r="HC15" i="4" a="1"/>
  <c r="FL7" i="4" a="1"/>
  <c r="HG9" i="4" a="1"/>
  <c r="HA5" i="4" a="1"/>
  <c r="GD15" i="4" a="1"/>
  <c r="GU16" i="4" a="1"/>
  <c r="FY13" i="4" a="1"/>
  <c r="GP15" i="4" a="1"/>
  <c r="BQ66" i="3"/>
  <c r="BT58" i="3"/>
  <c r="BN60" i="3"/>
  <c r="AX36" i="3"/>
  <c r="AV30" i="3"/>
  <c r="EW11" i="4" a="1"/>
  <c r="AS27" i="3"/>
  <c r="AX39" i="3"/>
  <c r="ES5" i="4" a="1"/>
  <c r="AZ21" i="3"/>
  <c r="AU29" i="3"/>
  <c r="ER6" i="4" a="1"/>
  <c r="AZ34" i="3"/>
  <c r="AU15" i="3"/>
  <c r="ES13" i="4" a="1"/>
  <c r="AV13" i="3"/>
  <c r="EN8" i="4" a="1"/>
  <c r="AV35" i="3"/>
  <c r="AV6" i="3"/>
  <c r="EO14" i="4" a="1"/>
  <c r="AY8" i="3"/>
  <c r="AX23" i="3"/>
  <c r="AX16" i="3"/>
  <c r="AF32" i="3"/>
  <c r="ER16" i="4" a="1"/>
  <c r="EQ15" i="4" a="1"/>
  <c r="ER5" i="4" a="1"/>
  <c r="AR5" i="6" a="1"/>
  <c r="AW7" i="3"/>
  <c r="AS29" i="3"/>
  <c r="AZ45" i="3"/>
  <c r="E6" i="6" a="1"/>
  <c r="BE85" i="3"/>
  <c r="AW30" i="3"/>
  <c r="EQ5" i="4" a="1"/>
  <c r="EP6" i="4" a="1"/>
  <c r="AU23" i="3"/>
  <c r="GC16" i="4" a="1"/>
  <c r="BM57" i="3"/>
  <c r="GK15" i="4" a="1"/>
  <c r="BO83" i="3"/>
  <c r="BD67" i="3"/>
  <c r="EM6" i="4" a="1"/>
  <c r="AW28" i="3"/>
  <c r="AF5" i="6" a="1"/>
  <c r="AY14" i="3"/>
  <c r="AT28" i="3"/>
  <c r="AT16" i="3"/>
  <c r="AF20" i="3"/>
  <c r="EO11" i="4" a="1"/>
  <c r="X6" i="6" a="1"/>
  <c r="AS23" i="3"/>
  <c r="EU15" i="4" a="1"/>
  <c r="BB96" i="3"/>
  <c r="C85" i="3"/>
  <c r="C63" i="3"/>
  <c r="AU68" i="3"/>
  <c r="AS91" i="3"/>
  <c r="AS84" i="3"/>
  <c r="AT93" i="3"/>
  <c r="AY94" i="3"/>
  <c r="AZ77" i="3"/>
  <c r="AU47" i="3"/>
  <c r="AY73" i="3"/>
  <c r="C69" i="3"/>
  <c r="AW73" i="3"/>
  <c r="AX79" i="3"/>
  <c r="AW79" i="3"/>
  <c r="AY74" i="3"/>
  <c r="AT89" i="3"/>
  <c r="AT67" i="3"/>
  <c r="AZ72" i="3"/>
  <c r="AX92" i="3"/>
  <c r="AS75" i="3"/>
  <c r="AU56" i="3"/>
  <c r="AS73" i="3"/>
  <c r="AS85" i="3"/>
  <c r="AZ68" i="3"/>
  <c r="AT82" i="3"/>
  <c r="AZ62" i="3"/>
  <c r="AU78" i="3"/>
  <c r="C57" i="3"/>
  <c r="AW60" i="3"/>
  <c r="AS71" i="3"/>
  <c r="C58" i="3"/>
  <c r="AS60" i="3"/>
  <c r="AU49" i="3"/>
  <c r="AZ96" i="3"/>
  <c r="AZ86" i="3"/>
  <c r="AU88" i="3"/>
  <c r="AS62" i="3"/>
  <c r="C72" i="3"/>
  <c r="AT96" i="3"/>
  <c r="AT54" i="3"/>
  <c r="AZ69" i="3"/>
  <c r="AT75" i="3"/>
  <c r="AT78" i="3"/>
  <c r="AX68" i="3"/>
  <c r="AS95" i="3"/>
  <c r="C50" i="3"/>
  <c r="AU87" i="3"/>
  <c r="AY97" i="3"/>
  <c r="AZ93" i="3"/>
  <c r="AS66" i="3"/>
  <c r="AY55" i="3"/>
  <c r="C60" i="3"/>
  <c r="AX58" i="3"/>
  <c r="C74" i="3"/>
  <c r="AX47" i="3"/>
  <c r="AZ75" i="3"/>
  <c r="AU66" i="3"/>
  <c r="AW58" i="3"/>
  <c r="AT71" i="3"/>
  <c r="AU55" i="3"/>
  <c r="AU58" i="3"/>
  <c r="AU85" i="3"/>
  <c r="AT57" i="3"/>
  <c r="AS77" i="3"/>
  <c r="AS90" i="3"/>
  <c r="AY80" i="3"/>
  <c r="AW49" i="3"/>
  <c r="C80" i="3"/>
  <c r="AT58" i="3"/>
  <c r="AU61" i="3"/>
  <c r="AW92" i="3"/>
  <c r="AS48" i="3"/>
  <c r="AT55" i="3"/>
  <c r="AY90" i="3"/>
  <c r="AW80" i="3"/>
  <c r="AX83" i="3"/>
  <c r="AT74" i="3"/>
  <c r="AX87" i="3"/>
  <c r="AZ81" i="3"/>
  <c r="AW63" i="3"/>
  <c r="AW54" i="3"/>
  <c r="AZ57" i="3"/>
  <c r="AU75" i="3"/>
  <c r="AY96" i="3"/>
  <c r="AY75" i="3"/>
  <c r="AY59" i="3"/>
  <c r="C61" i="3"/>
  <c r="AW81" i="3"/>
  <c r="AY72" i="3"/>
  <c r="AS82" i="3"/>
  <c r="AT97" i="3"/>
  <c r="AY85" i="3"/>
  <c r="AX81" i="3"/>
  <c r="AY71" i="3"/>
  <c r="C91" i="3"/>
  <c r="AZ71" i="3"/>
  <c r="AS89" i="3"/>
  <c r="AX54" i="3"/>
  <c r="AW88" i="3"/>
  <c r="AW84" i="3"/>
  <c r="AU80" i="3"/>
  <c r="AY61" i="3"/>
  <c r="AX61" i="3"/>
  <c r="AZ82" i="3"/>
  <c r="AW87" i="3"/>
  <c r="AZ89" i="3"/>
  <c r="AX71" i="3"/>
  <c r="AZ90" i="3"/>
  <c r="C75" i="3"/>
  <c r="AU94" i="3"/>
  <c r="AS57" i="3"/>
  <c r="AU67" i="3"/>
  <c r="C79" i="3"/>
  <c r="C65" i="3"/>
  <c r="AS79" i="3"/>
  <c r="AT81" i="3"/>
  <c r="AW66" i="3"/>
  <c r="AZ60" i="3"/>
  <c r="AS72" i="3"/>
  <c r="AY78" i="3"/>
  <c r="AX50" i="3"/>
  <c r="AW70" i="3"/>
  <c r="AU72" i="3"/>
  <c r="AX48" i="3"/>
  <c r="C90" i="3"/>
  <c r="AW95" i="3"/>
  <c r="AX85" i="3"/>
  <c r="AU63" i="3"/>
  <c r="AX82" i="3"/>
  <c r="AY81" i="3"/>
  <c r="AT85" i="3"/>
  <c r="AU86" i="3"/>
  <c r="AX95" i="3"/>
  <c r="AW61" i="3"/>
  <c r="AZ54" i="3"/>
  <c r="AW77" i="3"/>
  <c r="AT83" i="3"/>
  <c r="AU69" i="3"/>
  <c r="AS61" i="3"/>
  <c r="AX49" i="3"/>
  <c r="AY63" i="3"/>
  <c r="AX67" i="3"/>
  <c r="AW78" i="3"/>
  <c r="AS88" i="3"/>
  <c r="AW65" i="3"/>
  <c r="AY88" i="3"/>
  <c r="AS94" i="3"/>
  <c r="AX86" i="3"/>
  <c r="AW68" i="3"/>
  <c r="AU59" i="3"/>
  <c r="AU91" i="3"/>
  <c r="AX70" i="3"/>
  <c r="AX62" i="3"/>
  <c r="AY68" i="3"/>
  <c r="AZ87" i="3"/>
  <c r="AZ88" i="3"/>
  <c r="AW90" i="3"/>
  <c r="AW59" i="3"/>
  <c r="AZ83" i="3"/>
  <c r="AS65" i="3"/>
  <c r="AS86" i="3"/>
  <c r="AS76" i="3"/>
  <c r="C64" i="3"/>
  <c r="AY49" i="3"/>
  <c r="AX64" i="3"/>
  <c r="C83" i="3"/>
  <c r="AT76" i="3"/>
  <c r="AW82" i="3"/>
  <c r="AT56" i="3"/>
  <c r="AY57" i="3"/>
  <c r="AZ76" i="3"/>
  <c r="AS83" i="3"/>
  <c r="AT84" i="3"/>
  <c r="AY82" i="3"/>
  <c r="AZ79" i="3"/>
  <c r="AY54" i="3"/>
  <c r="AU76" i="3"/>
  <c r="AX78" i="3"/>
  <c r="AT48" i="3"/>
  <c r="AY50" i="3"/>
  <c r="AZ56" i="3"/>
  <c r="AW89" i="3"/>
  <c r="C86" i="3"/>
  <c r="AT62" i="3"/>
  <c r="AS87" i="3"/>
  <c r="AW97" i="3"/>
  <c r="C55" i="3"/>
  <c r="C59" i="3"/>
  <c r="AY60" i="3"/>
  <c r="AZ80" i="3"/>
  <c r="AT91" i="3"/>
  <c r="AW75" i="3"/>
  <c r="AX69" i="3"/>
  <c r="AT77" i="3"/>
  <c r="AS93" i="3"/>
  <c r="C97" i="3"/>
  <c r="AT88" i="3"/>
  <c r="AW62" i="3"/>
  <c r="AW64" i="3"/>
  <c r="AW48" i="3"/>
  <c r="AU89" i="3"/>
  <c r="AS56" i="3"/>
  <c r="AW96" i="3"/>
  <c r="AT49" i="3"/>
  <c r="AY67" i="3"/>
  <c r="AX88" i="3"/>
  <c r="AS55" i="3"/>
  <c r="AW50" i="3"/>
  <c r="AX59" i="3"/>
  <c r="AY70" i="3"/>
  <c r="AT63" i="3"/>
  <c r="AT95" i="3"/>
  <c r="AY62" i="3"/>
  <c r="AZ61" i="3"/>
  <c r="AZ91" i="3"/>
  <c r="AZ65" i="3"/>
  <c r="AX96" i="3"/>
  <c r="C84" i="3"/>
  <c r="AY77" i="3"/>
  <c r="AT94" i="3"/>
  <c r="C73" i="3"/>
  <c r="C96" i="3"/>
  <c r="AZ49" i="3"/>
  <c r="AZ95" i="3"/>
  <c r="AY83" i="3"/>
  <c r="AU77" i="3"/>
  <c r="AZ92" i="3"/>
  <c r="AT87" i="3"/>
  <c r="AU57" i="3"/>
  <c r="C93" i="3"/>
  <c r="AZ67" i="3"/>
  <c r="AZ48" i="3"/>
  <c r="AU79" i="3"/>
  <c r="AW57" i="3"/>
  <c r="AZ94" i="3"/>
  <c r="AX89" i="3"/>
  <c r="AT92" i="3"/>
  <c r="AX73" i="3"/>
  <c r="AX63" i="3"/>
  <c r="AT69" i="3"/>
  <c r="AU70" i="3"/>
  <c r="AS96" i="3"/>
  <c r="AT80" i="3"/>
  <c r="AU82" i="3"/>
  <c r="AZ73" i="3"/>
  <c r="C87" i="3"/>
  <c r="AW74" i="3"/>
  <c r="AX76" i="3"/>
  <c r="AZ59" i="3"/>
  <c r="AY65" i="3"/>
  <c r="AW56" i="3"/>
  <c r="AX55" i="3"/>
  <c r="C77" i="3"/>
  <c r="AX57" i="3"/>
  <c r="C82" i="3"/>
  <c r="AZ55" i="3"/>
  <c r="AY86" i="3"/>
  <c r="AX77" i="3"/>
  <c r="AX72" i="3"/>
  <c r="AY87" i="3"/>
  <c r="AS92" i="3"/>
  <c r="AT61" i="3"/>
  <c r="AY93" i="3"/>
  <c r="AX75" i="3"/>
  <c r="AW85" i="3"/>
  <c r="AS54" i="3"/>
  <c r="AU90" i="3"/>
  <c r="AU65" i="3"/>
  <c r="AY79" i="3"/>
  <c r="AX97" i="3"/>
  <c r="AT70" i="3"/>
  <c r="AX93" i="3"/>
  <c r="AS67" i="3"/>
  <c r="C92" i="3"/>
  <c r="C94" i="3"/>
  <c r="AT68" i="3"/>
  <c r="AU74" i="3"/>
  <c r="AS80" i="3"/>
  <c r="AU95" i="3"/>
  <c r="AU73" i="3"/>
  <c r="AT65" i="3"/>
  <c r="AW83" i="3"/>
  <c r="AT59" i="3"/>
  <c r="AS69" i="3"/>
  <c r="C89" i="3"/>
  <c r="AU71" i="3"/>
  <c r="C62" i="3"/>
  <c r="AS50" i="3"/>
  <c r="AX74" i="3"/>
  <c r="C81" i="3"/>
  <c r="AX84" i="3"/>
  <c r="AU54" i="3"/>
  <c r="AU64" i="3"/>
  <c r="C54" i="3"/>
  <c r="AU92" i="3"/>
  <c r="AZ50" i="3"/>
  <c r="AZ74" i="3"/>
  <c r="AT60" i="3"/>
  <c r="AU50" i="3"/>
  <c r="AW94" i="3"/>
  <c r="AZ70" i="3"/>
  <c r="AW55" i="3"/>
  <c r="AZ85" i="3"/>
  <c r="AS59" i="3"/>
  <c r="AU96" i="3"/>
  <c r="AU97" i="3"/>
  <c r="AY69" i="3"/>
  <c r="C67" i="3"/>
  <c r="AZ66" i="3"/>
  <c r="AX80" i="3"/>
  <c r="AY58" i="3"/>
  <c r="AY91" i="3"/>
  <c r="AX91" i="3"/>
  <c r="C66" i="3"/>
  <c r="AY76" i="3"/>
  <c r="AW69" i="3"/>
  <c r="AW93" i="3"/>
  <c r="AW47" i="3"/>
  <c r="AY47" i="3"/>
  <c r="AY92" i="3"/>
  <c r="AT64" i="3"/>
  <c r="AX60" i="3"/>
  <c r="AS68" i="3"/>
  <c r="AT47" i="3"/>
  <c r="C88" i="3"/>
  <c r="AU62" i="3"/>
  <c r="AW67" i="3"/>
  <c r="AZ97" i="3"/>
  <c r="AW72" i="3"/>
  <c r="C76" i="3"/>
  <c r="AY66" i="3"/>
  <c r="AZ78" i="3"/>
  <c r="C68" i="3"/>
  <c r="AZ58" i="3"/>
  <c r="AY48" i="3"/>
  <c r="AS63" i="3"/>
  <c r="C70" i="3"/>
  <c r="AS78" i="3"/>
  <c r="AZ84" i="3"/>
  <c r="AY84" i="3"/>
  <c r="AU93" i="3"/>
  <c r="C71" i="3"/>
  <c r="AU84" i="3"/>
  <c r="AU81" i="3"/>
  <c r="AY89" i="3"/>
  <c r="AZ64" i="3"/>
  <c r="AY64" i="3"/>
  <c r="AU60" i="3"/>
  <c r="BE57" i="3"/>
  <c r="BQ76" i="3"/>
  <c r="BQ90" i="3"/>
  <c r="BH48" i="3"/>
  <c r="BP92" i="3"/>
  <c r="BP66" i="3"/>
  <c r="BL54" i="3"/>
  <c r="BL63" i="3"/>
  <c r="BL75" i="3"/>
  <c r="BL83" i="3"/>
  <c r="BL48" i="3"/>
  <c r="BL92" i="3"/>
  <c r="BL64" i="3"/>
  <c r="BL81" i="3"/>
  <c r="BL88" i="3"/>
  <c r="BL62" i="3"/>
  <c r="BL78" i="3"/>
  <c r="BL87" i="3"/>
  <c r="BL58" i="3"/>
  <c r="BL73" i="3"/>
  <c r="BL68" i="3"/>
  <c r="BL71" i="3"/>
  <c r="BL59" i="3"/>
  <c r="BL74" i="3"/>
  <c r="BL67" i="3"/>
  <c r="BL79" i="3"/>
  <c r="BL69" i="3"/>
  <c r="BL49" i="3"/>
  <c r="BB82" i="3"/>
  <c r="BB86" i="3"/>
  <c r="BB48" i="3"/>
  <c r="BB67" i="3"/>
  <c r="BD91" i="3"/>
  <c r="BD77" i="3"/>
  <c r="BD57" i="3"/>
  <c r="BD93" i="3"/>
  <c r="BD95" i="3"/>
  <c r="BD88" i="3"/>
  <c r="BD72" i="3"/>
  <c r="BD80" i="3"/>
  <c r="BD66" i="3"/>
  <c r="BD65" i="3"/>
  <c r="BD63" i="3"/>
  <c r="BD76" i="3"/>
  <c r="BL65" i="3" l="1"/>
  <c r="BB80" i="3"/>
  <c r="BB62" i="3"/>
  <c r="BD86" i="3"/>
  <c r="BL47" i="3"/>
  <c r="BB75" i="3"/>
  <c r="BD84" i="3"/>
  <c r="BB63" i="3"/>
  <c r="BI78" i="3"/>
  <c r="BO66" i="3"/>
  <c r="BU50" i="3"/>
  <c r="BH76" i="3"/>
  <c r="BM56" i="3"/>
  <c r="BI84" i="3"/>
  <c r="BR74" i="3"/>
  <c r="BM80" i="3"/>
  <c r="BH78" i="3"/>
  <c r="BE88" i="3"/>
  <c r="BG61" i="3"/>
  <c r="BE95" i="3"/>
  <c r="BE55" i="3"/>
  <c r="BH60" i="3"/>
  <c r="BM96" i="3"/>
  <c r="BH61" i="3"/>
  <c r="BG47" i="3"/>
  <c r="BF89" i="3"/>
  <c r="CL163" i="1" s="1"/>
  <c r="BO90" i="3"/>
  <c r="BG64" i="3"/>
  <c r="BT84" i="3"/>
  <c r="BG88" i="3"/>
  <c r="BH65" i="3"/>
  <c r="BO78" i="3"/>
  <c r="BH82" i="3"/>
  <c r="BU83" i="3"/>
  <c r="BO49" i="3"/>
  <c r="BG96" i="3"/>
  <c r="BO67" i="3"/>
  <c r="BH67" i="3"/>
  <c r="BK62" i="3"/>
  <c r="BI56" i="3"/>
  <c r="BE84" i="3"/>
  <c r="BE66" i="3"/>
  <c r="BE73" i="3"/>
  <c r="BM93" i="3"/>
  <c r="BI47" i="3"/>
  <c r="BH95" i="3"/>
  <c r="BI69" i="3"/>
  <c r="BE71" i="3"/>
  <c r="BG80" i="3"/>
  <c r="BI80" i="3"/>
  <c r="BE74" i="3"/>
  <c r="BO87" i="3"/>
  <c r="BS66" i="3"/>
  <c r="BR87" i="3"/>
  <c r="BU78" i="3"/>
  <c r="BF71" i="3"/>
  <c r="BE92" i="3"/>
  <c r="BU73" i="3"/>
  <c r="BS78" i="3"/>
  <c r="BG97" i="3"/>
  <c r="BS59" i="3"/>
  <c r="BU81" i="3"/>
  <c r="BM81" i="3"/>
  <c r="BI76" i="3"/>
  <c r="BM92" i="3"/>
  <c r="BH49" i="3"/>
  <c r="BM47" i="3"/>
  <c r="BT64" i="3"/>
  <c r="BO72" i="3"/>
  <c r="BK68" i="3"/>
  <c r="BU87" i="3"/>
  <c r="BN66" i="3"/>
  <c r="BU89" i="3"/>
  <c r="BE79" i="3"/>
  <c r="BM86" i="3"/>
  <c r="BI92" i="3"/>
  <c r="BT74" i="3"/>
  <c r="BJ60" i="3"/>
  <c r="BG77" i="3"/>
  <c r="BG63" i="3"/>
  <c r="BG60" i="3"/>
  <c r="BF88" i="3"/>
  <c r="CL137" i="1" s="1"/>
  <c r="BU61" i="3"/>
  <c r="BI70" i="3"/>
  <c r="BI54" i="3"/>
  <c r="BU95" i="3"/>
  <c r="BH72" i="3"/>
  <c r="BI79" i="3"/>
  <c r="BT87" i="3"/>
  <c r="BH81" i="3"/>
  <c r="BO64" i="3"/>
  <c r="BU57" i="3"/>
  <c r="BH88" i="3"/>
  <c r="BH94" i="3"/>
  <c r="BK55" i="3"/>
  <c r="BU80" i="3"/>
  <c r="BN84" i="3"/>
  <c r="BG66" i="3"/>
  <c r="BM87" i="3"/>
  <c r="BI95" i="3"/>
  <c r="BF50" i="3"/>
  <c r="CL84" i="1" s="1"/>
  <c r="BE67" i="3"/>
  <c r="BN48" i="3"/>
  <c r="BF94" i="3"/>
  <c r="BT55" i="3"/>
  <c r="BI57" i="3"/>
  <c r="BN88" i="3"/>
  <c r="BJ97" i="3"/>
  <c r="BE86" i="3"/>
  <c r="BI59" i="3"/>
  <c r="BT54" i="3"/>
  <c r="BG86" i="3"/>
  <c r="BJ63" i="3"/>
  <c r="BJ70" i="3"/>
  <c r="BT71" i="3"/>
  <c r="BH70" i="3"/>
  <c r="BT56" i="3"/>
  <c r="BO54" i="3"/>
  <c r="BU93" i="3"/>
  <c r="BT77" i="3"/>
  <c r="BI58" i="3"/>
  <c r="BU64" i="3"/>
  <c r="BN70" i="3"/>
  <c r="BN64" i="3"/>
  <c r="BN95" i="3"/>
  <c r="BU97" i="3"/>
  <c r="BN68" i="3"/>
  <c r="BJ82" i="3"/>
  <c r="BG59" i="3"/>
  <c r="BU72" i="3"/>
  <c r="BT81" i="3"/>
  <c r="BO60" i="3"/>
  <c r="BJ88" i="3"/>
  <c r="BT60" i="3"/>
  <c r="BO96" i="3"/>
  <c r="BG93" i="3"/>
  <c r="BK87" i="3"/>
  <c r="BU94" i="3"/>
  <c r="BK77" i="3"/>
  <c r="BF68" i="3"/>
  <c r="CL144" i="1" s="1"/>
  <c r="BT68" i="3"/>
  <c r="BJ89" i="3"/>
  <c r="BN80" i="3"/>
  <c r="BK71" i="3"/>
  <c r="BF65" i="3"/>
  <c r="CL160" i="1" s="1"/>
  <c r="BN93" i="3"/>
  <c r="BU56" i="3"/>
  <c r="BG83" i="3"/>
  <c r="BH63" i="3"/>
  <c r="BF48" i="3"/>
  <c r="BJ69" i="3"/>
  <c r="BU62" i="3"/>
  <c r="BH74" i="3"/>
  <c r="BM61" i="3"/>
  <c r="BF56" i="3"/>
  <c r="CL127" i="1" s="1"/>
  <c r="BT63" i="3"/>
  <c r="BO93" i="3"/>
  <c r="BK83" i="3"/>
  <c r="BG58" i="3"/>
  <c r="BU63" i="3"/>
  <c r="BN54" i="3"/>
  <c r="BN69" i="3"/>
  <c r="BE91" i="3"/>
  <c r="BN58" i="3"/>
  <c r="BI63" i="3"/>
  <c r="BN72" i="3"/>
  <c r="BI86" i="3"/>
  <c r="BM84" i="3"/>
  <c r="BU92" i="3"/>
  <c r="BM58" i="3"/>
  <c r="BN63" i="3"/>
  <c r="BI48" i="3"/>
  <c r="BJ79" i="3"/>
  <c r="BJ86" i="3"/>
  <c r="BG74" i="3"/>
  <c r="BK75" i="3"/>
  <c r="BU49" i="3"/>
  <c r="BF62" i="3"/>
  <c r="CL134" i="1" s="1"/>
  <c r="BT97" i="3"/>
  <c r="BU54" i="3"/>
  <c r="BT67" i="3"/>
  <c r="BJ91" i="3"/>
  <c r="BN75" i="3"/>
  <c r="BF76" i="3"/>
  <c r="BU59" i="3"/>
  <c r="BH86" i="3"/>
  <c r="BO86" i="3"/>
  <c r="BJ77" i="3"/>
  <c r="BO81" i="3"/>
  <c r="BH87" i="3"/>
  <c r="BJ74" i="3"/>
  <c r="BE69" i="3"/>
  <c r="BM50" i="3"/>
  <c r="BI72" i="3"/>
  <c r="BI82" i="3"/>
  <c r="BT72" i="3"/>
  <c r="BK58" i="3"/>
  <c r="BE93" i="3"/>
  <c r="BE61" i="3"/>
  <c r="BI65" i="3"/>
  <c r="BJ78" i="3"/>
  <c r="BO89" i="3"/>
  <c r="BU70" i="3"/>
  <c r="BK70" i="3"/>
  <c r="BE82" i="3"/>
  <c r="BO84" i="3"/>
  <c r="BM70" i="3"/>
  <c r="BK86" i="3"/>
  <c r="BO56" i="3"/>
  <c r="BF86" i="3"/>
  <c r="BE54" i="3"/>
  <c r="BN86" i="3"/>
  <c r="BN90" i="3"/>
  <c r="BU85" i="3"/>
  <c r="BU76" i="3"/>
  <c r="BT78" i="3"/>
  <c r="BI73" i="3"/>
  <c r="BJ67" i="3"/>
  <c r="BM63" i="3"/>
  <c r="BM49" i="3"/>
  <c r="BF57" i="3"/>
  <c r="CL128" i="1" s="1"/>
  <c r="BO80" i="3"/>
  <c r="BO65" i="3"/>
  <c r="BT86" i="3"/>
  <c r="BJ90" i="3"/>
  <c r="BU71" i="3"/>
  <c r="BF64" i="3"/>
  <c r="CL159" i="1" s="1"/>
  <c r="BK85" i="3"/>
  <c r="BM77" i="3"/>
  <c r="BT79" i="3"/>
  <c r="BJ56" i="3"/>
  <c r="BK56" i="3"/>
  <c r="BN49" i="3"/>
  <c r="BM88" i="3"/>
  <c r="BU91" i="3"/>
  <c r="BT90" i="3"/>
  <c r="BM67" i="3"/>
  <c r="BE77" i="3"/>
  <c r="BH73" i="3"/>
  <c r="BI60" i="3"/>
  <c r="BF58" i="3"/>
  <c r="CL129" i="1" s="1"/>
  <c r="CL130" i="1" s="1"/>
  <c r="BM83" i="3"/>
  <c r="BF49" i="3"/>
  <c r="CL83" i="1" s="1"/>
  <c r="BO91" i="3"/>
  <c r="BI62" i="3"/>
  <c r="BO94" i="3"/>
  <c r="BK73" i="3"/>
  <c r="BU75" i="3"/>
  <c r="BO62" i="3"/>
  <c r="BK47" i="3"/>
  <c r="BK93" i="3"/>
  <c r="BI77" i="3"/>
  <c r="BK61" i="3"/>
  <c r="BK59" i="3"/>
  <c r="BF91" i="3"/>
  <c r="CL164" i="1" s="1"/>
  <c r="BO47" i="3"/>
  <c r="BO74" i="3"/>
  <c r="BE63" i="3"/>
  <c r="BM78" i="3"/>
  <c r="BU90" i="3"/>
  <c r="BE72" i="3"/>
  <c r="BF55" i="3"/>
  <c r="BF75" i="3"/>
  <c r="BM85" i="3"/>
  <c r="BK89" i="3"/>
  <c r="BM95" i="3"/>
  <c r="BN61" i="3"/>
  <c r="BH97" i="3"/>
  <c r="BT61" i="3"/>
  <c r="BG68" i="3"/>
  <c r="BJ72" i="3"/>
  <c r="BO79" i="3"/>
  <c r="BO85" i="3"/>
  <c r="BH47" i="3"/>
  <c r="BU48" i="3"/>
  <c r="BM60" i="3"/>
  <c r="BK76" i="3"/>
  <c r="BF97" i="3"/>
  <c r="BJ47" i="3"/>
  <c r="BT95" i="3"/>
  <c r="BG78" i="3"/>
  <c r="BG67" i="3"/>
  <c r="BN89" i="3"/>
  <c r="BE70" i="3"/>
  <c r="BI90" i="3"/>
  <c r="BM75" i="3"/>
  <c r="BN59" i="3"/>
  <c r="BH91" i="3"/>
  <c r="BJ61" i="3"/>
  <c r="BE87" i="3"/>
  <c r="BO70" i="3"/>
  <c r="BM94" i="3"/>
  <c r="BU86" i="3"/>
  <c r="BK78" i="3"/>
  <c r="BJ94" i="3"/>
  <c r="BU65" i="3"/>
  <c r="BN47" i="3"/>
  <c r="BK95" i="3"/>
  <c r="BN87" i="3"/>
  <c r="BF82" i="3"/>
  <c r="CL155" i="1" s="1"/>
  <c r="BJ71" i="3"/>
  <c r="BO55" i="3"/>
  <c r="BM54" i="3"/>
  <c r="BT82" i="3"/>
  <c r="BG69" i="3"/>
  <c r="BE90" i="3"/>
  <c r="BF73" i="3"/>
  <c r="BG76" i="3"/>
  <c r="BO48" i="3"/>
  <c r="BJ83" i="3"/>
  <c r="BH75" i="3"/>
  <c r="BO50" i="3"/>
  <c r="BK90" i="3"/>
  <c r="BT93" i="3"/>
  <c r="BN77" i="3"/>
  <c r="BK81" i="3"/>
  <c r="BK57" i="3"/>
  <c r="BI74" i="3"/>
  <c r="BI50" i="3"/>
  <c r="BK63" i="3"/>
  <c r="BF79" i="3"/>
  <c r="CL153" i="1" s="1"/>
  <c r="BU67" i="3"/>
  <c r="BT75" i="3"/>
  <c r="BG84" i="3"/>
  <c r="BG54" i="3"/>
  <c r="BG95" i="3"/>
  <c r="BE59" i="3"/>
  <c r="BO71" i="3"/>
  <c r="BG71" i="3"/>
  <c r="BM79" i="3"/>
  <c r="BN92" i="3"/>
  <c r="BJ81" i="3"/>
  <c r="BT80" i="3"/>
  <c r="BG62" i="3"/>
  <c r="BK65" i="3"/>
  <c r="BH77" i="3"/>
  <c r="BI75" i="3"/>
  <c r="BH68" i="3"/>
  <c r="BI67" i="3"/>
  <c r="BN57" i="3"/>
  <c r="BJ75" i="3"/>
  <c r="BO59" i="3"/>
  <c r="BH58" i="3"/>
  <c r="BE83" i="3"/>
  <c r="BK96" i="3"/>
  <c r="BO58" i="3"/>
  <c r="BM97" i="3"/>
  <c r="BH50" i="3"/>
  <c r="BU69" i="3"/>
  <c r="BF66" i="3"/>
  <c r="CL161" i="1" s="1"/>
  <c r="BN82" i="3"/>
  <c r="BF85" i="3"/>
  <c r="CL157" i="1" s="1"/>
  <c r="BN67" i="3"/>
  <c r="BN96" i="3"/>
  <c r="BE68" i="3"/>
  <c r="BG48" i="3"/>
  <c r="BK66" i="3"/>
  <c r="BJ48" i="3"/>
  <c r="BI87" i="3"/>
  <c r="BF81" i="3"/>
  <c r="CL154" i="1" s="1"/>
  <c r="BT85" i="3"/>
  <c r="BO92" i="3"/>
  <c r="BG79" i="3"/>
  <c r="AU83" i="3"/>
  <c r="AT90" i="3"/>
  <c r="C78" i="3"/>
  <c r="AS58" i="3"/>
  <c r="AY95" i="3"/>
  <c r="AZ47" i="3"/>
  <c r="AS97" i="3"/>
  <c r="AW71" i="3"/>
  <c r="AS70" i="3"/>
  <c r="AX56" i="3"/>
  <c r="C95" i="3"/>
  <c r="AY56" i="3"/>
  <c r="AU48" i="3"/>
  <c r="AZ63" i="3"/>
  <c r="AW86" i="3"/>
  <c r="AW76" i="3"/>
  <c r="AW91" i="3"/>
  <c r="AT86" i="3"/>
  <c r="C56" i="3"/>
  <c r="AS64" i="3"/>
  <c r="BE78" i="3"/>
  <c r="BG50" i="3"/>
  <c r="BG81" i="3"/>
  <c r="BG49" i="3"/>
  <c r="BH80" i="3"/>
  <c r="BF87" i="3"/>
  <c r="CL162" i="1" s="1"/>
  <c r="BF90" i="3"/>
  <c r="CL136" i="1" s="1"/>
  <c r="BK50" i="3"/>
  <c r="BK54" i="3"/>
  <c r="BK60" i="3"/>
  <c r="BI68" i="3"/>
  <c r="BR88" i="3"/>
  <c r="BG65" i="3"/>
  <c r="BI61" i="3"/>
  <c r="BJ59" i="3"/>
  <c r="BG72" i="3"/>
  <c r="BG89" i="3"/>
  <c r="BI89" i="3"/>
  <c r="BK79" i="3"/>
  <c r="BF80" i="3"/>
  <c r="CL169" i="1" s="1"/>
  <c r="BI64" i="3"/>
  <c r="BK74" i="3"/>
  <c r="BI85" i="3"/>
  <c r="BK80" i="3"/>
  <c r="BI88" i="3"/>
  <c r="BU68" i="3"/>
  <c r="BG57" i="3"/>
  <c r="BR71" i="3"/>
  <c r="BJ80" i="3"/>
  <c r="BO68" i="3"/>
  <c r="BG73" i="3"/>
  <c r="BO63" i="3"/>
  <c r="BJ66" i="3"/>
  <c r="BF54" i="3"/>
  <c r="BU82" i="3"/>
  <c r="BR60" i="3"/>
  <c r="BI71" i="3"/>
  <c r="BU55" i="3"/>
  <c r="BU74" i="3"/>
  <c r="BF59" i="3"/>
  <c r="BF96" i="3"/>
  <c r="CL173" i="1" s="1"/>
  <c r="BG82" i="3"/>
  <c r="BO76" i="3"/>
  <c r="BG92" i="3"/>
  <c r="BJ73" i="3"/>
  <c r="BK88" i="3"/>
  <c r="BF67" i="3"/>
  <c r="BG90" i="3"/>
  <c r="BF70" i="3"/>
  <c r="CL143" i="1" s="1"/>
  <c r="BJ92" i="3"/>
  <c r="BK97" i="3"/>
  <c r="BO73" i="3"/>
  <c r="BR65" i="3"/>
  <c r="BI96" i="3"/>
  <c r="BJ87" i="3"/>
  <c r="BJ62" i="3"/>
  <c r="BK84" i="3"/>
  <c r="BO95" i="3"/>
  <c r="BJ58" i="3"/>
  <c r="BO69" i="3"/>
  <c r="BS72" i="3"/>
  <c r="BJ50" i="3"/>
  <c r="BU96" i="3"/>
  <c r="BI81" i="3"/>
  <c r="BK92" i="3"/>
  <c r="AT50" i="3"/>
  <c r="AX94" i="3"/>
  <c r="AT66" i="3"/>
  <c r="AT79" i="3"/>
  <c r="AT73" i="3"/>
  <c r="AT72" i="3"/>
  <c r="AX66" i="3"/>
  <c r="AS81" i="3"/>
  <c r="AS74" i="3"/>
  <c r="AX90" i="3"/>
  <c r="AX65" i="3"/>
  <c r="BG75" i="3"/>
  <c r="BG85" i="3"/>
  <c r="BF92" i="3"/>
  <c r="CL165" i="1" s="1"/>
  <c r="BF84" i="3"/>
  <c r="CL156" i="1" s="1"/>
  <c r="BF61" i="3"/>
  <c r="BF47" i="3"/>
  <c r="BK48" i="3"/>
  <c r="BK49" i="3"/>
  <c r="BK94" i="3"/>
  <c r="BI49" i="3"/>
  <c r="BI55" i="3"/>
  <c r="BG94" i="3"/>
  <c r="BF93" i="3"/>
  <c r="BF77" i="3"/>
  <c r="CL150" i="1" s="1"/>
  <c r="BI91" i="3"/>
  <c r="BG55" i="3"/>
  <c r="BI97" i="3"/>
  <c r="BG87" i="3"/>
  <c r="BJ84" i="3"/>
  <c r="BJ96" i="3"/>
  <c r="BI66" i="3"/>
  <c r="BF78" i="3"/>
  <c r="CL152" i="1" s="1"/>
  <c r="BF72" i="3"/>
  <c r="CL145" i="1" s="1"/>
  <c r="BF69" i="3"/>
  <c r="BK72" i="3"/>
  <c r="BJ85" i="3"/>
  <c r="BK67" i="3"/>
  <c r="BN71" i="3"/>
  <c r="BF60" i="3"/>
  <c r="CL132" i="1" s="1"/>
  <c r="BK91" i="3"/>
  <c r="BN62" i="3"/>
  <c r="BK69" i="3"/>
  <c r="BB61" i="3"/>
  <c r="BD81" i="3"/>
  <c r="BL77" i="3"/>
  <c r="BB68" i="3"/>
  <c r="BL72" i="3"/>
  <c r="BB88" i="3"/>
  <c r="BB93" i="3"/>
  <c r="BF74" i="3"/>
  <c r="CL147" i="1" s="1"/>
  <c r="BD92" i="3"/>
  <c r="BB50" i="3"/>
  <c r="BB87" i="3"/>
  <c r="BF83" i="3"/>
  <c r="CL170" i="1" s="1"/>
  <c r="BC72" i="3"/>
  <c r="BC82" i="3"/>
  <c r="BB81" i="3"/>
  <c r="BB66" i="3"/>
  <c r="BB90" i="3"/>
  <c r="BD89" i="3"/>
  <c r="BB91" i="3"/>
  <c r="BB84" i="3"/>
  <c r="BB94" i="3"/>
  <c r="BD59" i="3"/>
  <c r="BD96" i="3"/>
  <c r="BB76" i="3"/>
  <c r="BB74" i="3"/>
  <c r="BD61" i="3"/>
  <c r="BB92" i="3"/>
  <c r="BB58" i="3"/>
  <c r="BB49" i="3"/>
  <c r="BB79" i="3"/>
  <c r="AF94" i="3"/>
  <c r="AF67" i="3"/>
  <c r="AF86" i="3"/>
  <c r="AF92" i="3"/>
  <c r="AF58" i="3"/>
  <c r="AF68" i="3"/>
  <c r="AF65" i="3"/>
  <c r="AF84" i="3"/>
  <c r="AF79" i="3"/>
  <c r="AF91" i="3"/>
  <c r="AF95" i="3"/>
  <c r="AF97" i="3"/>
  <c r="AF59" i="3"/>
  <c r="AF75" i="3"/>
  <c r="AF63" i="3"/>
  <c r="AF49" i="3"/>
  <c r="AF88" i="3"/>
  <c r="AF78" i="3"/>
  <c r="AF83" i="3"/>
  <c r="AF74" i="3"/>
  <c r="AF70" i="3"/>
  <c r="AF54" i="3"/>
  <c r="AF57" i="3"/>
  <c r="AF80" i="3"/>
  <c r="AF89" i="3"/>
  <c r="AF73" i="3"/>
  <c r="AF76" i="3"/>
  <c r="AF96" i="3"/>
  <c r="AF55" i="3"/>
  <c r="AF56" i="3"/>
  <c r="AF64" i="3"/>
  <c r="AF81" i="3"/>
  <c r="AF82" i="3"/>
  <c r="AF61" i="3"/>
  <c r="AF85" i="3"/>
  <c r="AF77" i="3"/>
  <c r="AF69" i="3"/>
  <c r="AF47" i="3"/>
  <c r="AF90" i="3"/>
  <c r="AF87" i="3"/>
  <c r="AF66" i="3"/>
  <c r="AF60" i="3"/>
  <c r="AF62" i="3"/>
  <c r="AF93" i="3"/>
  <c r="AF72" i="3"/>
  <c r="AF71" i="3"/>
  <c r="BR58" i="3"/>
  <c r="BS91" i="3"/>
  <c r="BR77" i="3"/>
  <c r="BA57" i="3"/>
  <c r="BK82" i="3"/>
  <c r="BF63" i="3"/>
  <c r="CL135" i="1" s="1"/>
  <c r="BA47" i="3"/>
  <c r="BL90" i="3"/>
  <c r="BJ49" i="3"/>
  <c r="BJ65" i="3"/>
  <c r="BD64" i="3"/>
  <c r="BC66" i="3"/>
  <c r="BS79" i="3"/>
  <c r="BA73" i="3"/>
  <c r="BC88" i="3"/>
  <c r="BS57" i="3"/>
  <c r="BJ68" i="3"/>
  <c r="BJ76" i="3"/>
  <c r="BC50" i="3"/>
  <c r="BN85" i="3"/>
  <c r="BD85" i="3"/>
  <c r="BF95" i="3"/>
  <c r="CL174" i="1" s="1"/>
  <c r="BJ54" i="3"/>
  <c r="BR63" i="3"/>
  <c r="BD90" i="3"/>
  <c r="BS83" i="3"/>
  <c r="BC85" i="3"/>
  <c r="BS74" i="3"/>
  <c r="BS55" i="3"/>
  <c r="BS87" i="3"/>
  <c r="BR67" i="3"/>
  <c r="BC57" i="3"/>
  <c r="BS80" i="3"/>
  <c r="BC67" i="3"/>
  <c r="BR78" i="3"/>
  <c r="BS56" i="3"/>
  <c r="BC55" i="3"/>
  <c r="BR49" i="3"/>
  <c r="BR47" i="3"/>
  <c r="BD83" i="3"/>
  <c r="BC71" i="3"/>
  <c r="BC87" i="3"/>
  <c r="BR97" i="3"/>
  <c r="BD74" i="3"/>
  <c r="BD50" i="3"/>
  <c r="BR55" i="3"/>
  <c r="BD47" i="3"/>
  <c r="BC62" i="3"/>
  <c r="BD58" i="3"/>
  <c r="BD62" i="3"/>
  <c r="BL85" i="3"/>
  <c r="BD69" i="3"/>
  <c r="BR95" i="3"/>
  <c r="BS69" i="3"/>
  <c r="BL57" i="3"/>
  <c r="BR85" i="3"/>
  <c r="BA89" i="3"/>
  <c r="BC86" i="3"/>
  <c r="BS97" i="3"/>
  <c r="BS58" i="3"/>
  <c r="BR57" i="3"/>
  <c r="BS49" i="3"/>
  <c r="BC77" i="3"/>
  <c r="BA63" i="3"/>
  <c r="BR79" i="3"/>
  <c r="BS62" i="3"/>
  <c r="BS85" i="3"/>
  <c r="BR96" i="3"/>
  <c r="BR70" i="3"/>
  <c r="BR82" i="3"/>
  <c r="BS88" i="3"/>
  <c r="BS90" i="3"/>
  <c r="BR73" i="3"/>
  <c r="BA88" i="3"/>
  <c r="BC60" i="3"/>
  <c r="BS47" i="3"/>
  <c r="BC70" i="3"/>
  <c r="BR80" i="3"/>
  <c r="BC58" i="3"/>
  <c r="BR93" i="3"/>
  <c r="BA64" i="3"/>
  <c r="BR90" i="3"/>
  <c r="BS68" i="3"/>
  <c r="BA96" i="3"/>
  <c r="BA76" i="3"/>
  <c r="BS50" i="3"/>
  <c r="BR89" i="3"/>
  <c r="BA72" i="3"/>
  <c r="BS92" i="3"/>
  <c r="BR62" i="3"/>
  <c r="BC92" i="3"/>
  <c r="BR59" i="3"/>
  <c r="BA55" i="3"/>
  <c r="BS94" i="3"/>
  <c r="BS71" i="3"/>
  <c r="BC73" i="3"/>
  <c r="BR66" i="3"/>
  <c r="BA79" i="3"/>
  <c r="BC89" i="3"/>
  <c r="BA56" i="3"/>
  <c r="BC65" i="3"/>
  <c r="BS76" i="3"/>
  <c r="BC79" i="3"/>
  <c r="BR94" i="3"/>
  <c r="BC56" i="3"/>
  <c r="AA113" i="2"/>
  <c r="BR72" i="3"/>
  <c r="BA71" i="3"/>
  <c r="BA61" i="3"/>
  <c r="BR50" i="3"/>
  <c r="BA60" i="3"/>
  <c r="BC64" i="3"/>
  <c r="BR75" i="3"/>
  <c r="BC96" i="3"/>
  <c r="BS95" i="3"/>
  <c r="BS65" i="3"/>
  <c r="BD71" i="3"/>
  <c r="BD87" i="3"/>
  <c r="BA49" i="3"/>
  <c r="BS84" i="3"/>
  <c r="BC75" i="3"/>
  <c r="BR92" i="3"/>
  <c r="BD97" i="3"/>
  <c r="BC69" i="3"/>
  <c r="BD70" i="3"/>
  <c r="BD49" i="3"/>
  <c r="BD94" i="3"/>
  <c r="BD68" i="3"/>
  <c r="BR64" i="3"/>
  <c r="BC90" i="3"/>
  <c r="BC80" i="3"/>
  <c r="BC78" i="3"/>
  <c r="BC91" i="3"/>
  <c r="BS73" i="3"/>
  <c r="BS93" i="3"/>
  <c r="BR56" i="3"/>
  <c r="BS61" i="3"/>
  <c r="BC83" i="3"/>
  <c r="BC95" i="3"/>
  <c r="BC97" i="3"/>
  <c r="BS54" i="3"/>
  <c r="BS63" i="3"/>
  <c r="BS81" i="3"/>
  <c r="BC81" i="3"/>
  <c r="BA66" i="3"/>
  <c r="BR86" i="3"/>
  <c r="BA83" i="3"/>
  <c r="BC74" i="3"/>
  <c r="BC68" i="3"/>
  <c r="BR68" i="3"/>
  <c r="BA65" i="3"/>
  <c r="BR76" i="3"/>
  <c r="BR69" i="3"/>
  <c r="BC93" i="3"/>
  <c r="BS75" i="3"/>
  <c r="BS86" i="3"/>
  <c r="BC59" i="3"/>
  <c r="BC54" i="3"/>
  <c r="BS67" i="3"/>
  <c r="BC49" i="3"/>
  <c r="BA50" i="3"/>
  <c r="BA67" i="3"/>
  <c r="BR84" i="3"/>
  <c r="BS70" i="3"/>
  <c r="BA86" i="3"/>
  <c r="BR81" i="3"/>
  <c r="BR48" i="3"/>
  <c r="AA111" i="2"/>
  <c r="BR83" i="3"/>
  <c r="BC61" i="3"/>
  <c r="BR54" i="3"/>
  <c r="BA90" i="3"/>
  <c r="BC47" i="3"/>
  <c r="BC94" i="3"/>
  <c r="AA112" i="2"/>
  <c r="BC76" i="3"/>
  <c r="BR91" i="3"/>
  <c r="Z112" i="2"/>
  <c r="BS82" i="3"/>
  <c r="BC63" i="3"/>
  <c r="BS60" i="3"/>
  <c r="BC84" i="3"/>
  <c r="BA54" i="3"/>
  <c r="BC48" i="3"/>
  <c r="BS77" i="3"/>
  <c r="AV76" i="3"/>
  <c r="AV67" i="3"/>
  <c r="AV75" i="3"/>
  <c r="AV78" i="3"/>
  <c r="AV87" i="3"/>
  <c r="AV85" i="3"/>
  <c r="AV80" i="3"/>
  <c r="AV70" i="3"/>
  <c r="AV89" i="3"/>
  <c r="AV94" i="3"/>
  <c r="AV92" i="3"/>
  <c r="AV47" i="3"/>
  <c r="AV58" i="3"/>
  <c r="AV50" i="3"/>
  <c r="AV74" i="3"/>
  <c r="AV79" i="3"/>
  <c r="AV82" i="3"/>
  <c r="AV95" i="3"/>
  <c r="AV93" i="3"/>
  <c r="AV88" i="3"/>
  <c r="AV90" i="3"/>
  <c r="AV68" i="3"/>
  <c r="AV81" i="3"/>
  <c r="AV69" i="3"/>
  <c r="AV60" i="3"/>
  <c r="AV84" i="3"/>
  <c r="AV61" i="3"/>
  <c r="AV96" i="3"/>
  <c r="AV56" i="3"/>
  <c r="AV49" i="3"/>
  <c r="AV54" i="3"/>
  <c r="AV55" i="3"/>
  <c r="AV77" i="3"/>
  <c r="AV86" i="3"/>
  <c r="AV48" i="3"/>
  <c r="AV73" i="3"/>
  <c r="AV66" i="3"/>
  <c r="AV63" i="3"/>
  <c r="AV64" i="3"/>
  <c r="AV71" i="3"/>
  <c r="AV72" i="3"/>
  <c r="AV65" i="3"/>
  <c r="AV91" i="3"/>
  <c r="AV57" i="3"/>
  <c r="AV62" i="3"/>
  <c r="AV97" i="3"/>
  <c r="AV83" i="3"/>
  <c r="AV59" i="3"/>
  <c r="BS64" i="3"/>
  <c r="BS89" i="3"/>
  <c r="BS96" i="3"/>
  <c r="BA92" i="3"/>
  <c r="BA70" i="3"/>
  <c r="BA84" i="3"/>
  <c r="BA74" i="3"/>
  <c r="BA94" i="3"/>
  <c r="BA78" i="3"/>
  <c r="BA95" i="3"/>
  <c r="BA87" i="3"/>
  <c r="BA91" i="3"/>
  <c r="BA68" i="3"/>
  <c r="BA77" i="3"/>
  <c r="BA58" i="3"/>
  <c r="BA85" i="3"/>
  <c r="BA82" i="3"/>
  <c r="BA80" i="3"/>
  <c r="BA75" i="3"/>
  <c r="BA48" i="3"/>
  <c r="BA69" i="3"/>
  <c r="BA93" i="3"/>
  <c r="BA81" i="3"/>
  <c r="BA97" i="3"/>
  <c r="BA62" i="3"/>
  <c r="Z113" i="2"/>
  <c r="BA59" i="3"/>
  <c r="Z111" i="2"/>
  <c r="CL5" i="1"/>
  <c r="CM5" i="1" s="1"/>
  <c r="CL20" i="1"/>
  <c r="CL26" i="1" s="1"/>
  <c r="CK73" i="1"/>
  <c r="CJ73" i="1" s="1"/>
  <c r="CL75" i="1"/>
  <c r="CL36" i="1"/>
  <c r="CL37" i="1" s="1"/>
  <c r="CJ135" i="1"/>
  <c r="CK135" i="1" s="1"/>
  <c r="CJ160" i="1"/>
  <c r="CJ161" i="1"/>
  <c r="CJ169" i="1"/>
  <c r="CJ145" i="1"/>
  <c r="CK145" i="1" s="1"/>
  <c r="CJ137" i="1"/>
  <c r="CK137" i="1" s="1"/>
  <c r="CJ174" i="1"/>
  <c r="CK174" i="1" s="1"/>
  <c r="CJ128" i="1"/>
  <c r="CK128" i="1" s="1"/>
  <c r="CJ150" i="1"/>
  <c r="CK150" i="1" s="1"/>
  <c r="CK212" i="1" s="1"/>
  <c r="CJ164" i="1"/>
  <c r="JM15" i="4" s="1"/>
  <c r="BY45" i="1"/>
  <c r="X7" i="6" s="1"/>
  <c r="BL19" i="1"/>
  <c r="BZ30" i="1"/>
  <c r="BZ42" i="1"/>
  <c r="BZ204" i="1" s="1"/>
  <c r="CE33" i="1"/>
  <c r="CC42" i="1"/>
  <c r="CC204" i="1" s="1"/>
  <c r="CA45" i="1"/>
  <c r="E7" i="6" s="1"/>
  <c r="BY49" i="1"/>
  <c r="CD30" i="1"/>
  <c r="CD45" i="1"/>
  <c r="CB18" i="1"/>
  <c r="CB241" i="1" s="1"/>
  <c r="CB56" i="1"/>
  <c r="CA34" i="1"/>
  <c r="CF55" i="1"/>
  <c r="CA49" i="1"/>
  <c r="CF32" i="1"/>
  <c r="X84" i="1"/>
  <c r="CJ31" i="1"/>
  <c r="BY30" i="1"/>
  <c r="CB61" i="1"/>
  <c r="CD23" i="1"/>
  <c r="CB24" i="1"/>
  <c r="CE46" i="1"/>
  <c r="BL45" i="1"/>
  <c r="BZ45" i="1"/>
  <c r="BZ34" i="1"/>
  <c r="CA24" i="1"/>
  <c r="BZ56" i="1"/>
  <c r="BL49" i="1"/>
  <c r="CB30" i="1"/>
  <c r="N7" i="6" s="1"/>
  <c r="JK16" i="4" s="1"/>
  <c r="JK21" i="4" s="1"/>
  <c r="CE87" i="1" s="1"/>
  <c r="H7" i="6" s="1"/>
  <c r="BY24" i="1"/>
  <c r="AT7" i="6" s="1"/>
  <c r="CA30" i="1"/>
  <c r="CB33" i="1"/>
  <c r="CE57" i="1"/>
  <c r="CF61" i="1"/>
  <c r="CE56" i="1"/>
  <c r="AD7" i="6" s="1"/>
  <c r="R7" i="6" s="1"/>
  <c r="CF35" i="1"/>
  <c r="CD19" i="1"/>
  <c r="CF34" i="1"/>
  <c r="CE32" i="1"/>
  <c r="BZ49" i="1"/>
  <c r="CC61" i="1"/>
  <c r="CB49" i="1"/>
  <c r="AC7" i="6" s="1"/>
  <c r="CD46" i="1"/>
  <c r="CD42" i="1"/>
  <c r="CD204" i="1" s="1"/>
  <c r="CA19" i="1"/>
  <c r="CD31" i="1"/>
  <c r="CD33" i="1"/>
  <c r="CF46" i="1"/>
  <c r="AI7" i="6" s="1"/>
  <c r="AU7" i="6" s="1"/>
  <c r="CF19" i="1"/>
  <c r="CE61" i="1"/>
  <c r="CE45" i="1"/>
  <c r="CD55" i="1"/>
  <c r="CF31" i="1"/>
  <c r="CD57" i="1"/>
  <c r="AF7" i="6" s="1"/>
  <c r="CA18" i="1"/>
  <c r="CA241" i="1" s="1"/>
  <c r="KD14" i="4" s="1"/>
  <c r="JY9" i="4" s="1"/>
  <c r="JZ9" i="4" s="1"/>
  <c r="BZ25" i="1"/>
  <c r="JL9" i="4" s="1"/>
  <c r="BZ19" i="1"/>
  <c r="BL55" i="1"/>
  <c r="BY57" i="1"/>
  <c r="CB31" i="1"/>
  <c r="BL42" i="1"/>
  <c r="CD49" i="1"/>
  <c r="CA42" i="1"/>
  <c r="CF45" i="1"/>
  <c r="CD32" i="1"/>
  <c r="BZ18" i="1"/>
  <c r="BZ241" i="1" s="1"/>
  <c r="CE55" i="1"/>
  <c r="CA32" i="1"/>
  <c r="BL18" i="1"/>
  <c r="CC18" i="1"/>
  <c r="CC241" i="1" s="1"/>
  <c r="AO7" i="6" s="1"/>
  <c r="CC56" i="1"/>
  <c r="AL7" i="6" s="1"/>
  <c r="AX7" i="6" s="1"/>
  <c r="AR7" i="6" s="1"/>
  <c r="D7" i="6" s="1"/>
  <c r="CB42" i="1"/>
  <c r="CB204" i="1" s="1"/>
  <c r="CA57" i="1"/>
  <c r="AJ7" i="6" s="1"/>
  <c r="CF18" i="1"/>
  <c r="CE42" i="1"/>
  <c r="CE204" i="1" s="1"/>
  <c r="CA25" i="1"/>
  <c r="AN7" i="6" s="1"/>
  <c r="CF57" i="1"/>
  <c r="JM16" i="4" s="1"/>
  <c r="BY31" i="1"/>
  <c r="BL33" i="1"/>
  <c r="CC57" i="1"/>
  <c r="BY18" i="1"/>
  <c r="JJ7" i="4" s="1"/>
  <c r="CA23" i="1"/>
  <c r="BZ57" i="1"/>
  <c r="AB7" i="6" s="1"/>
  <c r="AA7" i="6" s="1"/>
  <c r="CD24" i="1"/>
  <c r="CA46" i="1"/>
  <c r="BZ35" i="1"/>
  <c r="CC55" i="1"/>
  <c r="BZ32" i="1"/>
  <c r="BL61" i="1"/>
  <c r="CB35" i="1"/>
  <c r="AW7" i="6" s="1"/>
  <c r="BL34" i="1"/>
  <c r="CF25" i="1"/>
  <c r="BL30" i="1"/>
  <c r="BL57" i="1"/>
  <c r="BL24" i="1"/>
  <c r="BZ46" i="1"/>
  <c r="BZ24" i="1"/>
  <c r="CD25" i="1"/>
  <c r="Z7" i="6" s="1"/>
  <c r="BY46" i="1"/>
  <c r="BY262" i="1" s="1"/>
  <c r="AG7" i="6" s="1"/>
  <c r="CA55" i="1"/>
  <c r="BY32" i="1"/>
  <c r="CB46" i="1"/>
  <c r="CC30" i="1"/>
  <c r="BY25" i="1"/>
  <c r="CD35" i="1"/>
  <c r="CA56" i="1"/>
  <c r="CE30" i="1"/>
  <c r="BY61" i="1"/>
  <c r="CD56" i="1"/>
  <c r="CE35" i="1"/>
  <c r="JQ16" i="4" s="1"/>
  <c r="KH9" i="4" s="1"/>
  <c r="JU16" i="4" s="1"/>
  <c r="BL23" i="1"/>
  <c r="CA61" i="1"/>
  <c r="AM7" i="6" s="1"/>
  <c r="AP7" i="6" s="1"/>
  <c r="JK8" i="4" s="1"/>
  <c r="BY33" i="1"/>
  <c r="KH14" i="4" s="1"/>
  <c r="CD34" i="1"/>
  <c r="CB19" i="1"/>
  <c r="BY42" i="1"/>
  <c r="BY204" i="1" s="1"/>
  <c r="CC19" i="1"/>
  <c r="CD61" i="1"/>
  <c r="V7" i="6" s="1"/>
  <c r="CE31" i="1"/>
  <c r="CE34" i="1"/>
  <c r="BZ55" i="1"/>
  <c r="CC33" i="1"/>
  <c r="AQ7" i="6" s="1"/>
  <c r="CF56" i="1"/>
  <c r="T7" i="6" s="1"/>
  <c r="BZ23" i="1"/>
  <c r="KB8" i="4" s="1"/>
  <c r="CK83" i="1"/>
  <c r="JW9" i="4" s="1"/>
  <c r="CI18" i="1"/>
  <c r="CI241" i="1" s="1"/>
  <c r="BY35" i="1"/>
  <c r="BL35" i="1"/>
  <c r="CE25" i="1"/>
  <c r="CC32" i="1"/>
  <c r="CF30" i="1"/>
  <c r="BZ33" i="1"/>
  <c r="P7" i="6" s="1"/>
  <c r="CC24" i="1"/>
  <c r="KF16" i="4" s="1"/>
  <c r="JT9" i="4" s="1"/>
  <c r="BZ61" i="1"/>
  <c r="JJ9" i="4" s="1"/>
  <c r="CA31" i="1"/>
  <c r="CB45" i="1"/>
  <c r="CE24" i="1"/>
  <c r="CC46" i="1"/>
  <c r="BY34" i="1"/>
  <c r="BL25" i="1"/>
  <c r="CC34" i="1"/>
  <c r="CB34" i="1"/>
  <c r="CE19" i="1"/>
  <c r="CJ152" i="1"/>
  <c r="CJ155" i="1"/>
  <c r="CJ153" i="1"/>
  <c r="CJ132" i="1"/>
  <c r="CK132" i="1" s="1"/>
  <c r="CF23" i="1"/>
  <c r="BY55" i="1"/>
  <c r="JL15" i="4" s="1"/>
  <c r="CE18" i="1"/>
  <c r="CB32" i="1"/>
  <c r="F7" i="6" s="1"/>
  <c r="JK9" i="4" s="1"/>
  <c r="JM9" i="4" s="1"/>
  <c r="BL31" i="1"/>
  <c r="CA35" i="1"/>
  <c r="CC23" i="1"/>
  <c r="CD18" i="1"/>
  <c r="CD241" i="1" s="1"/>
  <c r="CF42" i="1"/>
  <c r="CF204" i="1" s="1"/>
  <c r="BZ31" i="1"/>
  <c r="JL16" i="4" s="1"/>
  <c r="JL21" i="4" s="1"/>
  <c r="CF87" i="1" s="1"/>
  <c r="CC35" i="1"/>
  <c r="L7" i="6" s="1"/>
  <c r="JJ16" i="4" s="1"/>
  <c r="BY23" i="1"/>
  <c r="JJ14" i="4" s="1"/>
  <c r="CB55" i="1"/>
  <c r="BL46" i="1"/>
  <c r="CE23" i="1"/>
  <c r="CC45" i="1"/>
  <c r="CB57" i="1"/>
  <c r="BL56" i="1"/>
  <c r="AV7" i="6" s="1"/>
  <c r="BL32" i="1"/>
  <c r="CA33" i="1"/>
  <c r="CC25" i="1"/>
  <c r="KA16" i="4" s="1"/>
  <c r="CJ127" i="1"/>
  <c r="Z45" i="1"/>
  <c r="X155" i="1"/>
  <c r="KD16" i="4" s="1"/>
  <c r="X83" i="1"/>
  <c r="JN15" i="4" s="1"/>
  <c r="JX8" i="4" s="1"/>
  <c r="Y160" i="1"/>
  <c r="JZ7" i="4" s="1"/>
  <c r="Y182" i="1"/>
  <c r="X42" i="1"/>
  <c r="X204" i="1" s="1"/>
  <c r="KB9" i="4" s="1"/>
  <c r="X142" i="1"/>
  <c r="CJ33" i="1"/>
  <c r="X77" i="1"/>
  <c r="Y87" i="1"/>
  <c r="CH55" i="1"/>
  <c r="JX14" i="4" s="1"/>
  <c r="JV8" i="4" s="1"/>
  <c r="CK42" i="1"/>
  <c r="CK204" i="1" s="1"/>
  <c r="CI30" i="1"/>
  <c r="CM30" i="1" s="1"/>
  <c r="CQ30" i="1" s="1"/>
  <c r="CU30" i="1" s="1"/>
  <c r="CY30" i="1" s="1"/>
  <c r="CG32" i="1"/>
  <c r="CJ23" i="1"/>
  <c r="CF33" i="1"/>
  <c r="CB25" i="1"/>
  <c r="CF24" i="1"/>
  <c r="BY19" i="1"/>
  <c r="AY7" i="6" s="1"/>
  <c r="Q7" i="6" s="1"/>
  <c r="CC49" i="1"/>
  <c r="S7" i="6" s="1"/>
  <c r="CC31" i="1"/>
  <c r="CF49" i="1"/>
  <c r="JX9" i="4" s="1"/>
  <c r="Y56" i="1"/>
  <c r="Y45" i="1"/>
  <c r="X19" i="1"/>
  <c r="KG16" i="4" s="1"/>
  <c r="CJ25" i="1"/>
  <c r="BY56" i="1"/>
  <c r="KG8" i="4" s="1"/>
  <c r="KH16" i="4" s="1"/>
  <c r="CH33" i="1"/>
  <c r="JR16" i="4" s="1"/>
  <c r="KA9" i="4" s="1"/>
  <c r="Z181" i="1"/>
  <c r="JU15" i="4" s="1"/>
  <c r="JZ14" i="4" s="1"/>
  <c r="CG46" i="1"/>
  <c r="CI57" i="1"/>
  <c r="CJ61" i="1"/>
  <c r="KE16" i="4" s="1"/>
  <c r="JY16" i="4" s="1"/>
  <c r="CH42" i="1"/>
  <c r="Y174" i="1"/>
  <c r="CI33" i="1"/>
  <c r="JX16" i="4" s="1"/>
  <c r="JS9" i="4" s="1"/>
  <c r="JZ16" i="4" s="1"/>
  <c r="X32" i="1"/>
  <c r="Y89" i="1"/>
  <c r="CH23" i="1"/>
  <c r="Y181" i="1"/>
  <c r="CG19" i="1"/>
  <c r="X145" i="1"/>
  <c r="X141" i="1" s="1"/>
  <c r="Y136" i="1"/>
  <c r="Y164" i="1" s="1"/>
  <c r="KC14" i="4" s="1"/>
  <c r="CH25" i="1"/>
  <c r="CI19" i="1"/>
  <c r="Z35" i="1"/>
  <c r="Z57" i="1"/>
  <c r="JS16" i="4" s="1"/>
  <c r="CH56" i="1"/>
  <c r="KF7" i="4" s="1"/>
  <c r="X147" i="1"/>
  <c r="Z173" i="1"/>
  <c r="CH173" i="1" s="1"/>
  <c r="CI173" i="1" s="1"/>
  <c r="CG24" i="1"/>
  <c r="KD9" i="4" s="1"/>
  <c r="Z46" i="1"/>
  <c r="CI31" i="1"/>
  <c r="Y157" i="1"/>
  <c r="Z132" i="1"/>
  <c r="CH132" i="1" s="1"/>
  <c r="CI132" i="1" s="1"/>
  <c r="Y134" i="1"/>
  <c r="Y128" i="1"/>
  <c r="CH24" i="1"/>
  <c r="JO8" i="4" s="1"/>
  <c r="KB16" i="4" s="1"/>
  <c r="JN14" i="4" s="1"/>
  <c r="CK45" i="1"/>
  <c r="X160" i="1"/>
  <c r="Z159" i="1"/>
  <c r="CH159" i="1" s="1"/>
  <c r="CK19" i="1"/>
  <c r="CG33" i="1"/>
  <c r="JN16" i="4" s="1"/>
  <c r="X18" i="1"/>
  <c r="KG9" i="4" s="1"/>
  <c r="KH15" i="4" s="1"/>
  <c r="Z182" i="1"/>
  <c r="CJ55" i="1"/>
  <c r="CG49" i="1"/>
  <c r="Y42" i="1"/>
  <c r="CJ35" i="1"/>
  <c r="Z25" i="1"/>
  <c r="JN9" i="4" s="1"/>
  <c r="Y161" i="1"/>
  <c r="X154" i="1"/>
  <c r="CJ56" i="1"/>
  <c r="Z134" i="1"/>
  <c r="X157" i="1"/>
  <c r="CG42" i="1"/>
  <c r="CG204" i="1" s="1"/>
  <c r="CH49" i="1"/>
  <c r="Z88" i="1"/>
  <c r="CH61" i="1"/>
  <c r="Z18" i="1"/>
  <c r="X180" i="1"/>
  <c r="CG23" i="1"/>
  <c r="X174" i="1"/>
  <c r="Z165" i="1"/>
  <c r="CH165" i="1" s="1"/>
  <c r="CJ42" i="1"/>
  <c r="X143" i="1"/>
  <c r="X161" i="1"/>
  <c r="CG45" i="1"/>
  <c r="Y31" i="1"/>
  <c r="Y35" i="1"/>
  <c r="CG35" i="1"/>
  <c r="Y159" i="1"/>
  <c r="X56" i="1"/>
  <c r="X45" i="1"/>
  <c r="CE49" i="1"/>
  <c r="Y180" i="1"/>
  <c r="JR9" i="4" s="1"/>
  <c r="CG25" i="1"/>
  <c r="KC9" i="4" s="1"/>
  <c r="Z147" i="1"/>
  <c r="CH147" i="1" s="1"/>
  <c r="CI147" i="1" s="1"/>
  <c r="Y57" i="1"/>
  <c r="Z160" i="1"/>
  <c r="CH160" i="1" s="1"/>
  <c r="CB23" i="1"/>
  <c r="Z55" i="1"/>
  <c r="X33" i="1"/>
  <c r="Y55" i="1"/>
  <c r="Z146" i="1"/>
  <c r="CH146" i="1" s="1"/>
  <c r="CI146" i="1" s="1"/>
  <c r="Z34" i="1"/>
  <c r="CI35" i="1"/>
  <c r="Z33" i="1"/>
  <c r="X127" i="1"/>
  <c r="Z152" i="1"/>
  <c r="CG34" i="1"/>
  <c r="Y127" i="1"/>
  <c r="CH45" i="1"/>
  <c r="CI23" i="1"/>
  <c r="CH57" i="1"/>
  <c r="CK46" i="1"/>
  <c r="Z19" i="1"/>
  <c r="CH19" i="1"/>
  <c r="X169" i="1"/>
  <c r="CK18" i="1"/>
  <c r="CK56" i="1"/>
  <c r="CM56" i="1" s="1"/>
  <c r="CN56" i="1" s="1"/>
  <c r="CO56" i="1" s="1"/>
  <c r="CP56" i="1" s="1"/>
  <c r="CQ56" i="1" s="1"/>
  <c r="CI73" i="1"/>
  <c r="Z61" i="1"/>
  <c r="CI24" i="1"/>
  <c r="CJ18" i="1"/>
  <c r="CJ241" i="1" s="1"/>
  <c r="X128" i="1"/>
  <c r="CK61" i="1"/>
  <c r="Y77" i="1"/>
  <c r="CJ34" i="1"/>
  <c r="Y18" i="1"/>
  <c r="Y5" i="1" s="1"/>
  <c r="CK57" i="1"/>
  <c r="CI56" i="1"/>
  <c r="X146" i="1"/>
  <c r="CI55" i="1"/>
  <c r="CK31" i="1"/>
  <c r="X182" i="1"/>
  <c r="Z170" i="1"/>
  <c r="CH170" i="1" s="1"/>
  <c r="X165" i="1"/>
  <c r="JT8" i="4" s="1"/>
  <c r="X88" i="1"/>
  <c r="Z23" i="1"/>
  <c r="CH18" i="1"/>
  <c r="Y88" i="1"/>
  <c r="CI49" i="1"/>
  <c r="CK33" i="1"/>
  <c r="Y129" i="1"/>
  <c r="X152" i="1"/>
  <c r="Y25" i="1"/>
  <c r="X23" i="1"/>
  <c r="Z142" i="1"/>
  <c r="CH142" i="1" s="1"/>
  <c r="X137" i="1"/>
  <c r="X163" i="1"/>
  <c r="Y146" i="1"/>
  <c r="Z161" i="1"/>
  <c r="CH161" i="1" s="1"/>
  <c r="X35" i="1"/>
  <c r="Y169" i="1"/>
  <c r="JT16" i="4" s="1"/>
  <c r="CK84" i="1"/>
  <c r="JP16" i="4" s="1"/>
  <c r="CI25" i="1"/>
  <c r="Z180" i="1"/>
  <c r="CG56" i="1"/>
  <c r="CH35" i="1"/>
  <c r="Z155" i="1"/>
  <c r="Z127" i="1"/>
  <c r="CH127" i="1" s="1"/>
  <c r="Y49" i="1"/>
  <c r="X89" i="1"/>
  <c r="Z128" i="1"/>
  <c r="CH128" i="1" s="1"/>
  <c r="CI128" i="1" s="1"/>
  <c r="X34" i="1"/>
  <c r="X30" i="1"/>
  <c r="Z163" i="1"/>
  <c r="CH163" i="1" s="1"/>
  <c r="Y19" i="1"/>
  <c r="JS7" i="4" s="1"/>
  <c r="Y132" i="1"/>
  <c r="Z89" i="1"/>
  <c r="X156" i="1"/>
  <c r="Y170" i="1"/>
  <c r="X150" i="1"/>
  <c r="X134" i="1"/>
  <c r="Z143" i="1"/>
  <c r="CH143" i="1" s="1"/>
  <c r="CI143" i="1" s="1"/>
  <c r="Y61" i="1"/>
  <c r="CG57" i="1"/>
  <c r="X173" i="1"/>
  <c r="X135" i="1"/>
  <c r="X153" i="1"/>
  <c r="CG18" i="1"/>
  <c r="CG241" i="1" s="1"/>
  <c r="CH30" i="1"/>
  <c r="CP30" i="1" s="1"/>
  <c r="CT30" i="1" s="1"/>
  <c r="CX30" i="1" s="1"/>
  <c r="DB30" i="1" s="1"/>
  <c r="CH32" i="1"/>
  <c r="CI74" i="1"/>
  <c r="CH74" i="1" s="1"/>
  <c r="CG74" i="1" s="1"/>
  <c r="CF74" i="1" s="1"/>
  <c r="CE74" i="1" s="1"/>
  <c r="CD74" i="1" s="1"/>
  <c r="CC74" i="1" s="1"/>
  <c r="CB74" i="1" s="1"/>
  <c r="CA74" i="1" s="1"/>
  <c r="BZ74" i="1" s="1"/>
  <c r="BY74" i="1" s="1"/>
  <c r="BX74" i="1" s="1"/>
  <c r="BW74" i="1" s="1"/>
  <c r="BV74" i="1" s="1"/>
  <c r="BU74" i="1" s="1"/>
  <c r="BT74" i="1" s="1"/>
  <c r="BS74" i="1" s="1"/>
  <c r="BR74" i="1" s="1"/>
  <c r="BQ74" i="1" s="1"/>
  <c r="BP74" i="1" s="1"/>
  <c r="BO74" i="1" s="1"/>
  <c r="BN74" i="1" s="1"/>
  <c r="BM74" i="1" s="1"/>
  <c r="BL74" i="1" s="1"/>
  <c r="BK74" i="1" s="1"/>
  <c r="BJ74" i="1" s="1"/>
  <c r="BI74" i="1" s="1"/>
  <c r="BH74" i="1" s="1"/>
  <c r="BG74" i="1" s="1"/>
  <c r="BF74" i="1" s="1"/>
  <c r="BE74" i="1" s="1"/>
  <c r="BD74" i="1" s="1"/>
  <c r="BC74" i="1" s="1"/>
  <c r="BB74" i="1" s="1"/>
  <c r="BA74" i="1" s="1"/>
  <c r="AZ74" i="1" s="1"/>
  <c r="AY74" i="1" s="1"/>
  <c r="AX74" i="1" s="1"/>
  <c r="AW74" i="1" s="1"/>
  <c r="AV74" i="1" s="1"/>
  <c r="AU74" i="1" s="1"/>
  <c r="AT74" i="1" s="1"/>
  <c r="AS74" i="1" s="1"/>
  <c r="AR74" i="1" s="1"/>
  <c r="AQ74" i="1" s="1"/>
  <c r="AP74" i="1" s="1"/>
  <c r="AO74" i="1" s="1"/>
  <c r="AN74" i="1" s="1"/>
  <c r="AM74" i="1" s="1"/>
  <c r="AL74" i="1" s="1"/>
  <c r="AK74" i="1" s="1"/>
  <c r="AJ74" i="1" s="1"/>
  <c r="AI74" i="1" s="1"/>
  <c r="CI61" i="1"/>
  <c r="Y150" i="1"/>
  <c r="Z145" i="1"/>
  <c r="CH145" i="1" s="1"/>
  <c r="CI145" i="1" s="1"/>
  <c r="CJ45" i="1"/>
  <c r="CK25" i="1"/>
  <c r="Y173" i="1"/>
  <c r="CG30" i="1"/>
  <c r="Z154" i="1"/>
  <c r="CH154" i="1" s="1"/>
  <c r="Z136" i="1"/>
  <c r="CH136" i="1" s="1"/>
  <c r="CI136" i="1" s="1"/>
  <c r="Z153" i="1"/>
  <c r="CH153" i="1" s="1"/>
  <c r="X129" i="1"/>
  <c r="CJ24" i="1"/>
  <c r="JO9" i="4" s="1"/>
  <c r="Z49" i="1"/>
  <c r="Y137" i="1"/>
  <c r="CI45" i="1"/>
  <c r="Z77" i="1"/>
  <c r="Y152" i="1"/>
  <c r="Y32" i="1"/>
  <c r="CK55" i="1"/>
  <c r="CM55" i="1" s="1"/>
  <c r="CN55" i="1" s="1"/>
  <c r="CO55" i="1" s="1"/>
  <c r="CP55" i="1" s="1"/>
  <c r="CQ55" i="1" s="1"/>
  <c r="CR55" i="1" s="1"/>
  <c r="CS55" i="1" s="1"/>
  <c r="CT55" i="1" s="1"/>
  <c r="CU55" i="1" s="1"/>
  <c r="Z169" i="1"/>
  <c r="CH169" i="1" s="1"/>
  <c r="X49" i="1"/>
  <c r="CH34" i="1"/>
  <c r="X55" i="1"/>
  <c r="CK34" i="1"/>
  <c r="CI32" i="1"/>
  <c r="CJ57" i="1"/>
  <c r="X31" i="1"/>
  <c r="Y165" i="1"/>
  <c r="Z30" i="1"/>
  <c r="X46" i="1"/>
  <c r="CG61" i="1"/>
  <c r="Y155" i="1"/>
  <c r="CJ49" i="1"/>
  <c r="CG55" i="1"/>
  <c r="Z137" i="1"/>
  <c r="CH137" i="1" s="1"/>
  <c r="CI137" i="1" s="1"/>
  <c r="Y143" i="1"/>
  <c r="Z32" i="1"/>
  <c r="X25" i="1"/>
  <c r="Z150" i="1"/>
  <c r="AA212" i="1" s="1"/>
  <c r="Y154" i="1"/>
  <c r="CG31" i="1"/>
  <c r="X170" i="1"/>
  <c r="Y33" i="1"/>
  <c r="CJ46" i="1"/>
  <c r="CH31" i="1"/>
  <c r="CJ19" i="1"/>
  <c r="Y135" i="1"/>
  <c r="Y34" i="1"/>
  <c r="X87" i="1"/>
  <c r="Y156" i="1"/>
  <c r="CI34" i="1"/>
  <c r="Z42" i="1"/>
  <c r="Z204" i="1" s="1"/>
  <c r="X61" i="1"/>
  <c r="Y145" i="1"/>
  <c r="Y141" i="1" s="1"/>
  <c r="Z31" i="1"/>
  <c r="CK24" i="1"/>
  <c r="CK23" i="1"/>
  <c r="Y147" i="1"/>
  <c r="CK35" i="1"/>
  <c r="JP9" i="4" s="1"/>
  <c r="CI42" i="1"/>
  <c r="Z157" i="1"/>
  <c r="CH157" i="1" s="1"/>
  <c r="Y30" i="1"/>
  <c r="CK30" i="1"/>
  <c r="CO30" i="1" s="1"/>
  <c r="CS30" i="1" s="1"/>
  <c r="CW30" i="1" s="1"/>
  <c r="DA30" i="1" s="1"/>
  <c r="Y142" i="1"/>
  <c r="Y144" i="1" s="1"/>
  <c r="X132" i="1"/>
  <c r="Y153" i="1"/>
  <c r="CK49" i="1"/>
  <c r="Z129" i="1"/>
  <c r="CH129" i="1" s="1"/>
  <c r="Y23" i="1"/>
  <c r="CJ32" i="1"/>
  <c r="Z56" i="1"/>
  <c r="Z174" i="1"/>
  <c r="CH174" i="1" s="1"/>
  <c r="CI174" i="1" s="1"/>
  <c r="Z87" i="1"/>
  <c r="Y46" i="1"/>
  <c r="X181" i="1"/>
  <c r="X57" i="1"/>
  <c r="Z135" i="1"/>
  <c r="CH135" i="1" s="1"/>
  <c r="CI135" i="1" s="1"/>
  <c r="CJ30" i="1"/>
  <c r="CN30" i="1" s="1"/>
  <c r="CR30" i="1" s="1"/>
  <c r="CV30" i="1" s="1"/>
  <c r="CZ30" i="1" s="1"/>
  <c r="X159" i="1"/>
  <c r="X136" i="1"/>
  <c r="X164" i="1" s="1"/>
  <c r="Z156" i="1"/>
  <c r="CH156" i="1" s="1"/>
  <c r="CK32" i="1"/>
  <c r="CH46" i="1"/>
  <c r="CI46" i="1"/>
  <c r="Y163" i="1"/>
  <c r="JR7" i="4"/>
  <c r="KE15" i="4"/>
  <c r="KA15" i="4"/>
  <c r="CJ75" i="1"/>
  <c r="JR8" i="4"/>
  <c r="CX6" i="1"/>
  <c r="BZ135" i="1"/>
  <c r="CA135" i="1" s="1"/>
  <c r="CF84" i="1"/>
  <c r="CD163" i="1"/>
  <c r="CD143" i="1"/>
  <c r="CD134" i="1"/>
  <c r="CE134" i="1" s="1"/>
  <c r="CF137" i="1"/>
  <c r="CG137" i="1" s="1"/>
  <c r="BZ163" i="1"/>
  <c r="BZ174" i="1"/>
  <c r="CA174" i="1" s="1"/>
  <c r="BZ164" i="1"/>
  <c r="CA164" i="1" s="1"/>
  <c r="BZ170" i="1"/>
  <c r="BZ160" i="1"/>
  <c r="CA160" i="1" s="1"/>
  <c r="BZ142" i="1"/>
  <c r="CA83" i="1"/>
  <c r="CF83" i="1"/>
  <c r="CF156" i="1"/>
  <c r="CG156" i="1" s="1"/>
  <c r="CF143" i="1"/>
  <c r="CF154" i="1"/>
  <c r="CF132" i="1"/>
  <c r="CG132" i="1" s="1"/>
  <c r="CF174" i="1"/>
  <c r="CG174" i="1" s="1"/>
  <c r="CD84" i="1"/>
  <c r="CD155" i="1"/>
  <c r="CD132" i="1"/>
  <c r="CE132" i="1" s="1"/>
  <c r="CD141" i="1"/>
  <c r="CD169" i="1"/>
  <c r="CD152" i="1"/>
  <c r="CE152" i="1" s="1"/>
  <c r="CF150" i="1"/>
  <c r="CF136" i="1"/>
  <c r="CG136" i="1" s="1"/>
  <c r="CE84" i="1"/>
  <c r="BZ169" i="1"/>
  <c r="BZ173" i="1"/>
  <c r="CA173" i="1" s="1"/>
  <c r="BZ129" i="1"/>
  <c r="BZ137" i="1"/>
  <c r="CA137" i="1" s="1"/>
  <c r="CF155" i="1"/>
  <c r="CF142" i="1"/>
  <c r="CF159" i="1"/>
  <c r="CD170" i="1"/>
  <c r="CD162" i="1"/>
  <c r="CE162" i="1" s="1"/>
  <c r="BZ165" i="1"/>
  <c r="CA165" i="1" s="1"/>
  <c r="BZ143" i="1"/>
  <c r="BZ127" i="1"/>
  <c r="BZ157" i="1"/>
  <c r="CA157" i="1" s="1"/>
  <c r="BZ134" i="1"/>
  <c r="CA134" i="1" s="1"/>
  <c r="BZ152" i="1"/>
  <c r="CA152" i="1" s="1"/>
  <c r="BZ141" i="1"/>
  <c r="CF134" i="1"/>
  <c r="CF163" i="1"/>
  <c r="CD164" i="1"/>
  <c r="CE164" i="1" s="1"/>
  <c r="CF164" i="1"/>
  <c r="CG164" i="1" s="1"/>
  <c r="BY84" i="1"/>
  <c r="CD173" i="1"/>
  <c r="CE173" i="1" s="1"/>
  <c r="CD145" i="1"/>
  <c r="CE145" i="1" s="1"/>
  <c r="CD137" i="1"/>
  <c r="CE137" i="1" s="1"/>
  <c r="CD157" i="1"/>
  <c r="CE157" i="1" s="1"/>
  <c r="CD129" i="1"/>
  <c r="CD156" i="1"/>
  <c r="CE156" i="1" s="1"/>
  <c r="CD165" i="1"/>
  <c r="CE165" i="1" s="1"/>
  <c r="CD150" i="1"/>
  <c r="CE150" i="1" s="1"/>
  <c r="CF127" i="1"/>
  <c r="CF128" i="1"/>
  <c r="CG128" i="1" s="1"/>
  <c r="CF161" i="1"/>
  <c r="CG161" i="1" s="1"/>
  <c r="CF173" i="1"/>
  <c r="CG173" i="1" s="1"/>
  <c r="AI84" i="1"/>
  <c r="BZ83" i="1"/>
  <c r="CF157" i="1"/>
  <c r="CG157" i="1" s="1"/>
  <c r="CD83" i="1"/>
  <c r="CC84" i="1"/>
  <c r="CD128" i="1"/>
  <c r="CE128" i="1" s="1"/>
  <c r="CD135" i="1"/>
  <c r="CE135" i="1" s="1"/>
  <c r="CF169" i="1"/>
  <c r="CF162" i="1"/>
  <c r="CG162" i="1" s="1"/>
  <c r="CE83" i="1"/>
  <c r="BZ155" i="1"/>
  <c r="BZ132" i="1"/>
  <c r="CA132" i="1" s="1"/>
  <c r="BZ154" i="1"/>
  <c r="BZ128" i="1"/>
  <c r="CA128" i="1" s="1"/>
  <c r="BZ159" i="1"/>
  <c r="BZ156" i="1"/>
  <c r="CA156" i="1" s="1"/>
  <c r="BZ150" i="1"/>
  <c r="CA150" i="1" s="1"/>
  <c r="BZ162" i="1"/>
  <c r="CA162" i="1" s="1"/>
  <c r="CA84" i="1"/>
  <c r="CF165" i="1"/>
  <c r="CG165" i="1" s="1"/>
  <c r="CF160" i="1"/>
  <c r="CG160" i="1" s="1"/>
  <c r="CF170" i="1"/>
  <c r="CF141" i="1"/>
  <c r="CF129" i="1"/>
  <c r="CD142" i="1"/>
  <c r="CD154" i="1"/>
  <c r="CD159" i="1"/>
  <c r="CE159" i="1" s="1"/>
  <c r="CD174" i="1"/>
  <c r="CE174" i="1" s="1"/>
  <c r="CF145" i="1"/>
  <c r="CG145" i="1" s="1"/>
  <c r="CF152" i="1"/>
  <c r="CG152" i="1" s="1"/>
  <c r="CC83" i="1"/>
  <c r="CF147" i="1"/>
  <c r="CG147" i="1" s="1"/>
  <c r="CD147" i="1"/>
  <c r="CE147" i="1" s="1"/>
  <c r="BZ147" i="1"/>
  <c r="CA147" i="1" s="1"/>
  <c r="CD153" i="1"/>
  <c r="CF153" i="1"/>
  <c r="JJ15" i="4"/>
  <c r="JK7" i="4"/>
  <c r="JM14" i="4"/>
  <c r="AE45" i="1"/>
  <c r="U18" i="1"/>
  <c r="U5" i="1" s="1"/>
  <c r="V18" i="1"/>
  <c r="V5" i="1" s="1"/>
  <c r="W18" i="1"/>
  <c r="W5" i="1" s="1"/>
  <c r="BP60" i="3"/>
  <c r="BI93" i="3"/>
  <c r="Y111" i="2"/>
  <c r="BU79" i="3"/>
  <c r="CJ156" i="1" l="1"/>
  <c r="M7" i="6" s="1"/>
  <c r="CK75" i="1"/>
  <c r="CH171" i="1"/>
  <c r="CI219" i="1" s="1"/>
  <c r="CI142" i="1"/>
  <c r="CD136" i="1"/>
  <c r="CE136" i="1" s="1"/>
  <c r="CL166" i="1"/>
  <c r="CM137" i="1"/>
  <c r="CN137" i="1" s="1"/>
  <c r="CO137" i="1" s="1"/>
  <c r="CP137" i="1" s="1"/>
  <c r="CQ137" i="1" s="1"/>
  <c r="CR137" i="1" s="1"/>
  <c r="CS137" i="1" s="1"/>
  <c r="CT137" i="1" s="1"/>
  <c r="CU137" i="1" s="1"/>
  <c r="CV137" i="1" s="1"/>
  <c r="CW137" i="1" s="1"/>
  <c r="CX137" i="1" s="1"/>
  <c r="CY137" i="1" s="1"/>
  <c r="CZ137" i="1" s="1"/>
  <c r="DA137" i="1" s="1"/>
  <c r="DB137" i="1" s="1"/>
  <c r="CL158" i="1"/>
  <c r="CL167" i="1" s="1"/>
  <c r="CM145" i="1"/>
  <c r="CN145" i="1" s="1"/>
  <c r="CO145" i="1" s="1"/>
  <c r="CP145" i="1" s="1"/>
  <c r="CQ145" i="1" s="1"/>
  <c r="CR145" i="1" s="1"/>
  <c r="CS145" i="1" s="1"/>
  <c r="CT145" i="1" s="1"/>
  <c r="CU145" i="1" s="1"/>
  <c r="CV145" i="1" s="1"/>
  <c r="CW145" i="1" s="1"/>
  <c r="CX145" i="1" s="1"/>
  <c r="CY145" i="1" s="1"/>
  <c r="CZ145" i="1" s="1"/>
  <c r="DA145" i="1" s="1"/>
  <c r="DB145" i="1" s="1"/>
  <c r="CM128" i="1"/>
  <c r="CN128" i="1" s="1"/>
  <c r="CO128" i="1" s="1"/>
  <c r="CP128" i="1" s="1"/>
  <c r="CQ128" i="1" s="1"/>
  <c r="CR128" i="1" s="1"/>
  <c r="CS128" i="1" s="1"/>
  <c r="CT128" i="1" s="1"/>
  <c r="CU128" i="1" s="1"/>
  <c r="CV128" i="1" s="1"/>
  <c r="CW128" i="1" s="1"/>
  <c r="CX128" i="1" s="1"/>
  <c r="CY128" i="1" s="1"/>
  <c r="CZ128" i="1" s="1"/>
  <c r="DA128" i="1" s="1"/>
  <c r="DB128" i="1" s="1"/>
  <c r="CF135" i="1"/>
  <c r="CG135" i="1" s="1"/>
  <c r="BZ153" i="1"/>
  <c r="CD161" i="1"/>
  <c r="CE161" i="1" s="1"/>
  <c r="BZ84" i="1"/>
  <c r="BZ136" i="1"/>
  <c r="CA136" i="1" s="1"/>
  <c r="BZ145" i="1"/>
  <c r="CA145" i="1" s="1"/>
  <c r="BZ161" i="1"/>
  <c r="CA161" i="1" s="1"/>
  <c r="CD127" i="1"/>
  <c r="CD160" i="1"/>
  <c r="CE160" i="1" s="1"/>
  <c r="CL171" i="1"/>
  <c r="CJ173" i="1"/>
  <c r="CK173" i="1" s="1"/>
  <c r="CM173" i="1" s="1"/>
  <c r="CN173" i="1" s="1"/>
  <c r="CO173" i="1" s="1"/>
  <c r="CP173" i="1" s="1"/>
  <c r="CQ173" i="1" s="1"/>
  <c r="CR173" i="1" s="1"/>
  <c r="CS173" i="1" s="1"/>
  <c r="CT173" i="1" s="1"/>
  <c r="CU173" i="1" s="1"/>
  <c r="CV173" i="1" s="1"/>
  <c r="CW173" i="1" s="1"/>
  <c r="CX173" i="1" s="1"/>
  <c r="CY173" i="1" s="1"/>
  <c r="CZ173" i="1" s="1"/>
  <c r="DA173" i="1" s="1"/>
  <c r="DB173" i="1" s="1"/>
  <c r="JV9" i="4" s="1"/>
  <c r="KF9" i="4" s="1"/>
  <c r="KC16" i="4" s="1"/>
  <c r="CH84" i="1"/>
  <c r="CJ165" i="1"/>
  <c r="CH83" i="1"/>
  <c r="JM21" i="4"/>
  <c r="CG87" i="1" s="1"/>
  <c r="CJ154" i="1"/>
  <c r="JV16" i="4" s="1"/>
  <c r="JV21" i="4" s="1"/>
  <c r="CJ163" i="1"/>
  <c r="CB262" i="1"/>
  <c r="CB20" i="1"/>
  <c r="CM132" i="1"/>
  <c r="CN132" i="1" s="1"/>
  <c r="CO132" i="1" s="1"/>
  <c r="CP132" i="1" s="1"/>
  <c r="CQ132" i="1" s="1"/>
  <c r="CR132" i="1" s="1"/>
  <c r="CS132" i="1" s="1"/>
  <c r="CT132" i="1" s="1"/>
  <c r="CU132" i="1" s="1"/>
  <c r="CV132" i="1" s="1"/>
  <c r="CW132" i="1" s="1"/>
  <c r="CX132" i="1" s="1"/>
  <c r="CY132" i="1" s="1"/>
  <c r="CZ132" i="1" s="1"/>
  <c r="DA132" i="1" s="1"/>
  <c r="DB132" i="1" s="1"/>
  <c r="BL262" i="1"/>
  <c r="CH73" i="1"/>
  <c r="BL83" i="1"/>
  <c r="CD193" i="1"/>
  <c r="CE193" i="1" s="1"/>
  <c r="BL134" i="1"/>
  <c r="BM134" i="1" s="1"/>
  <c r="BL155" i="1"/>
  <c r="BL190" i="1" s="1"/>
  <c r="BM190" i="1" s="1"/>
  <c r="BL163" i="1"/>
  <c r="BL193" i="1" s="1"/>
  <c r="BM193" i="1" s="1"/>
  <c r="BL132" i="1"/>
  <c r="BM132" i="1" s="1"/>
  <c r="CF189" i="1"/>
  <c r="CG189" i="1" s="1"/>
  <c r="CD190" i="1"/>
  <c r="CE190" i="1" s="1"/>
  <c r="BL135" i="1"/>
  <c r="BL164" i="1"/>
  <c r="BM164" i="1" s="1"/>
  <c r="BL173" i="1"/>
  <c r="BM173" i="1" s="1"/>
  <c r="BL174" i="1"/>
  <c r="BL143" i="1"/>
  <c r="BL159" i="1"/>
  <c r="BM159" i="1" s="1"/>
  <c r="BL170" i="1"/>
  <c r="BL160" i="1"/>
  <c r="BM160" i="1" s="1"/>
  <c r="BL157" i="1"/>
  <c r="BM157" i="1" s="1"/>
  <c r="BL145" i="1"/>
  <c r="BM145" i="1" s="1"/>
  <c r="BL136" i="1"/>
  <c r="BM136" i="1" s="1"/>
  <c r="BL156" i="1"/>
  <c r="BM156" i="1" s="1"/>
  <c r="BL162" i="1"/>
  <c r="BM162" i="1" s="1"/>
  <c r="BL129" i="1"/>
  <c r="BL165" i="1"/>
  <c r="BM165" i="1" s="1"/>
  <c r="BL154" i="1"/>
  <c r="BL141" i="1"/>
  <c r="BL142" i="1"/>
  <c r="BL150" i="1"/>
  <c r="BL137" i="1"/>
  <c r="BM137" i="1" s="1"/>
  <c r="BL169" i="1"/>
  <c r="BL127" i="1"/>
  <c r="BM127" i="1" s="1"/>
  <c r="BL161" i="1"/>
  <c r="BM161" i="1" s="1"/>
  <c r="BL152" i="1"/>
  <c r="BM152" i="1" s="1"/>
  <c r="BL128" i="1"/>
  <c r="BM128" i="1" s="1"/>
  <c r="BL147" i="1"/>
  <c r="BM147" i="1" s="1"/>
  <c r="BL153" i="1"/>
  <c r="CL148" i="1"/>
  <c r="CL212" i="1"/>
  <c r="CL138" i="1"/>
  <c r="Y84" i="1"/>
  <c r="CM174" i="1"/>
  <c r="CN174" i="1" s="1"/>
  <c r="CO174" i="1" s="1"/>
  <c r="CP174" i="1" s="1"/>
  <c r="CQ174" i="1" s="1"/>
  <c r="CR174" i="1" s="1"/>
  <c r="CS174" i="1" s="1"/>
  <c r="CT174" i="1" s="1"/>
  <c r="CU174" i="1" s="1"/>
  <c r="CV174" i="1" s="1"/>
  <c r="CW174" i="1" s="1"/>
  <c r="CX174" i="1" s="1"/>
  <c r="CY174" i="1" s="1"/>
  <c r="CZ174" i="1" s="1"/>
  <c r="DA174" i="1" s="1"/>
  <c r="DB174" i="1" s="1"/>
  <c r="CJ136" i="1"/>
  <c r="CK136" i="1" s="1"/>
  <c r="CM136" i="1" s="1"/>
  <c r="CN136" i="1" s="1"/>
  <c r="CO136" i="1" s="1"/>
  <c r="CP136" i="1" s="1"/>
  <c r="CQ136" i="1" s="1"/>
  <c r="CR136" i="1" s="1"/>
  <c r="CS136" i="1" s="1"/>
  <c r="CT136" i="1" s="1"/>
  <c r="CU136" i="1" s="1"/>
  <c r="CV136" i="1" s="1"/>
  <c r="CW136" i="1" s="1"/>
  <c r="CX136" i="1" s="1"/>
  <c r="CY136" i="1" s="1"/>
  <c r="CZ136" i="1" s="1"/>
  <c r="DA136" i="1" s="1"/>
  <c r="DB136" i="1" s="1"/>
  <c r="CJ144" i="1"/>
  <c r="CJ157" i="1"/>
  <c r="CJ84" i="1"/>
  <c r="CJ147" i="1"/>
  <c r="CK147" i="1" s="1"/>
  <c r="CM147" i="1" s="1"/>
  <c r="CN147" i="1" s="1"/>
  <c r="CO147" i="1" s="1"/>
  <c r="CP147" i="1" s="1"/>
  <c r="CQ147" i="1" s="1"/>
  <c r="CR147" i="1" s="1"/>
  <c r="CS147" i="1" s="1"/>
  <c r="CT147" i="1" s="1"/>
  <c r="CU147" i="1" s="1"/>
  <c r="CV147" i="1" s="1"/>
  <c r="CW147" i="1" s="1"/>
  <c r="CX147" i="1" s="1"/>
  <c r="CY147" i="1" s="1"/>
  <c r="CZ147" i="1" s="1"/>
  <c r="DA147" i="1" s="1"/>
  <c r="DB147" i="1" s="1"/>
  <c r="CJ162" i="1"/>
  <c r="CE20" i="1"/>
  <c r="CI83" i="1"/>
  <c r="JW16" i="4" s="1"/>
  <c r="CB159" i="1"/>
  <c r="CC159" i="1" s="1"/>
  <c r="CB169" i="1"/>
  <c r="CB170" i="1"/>
  <c r="CB165" i="1"/>
  <c r="CC165" i="1" s="1"/>
  <c r="CB147" i="1"/>
  <c r="CC147" i="1" s="1"/>
  <c r="CM135" i="1"/>
  <c r="CN135" i="1" s="1"/>
  <c r="CO135" i="1" s="1"/>
  <c r="CP135" i="1" s="1"/>
  <c r="CQ135" i="1" s="1"/>
  <c r="CR135" i="1" s="1"/>
  <c r="Y83" i="1"/>
  <c r="Z83" i="1"/>
  <c r="CG83" i="1"/>
  <c r="CB129" i="1"/>
  <c r="CB83" i="1"/>
  <c r="CB128" i="1"/>
  <c r="CC128" i="1" s="1"/>
  <c r="CB127" i="1"/>
  <c r="CC127" i="1" s="1"/>
  <c r="CB145" i="1"/>
  <c r="CC145" i="1" s="1"/>
  <c r="CB143" i="1"/>
  <c r="CI84" i="1"/>
  <c r="Y7" i="6" s="1"/>
  <c r="W7" i="6" s="1"/>
  <c r="CA263" i="1"/>
  <c r="AH7" i="6" s="1"/>
  <c r="CJ134" i="1"/>
  <c r="CK134" i="1" s="1"/>
  <c r="G7" i="6" s="1"/>
  <c r="CJ129" i="1"/>
  <c r="CJ83" i="1"/>
  <c r="CJ143" i="1"/>
  <c r="CK143" i="1" s="1"/>
  <c r="AK7" i="6" s="1"/>
  <c r="CJ159" i="1"/>
  <c r="JW15" i="4" s="1"/>
  <c r="CJ170" i="1"/>
  <c r="CG84" i="1"/>
  <c r="CB137" i="1"/>
  <c r="CC137" i="1" s="1"/>
  <c r="CB135" i="1"/>
  <c r="CC135" i="1" s="1"/>
  <c r="CB155" i="1"/>
  <c r="CB150" i="1"/>
  <c r="CB161" i="1"/>
  <c r="CC161" i="1" s="1"/>
  <c r="KH21" i="4"/>
  <c r="JQ9" i="4" s="1"/>
  <c r="Z84" i="1"/>
  <c r="JY21" i="4"/>
  <c r="JZ21" i="4"/>
  <c r="CI20" i="1"/>
  <c r="KD21" i="4"/>
  <c r="JO16" i="4" s="1"/>
  <c r="JY14" i="4" s="1"/>
  <c r="Y138" i="1"/>
  <c r="CB154" i="1"/>
  <c r="CB189" i="1" s="1"/>
  <c r="CC189" i="1" s="1"/>
  <c r="CB173" i="1"/>
  <c r="CC173" i="1" s="1"/>
  <c r="CB136" i="1"/>
  <c r="CC136" i="1" s="1"/>
  <c r="CB141" i="1"/>
  <c r="CB134" i="1"/>
  <c r="CC134" i="1" s="1"/>
  <c r="CB142" i="1"/>
  <c r="CB160" i="1"/>
  <c r="CC160" i="1" s="1"/>
  <c r="CB156" i="1"/>
  <c r="CC156" i="1" s="1"/>
  <c r="CB174" i="1"/>
  <c r="CC174" i="1" s="1"/>
  <c r="CB162" i="1"/>
  <c r="CC162" i="1" s="1"/>
  <c r="CB152" i="1"/>
  <c r="CC152" i="1" s="1"/>
  <c r="CB164" i="1"/>
  <c r="CC164" i="1" s="1"/>
  <c r="CB163" i="1"/>
  <c r="CB157" i="1"/>
  <c r="CC157" i="1" s="1"/>
  <c r="CB132" i="1"/>
  <c r="CC132" i="1" s="1"/>
  <c r="CB153" i="1"/>
  <c r="CB84" i="1"/>
  <c r="CL38" i="1"/>
  <c r="CL27" i="1"/>
  <c r="BL20" i="1"/>
  <c r="BL26" i="1" s="1"/>
  <c r="JJ21" i="4"/>
  <c r="CD87" i="1" s="1"/>
  <c r="J7" i="6" s="1"/>
  <c r="I7" i="6" s="1"/>
  <c r="C7" i="6" s="1"/>
  <c r="KA21" i="4"/>
  <c r="X193" i="1"/>
  <c r="JT21" i="4"/>
  <c r="CH130" i="1"/>
  <c r="CH258" i="1" s="1"/>
  <c r="Y190" i="1"/>
  <c r="CJ262" i="1"/>
  <c r="CI262" i="1"/>
  <c r="Y204" i="1"/>
  <c r="CG262" i="1"/>
  <c r="Y20" i="1"/>
  <c r="Y108" i="1" s="1"/>
  <c r="Z141" i="1"/>
  <c r="AB55" i="1"/>
  <c r="Y43" i="1"/>
  <c r="CF193" i="1"/>
  <c r="CG193" i="1" s="1"/>
  <c r="CD189" i="1"/>
  <c r="CE189" i="1" s="1"/>
  <c r="CA262" i="1"/>
  <c r="BL204" i="1"/>
  <c r="CF20" i="1"/>
  <c r="CF262" i="1"/>
  <c r="CE241" i="1"/>
  <c r="CC263" i="1"/>
  <c r="CA36" i="1"/>
  <c r="CE262" i="1"/>
  <c r="CC262" i="1"/>
  <c r="CD263" i="1"/>
  <c r="CF241" i="1"/>
  <c r="CE108" i="1"/>
  <c r="CD20" i="1"/>
  <c r="CD26" i="1" s="1"/>
  <c r="CC20" i="1"/>
  <c r="CF263" i="1"/>
  <c r="CE263" i="1"/>
  <c r="BZ36" i="1"/>
  <c r="CC36" i="1"/>
  <c r="AS7" i="6" s="1"/>
  <c r="K7" i="6" s="1"/>
  <c r="X166" i="1"/>
  <c r="X195" i="1" s="1"/>
  <c r="JN21" i="4"/>
  <c r="CH87" i="1" s="1"/>
  <c r="CH150" i="1"/>
  <c r="CI150" i="1" s="1"/>
  <c r="JL14" i="4"/>
  <c r="Y130" i="1"/>
  <c r="Y185" i="1" s="1"/>
  <c r="KB21" i="4"/>
  <c r="JN7" i="4"/>
  <c r="JN19" i="4" s="1"/>
  <c r="CH88" i="1" s="1"/>
  <c r="JZ19" i="4"/>
  <c r="KG14" i="4"/>
  <c r="JU14" i="4"/>
  <c r="CH36" i="1"/>
  <c r="Z130" i="1"/>
  <c r="AA217" i="1" s="1"/>
  <c r="CK127" i="1"/>
  <c r="CM127" i="1" s="1"/>
  <c r="CN127" i="1" s="1"/>
  <c r="CO127" i="1" s="1"/>
  <c r="CP127" i="1" s="1"/>
  <c r="CQ127" i="1" s="1"/>
  <c r="CR127" i="1" s="1"/>
  <c r="CS127" i="1" s="1"/>
  <c r="CT127" i="1" s="1"/>
  <c r="CU127" i="1" s="1"/>
  <c r="CV127" i="1" s="1"/>
  <c r="CW127" i="1" s="1"/>
  <c r="CX127" i="1" s="1"/>
  <c r="CY127" i="1" s="1"/>
  <c r="CZ127" i="1" s="1"/>
  <c r="DA127" i="1" s="1"/>
  <c r="DB127" i="1" s="1"/>
  <c r="JV15" i="4"/>
  <c r="X130" i="1"/>
  <c r="X185" i="1" s="1"/>
  <c r="Z20" i="1"/>
  <c r="KE8" i="4"/>
  <c r="KE20" i="4" s="1"/>
  <c r="JP8" i="4"/>
  <c r="JY7" i="4"/>
  <c r="JO15" i="4"/>
  <c r="JO20" i="4" s="1"/>
  <c r="CI89" i="1" s="1"/>
  <c r="KE7" i="4"/>
  <c r="JS21" i="4"/>
  <c r="KH8" i="4"/>
  <c r="JV7" i="4"/>
  <c r="KG7" i="4"/>
  <c r="CE36" i="1"/>
  <c r="JK15" i="4"/>
  <c r="CB108" i="1"/>
  <c r="BL263" i="1"/>
  <c r="JL7" i="4"/>
  <c r="JR14" i="4"/>
  <c r="JR19" i="4" s="1"/>
  <c r="CL88" i="1" s="1"/>
  <c r="Z183" i="1"/>
  <c r="BL36" i="1"/>
  <c r="BY36" i="1"/>
  <c r="JV14" i="4"/>
  <c r="Y166" i="1"/>
  <c r="Y195" i="1" s="1"/>
  <c r="JO7" i="4"/>
  <c r="KE14" i="4"/>
  <c r="CB36" i="1"/>
  <c r="CI108" i="1"/>
  <c r="BZ190" i="1"/>
  <c r="CA190" i="1" s="1"/>
  <c r="CF190" i="1"/>
  <c r="CG190" i="1" s="1"/>
  <c r="Y241" i="1"/>
  <c r="X263" i="1"/>
  <c r="X138" i="1"/>
  <c r="X47" i="1" s="1"/>
  <c r="JQ7" i="4"/>
  <c r="JT15" i="4"/>
  <c r="JQ15" i="4"/>
  <c r="JT7" i="4"/>
  <c r="KF14" i="4"/>
  <c r="JL8" i="4"/>
  <c r="JM8" i="4"/>
  <c r="JM7" i="4"/>
  <c r="JJ8" i="4"/>
  <c r="CF36" i="1"/>
  <c r="CD36" i="1"/>
  <c r="JK14" i="4"/>
  <c r="CG20" i="1"/>
  <c r="AB56" i="1"/>
  <c r="Y193" i="1"/>
  <c r="CK36" i="1"/>
  <c r="Y158" i="1"/>
  <c r="Y192" i="1" s="1"/>
  <c r="KF8" i="4"/>
  <c r="JR15" i="4"/>
  <c r="JR20" i="4" s="1"/>
  <c r="CL89" i="1" s="1"/>
  <c r="KH7" i="4"/>
  <c r="CG263" i="1"/>
  <c r="Z171" i="1"/>
  <c r="AA219" i="1" s="1"/>
  <c r="Z36" i="1"/>
  <c r="Y171" i="1"/>
  <c r="CC108" i="1"/>
  <c r="CA204" i="1"/>
  <c r="BZ193" i="1"/>
  <c r="CA193" i="1" s="1"/>
  <c r="CH189" i="1"/>
  <c r="CI189" i="1" s="1"/>
  <c r="X5" i="1"/>
  <c r="X241" i="1"/>
  <c r="X20" i="1"/>
  <c r="BZ20" i="1"/>
  <c r="CK108" i="1"/>
  <c r="CK109" i="1" s="1"/>
  <c r="CH20" i="1"/>
  <c r="CL21" i="1" s="1"/>
  <c r="CH241" i="1"/>
  <c r="CI36" i="1"/>
  <c r="Z212" i="1"/>
  <c r="CH152" i="1"/>
  <c r="Z158" i="1"/>
  <c r="AA206" i="1" s="1"/>
  <c r="Z164" i="1"/>
  <c r="JP21" i="4"/>
  <c r="CJ87" i="1" s="1"/>
  <c r="JP7" i="4"/>
  <c r="CJ204" i="1"/>
  <c r="CJ263" i="1"/>
  <c r="X158" i="1"/>
  <c r="X192" i="1" s="1"/>
  <c r="KB15" i="4"/>
  <c r="BZ262" i="1"/>
  <c r="BY20" i="1"/>
  <c r="BY26" i="1" s="1"/>
  <c r="BY27" i="1" s="1"/>
  <c r="CJ36" i="1"/>
  <c r="X262" i="1"/>
  <c r="CG36" i="1"/>
  <c r="Y262" i="1"/>
  <c r="JP14" i="4"/>
  <c r="X144" i="1"/>
  <c r="X148" i="1" s="1"/>
  <c r="KB14" i="4"/>
  <c r="JX7" i="4"/>
  <c r="JX19" i="4" s="1"/>
  <c r="JQ14" i="4"/>
  <c r="X190" i="1"/>
  <c r="JY8" i="4"/>
  <c r="CD108" i="1"/>
  <c r="CD262" i="1"/>
  <c r="Y183" i="1"/>
  <c r="KD7" i="4"/>
  <c r="KD19" i="4" s="1"/>
  <c r="JW8" i="4"/>
  <c r="KA14" i="4"/>
  <c r="KC21" i="4"/>
  <c r="CI127" i="1"/>
  <c r="Y36" i="1"/>
  <c r="CH193" i="1"/>
  <c r="CI193" i="1" s="1"/>
  <c r="CK5" i="1"/>
  <c r="CK20" i="1"/>
  <c r="Y263" i="1"/>
  <c r="KA7" i="4"/>
  <c r="KF21" i="4"/>
  <c r="BZ263" i="1"/>
  <c r="BY263" i="1"/>
  <c r="CF108" i="1"/>
  <c r="CA20" i="1"/>
  <c r="CA26" i="1" s="1"/>
  <c r="CA27" i="1" s="1"/>
  <c r="BZ189" i="1"/>
  <c r="CA189" i="1" s="1"/>
  <c r="CI75" i="1"/>
  <c r="CI118" i="1" s="1"/>
  <c r="CJ20" i="1"/>
  <c r="X36" i="1"/>
  <c r="X171" i="1"/>
  <c r="JZ15" i="4"/>
  <c r="Z262" i="1"/>
  <c r="Z5" i="1"/>
  <c r="Z241" i="1"/>
  <c r="KA8" i="4"/>
  <c r="KA20" i="4" s="1"/>
  <c r="JU8" i="4"/>
  <c r="JU20" i="4" s="1"/>
  <c r="JQ8" i="4"/>
  <c r="JN8" i="4"/>
  <c r="JN20" i="4" s="1"/>
  <c r="CH89" i="1" s="1"/>
  <c r="JR21" i="4"/>
  <c r="CL87" i="1" s="1"/>
  <c r="CM143" i="1"/>
  <c r="CN143" i="1" s="1"/>
  <c r="CO143" i="1" s="1"/>
  <c r="CP143" i="1" s="1"/>
  <c r="KC7" i="4"/>
  <c r="KC19" i="4" s="1"/>
  <c r="KD8" i="4"/>
  <c r="JS15" i="4"/>
  <c r="JW14" i="4"/>
  <c r="KG15" i="4"/>
  <c r="CH262" i="1"/>
  <c r="CH108" i="1"/>
  <c r="Y148" i="1"/>
  <c r="Z263" i="1"/>
  <c r="CH155" i="1"/>
  <c r="CH190" i="1" s="1"/>
  <c r="CI190" i="1" s="1"/>
  <c r="Z190" i="1"/>
  <c r="X183" i="1"/>
  <c r="KC8" i="4"/>
  <c r="Z138" i="1"/>
  <c r="CH134" i="1"/>
  <c r="JZ8" i="4"/>
  <c r="CG108" i="1"/>
  <c r="Z189" i="1"/>
  <c r="JP15" i="4"/>
  <c r="JP20" i="4" s="1"/>
  <c r="CJ89" i="1" s="1"/>
  <c r="CJ118" i="1" s="1"/>
  <c r="CH204" i="1"/>
  <c r="CH263" i="1"/>
  <c r="KB7" i="4"/>
  <c r="JS14" i="4"/>
  <c r="JS19" i="4" s="1"/>
  <c r="JY15" i="4"/>
  <c r="JX15" i="4"/>
  <c r="JX20" i="4" s="1"/>
  <c r="CB263" i="1"/>
  <c r="Y212" i="1"/>
  <c r="CJ108" i="1"/>
  <c r="CJ109" i="1" s="1"/>
  <c r="Z193" i="1"/>
  <c r="Y189" i="1"/>
  <c r="CI204" i="1"/>
  <c r="CI263" i="1"/>
  <c r="JS8" i="4"/>
  <c r="X189" i="1"/>
  <c r="KF15" i="4"/>
  <c r="JX21" i="4"/>
  <c r="JO14" i="4"/>
  <c r="JU7" i="4"/>
  <c r="KG21" i="4"/>
  <c r="JT14" i="4"/>
  <c r="KC15" i="4"/>
  <c r="KD15" i="4"/>
  <c r="JW7" i="4"/>
  <c r="CJ190" i="1"/>
  <c r="CK190" i="1" s="1"/>
  <c r="CL190" i="1" s="1"/>
  <c r="CM190" i="1" s="1"/>
  <c r="CN190" i="1" s="1"/>
  <c r="CO190" i="1" s="1"/>
  <c r="CP190" i="1" s="1"/>
  <c r="CQ190" i="1" s="1"/>
  <c r="CR190" i="1" s="1"/>
  <c r="CS190" i="1" s="1"/>
  <c r="CR56" i="1"/>
  <c r="CS56" i="1" s="1"/>
  <c r="CT56" i="1" s="1"/>
  <c r="CU56" i="1" s="1"/>
  <c r="AC55" i="1"/>
  <c r="CV55" i="1"/>
  <c r="CW55" i="1" s="1"/>
  <c r="CX55" i="1" s="1"/>
  <c r="CY55" i="1" s="1"/>
  <c r="CZ55" i="1" s="1"/>
  <c r="DA55" i="1" s="1"/>
  <c r="DB55" i="1" s="1"/>
  <c r="AE55" i="1" s="1"/>
  <c r="CM150" i="1"/>
  <c r="CM212" i="1" s="1"/>
  <c r="CY6" i="1"/>
  <c r="CZ6" i="1" s="1"/>
  <c r="CM134" i="1"/>
  <c r="BZ171" i="1"/>
  <c r="CA127" i="1"/>
  <c r="BZ130" i="1"/>
  <c r="CG134" i="1"/>
  <c r="CD144" i="1"/>
  <c r="CE43" i="1" s="1"/>
  <c r="CD171" i="1"/>
  <c r="CF212" i="1"/>
  <c r="CG150" i="1"/>
  <c r="CG159" i="1"/>
  <c r="CF166" i="1"/>
  <c r="CF195" i="1" s="1"/>
  <c r="CG127" i="1"/>
  <c r="CF130" i="1"/>
  <c r="CA159" i="1"/>
  <c r="BZ144" i="1"/>
  <c r="CF171" i="1"/>
  <c r="CF144" i="1"/>
  <c r="CF148" i="1" s="1"/>
  <c r="CE212" i="1"/>
  <c r="CE153" i="1"/>
  <c r="CD158" i="1"/>
  <c r="CG153" i="1"/>
  <c r="CF158" i="1"/>
  <c r="JJ19" i="4"/>
  <c r="CD88" i="1" s="1"/>
  <c r="CA212" i="1"/>
  <c r="V241" i="1"/>
  <c r="W241" i="1"/>
  <c r="U241" i="1"/>
  <c r="CB193" i="1" l="1"/>
  <c r="CC193" i="1" s="1"/>
  <c r="AA68" i="1"/>
  <c r="CB26" i="1"/>
  <c r="BL37" i="1"/>
  <c r="Y194" i="1"/>
  <c r="CJ193" i="1"/>
  <c r="CK193" i="1" s="1"/>
  <c r="CJ142" i="1"/>
  <c r="CJ189" i="1"/>
  <c r="CK189" i="1" s="1"/>
  <c r="CL189" i="1" s="1"/>
  <c r="CM189" i="1" s="1"/>
  <c r="CD138" i="1"/>
  <c r="CK43" i="1"/>
  <c r="BL189" i="1"/>
  <c r="BM189" i="1" s="1"/>
  <c r="CJ158" i="1"/>
  <c r="CG138" i="1"/>
  <c r="CF138" i="1"/>
  <c r="CE127" i="1"/>
  <c r="CD130" i="1"/>
  <c r="CE138" i="1"/>
  <c r="BZ166" i="1"/>
  <c r="BZ195" i="1" s="1"/>
  <c r="BZ148" i="1"/>
  <c r="CA138" i="1"/>
  <c r="BZ138" i="1"/>
  <c r="CD166" i="1"/>
  <c r="CD195" i="1" s="1"/>
  <c r="CD194" i="1" s="1"/>
  <c r="CA153" i="1"/>
  <c r="BZ158" i="1"/>
  <c r="CJ148" i="1"/>
  <c r="O7" i="6" s="1"/>
  <c r="X194" i="1"/>
  <c r="JV20" i="4"/>
  <c r="Z37" i="1"/>
  <c r="CK138" i="1"/>
  <c r="CI37" i="1"/>
  <c r="CJ166" i="1"/>
  <c r="CJ195" i="1" s="1"/>
  <c r="JY20" i="4"/>
  <c r="CE26" i="1"/>
  <c r="AA21" i="1"/>
  <c r="AA198" i="1"/>
  <c r="AA259" i="1"/>
  <c r="AA216" i="1"/>
  <c r="AA215" i="1" s="1"/>
  <c r="CH37" i="1"/>
  <c r="CL178" i="1"/>
  <c r="CL139" i="1"/>
  <c r="CL175" i="1"/>
  <c r="CL176" i="1" s="1"/>
  <c r="CI26" i="1"/>
  <c r="JY19" i="4"/>
  <c r="JQ19" i="4"/>
  <c r="CK88" i="1" s="1"/>
  <c r="CK117" i="1" s="1"/>
  <c r="CJ171" i="1"/>
  <c r="CB190" i="1"/>
  <c r="CC190" i="1" s="1"/>
  <c r="CI212" i="1"/>
  <c r="JW20" i="4"/>
  <c r="CJ138" i="1"/>
  <c r="Y37" i="1"/>
  <c r="CJ198" i="1"/>
  <c r="KF20" i="4"/>
  <c r="JO21" i="4"/>
  <c r="CI87" i="1" s="1"/>
  <c r="JO19" i="4"/>
  <c r="CI88" i="1" s="1"/>
  <c r="JU19" i="4"/>
  <c r="JT19" i="4"/>
  <c r="JQ21" i="4"/>
  <c r="CK87" i="1" s="1"/>
  <c r="Y47" i="1"/>
  <c r="Y21" i="1"/>
  <c r="Y26" i="1"/>
  <c r="Y27" i="1" s="1"/>
  <c r="KH20" i="4"/>
  <c r="Z144" i="1"/>
  <c r="CH141" i="1"/>
  <c r="CH22" i="1"/>
  <c r="CG154" i="1"/>
  <c r="X139" i="1"/>
  <c r="CG73" i="1"/>
  <c r="CH75" i="1"/>
  <c r="BL171" i="1"/>
  <c r="BL130" i="1"/>
  <c r="BM150" i="1"/>
  <c r="BM212" i="1" s="1"/>
  <c r="BM135" i="1"/>
  <c r="BM138" i="1" s="1"/>
  <c r="BL138" i="1"/>
  <c r="BL144" i="1"/>
  <c r="BL166" i="1"/>
  <c r="BL195" i="1" s="1"/>
  <c r="BL194" i="1" s="1"/>
  <c r="BM153" i="1"/>
  <c r="BL158" i="1"/>
  <c r="CE155" i="1"/>
  <c r="CI21" i="1"/>
  <c r="CG163" i="1"/>
  <c r="CJ130" i="1"/>
  <c r="U7" i="6"/>
  <c r="AE7" i="6" s="1"/>
  <c r="CJ212" i="1"/>
  <c r="KG19" i="4"/>
  <c r="JW21" i="4"/>
  <c r="X196" i="1"/>
  <c r="KH19" i="4"/>
  <c r="CG37" i="1"/>
  <c r="JT20" i="4"/>
  <c r="CG26" i="1"/>
  <c r="Y216" i="1"/>
  <c r="KF19" i="4"/>
  <c r="Y196" i="1"/>
  <c r="CS135" i="1"/>
  <c r="CB212" i="1"/>
  <c r="CB171" i="1"/>
  <c r="CC219" i="1" s="1"/>
  <c r="CC150" i="1"/>
  <c r="CD212" i="1" s="1"/>
  <c r="CF194" i="1"/>
  <c r="CB144" i="1"/>
  <c r="CC138" i="1"/>
  <c r="CB138" i="1"/>
  <c r="CB166" i="1"/>
  <c r="CB195" i="1" s="1"/>
  <c r="CB130" i="1"/>
  <c r="CC153" i="1"/>
  <c r="CB158" i="1"/>
  <c r="CE163" i="1"/>
  <c r="CE166" i="1" s="1"/>
  <c r="CE195" i="1" s="1"/>
  <c r="CE194" i="1" s="1"/>
  <c r="JK20" i="4"/>
  <c r="CE89" i="1" s="1"/>
  <c r="CE37" i="1"/>
  <c r="CB37" i="1"/>
  <c r="BL27" i="1"/>
  <c r="BL38" i="1"/>
  <c r="CT190" i="1"/>
  <c r="CL39" i="1"/>
  <c r="CL44" i="1"/>
  <c r="CL48" i="1" s="1"/>
  <c r="KG20" i="4"/>
  <c r="Y258" i="1"/>
  <c r="Z198" i="1"/>
  <c r="CG155" i="1"/>
  <c r="CD37" i="1"/>
  <c r="Y198" i="1"/>
  <c r="CH235" i="1"/>
  <c r="KB20" i="4"/>
  <c r="JW19" i="4"/>
  <c r="Y178" i="1"/>
  <c r="Y119" i="1" s="1"/>
  <c r="Y254" i="1"/>
  <c r="Z206" i="1"/>
  <c r="Y207" i="1"/>
  <c r="JK19" i="4"/>
  <c r="CE88" i="1" s="1"/>
  <c r="CC21" i="1"/>
  <c r="CC37" i="1"/>
  <c r="CI235" i="1"/>
  <c r="CF26" i="1"/>
  <c r="CG22" i="1"/>
  <c r="CJ21" i="1"/>
  <c r="JL20" i="4"/>
  <c r="CF89" i="1" s="1"/>
  <c r="BZ26" i="1"/>
  <c r="CD28" i="1" s="1"/>
  <c r="CF37" i="1"/>
  <c r="Y68" i="1"/>
  <c r="JM20" i="4"/>
  <c r="CG89" i="1" s="1"/>
  <c r="JM19" i="4"/>
  <c r="CG88" i="1" s="1"/>
  <c r="JJ20" i="4"/>
  <c r="CD89" i="1" s="1"/>
  <c r="JL19" i="4"/>
  <c r="CF88" i="1" s="1"/>
  <c r="CD21" i="1"/>
  <c r="CD235" i="1"/>
  <c r="BZ37" i="1"/>
  <c r="CE154" i="1"/>
  <c r="CE198" i="1"/>
  <c r="CG198" i="1"/>
  <c r="CF21" i="1"/>
  <c r="CC26" i="1"/>
  <c r="CF235" i="1"/>
  <c r="CB22" i="1"/>
  <c r="CG235" i="1"/>
  <c r="CF22" i="1"/>
  <c r="CF198" i="1"/>
  <c r="CE235" i="1"/>
  <c r="CC22" i="1"/>
  <c r="CC235" i="1"/>
  <c r="CD22" i="1"/>
  <c r="CH21" i="1"/>
  <c r="CD27" i="1"/>
  <c r="CG21" i="1"/>
  <c r="CE22" i="1"/>
  <c r="CH198" i="1"/>
  <c r="BY38" i="1"/>
  <c r="CJ37" i="1"/>
  <c r="Z185" i="1"/>
  <c r="Z258" i="1"/>
  <c r="Z192" i="1"/>
  <c r="Z216" i="1"/>
  <c r="CK26" i="1"/>
  <c r="CL22" i="1"/>
  <c r="Z26" i="1"/>
  <c r="AA28" i="1" s="1"/>
  <c r="JZ20" i="4"/>
  <c r="Y206" i="1"/>
  <c r="JS20" i="4"/>
  <c r="Z108" i="1"/>
  <c r="Y167" i="1"/>
  <c r="Y175" i="1" s="1"/>
  <c r="Y191" i="1"/>
  <c r="JQ20" i="4"/>
  <c r="CK89" i="1" s="1"/>
  <c r="CK37" i="1"/>
  <c r="JV19" i="4"/>
  <c r="KE19" i="4"/>
  <c r="CD38" i="1"/>
  <c r="Z21" i="1"/>
  <c r="X37" i="1"/>
  <c r="Y259" i="1"/>
  <c r="X178" i="1"/>
  <c r="X119" i="1" s="1"/>
  <c r="X167" i="1"/>
  <c r="X175" i="1" s="1"/>
  <c r="Y139" i="1"/>
  <c r="CH164" i="1"/>
  <c r="CH166" i="1" s="1"/>
  <c r="CH195" i="1" s="1"/>
  <c r="CH194" i="1" s="1"/>
  <c r="CI194" i="1" s="1"/>
  <c r="Z166" i="1"/>
  <c r="AA207" i="1" s="1"/>
  <c r="AA208" i="1" s="1"/>
  <c r="AA209" i="1" s="1"/>
  <c r="BZ22" i="1"/>
  <c r="BY37" i="1"/>
  <c r="CL193" i="1"/>
  <c r="CA22" i="1"/>
  <c r="KC20" i="4"/>
  <c r="CJ141" i="1"/>
  <c r="CK141" i="1" s="1"/>
  <c r="CK142" i="1"/>
  <c r="CL142" i="1" s="1"/>
  <c r="CL141" i="1" s="1"/>
  <c r="Z219" i="1"/>
  <c r="Y256" i="1"/>
  <c r="KB19" i="4"/>
  <c r="CH138" i="1"/>
  <c r="CI134" i="1"/>
  <c r="CI138" i="1" s="1"/>
  <c r="Y213" i="1"/>
  <c r="Y211" i="1" s="1"/>
  <c r="Z139" i="1"/>
  <c r="Z178" i="1"/>
  <c r="Z119" i="1" s="1"/>
  <c r="Y219" i="1"/>
  <c r="X258" i="1"/>
  <c r="X256" i="1"/>
  <c r="Z259" i="1"/>
  <c r="CI109" i="1"/>
  <c r="CN5" i="1"/>
  <c r="CO5" i="1" s="1"/>
  <c r="CP5" i="1" s="1"/>
  <c r="CQ5" i="1" s="1"/>
  <c r="CR5" i="1" s="1"/>
  <c r="CS5" i="1" s="1"/>
  <c r="CT5" i="1" s="1"/>
  <c r="CU5" i="1" s="1"/>
  <c r="CV5" i="1" s="1"/>
  <c r="CW5" i="1" s="1"/>
  <c r="CX5" i="1" s="1"/>
  <c r="CY5" i="1" s="1"/>
  <c r="CZ5" i="1" s="1"/>
  <c r="DA5" i="1" s="1"/>
  <c r="DB5" i="1" s="1"/>
  <c r="CE21" i="1"/>
  <c r="CD198" i="1"/>
  <c r="CA37" i="1"/>
  <c r="CK21" i="1"/>
  <c r="X43" i="1"/>
  <c r="CJ26" i="1"/>
  <c r="CK22" i="1"/>
  <c r="CJ22" i="1"/>
  <c r="X191" i="1"/>
  <c r="CH158" i="1"/>
  <c r="X254" i="1"/>
  <c r="X108" i="1"/>
  <c r="X26" i="1"/>
  <c r="KA19" i="4"/>
  <c r="CH26" i="1"/>
  <c r="CI22" i="1"/>
  <c r="KD20" i="4"/>
  <c r="JP19" i="4"/>
  <c r="CJ88" i="1" s="1"/>
  <c r="CI198" i="1"/>
  <c r="Z68" i="1"/>
  <c r="CA38" i="1"/>
  <c r="CA242" i="1" s="1"/>
  <c r="CA243" i="1" s="1"/>
  <c r="CJ235" i="1"/>
  <c r="AC56" i="1"/>
  <c r="CQ143" i="1"/>
  <c r="CR143" i="1" s="1"/>
  <c r="CS143" i="1" s="1"/>
  <c r="CT143" i="1" s="1"/>
  <c r="AB143" i="1"/>
  <c r="Z47" i="1"/>
  <c r="CJ112" i="1"/>
  <c r="CJ114" i="1"/>
  <c r="CV56" i="1"/>
  <c r="CW56" i="1" s="1"/>
  <c r="CX56" i="1" s="1"/>
  <c r="CY56" i="1" s="1"/>
  <c r="AD55" i="1"/>
  <c r="CN134" i="1"/>
  <c r="CM138" i="1"/>
  <c r="CN150" i="1"/>
  <c r="CN212" i="1" s="1"/>
  <c r="DA6" i="1"/>
  <c r="DB6" i="1" s="1"/>
  <c r="CH212" i="1"/>
  <c r="CG212" i="1"/>
  <c r="CA219" i="1"/>
  <c r="BZ258" i="1"/>
  <c r="CA43" i="1"/>
  <c r="CA144" i="1"/>
  <c r="CD148" i="1"/>
  <c r="CE144" i="1"/>
  <c r="CE219" i="1"/>
  <c r="CG219" i="1"/>
  <c r="CF258" i="1"/>
  <c r="CG43" i="1"/>
  <c r="CG144" i="1"/>
  <c r="CD192" i="1"/>
  <c r="CF192" i="1"/>
  <c r="CF167" i="1"/>
  <c r="CF175" i="1" s="1"/>
  <c r="CF256" i="1"/>
  <c r="CF254" i="1"/>
  <c r="AB160" i="1"/>
  <c r="A1" i="1"/>
  <c r="CB27" i="1" l="1"/>
  <c r="CB38" i="1"/>
  <c r="AA69" i="1"/>
  <c r="CB29" i="1"/>
  <c r="CN189" i="1"/>
  <c r="CD178" i="1"/>
  <c r="CE28" i="1"/>
  <c r="CI28" i="1"/>
  <c r="CE38" i="1"/>
  <c r="CE27" i="1"/>
  <c r="BZ194" i="1"/>
  <c r="CJ167" i="1"/>
  <c r="CJ192" i="1"/>
  <c r="CG259" i="1"/>
  <c r="CF259" i="1"/>
  <c r="CF216" i="1"/>
  <c r="CF139" i="1"/>
  <c r="BZ178" i="1"/>
  <c r="BZ139" i="1"/>
  <c r="CD258" i="1"/>
  <c r="CA259" i="1"/>
  <c r="CA216" i="1"/>
  <c r="CF178" i="1"/>
  <c r="CG216" i="1"/>
  <c r="CE216" i="1"/>
  <c r="CD139" i="1"/>
  <c r="CE259" i="1"/>
  <c r="CD167" i="1"/>
  <c r="BZ192" i="1"/>
  <c r="BZ167" i="1"/>
  <c r="BZ175" i="1" s="1"/>
  <c r="BZ256" i="1"/>
  <c r="CJ194" i="1"/>
  <c r="CK194" i="1" s="1"/>
  <c r="CL194" i="1" s="1"/>
  <c r="CM194" i="1" s="1"/>
  <c r="CN194" i="1" s="1"/>
  <c r="CO194" i="1" s="1"/>
  <c r="CP194" i="1" s="1"/>
  <c r="CQ194" i="1" s="1"/>
  <c r="CR194" i="1" s="1"/>
  <c r="CE29" i="1"/>
  <c r="CK219" i="1"/>
  <c r="CJ175" i="1"/>
  <c r="CJ259" i="1"/>
  <c r="CI38" i="1"/>
  <c r="CI44" i="1" s="1"/>
  <c r="CI48" i="1" s="1"/>
  <c r="CI112" i="1"/>
  <c r="CJ113" i="1"/>
  <c r="CL259" i="1"/>
  <c r="CL216" i="1"/>
  <c r="CI27" i="1"/>
  <c r="CH109" i="1"/>
  <c r="CH113" i="1" s="1"/>
  <c r="CK113" i="1"/>
  <c r="CK259" i="1"/>
  <c r="CI117" i="1"/>
  <c r="CK112" i="1"/>
  <c r="CJ254" i="1"/>
  <c r="CK216" i="1"/>
  <c r="Y38" i="1"/>
  <c r="CI141" i="1"/>
  <c r="CI144" i="1" s="1"/>
  <c r="CH144" i="1"/>
  <c r="Z148" i="1"/>
  <c r="AA213" i="1" s="1"/>
  <c r="AA211" i="1" s="1"/>
  <c r="Z43" i="1"/>
  <c r="CH102" i="1"/>
  <c r="CH104" i="1" s="1"/>
  <c r="BM216" i="1"/>
  <c r="BL148" i="1"/>
  <c r="BL256" i="1" s="1"/>
  <c r="BL192" i="1"/>
  <c r="CH118" i="1"/>
  <c r="CH117" i="1"/>
  <c r="CF73" i="1"/>
  <c r="CG75" i="1"/>
  <c r="CG109" i="1" s="1"/>
  <c r="CG112" i="1" s="1"/>
  <c r="BM219" i="1"/>
  <c r="BL258" i="1"/>
  <c r="BL139" i="1"/>
  <c r="BL178" i="1"/>
  <c r="BL119" i="1" s="1"/>
  <c r="BM259" i="1"/>
  <c r="BM144" i="1"/>
  <c r="BM148" i="1" s="1"/>
  <c r="BL167" i="1"/>
  <c r="CB194" i="1"/>
  <c r="CJ258" i="1"/>
  <c r="CJ256" i="1"/>
  <c r="CG166" i="1"/>
  <c r="CG195" i="1" s="1"/>
  <c r="CC144" i="1"/>
  <c r="CJ102" i="1"/>
  <c r="JU9" i="4"/>
  <c r="JU21" i="4" s="1"/>
  <c r="KE9" i="4" s="1"/>
  <c r="KE21" i="4" s="1"/>
  <c r="Z191" i="1"/>
  <c r="X176" i="1"/>
  <c r="CJ139" i="1"/>
  <c r="CG158" i="1"/>
  <c r="CC212" i="1"/>
  <c r="Z38" i="1"/>
  <c r="Z27" i="1"/>
  <c r="Y199" i="1"/>
  <c r="CG27" i="1"/>
  <c r="CG38" i="1"/>
  <c r="CT135" i="1"/>
  <c r="CD216" i="1"/>
  <c r="CB148" i="1"/>
  <c r="CC43" i="1"/>
  <c r="CB259" i="1"/>
  <c r="CB139" i="1"/>
  <c r="CB178" i="1"/>
  <c r="CB216" i="1"/>
  <c r="CB258" i="1"/>
  <c r="CC259" i="1"/>
  <c r="CC216" i="1"/>
  <c r="CD259" i="1"/>
  <c r="CB192" i="1"/>
  <c r="CB167" i="1"/>
  <c r="CE207" i="1"/>
  <c r="CF207" i="1"/>
  <c r="CD39" i="1"/>
  <c r="CB39" i="1"/>
  <c r="CB242" i="1"/>
  <c r="CB243" i="1" s="1"/>
  <c r="CB44" i="1"/>
  <c r="CB48" i="1" s="1"/>
  <c r="CD242" i="1"/>
  <c r="CD243" i="1" s="1"/>
  <c r="CD44" i="1"/>
  <c r="CD48" i="1" s="1"/>
  <c r="CD51" i="1" s="1"/>
  <c r="CD244" i="1" s="1"/>
  <c r="CF29" i="1"/>
  <c r="BY44" i="1"/>
  <c r="BY48" i="1" s="1"/>
  <c r="BY39" i="1"/>
  <c r="BL44" i="1"/>
  <c r="BL48" i="1" s="1"/>
  <c r="BL39" i="1"/>
  <c r="CU190" i="1"/>
  <c r="CL50" i="1"/>
  <c r="CL51" i="1"/>
  <c r="Y208" i="1"/>
  <c r="Y176" i="1"/>
  <c r="CC29" i="1"/>
  <c r="CF38" i="1"/>
  <c r="CG29" i="1"/>
  <c r="CG28" i="1"/>
  <c r="Y69" i="1"/>
  <c r="CJ28" i="1"/>
  <c r="CE158" i="1"/>
  <c r="CD29" i="1"/>
  <c r="BZ29" i="1"/>
  <c r="BZ38" i="1"/>
  <c r="BZ27" i="1"/>
  <c r="CA29" i="1"/>
  <c r="CF27" i="1"/>
  <c r="CF28" i="1"/>
  <c r="CC27" i="1"/>
  <c r="CC38" i="1"/>
  <c r="CC44" i="1" s="1"/>
  <c r="CC48" i="1" s="1"/>
  <c r="CC28" i="1"/>
  <c r="Z28" i="1"/>
  <c r="CH29" i="1"/>
  <c r="CL28" i="1"/>
  <c r="CK27" i="1"/>
  <c r="CL29" i="1"/>
  <c r="CK38" i="1"/>
  <c r="CK28" i="1"/>
  <c r="Z69" i="1"/>
  <c r="CM37" i="1"/>
  <c r="CN37" i="1" s="1"/>
  <c r="CO37" i="1" s="1"/>
  <c r="CF44" i="1"/>
  <c r="CK118" i="1"/>
  <c r="CK114" i="1"/>
  <c r="CM141" i="1"/>
  <c r="CN141" i="1" s="1"/>
  <c r="CO141" i="1" s="1"/>
  <c r="CP141" i="1" s="1"/>
  <c r="CQ141" i="1" s="1"/>
  <c r="CR141" i="1" s="1"/>
  <c r="CS141" i="1" s="1"/>
  <c r="CT141" i="1" s="1"/>
  <c r="CU141" i="1" s="1"/>
  <c r="CV141" i="1" s="1"/>
  <c r="CW141" i="1" s="1"/>
  <c r="CX141" i="1" s="1"/>
  <c r="CY141" i="1" s="1"/>
  <c r="CZ141" i="1" s="1"/>
  <c r="DA141" i="1" s="1"/>
  <c r="DB141" i="1" s="1"/>
  <c r="CK144" i="1"/>
  <c r="CL43" i="1" s="1"/>
  <c r="CJ117" i="1"/>
  <c r="CI195" i="1"/>
  <c r="CI162" i="1"/>
  <c r="CA39" i="1"/>
  <c r="Y28" i="1"/>
  <c r="X27" i="1"/>
  <c r="X38" i="1"/>
  <c r="CH192" i="1"/>
  <c r="CH167" i="1"/>
  <c r="CJ216" i="1"/>
  <c r="CI259" i="1"/>
  <c r="CI216" i="1"/>
  <c r="CB260" i="1"/>
  <c r="CH178" i="1"/>
  <c r="CH139" i="1"/>
  <c r="CH216" i="1"/>
  <c r="AC143" i="1"/>
  <c r="CU143" i="1"/>
  <c r="CV143" i="1" s="1"/>
  <c r="CW143" i="1" s="1"/>
  <c r="CX143" i="1" s="1"/>
  <c r="CJ27" i="1"/>
  <c r="CJ38" i="1"/>
  <c r="CJ29" i="1"/>
  <c r="CK29" i="1"/>
  <c r="CA44" i="1"/>
  <c r="CA48" i="1" s="1"/>
  <c r="CA51" i="1" s="1"/>
  <c r="CA58" i="1" s="1"/>
  <c r="CA203" i="1" s="1"/>
  <c r="CA205" i="1" s="1"/>
  <c r="CI114" i="1"/>
  <c r="CH38" i="1"/>
  <c r="CI29" i="1"/>
  <c r="CH28" i="1"/>
  <c r="CH27" i="1"/>
  <c r="CL108" i="1"/>
  <c r="CB41" i="1"/>
  <c r="Z195" i="1"/>
  <c r="Z167" i="1"/>
  <c r="Z207" i="1"/>
  <c r="Z208" i="1" s="1"/>
  <c r="CH259" i="1"/>
  <c r="Z242" i="1"/>
  <c r="Z243" i="1" s="1"/>
  <c r="AD56" i="1"/>
  <c r="CM193" i="1"/>
  <c r="CI113" i="1"/>
  <c r="CZ56" i="1"/>
  <c r="DA56" i="1" s="1"/>
  <c r="DB56" i="1" s="1"/>
  <c r="CM259" i="1"/>
  <c r="CM216" i="1"/>
  <c r="CO134" i="1"/>
  <c r="CN138" i="1"/>
  <c r="CO189" i="1"/>
  <c r="CO150" i="1"/>
  <c r="CO212" i="1" s="1"/>
  <c r="CA148" i="1"/>
  <c r="CB43" i="1"/>
  <c r="CE148" i="1"/>
  <c r="CF43" i="1"/>
  <c r="CD254" i="1"/>
  <c r="CD256" i="1"/>
  <c r="CH43" i="1"/>
  <c r="CG148" i="1"/>
  <c r="CD119" i="1"/>
  <c r="CE47" i="1"/>
  <c r="CF191" i="1"/>
  <c r="CF196" i="1"/>
  <c r="CD196" i="1"/>
  <c r="CD191" i="1"/>
  <c r="CE41" i="1"/>
  <c r="CE260" i="1"/>
  <c r="CE242" i="1"/>
  <c r="CE243" i="1" s="1"/>
  <c r="CE40" i="1"/>
  <c r="CE39" i="1"/>
  <c r="CE44" i="1"/>
  <c r="CI40" i="1"/>
  <c r="AC160" i="1"/>
  <c r="CG113" i="1" l="1"/>
  <c r="CG117" i="1"/>
  <c r="CM27" i="1"/>
  <c r="Z175" i="1"/>
  <c r="Z176" i="1" s="1"/>
  <c r="CI51" i="1"/>
  <c r="CI50" i="1"/>
  <c r="CI242" i="1"/>
  <c r="CI243" i="1" s="1"/>
  <c r="CI39" i="1"/>
  <c r="AA70" i="1"/>
  <c r="CK195" i="1"/>
  <c r="CS194" i="1"/>
  <c r="CJ191" i="1"/>
  <c r="CK191" i="1" s="1"/>
  <c r="CJ196" i="1"/>
  <c r="CH207" i="1"/>
  <c r="CF176" i="1"/>
  <c r="CD175" i="1"/>
  <c r="CD176" i="1" s="1"/>
  <c r="BZ176" i="1"/>
  <c r="CA47" i="1"/>
  <c r="CF119" i="1"/>
  <c r="BZ191" i="1"/>
  <c r="CE261" i="1"/>
  <c r="CH206" i="1"/>
  <c r="CL195" i="1"/>
  <c r="BZ119" i="1"/>
  <c r="CG47" i="1"/>
  <c r="BZ196" i="1"/>
  <c r="AA223" i="1"/>
  <c r="AA220" i="1"/>
  <c r="AA221" i="1" s="1"/>
  <c r="AA40" i="1"/>
  <c r="AA260" i="1"/>
  <c r="AA261" i="1" s="1"/>
  <c r="Y39" i="1"/>
  <c r="Y44" i="1"/>
  <c r="Y122" i="1"/>
  <c r="CH114" i="1"/>
  <c r="CH112" i="1"/>
  <c r="Y242" i="1"/>
  <c r="Y243" i="1" s="1"/>
  <c r="CG114" i="1"/>
  <c r="CG118" i="1"/>
  <c r="CG207" i="1"/>
  <c r="CG44" i="1"/>
  <c r="CG48" i="1" s="1"/>
  <c r="CG242" i="1"/>
  <c r="CG243" i="1" s="1"/>
  <c r="CK40" i="1"/>
  <c r="CH105" i="1"/>
  <c r="CH106" i="1"/>
  <c r="Z256" i="1"/>
  <c r="Z213" i="1"/>
  <c r="Z211" i="1" s="1"/>
  <c r="Z254" i="1"/>
  <c r="CH148" i="1"/>
  <c r="CI43" i="1"/>
  <c r="CG39" i="1"/>
  <c r="CI148" i="1"/>
  <c r="CJ213" i="1" s="1"/>
  <c r="CJ211" i="1" s="1"/>
  <c r="CJ43" i="1"/>
  <c r="CE73" i="1"/>
  <c r="CF75" i="1"/>
  <c r="CD43" i="1"/>
  <c r="CC148" i="1"/>
  <c r="BL196" i="1"/>
  <c r="BL191" i="1"/>
  <c r="CB196" i="1"/>
  <c r="BZ39" i="1"/>
  <c r="BZ44" i="1"/>
  <c r="CA260" i="1"/>
  <c r="CA261" i="1" s="1"/>
  <c r="CA41" i="1"/>
  <c r="BZ242" i="1"/>
  <c r="BZ243" i="1" s="1"/>
  <c r="BZ41" i="1"/>
  <c r="CD122" i="1"/>
  <c r="CC260" i="1"/>
  <c r="CE206" i="1"/>
  <c r="CE167" i="1"/>
  <c r="CG194" i="1"/>
  <c r="CC242" i="1"/>
  <c r="CC243" i="1" s="1"/>
  <c r="CG40" i="1"/>
  <c r="Y70" i="1"/>
  <c r="CC39" i="1"/>
  <c r="CA50" i="1"/>
  <c r="CA62" i="1"/>
  <c r="CF122" i="1"/>
  <c r="CE122" i="1"/>
  <c r="CE236" i="1"/>
  <c r="CB191" i="1"/>
  <c r="CD40" i="1"/>
  <c r="BZ260" i="1"/>
  <c r="CB122" i="1"/>
  <c r="CC236" i="1"/>
  <c r="CA129" i="1"/>
  <c r="CA130" i="1" s="1"/>
  <c r="CF260" i="1"/>
  <c r="CF261" i="1" s="1"/>
  <c r="CG122" i="1"/>
  <c r="CH236" i="1"/>
  <c r="CF41" i="1"/>
  <c r="CF236" i="1"/>
  <c r="BY50" i="1"/>
  <c r="BY51" i="1"/>
  <c r="CV190" i="1"/>
  <c r="CJ106" i="1"/>
  <c r="CJ104" i="1"/>
  <c r="CG206" i="1"/>
  <c r="CG192" i="1"/>
  <c r="Y200" i="1"/>
  <c r="Z39" i="1"/>
  <c r="CG167" i="1"/>
  <c r="CG236" i="1"/>
  <c r="CG41" i="1"/>
  <c r="CJ105" i="1"/>
  <c r="Z260" i="1"/>
  <c r="Z261" i="1" s="1"/>
  <c r="Z40" i="1"/>
  <c r="CJ176" i="1"/>
  <c r="Z44" i="1"/>
  <c r="Z122" i="1"/>
  <c r="BL50" i="1"/>
  <c r="CB175" i="1"/>
  <c r="CB176" i="1" s="1"/>
  <c r="CU135" i="1"/>
  <c r="CB256" i="1"/>
  <c r="CB254" i="1"/>
  <c r="CB119" i="1"/>
  <c r="CC47" i="1"/>
  <c r="CC261" i="1"/>
  <c r="CE208" i="1"/>
  <c r="CD50" i="1"/>
  <c r="CD52" i="1"/>
  <c r="CD255" i="1" s="1"/>
  <c r="CD65" i="1"/>
  <c r="CD58" i="1"/>
  <c r="CD62" i="1" s="1"/>
  <c r="CB50" i="1"/>
  <c r="CB51" i="1"/>
  <c r="BL51" i="1"/>
  <c r="CL58" i="1"/>
  <c r="CL52" i="1"/>
  <c r="CF40" i="1"/>
  <c r="CF39" i="1"/>
  <c r="CF242" i="1"/>
  <c r="CF243" i="1" s="1"/>
  <c r="CB261" i="1"/>
  <c r="CG260" i="1"/>
  <c r="CG261" i="1" s="1"/>
  <c r="CI236" i="1"/>
  <c r="CD260" i="1"/>
  <c r="CD261" i="1" s="1"/>
  <c r="CC122" i="1"/>
  <c r="CD236" i="1"/>
  <c r="CC41" i="1"/>
  <c r="CD41" i="1"/>
  <c r="CC40" i="1"/>
  <c r="CC51" i="1"/>
  <c r="CC50" i="1"/>
  <c r="CF48" i="1"/>
  <c r="CE192" i="1"/>
  <c r="CF206" i="1"/>
  <c r="CF208" i="1" s="1"/>
  <c r="CI122" i="1"/>
  <c r="CL40" i="1"/>
  <c r="CK39" i="1"/>
  <c r="CL41" i="1"/>
  <c r="CK44" i="1"/>
  <c r="CK48" i="1" s="1"/>
  <c r="CM43" i="1"/>
  <c r="CN43" i="1" s="1"/>
  <c r="CO43" i="1" s="1"/>
  <c r="CP43" i="1" s="1"/>
  <c r="CQ43" i="1" s="1"/>
  <c r="CR43" i="1" s="1"/>
  <c r="CS43" i="1" s="1"/>
  <c r="CT43" i="1" s="1"/>
  <c r="CU43" i="1" s="1"/>
  <c r="CV43" i="1" s="1"/>
  <c r="CW43" i="1" s="1"/>
  <c r="CX43" i="1" s="1"/>
  <c r="CY43" i="1" s="1"/>
  <c r="CZ43" i="1" s="1"/>
  <c r="DA43" i="1" s="1"/>
  <c r="DB43" i="1" s="1"/>
  <c r="CH122" i="1"/>
  <c r="Z70" i="1"/>
  <c r="CJ236" i="1"/>
  <c r="CJ199" i="1"/>
  <c r="CH260" i="1"/>
  <c r="CH261" i="1" s="1"/>
  <c r="CJ122" i="1"/>
  <c r="Z194" i="1"/>
  <c r="Z196" i="1"/>
  <c r="AA199" i="1" s="1"/>
  <c r="AA200" i="1" s="1"/>
  <c r="AD143" i="1"/>
  <c r="CY143" i="1"/>
  <c r="CZ143" i="1" s="1"/>
  <c r="DA143" i="1" s="1"/>
  <c r="DB143" i="1" s="1"/>
  <c r="AE143" i="1" s="1"/>
  <c r="X39" i="1"/>
  <c r="X242" i="1"/>
  <c r="X243" i="1" s="1"/>
  <c r="X44" i="1"/>
  <c r="Y260" i="1"/>
  <c r="Y261" i="1" s="1"/>
  <c r="X122" i="1"/>
  <c r="Y40" i="1"/>
  <c r="CA52" i="1"/>
  <c r="CA255" i="1" s="1"/>
  <c r="CH119" i="1"/>
  <c r="CI47" i="1"/>
  <c r="CH196" i="1"/>
  <c r="CH191" i="1"/>
  <c r="CI191" i="1" s="1"/>
  <c r="CA244" i="1"/>
  <c r="CM195" i="1"/>
  <c r="CN193" i="1"/>
  <c r="CK122" i="1"/>
  <c r="CH41" i="1"/>
  <c r="CI260" i="1"/>
  <c r="CI261" i="1" s="1"/>
  <c r="CH39" i="1"/>
  <c r="CH242" i="1"/>
  <c r="CH243" i="1" s="1"/>
  <c r="CI41" i="1"/>
  <c r="CH44" i="1"/>
  <c r="CH40" i="1"/>
  <c r="CJ242" i="1"/>
  <c r="CJ243" i="1" s="1"/>
  <c r="CJ41" i="1"/>
  <c r="CJ260" i="1"/>
  <c r="CJ261" i="1" s="1"/>
  <c r="CK41" i="1"/>
  <c r="CJ39" i="1"/>
  <c r="CJ40" i="1"/>
  <c r="CJ44" i="1"/>
  <c r="CJ48" i="1" s="1"/>
  <c r="AE56" i="1"/>
  <c r="CP37" i="1"/>
  <c r="CQ37" i="1"/>
  <c r="CP189" i="1"/>
  <c r="CP150" i="1"/>
  <c r="CQ150" i="1" s="1"/>
  <c r="CN259" i="1"/>
  <c r="CN216" i="1"/>
  <c r="CP134" i="1"/>
  <c r="CO138" i="1"/>
  <c r="CA213" i="1"/>
  <c r="CA211" i="1" s="1"/>
  <c r="CB213" i="1"/>
  <c r="CB211" i="1" s="1"/>
  <c r="CE213" i="1"/>
  <c r="CE211" i="1" s="1"/>
  <c r="CF213" i="1"/>
  <c r="CF211" i="1" s="1"/>
  <c r="CG213" i="1"/>
  <c r="CG211" i="1" s="1"/>
  <c r="CH199" i="1"/>
  <c r="CF65" i="1"/>
  <c r="CE48" i="1"/>
  <c r="CM74" i="1"/>
  <c r="CN74" i="1" s="1"/>
  <c r="CO74" i="1" s="1"/>
  <c r="CP74" i="1" s="1"/>
  <c r="CQ74" i="1" s="1"/>
  <c r="CR74" i="1" s="1"/>
  <c r="CS74" i="1" s="1"/>
  <c r="CT74" i="1" s="1"/>
  <c r="CU74" i="1" s="1"/>
  <c r="CV74" i="1" s="1"/>
  <c r="CW74" i="1" s="1"/>
  <c r="CX74" i="1" s="1"/>
  <c r="CY74" i="1" s="1"/>
  <c r="CZ74" i="1" s="1"/>
  <c r="DA74" i="1" s="1"/>
  <c r="DB74" i="1" s="1"/>
  <c r="AE160" i="1"/>
  <c r="AD160" i="1"/>
  <c r="CT194" i="1" l="1"/>
  <c r="CH208" i="1"/>
  <c r="CK192" i="1"/>
  <c r="CK196" i="1" s="1"/>
  <c r="CN27" i="1"/>
  <c r="CO27" i="1" s="1"/>
  <c r="CI244" i="1"/>
  <c r="CI58" i="1"/>
  <c r="CI52" i="1"/>
  <c r="CI255" i="1" s="1"/>
  <c r="CD199" i="1"/>
  <c r="CL191" i="1"/>
  <c r="CG208" i="1"/>
  <c r="CD237" i="1"/>
  <c r="CF51" i="1"/>
  <c r="CF50" i="1"/>
  <c r="CC244" i="1"/>
  <c r="CC58" i="1"/>
  <c r="CC52" i="1"/>
  <c r="CC255" i="1" s="1"/>
  <c r="CD54" i="1"/>
  <c r="CC54" i="1"/>
  <c r="CD203" i="1"/>
  <c r="CD205" i="1" s="1"/>
  <c r="CB58" i="1"/>
  <c r="CB54" i="1"/>
  <c r="CB244" i="1"/>
  <c r="CB52" i="1"/>
  <c r="CB255" i="1" s="1"/>
  <c r="BL58" i="1"/>
  <c r="BL52" i="1"/>
  <c r="BL255" i="1" s="1"/>
  <c r="Y65" i="1"/>
  <c r="Y48" i="1"/>
  <c r="Z48" i="1"/>
  <c r="Z65" i="1"/>
  <c r="CH254" i="1"/>
  <c r="CI213" i="1"/>
  <c r="CI211" i="1" s="1"/>
  <c r="CH256" i="1"/>
  <c r="CG51" i="1"/>
  <c r="CG53" i="1" s="1"/>
  <c r="CG50" i="1"/>
  <c r="CF109" i="1"/>
  <c r="CF118" i="1"/>
  <c r="CF121" i="1" s="1"/>
  <c r="CF124" i="1" s="1"/>
  <c r="CF117" i="1"/>
  <c r="CF120" i="1" s="1"/>
  <c r="CF123" i="1" s="1"/>
  <c r="CD73" i="1"/>
  <c r="CC213" i="1"/>
  <c r="CC211" i="1" s="1"/>
  <c r="BZ48" i="1"/>
  <c r="CB65" i="1"/>
  <c r="CC53" i="1"/>
  <c r="CA217" i="1"/>
  <c r="CA215" i="1" s="1"/>
  <c r="CA139" i="1"/>
  <c r="CH65" i="1"/>
  <c r="CH175" i="1"/>
  <c r="CH176" i="1" s="1"/>
  <c r="CF102" i="1"/>
  <c r="CE75" i="1"/>
  <c r="CU194" i="1"/>
  <c r="CH213" i="1"/>
  <c r="CH211" i="1" s="1"/>
  <c r="CV135" i="1"/>
  <c r="CD213" i="1"/>
  <c r="CD211" i="1" s="1"/>
  <c r="CF199" i="1"/>
  <c r="BY52" i="1"/>
  <c r="BY255" i="1" s="1"/>
  <c r="BY58" i="1"/>
  <c r="CW190" i="1"/>
  <c r="CE191" i="1"/>
  <c r="CE196" i="1"/>
  <c r="CG196" i="1"/>
  <c r="CG191" i="1"/>
  <c r="CL62" i="1"/>
  <c r="CL76" i="1"/>
  <c r="Z199" i="1"/>
  <c r="Z200" i="1" s="1"/>
  <c r="CK51" i="1"/>
  <c r="CK50" i="1"/>
  <c r="CN195" i="1"/>
  <c r="CO193" i="1"/>
  <c r="CJ51" i="1"/>
  <c r="CJ50" i="1"/>
  <c r="CH48" i="1"/>
  <c r="CJ65" i="1"/>
  <c r="CH121" i="1"/>
  <c r="CH124" i="1" s="1"/>
  <c r="CH120" i="1"/>
  <c r="CH123" i="1" s="1"/>
  <c r="CI192" i="1"/>
  <c r="CI156" i="1"/>
  <c r="X65" i="1"/>
  <c r="X48" i="1"/>
  <c r="CR37" i="1"/>
  <c r="CP212" i="1"/>
  <c r="CO259" i="1"/>
  <c r="CO216" i="1"/>
  <c r="CQ212" i="1"/>
  <c r="CR150" i="1"/>
  <c r="CQ134" i="1"/>
  <c r="CP138" i="1"/>
  <c r="CQ189" i="1"/>
  <c r="CE51" i="1"/>
  <c r="CE50" i="1"/>
  <c r="AB136" i="1"/>
  <c r="AB146" i="1"/>
  <c r="AB145" i="1"/>
  <c r="AB137" i="1"/>
  <c r="AB132" i="1"/>
  <c r="AB161" i="1"/>
  <c r="AB153" i="1"/>
  <c r="AB128" i="1"/>
  <c r="CF244" i="1" l="1"/>
  <c r="CL192" i="1"/>
  <c r="CL196" i="1" s="1"/>
  <c r="CM191" i="1"/>
  <c r="CP27" i="1"/>
  <c r="CF112" i="1"/>
  <c r="CF114" i="1"/>
  <c r="CF113" i="1"/>
  <c r="CI129" i="1"/>
  <c r="CI130" i="1" s="1"/>
  <c r="CI76" i="1"/>
  <c r="CI203" i="1"/>
  <c r="CI205" i="1" s="1"/>
  <c r="CI62" i="1"/>
  <c r="CC73" i="1"/>
  <c r="CD75" i="1"/>
  <c r="CG52" i="1"/>
  <c r="CG255" i="1" s="1"/>
  <c r="CG58" i="1"/>
  <c r="CG244" i="1"/>
  <c r="CV194" i="1"/>
  <c r="CW135" i="1"/>
  <c r="CF53" i="1"/>
  <c r="CF52" i="1"/>
  <c r="CF255" i="1" s="1"/>
  <c r="BZ51" i="1"/>
  <c r="BZ50" i="1"/>
  <c r="CG54" i="1"/>
  <c r="CF58" i="1"/>
  <c r="CD64" i="1"/>
  <c r="CC62" i="1"/>
  <c r="CC129" i="1"/>
  <c r="CC130" i="1" s="1"/>
  <c r="CC203" i="1"/>
  <c r="CC205" i="1" s="1"/>
  <c r="CB62" i="1"/>
  <c r="CB203" i="1"/>
  <c r="CB205" i="1" s="1"/>
  <c r="CB217" i="1"/>
  <c r="CB215" i="1" s="1"/>
  <c r="BY203" i="1"/>
  <c r="BY205" i="1" s="1"/>
  <c r="BY62" i="1"/>
  <c r="BL203" i="1"/>
  <c r="BL205" i="1" s="1"/>
  <c r="CX190" i="1"/>
  <c r="BL62" i="1"/>
  <c r="CF104" i="1"/>
  <c r="CF106" i="1"/>
  <c r="CF105" i="1"/>
  <c r="CE109" i="1"/>
  <c r="CE117" i="1"/>
  <c r="CE118" i="1"/>
  <c r="Y50" i="1"/>
  <c r="Y51" i="1"/>
  <c r="Z51" i="1"/>
  <c r="AA53" i="1" s="1"/>
  <c r="Z50" i="1"/>
  <c r="CJ53" i="1"/>
  <c r="CK53" i="1"/>
  <c r="CS37" i="1"/>
  <c r="CL54" i="1"/>
  <c r="CK52" i="1"/>
  <c r="CK58" i="1"/>
  <c r="CN191" i="1"/>
  <c r="CM192" i="1"/>
  <c r="CM196" i="1" s="1"/>
  <c r="X50" i="1"/>
  <c r="X51" i="1"/>
  <c r="CH50" i="1"/>
  <c r="CM50" i="1" s="1"/>
  <c r="CH51" i="1"/>
  <c r="CP193" i="1"/>
  <c r="CO195" i="1"/>
  <c r="CJ54" i="1"/>
  <c r="CK54" i="1"/>
  <c r="CJ52" i="1"/>
  <c r="CJ255" i="1" s="1"/>
  <c r="CJ244" i="1"/>
  <c r="CJ58" i="1"/>
  <c r="CT37" i="1"/>
  <c r="CQ27" i="1"/>
  <c r="CR27" i="1" s="1"/>
  <c r="CI102" i="1"/>
  <c r="CI217" i="1"/>
  <c r="CI215" i="1" s="1"/>
  <c r="CI139" i="1"/>
  <c r="CI65" i="1" s="1"/>
  <c r="CR134" i="1"/>
  <c r="CQ138" i="1"/>
  <c r="CD109" i="1"/>
  <c r="CD117" i="1"/>
  <c r="CD120" i="1" s="1"/>
  <c r="CD123" i="1" s="1"/>
  <c r="CD118" i="1"/>
  <c r="CD121" i="1" s="1"/>
  <c r="CD124" i="1" s="1"/>
  <c r="CD102" i="1"/>
  <c r="CD76" i="1"/>
  <c r="CB73" i="1"/>
  <c r="CC75" i="1"/>
  <c r="CC102" i="1" s="1"/>
  <c r="CG76" i="1"/>
  <c r="CG203" i="1"/>
  <c r="CG205" i="1" s="1"/>
  <c r="CG209" i="1" s="1"/>
  <c r="CG223" i="1" s="1"/>
  <c r="CG62" i="1"/>
  <c r="CG129" i="1"/>
  <c r="CG130" i="1" s="1"/>
  <c r="CR189" i="1"/>
  <c r="CP259" i="1"/>
  <c r="CP216" i="1"/>
  <c r="CR212" i="1"/>
  <c r="CS150" i="1"/>
  <c r="CW194" i="1"/>
  <c r="CX135" i="1"/>
  <c r="BZ52" i="1"/>
  <c r="BZ255" i="1" s="1"/>
  <c r="BZ54" i="1"/>
  <c r="CC237" i="1"/>
  <c r="BZ58" i="1"/>
  <c r="CC64" i="1" s="1"/>
  <c r="BZ244" i="1"/>
  <c r="CD53" i="1"/>
  <c r="CA54" i="1"/>
  <c r="CF203" i="1"/>
  <c r="CF205" i="1" s="1"/>
  <c r="CF209" i="1" s="1"/>
  <c r="CF223" i="1" s="1"/>
  <c r="CF62" i="1"/>
  <c r="CF76" i="1"/>
  <c r="CC139" i="1"/>
  <c r="CC65" i="1" s="1"/>
  <c r="CC217" i="1"/>
  <c r="CC215" i="1" s="1"/>
  <c r="CD217" i="1"/>
  <c r="CD215" i="1" s="1"/>
  <c r="CG237" i="1"/>
  <c r="CI53" i="1"/>
  <c r="CE54" i="1"/>
  <c r="CE52" i="1"/>
  <c r="CE255" i="1" s="1"/>
  <c r="CE53" i="1"/>
  <c r="CF54" i="1"/>
  <c r="CE58" i="1"/>
  <c r="CF237" i="1"/>
  <c r="CE237" i="1"/>
  <c r="CE244" i="1"/>
  <c r="CY190" i="1"/>
  <c r="AC146" i="1"/>
  <c r="AC136" i="1"/>
  <c r="AB174" i="1"/>
  <c r="AC132" i="1"/>
  <c r="AC161" i="1"/>
  <c r="AB157" i="1"/>
  <c r="AB164" i="1"/>
  <c r="AC153" i="1"/>
  <c r="AC137" i="1"/>
  <c r="AB165" i="1"/>
  <c r="AC128" i="1"/>
  <c r="AC145" i="1"/>
  <c r="AA71" i="1" l="1"/>
  <c r="CE112" i="1"/>
  <c r="CE113" i="1"/>
  <c r="CE114" i="1"/>
  <c r="CU37" i="1"/>
  <c r="Y58" i="1"/>
  <c r="Z53" i="1"/>
  <c r="Y244" i="1"/>
  <c r="Y52" i="1"/>
  <c r="Y255" i="1" s="1"/>
  <c r="Y71" i="1"/>
  <c r="Z58" i="1"/>
  <c r="Z244" i="1"/>
  <c r="Z52" i="1"/>
  <c r="Z255" i="1" s="1"/>
  <c r="CV37" i="1"/>
  <c r="CH237" i="1"/>
  <c r="CL53" i="1"/>
  <c r="CK76" i="1"/>
  <c r="CK62" i="1"/>
  <c r="CN50" i="1"/>
  <c r="CO50" i="1" s="1"/>
  <c r="Z71" i="1"/>
  <c r="CH53" i="1"/>
  <c r="CI54" i="1"/>
  <c r="CH52" i="1"/>
  <c r="CH255" i="1" s="1"/>
  <c r="CH244" i="1"/>
  <c r="CH58" i="1"/>
  <c r="CH64" i="1" s="1"/>
  <c r="CJ237" i="1"/>
  <c r="CH54" i="1"/>
  <c r="CI237" i="1"/>
  <c r="CJ203" i="1"/>
  <c r="CJ205" i="1" s="1"/>
  <c r="CJ76" i="1"/>
  <c r="CJ62" i="1"/>
  <c r="X52" i="1"/>
  <c r="X255" i="1" s="1"/>
  <c r="X58" i="1"/>
  <c r="X244" i="1"/>
  <c r="Y53" i="1"/>
  <c r="CQ193" i="1"/>
  <c r="CP195" i="1"/>
  <c r="CJ217" i="1"/>
  <c r="CJ215" i="1" s="1"/>
  <c r="CO191" i="1"/>
  <c r="CN192" i="1"/>
  <c r="CN196" i="1" s="1"/>
  <c r="CS27" i="1"/>
  <c r="CT27" i="1" s="1"/>
  <c r="CU27" i="1" s="1"/>
  <c r="CC109" i="1"/>
  <c r="CC76" i="1"/>
  <c r="CA73" i="1"/>
  <c r="CB75" i="1"/>
  <c r="CD112" i="1"/>
  <c r="CD113" i="1"/>
  <c r="CD114" i="1"/>
  <c r="CQ259" i="1"/>
  <c r="CQ216" i="1"/>
  <c r="CI104" i="1"/>
  <c r="CI106" i="1"/>
  <c r="CI105" i="1"/>
  <c r="CS189" i="1"/>
  <c r="CD104" i="1"/>
  <c r="CD106" i="1"/>
  <c r="CD105" i="1"/>
  <c r="CS134" i="1"/>
  <c r="CR138" i="1"/>
  <c r="CS212" i="1"/>
  <c r="CT150" i="1"/>
  <c r="CG102" i="1"/>
  <c r="CG217" i="1"/>
  <c r="CG215" i="1" s="1"/>
  <c r="CG220" i="1" s="1"/>
  <c r="CG170" i="1" s="1"/>
  <c r="CG171" i="1" s="1"/>
  <c r="CG139" i="1"/>
  <c r="CG65" i="1" s="1"/>
  <c r="CX194" i="1"/>
  <c r="CY135" i="1"/>
  <c r="CB64" i="1"/>
  <c r="BZ62" i="1"/>
  <c r="BZ203" i="1"/>
  <c r="BZ205" i="1" s="1"/>
  <c r="CE62" i="1"/>
  <c r="CE129" i="1"/>
  <c r="CE130" i="1" s="1"/>
  <c r="CE64" i="1" s="1"/>
  <c r="CE203" i="1"/>
  <c r="CE205" i="1" s="1"/>
  <c r="CE209" i="1" s="1"/>
  <c r="CE223" i="1" s="1"/>
  <c r="CE76" i="1"/>
  <c r="CF64" i="1"/>
  <c r="CG64" i="1"/>
  <c r="CZ190" i="1"/>
  <c r="AE146" i="1"/>
  <c r="AD146" i="1"/>
  <c r="AE136" i="1"/>
  <c r="AD136" i="1"/>
  <c r="AC174" i="1"/>
  <c r="AE161" i="1"/>
  <c r="AD161" i="1"/>
  <c r="AE153" i="1"/>
  <c r="AD153" i="1"/>
  <c r="AD128" i="1"/>
  <c r="AE128" i="1"/>
  <c r="AC164" i="1"/>
  <c r="AE137" i="1"/>
  <c r="AD137" i="1"/>
  <c r="AE145" i="1"/>
  <c r="AD145" i="1"/>
  <c r="AC165" i="1"/>
  <c r="AC157" i="1"/>
  <c r="AE132" i="1"/>
  <c r="AD132" i="1"/>
  <c r="Y217" i="1" l="1"/>
  <c r="Y215" i="1" s="1"/>
  <c r="Y203" i="1"/>
  <c r="Y205" i="1" s="1"/>
  <c r="Y209" i="1" s="1"/>
  <c r="Y223" i="1" s="1"/>
  <c r="Y62" i="1"/>
  <c r="Y64" i="1"/>
  <c r="Z64" i="1"/>
  <c r="Z217" i="1"/>
  <c r="Z215" i="1" s="1"/>
  <c r="Z203" i="1"/>
  <c r="Z205" i="1" s="1"/>
  <c r="Z209" i="1" s="1"/>
  <c r="Z223" i="1" s="1"/>
  <c r="Z62" i="1"/>
  <c r="CW37" i="1"/>
  <c r="CX37" i="1"/>
  <c r="CL79" i="1"/>
  <c r="CL82" i="1" s="1"/>
  <c r="CH217" i="1"/>
  <c r="CH215" i="1" s="1"/>
  <c r="X64" i="1"/>
  <c r="X62" i="1"/>
  <c r="X203" i="1"/>
  <c r="X205" i="1" s="1"/>
  <c r="CH203" i="1"/>
  <c r="CH205" i="1" s="1"/>
  <c r="CH209" i="1" s="1"/>
  <c r="CH223" i="1" s="1"/>
  <c r="CH76" i="1"/>
  <c r="CH62" i="1"/>
  <c r="CJ64" i="1"/>
  <c r="CI64" i="1"/>
  <c r="CQ195" i="1"/>
  <c r="CR193" i="1"/>
  <c r="CO192" i="1"/>
  <c r="CO196" i="1" s="1"/>
  <c r="CP191" i="1"/>
  <c r="CP50" i="1"/>
  <c r="CV27" i="1"/>
  <c r="CW27" i="1" s="1"/>
  <c r="CT212" i="1"/>
  <c r="CU150" i="1"/>
  <c r="CT189" i="1"/>
  <c r="BZ73" i="1"/>
  <c r="CA75" i="1"/>
  <c r="CG221" i="1"/>
  <c r="CG258" i="1"/>
  <c r="CG175" i="1"/>
  <c r="CG176" i="1" s="1"/>
  <c r="CH219" i="1"/>
  <c r="CG178" i="1"/>
  <c r="CG254" i="1"/>
  <c r="CG256" i="1"/>
  <c r="CR259" i="1"/>
  <c r="CR216" i="1"/>
  <c r="CG105" i="1"/>
  <c r="CG104" i="1"/>
  <c r="CG106" i="1"/>
  <c r="CT134" i="1"/>
  <c r="CS138" i="1"/>
  <c r="CB109" i="1"/>
  <c r="CB102" i="1"/>
  <c r="CB76" i="1"/>
  <c r="CE79" i="1" s="1"/>
  <c r="CY194" i="1"/>
  <c r="CZ135" i="1"/>
  <c r="CF79" i="1"/>
  <c r="CG79" i="1"/>
  <c r="CE102" i="1"/>
  <c r="CF217" i="1"/>
  <c r="CF215" i="1" s="1"/>
  <c r="CE139" i="1"/>
  <c r="CE65" i="1" s="1"/>
  <c r="CE217" i="1"/>
  <c r="CE215" i="1" s="1"/>
  <c r="CE220" i="1" s="1"/>
  <c r="CE170" i="1" s="1"/>
  <c r="CE171" i="1" s="1"/>
  <c r="CE175" i="1" s="1"/>
  <c r="DA190" i="1"/>
  <c r="AE174" i="1"/>
  <c r="AD174" i="1"/>
  <c r="AE164" i="1"/>
  <c r="AD164" i="1"/>
  <c r="AE165" i="1"/>
  <c r="AD165" i="1"/>
  <c r="AE157" i="1"/>
  <c r="AD157" i="1"/>
  <c r="BY241" i="1"/>
  <c r="Y220" i="1" l="1"/>
  <c r="Y221" i="1" s="1"/>
  <c r="Z220" i="1"/>
  <c r="Z221" i="1" s="1"/>
  <c r="CY37" i="1"/>
  <c r="CZ37" i="1" s="1"/>
  <c r="CK79" i="1"/>
  <c r="CK80" i="1" s="1"/>
  <c r="CJ79" i="1"/>
  <c r="CI79" i="1"/>
  <c r="CH79" i="1"/>
  <c r="CS193" i="1"/>
  <c r="CR195" i="1"/>
  <c r="CP192" i="1"/>
  <c r="CP196" i="1" s="1"/>
  <c r="CQ191" i="1"/>
  <c r="CH220" i="1"/>
  <c r="CH221" i="1" s="1"/>
  <c r="CX27" i="1"/>
  <c r="CY27" i="1" s="1"/>
  <c r="CQ50" i="1"/>
  <c r="CU134" i="1"/>
  <c r="CT138" i="1"/>
  <c r="BY73" i="1"/>
  <c r="BZ75" i="1"/>
  <c r="CV150" i="1"/>
  <c r="CV212" i="1"/>
  <c r="CH47" i="1"/>
  <c r="CG119" i="1"/>
  <c r="CU189" i="1"/>
  <c r="CS259" i="1"/>
  <c r="CS216" i="1"/>
  <c r="CA76" i="1"/>
  <c r="CD79" i="1" s="1"/>
  <c r="CA102" i="1"/>
  <c r="CU212" i="1"/>
  <c r="CZ194" i="1"/>
  <c r="DA135" i="1"/>
  <c r="CE104" i="1"/>
  <c r="CE105" i="1"/>
  <c r="CE106" i="1"/>
  <c r="CE254" i="1"/>
  <c r="CE95" i="1"/>
  <c r="CE96" i="1"/>
  <c r="CE97" i="1"/>
  <c r="CE258" i="1"/>
  <c r="CG95" i="1"/>
  <c r="CG97" i="1"/>
  <c r="CG96" i="1"/>
  <c r="CE178" i="1"/>
  <c r="CE119" i="1" s="1"/>
  <c r="CE121" i="1" s="1"/>
  <c r="CE124" i="1" s="1"/>
  <c r="CF219" i="1"/>
  <c r="CF220" i="1" s="1"/>
  <c r="CF221" i="1" s="1"/>
  <c r="CE256" i="1"/>
  <c r="CE221" i="1"/>
  <c r="CF97" i="1"/>
  <c r="CF95" i="1"/>
  <c r="CF96" i="1"/>
  <c r="DB190" i="1"/>
  <c r="CE176" i="1"/>
  <c r="AB30" i="1"/>
  <c r="CK95" i="1" l="1"/>
  <c r="CI80" i="1"/>
  <c r="CJ80" i="1"/>
  <c r="DA37" i="1"/>
  <c r="DB37" i="1" s="1"/>
  <c r="CH96" i="1"/>
  <c r="CH95" i="1"/>
  <c r="CL80" i="1"/>
  <c r="CK96" i="1"/>
  <c r="CK97" i="1"/>
  <c r="CH80" i="1"/>
  <c r="CI96" i="1"/>
  <c r="CI95" i="1"/>
  <c r="CI97" i="1"/>
  <c r="CH97" i="1"/>
  <c r="CJ95" i="1"/>
  <c r="CJ96" i="1"/>
  <c r="CJ97" i="1"/>
  <c r="CT193" i="1"/>
  <c r="CS195" i="1"/>
  <c r="CR191" i="1"/>
  <c r="CQ192" i="1"/>
  <c r="CQ196" i="1" s="1"/>
  <c r="CZ27" i="1"/>
  <c r="DA27" i="1" s="1"/>
  <c r="DB27" i="1" s="1"/>
  <c r="CR50" i="1"/>
  <c r="BZ102" i="1"/>
  <c r="BZ76" i="1"/>
  <c r="CC79" i="1" s="1"/>
  <c r="CG80" i="1" s="1"/>
  <c r="CD96" i="1"/>
  <c r="CD95" i="1"/>
  <c r="CD97" i="1"/>
  <c r="CV189" i="1"/>
  <c r="BX73" i="1"/>
  <c r="BW73" i="1" s="1"/>
  <c r="BV73" i="1" s="1"/>
  <c r="BU73" i="1" s="1"/>
  <c r="BT73" i="1" s="1"/>
  <c r="BS73" i="1" s="1"/>
  <c r="BR73" i="1" s="1"/>
  <c r="BQ73" i="1" s="1"/>
  <c r="BP73" i="1" s="1"/>
  <c r="BO73" i="1" s="1"/>
  <c r="BN73" i="1" s="1"/>
  <c r="BM73" i="1" s="1"/>
  <c r="BL73" i="1" s="1"/>
  <c r="BY75" i="1"/>
  <c r="BY76" i="1" s="1"/>
  <c r="CG121" i="1"/>
  <c r="CG124" i="1" s="1"/>
  <c r="CG120" i="1"/>
  <c r="CG123" i="1" s="1"/>
  <c r="CT259" i="1"/>
  <c r="CT216" i="1"/>
  <c r="CW150" i="1"/>
  <c r="CW212" i="1" s="1"/>
  <c r="CV134" i="1"/>
  <c r="CU138" i="1"/>
  <c r="DA194" i="1"/>
  <c r="DB135" i="1"/>
  <c r="CH100" i="1"/>
  <c r="CF47" i="1"/>
  <c r="CI100" i="1"/>
  <c r="CG100" i="1"/>
  <c r="CE120" i="1"/>
  <c r="CE123" i="1" s="1"/>
  <c r="AC30" i="1"/>
  <c r="BY242" i="1"/>
  <c r="BY243" i="1" s="1"/>
  <c r="CK100" i="1" l="1"/>
  <c r="CJ100" i="1"/>
  <c r="CS191" i="1"/>
  <c r="CR192" i="1"/>
  <c r="CR196" i="1" s="1"/>
  <c r="CU193" i="1"/>
  <c r="CT195" i="1"/>
  <c r="CB79" i="1"/>
  <c r="CF80" i="1" s="1"/>
  <c r="CS50" i="1"/>
  <c r="CW134" i="1"/>
  <c r="CV138" i="1"/>
  <c r="CX150" i="1"/>
  <c r="CY150" i="1" s="1"/>
  <c r="BK73" i="1"/>
  <c r="BJ73" i="1" s="1"/>
  <c r="BI73" i="1" s="1"/>
  <c r="BH73" i="1" s="1"/>
  <c r="BG73" i="1" s="1"/>
  <c r="BF73" i="1" s="1"/>
  <c r="BE73" i="1" s="1"/>
  <c r="BD73" i="1" s="1"/>
  <c r="BC73" i="1" s="1"/>
  <c r="BB73" i="1" s="1"/>
  <c r="BA73" i="1" s="1"/>
  <c r="AZ73" i="1" s="1"/>
  <c r="AY73" i="1" s="1"/>
  <c r="AX73" i="1" s="1"/>
  <c r="AW73" i="1" s="1"/>
  <c r="AV73" i="1" s="1"/>
  <c r="AU73" i="1" s="1"/>
  <c r="AT73" i="1" s="1"/>
  <c r="AS73" i="1" s="1"/>
  <c r="AR73" i="1" s="1"/>
  <c r="AQ73" i="1" s="1"/>
  <c r="AP73" i="1" s="1"/>
  <c r="AO73" i="1" s="1"/>
  <c r="AN73" i="1" s="1"/>
  <c r="AM73" i="1" s="1"/>
  <c r="AL73" i="1" s="1"/>
  <c r="BL75" i="1"/>
  <c r="CW189" i="1"/>
  <c r="CU259" i="1"/>
  <c r="CU216" i="1"/>
  <c r="DB194" i="1"/>
  <c r="AD30" i="1"/>
  <c r="BY244" i="1"/>
  <c r="CV193" i="1" l="1"/>
  <c r="CU195" i="1"/>
  <c r="CT191" i="1"/>
  <c r="CS192" i="1"/>
  <c r="CS196" i="1" s="1"/>
  <c r="CT50" i="1"/>
  <c r="BL102" i="1"/>
  <c r="BL76" i="1"/>
  <c r="CX189" i="1"/>
  <c r="CY212" i="1"/>
  <c r="CZ150" i="1"/>
  <c r="CV259" i="1"/>
  <c r="CV216" i="1"/>
  <c r="AK73" i="1"/>
  <c r="AJ73" i="1" s="1"/>
  <c r="AI73" i="1" s="1"/>
  <c r="AL75" i="1"/>
  <c r="CX134" i="1"/>
  <c r="CW138" i="1"/>
  <c r="CX212" i="1"/>
  <c r="AE30" i="1"/>
  <c r="CU191" i="1" l="1"/>
  <c r="CT192" i="1"/>
  <c r="CT196" i="1" s="1"/>
  <c r="CW193" i="1"/>
  <c r="CV195" i="1"/>
  <c r="CU50" i="1"/>
  <c r="CY134" i="1"/>
  <c r="CX138" i="1"/>
  <c r="CY189" i="1"/>
  <c r="CZ212" i="1"/>
  <c r="DA150" i="1"/>
  <c r="DB150" i="1" s="1"/>
  <c r="DB212" i="1" s="1"/>
  <c r="CW259" i="1"/>
  <c r="CW216" i="1"/>
  <c r="BI75" i="1"/>
  <c r="AT75" i="1"/>
  <c r="BT75" i="1"/>
  <c r="AV75" i="1"/>
  <c r="AX75" i="1"/>
  <c r="AR75" i="1"/>
  <c r="CX193" i="1" l="1"/>
  <c r="CW195" i="1"/>
  <c r="CV191" i="1"/>
  <c r="CU192" i="1"/>
  <c r="CU196" i="1" s="1"/>
  <c r="CV50" i="1"/>
  <c r="CX259" i="1"/>
  <c r="CX216" i="1"/>
  <c r="DA212" i="1"/>
  <c r="CZ189" i="1"/>
  <c r="CZ134" i="1"/>
  <c r="CY138" i="1"/>
  <c r="AO75" i="1"/>
  <c r="BK75" i="1"/>
  <c r="AN75" i="1"/>
  <c r="AW75" i="1"/>
  <c r="BB75" i="1"/>
  <c r="BM75" i="1"/>
  <c r="BQ75" i="1"/>
  <c r="AJ75" i="1"/>
  <c r="BS75" i="1"/>
  <c r="BR75" i="1"/>
  <c r="BO75" i="1"/>
  <c r="AM75" i="1"/>
  <c r="AI75" i="1"/>
  <c r="AP75" i="1"/>
  <c r="AZ75" i="1"/>
  <c r="AS75" i="1"/>
  <c r="BN75" i="1"/>
  <c r="BU75" i="1"/>
  <c r="BA75" i="1"/>
  <c r="BC75" i="1"/>
  <c r="AU75" i="1"/>
  <c r="BW75" i="1"/>
  <c r="BP75" i="1"/>
  <c r="BJ75" i="1"/>
  <c r="BH75" i="1"/>
  <c r="BX75" i="1"/>
  <c r="BG75" i="1"/>
  <c r="AQ75" i="1"/>
  <c r="AY75" i="1"/>
  <c r="AK75" i="1"/>
  <c r="BE75" i="1"/>
  <c r="BD75" i="1"/>
  <c r="BV75" i="1"/>
  <c r="BF75" i="1"/>
  <c r="CW50" i="1" l="1"/>
  <c r="CV192" i="1"/>
  <c r="CV196" i="1" s="1"/>
  <c r="CW191" i="1"/>
  <c r="CY193" i="1"/>
  <c r="CX195" i="1"/>
  <c r="DA189" i="1"/>
  <c r="CY259" i="1"/>
  <c r="CY216" i="1"/>
  <c r="DA134" i="1"/>
  <c r="CZ138" i="1"/>
  <c r="BL241" i="1"/>
  <c r="CX50" i="1" l="1"/>
  <c r="CY50" i="1"/>
  <c r="CZ50" i="1" s="1"/>
  <c r="CX191" i="1"/>
  <c r="CW192" i="1"/>
  <c r="CW196" i="1" s="1"/>
  <c r="CZ193" i="1"/>
  <c r="CY195" i="1"/>
  <c r="CZ216" i="1"/>
  <c r="CZ259" i="1"/>
  <c r="DB134" i="1"/>
  <c r="DB138" i="1" s="1"/>
  <c r="DA138" i="1"/>
  <c r="DB189" i="1"/>
  <c r="AB150" i="1"/>
  <c r="DA50" i="1" l="1"/>
  <c r="DB50" i="1" s="1"/>
  <c r="DA193" i="1"/>
  <c r="CZ195" i="1"/>
  <c r="CY191" i="1"/>
  <c r="CX192" i="1"/>
  <c r="CX196" i="1" s="1"/>
  <c r="DA216" i="1"/>
  <c r="DA259" i="1"/>
  <c r="DB216" i="1"/>
  <c r="DB259" i="1"/>
  <c r="CN87" i="1"/>
  <c r="AB212" i="1"/>
  <c r="CZ191" i="1" l="1"/>
  <c r="CY192" i="1"/>
  <c r="CY196" i="1" s="1"/>
  <c r="DA195" i="1"/>
  <c r="DB193" i="1"/>
  <c r="DB195" i="1" s="1"/>
  <c r="CO87" i="1"/>
  <c r="CM73" i="1"/>
  <c r="DA191" i="1" l="1"/>
  <c r="CZ192" i="1"/>
  <c r="CZ196" i="1" s="1"/>
  <c r="CP87" i="1"/>
  <c r="CN73" i="1"/>
  <c r="CM75" i="1"/>
  <c r="DA192" i="1" l="1"/>
  <c r="DA196" i="1" s="1"/>
  <c r="DB191" i="1"/>
  <c r="DB192" i="1" s="1"/>
  <c r="DB196" i="1" s="1"/>
  <c r="CL118" i="1"/>
  <c r="CL117" i="1"/>
  <c r="CL109" i="1"/>
  <c r="AB87" i="1"/>
  <c r="CQ87" i="1"/>
  <c r="AC150" i="1"/>
  <c r="CN75" i="1"/>
  <c r="CO73" i="1"/>
  <c r="X22" i="2"/>
  <c r="S10" i="2"/>
  <c r="K12" i="2"/>
  <c r="F16" i="2"/>
  <c r="AP46" i="3"/>
  <c r="K36" i="2"/>
  <c r="K22" i="2"/>
  <c r="O13" i="2"/>
  <c r="M35" i="2"/>
  <c r="G17" i="3"/>
  <c r="DU7" i="4" a="1"/>
  <c r="CP12" i="4" a="1"/>
  <c r="CD11" i="4" a="1"/>
  <c r="DF7" i="4" a="1"/>
  <c r="I7" i="4" a="1"/>
  <c r="U15" i="4" a="1"/>
  <c r="P6" i="2"/>
  <c r="J34" i="2"/>
  <c r="D29" i="2"/>
  <c r="AR60" i="3"/>
  <c r="F5" i="3"/>
  <c r="G32" i="2"/>
  <c r="V19" i="2"/>
  <c r="L8" i="2"/>
  <c r="R32" i="2"/>
  <c r="AR92" i="3"/>
  <c r="N9" i="2"/>
  <c r="D33" i="2"/>
  <c r="E20" i="3"/>
  <c r="O27" i="2"/>
  <c r="X17" i="2"/>
  <c r="H46" i="3"/>
  <c r="H23" i="2"/>
  <c r="V8" i="2"/>
  <c r="E16" i="4" a="1"/>
  <c r="G12" i="4" a="1"/>
  <c r="AJ7" i="4" a="1"/>
  <c r="AB13" i="4" a="1"/>
  <c r="M16" i="2"/>
  <c r="I30" i="2"/>
  <c r="AR41" i="3"/>
  <c r="C9" i="2"/>
  <c r="J14" i="2"/>
  <c r="AK45" i="3"/>
  <c r="L15" i="2"/>
  <c r="V25" i="2"/>
  <c r="H20" i="2"/>
  <c r="I36" i="2"/>
  <c r="D10" i="3"/>
  <c r="M18" i="2"/>
  <c r="I22" i="2"/>
  <c r="AN45" i="3"/>
  <c r="H36" i="2"/>
  <c r="K14" i="2"/>
  <c r="K26" i="2"/>
  <c r="E10" i="2"/>
  <c r="F22" i="3"/>
  <c r="Q21" i="2"/>
  <c r="Q32" i="2"/>
  <c r="F24" i="3"/>
  <c r="AO11" i="4" a="1"/>
  <c r="AS15" i="4" a="1"/>
  <c r="AZ15" i="4" a="1"/>
  <c r="EE11" i="4" a="1"/>
  <c r="CL11" i="4" a="1"/>
  <c r="R25" i="2"/>
  <c r="Q23" i="2"/>
  <c r="E6" i="3"/>
  <c r="J7" i="2"/>
  <c r="M9" i="2"/>
  <c r="C21" i="2"/>
  <c r="P16" i="2"/>
  <c r="E11" i="3"/>
  <c r="J26" i="2"/>
  <c r="M11" i="2"/>
  <c r="AC45" i="3"/>
  <c r="U35" i="2"/>
  <c r="L5" i="2"/>
  <c r="I27" i="2"/>
  <c r="P26" i="2"/>
  <c r="D19" i="3"/>
  <c r="S9" i="2"/>
  <c r="AR91" i="3"/>
  <c r="L20" i="2"/>
  <c r="V31" i="2"/>
  <c r="O45" i="3"/>
  <c r="I20" i="2"/>
  <c r="U15" i="2"/>
  <c r="U8" i="2"/>
  <c r="E39" i="3"/>
  <c r="J9" i="2"/>
  <c r="AR94" i="3"/>
  <c r="S35" i="2"/>
  <c r="S28" i="2"/>
  <c r="AF48" i="3"/>
  <c r="H30" i="2"/>
  <c r="P31" i="2"/>
  <c r="P8" i="2"/>
  <c r="U9" i="2"/>
  <c r="P22" i="2"/>
  <c r="V11" i="2"/>
  <c r="G7" i="2"/>
  <c r="X25" i="2"/>
  <c r="E5" i="3"/>
  <c r="W12" i="2"/>
  <c r="R26" i="2"/>
  <c r="D35" i="3"/>
  <c r="K31" i="2"/>
  <c r="F30" i="2"/>
  <c r="V35" i="2"/>
  <c r="M36" i="2"/>
  <c r="N45" i="3"/>
  <c r="L6" i="2"/>
  <c r="F13" i="2"/>
  <c r="AD8" i="3"/>
  <c r="CG8" i="4" a="1"/>
  <c r="BK5" i="4" a="1"/>
  <c r="BU13" i="4" a="1"/>
  <c r="BZ6" i="4" a="1"/>
  <c r="CX6" i="4" a="1"/>
  <c r="BV11" i="4" a="1"/>
  <c r="DL12" i="4" a="1"/>
  <c r="AF9" i="4" a="1"/>
  <c r="F7" i="4" a="1"/>
  <c r="CG11" i="4" a="1"/>
  <c r="CU7" i="4" a="1"/>
  <c r="AK16" i="4" a="1"/>
  <c r="M27" i="2"/>
  <c r="H35" i="2"/>
  <c r="C11" i="2"/>
  <c r="CC8" i="4" a="1"/>
  <c r="DC11" i="4" a="1"/>
  <c r="BI6" i="4" a="1"/>
  <c r="CP15" i="4" a="1"/>
  <c r="D6" i="4" a="1"/>
  <c r="AL15" i="4" a="1"/>
  <c r="DW7" i="4" a="1"/>
  <c r="BU8" i="4" a="1"/>
  <c r="AJ5" i="4" a="1"/>
  <c r="DR9" i="4" a="1"/>
  <c r="M15" i="4" a="1"/>
  <c r="DV9" i="4" a="1"/>
  <c r="F7" i="2"/>
  <c r="AR96" i="3"/>
  <c r="H33" i="2"/>
  <c r="M14" i="4" a="1"/>
  <c r="K12" i="4" a="1"/>
  <c r="AY7" i="4" a="1"/>
  <c r="DO8" i="4" a="1"/>
  <c r="C9" i="4" a="1"/>
  <c r="U46" i="3"/>
  <c r="J21" i="2"/>
  <c r="E26" i="2"/>
  <c r="C12" i="2"/>
  <c r="W24" i="2"/>
  <c r="AR56" i="3"/>
  <c r="AO45" i="3"/>
  <c r="L9" i="2"/>
  <c r="AS47" i="3"/>
  <c r="O9" i="2"/>
  <c r="S31" i="2"/>
  <c r="C45" i="3"/>
  <c r="CX14" i="4" a="1"/>
  <c r="BI9" i="4" a="1"/>
  <c r="AE9" i="4" a="1"/>
  <c r="BT9" i="4" a="1"/>
  <c r="AN15" i="4" a="1"/>
  <c r="O8" i="2"/>
  <c r="X27" i="2"/>
  <c r="G11" i="3"/>
  <c r="V23" i="2"/>
  <c r="R19" i="2"/>
  <c r="I45" i="3"/>
  <c r="N31" i="2"/>
  <c r="E22" i="2"/>
  <c r="I28" i="2"/>
  <c r="M25" i="2"/>
  <c r="W22" i="2"/>
  <c r="K33" i="2"/>
  <c r="Q20" i="2"/>
  <c r="AR32" i="3"/>
  <c r="T33" i="2"/>
  <c r="AR62" i="3"/>
  <c r="G19" i="3"/>
  <c r="V5" i="2"/>
  <c r="D25" i="2"/>
  <c r="CZ16" i="4" a="1"/>
  <c r="CC16" i="4" a="1"/>
  <c r="AQ16" i="4" a="1"/>
  <c r="EK15" i="4" a="1"/>
  <c r="G19" i="2"/>
  <c r="V13" i="2"/>
  <c r="D12" i="3"/>
  <c r="J6" i="2"/>
  <c r="AR65" i="3"/>
  <c r="J24" i="2"/>
  <c r="J36" i="2"/>
  <c r="F8" i="3"/>
  <c r="I18" i="2"/>
  <c r="Q25" i="2"/>
  <c r="AR45" i="3"/>
  <c r="I16" i="2"/>
  <c r="H10" i="2"/>
  <c r="F6" i="3"/>
  <c r="Q27" i="2"/>
  <c r="U31" i="2"/>
  <c r="F75" i="2"/>
  <c r="K59" i="2"/>
  <c r="AR33" i="3"/>
  <c r="F17" i="2"/>
  <c r="AR93" i="3"/>
  <c r="F30" i="3"/>
  <c r="AM5" i="4" a="1"/>
  <c r="BC16" i="4" a="1"/>
  <c r="AI9" i="4" a="1"/>
  <c r="AY12" i="4" a="1"/>
  <c r="T15" i="4" a="1"/>
  <c r="M19" i="2"/>
  <c r="C36" i="2"/>
  <c r="G9" i="3"/>
  <c r="X63" i="2"/>
  <c r="AR86" i="3"/>
  <c r="G36" i="2"/>
  <c r="Q26" i="2"/>
  <c r="E10" i="3"/>
  <c r="J22" i="2"/>
  <c r="E7" i="2"/>
  <c r="G30" i="3"/>
  <c r="F31" i="2"/>
  <c r="E18" i="2"/>
  <c r="H29" i="2"/>
  <c r="U10" i="2"/>
  <c r="AP45" i="3"/>
  <c r="P28" i="2"/>
  <c r="H5" i="2"/>
  <c r="L33" i="2"/>
  <c r="R27" i="2"/>
  <c r="E31" i="3"/>
  <c r="S32" i="2"/>
  <c r="O35" i="2"/>
  <c r="U16" i="2"/>
  <c r="D39" i="3"/>
  <c r="D22" i="2"/>
  <c r="C13" i="2"/>
  <c r="D9" i="2"/>
  <c r="M20" i="2"/>
  <c r="AR24" i="3"/>
  <c r="O33" i="2"/>
  <c r="V34" i="2"/>
  <c r="O11" i="2"/>
  <c r="W45" i="3"/>
  <c r="W35" i="2"/>
  <c r="U33" i="2"/>
  <c r="K28" i="2"/>
  <c r="P24" i="2"/>
  <c r="X45" i="3"/>
  <c r="C22" i="2"/>
  <c r="AR95" i="3"/>
  <c r="W16" i="2"/>
  <c r="I10" i="2"/>
  <c r="E40" i="3"/>
  <c r="O19" i="2"/>
  <c r="M7" i="2"/>
  <c r="G21" i="3"/>
  <c r="AJ45" i="3"/>
  <c r="K87" i="2"/>
  <c r="F21" i="3"/>
  <c r="K16" i="4" a="1"/>
  <c r="D31" i="3"/>
  <c r="EJ12" i="4" a="1"/>
  <c r="CW13" i="4" a="1"/>
  <c r="CJ9" i="4" a="1"/>
  <c r="AL6" i="4" a="1"/>
  <c r="E8" i="3"/>
  <c r="BC5" i="4" a="1"/>
  <c r="M16" i="4" a="1"/>
  <c r="BN5" i="4" a="1"/>
  <c r="DC6" i="4" a="1"/>
  <c r="DD11" i="4" a="1"/>
  <c r="T35" i="2"/>
  <c r="V45" i="3"/>
  <c r="AI46" i="3"/>
  <c r="AF8" i="4" a="1"/>
  <c r="EE15" i="4" a="1"/>
  <c r="CM13" i="4" a="1"/>
  <c r="AT5" i="4" a="1"/>
  <c r="G6" i="2"/>
  <c r="S6" i="2"/>
  <c r="G27" i="3"/>
  <c r="S62" i="2"/>
  <c r="T32" i="2"/>
  <c r="D14" i="3"/>
  <c r="O28" i="2"/>
  <c r="T17" i="2"/>
  <c r="Q35" i="2"/>
  <c r="D27" i="2"/>
  <c r="E21" i="3"/>
  <c r="EG5" i="4" a="1"/>
  <c r="AR13" i="4" a="1"/>
  <c r="EB15" i="4" a="1"/>
  <c r="CI13" i="4" a="1"/>
  <c r="DB12" i="4" a="1"/>
  <c r="G16" i="2"/>
  <c r="T14" i="2"/>
  <c r="AD18" i="3"/>
  <c r="K7" i="2"/>
  <c r="F22" i="2"/>
  <c r="T26" i="2"/>
  <c r="G27" i="2"/>
  <c r="J46" i="3"/>
  <c r="P34" i="2"/>
  <c r="G5" i="2"/>
  <c r="G12" i="2"/>
  <c r="T12" i="2"/>
  <c r="C14" i="2"/>
  <c r="P45" i="3"/>
  <c r="S34" i="2"/>
  <c r="V30" i="2"/>
  <c r="Q18" i="2"/>
  <c r="P13" i="2"/>
  <c r="X46" i="3"/>
  <c r="BT7" i="4" a="1"/>
  <c r="BJ5" i="4" a="1"/>
  <c r="BY11" i="4" a="1"/>
  <c r="AC14" i="4" a="1"/>
  <c r="D34" i="2"/>
  <c r="W7" i="2"/>
  <c r="AG46" i="3"/>
  <c r="M5" i="2"/>
  <c r="J30" i="2"/>
  <c r="U6" i="2"/>
  <c r="L22" i="2"/>
  <c r="E14" i="3"/>
  <c r="Q17" i="2"/>
  <c r="AF50" i="3"/>
  <c r="G12" i="3"/>
  <c r="I9" i="2"/>
  <c r="N21" i="2"/>
  <c r="U27" i="2"/>
  <c r="F20" i="2"/>
  <c r="S46" i="3"/>
  <c r="K32" i="2"/>
  <c r="H15" i="2"/>
  <c r="K46" i="3"/>
  <c r="H13" i="2"/>
  <c r="J16" i="2"/>
  <c r="Y45" i="3"/>
  <c r="BE7" i="4" a="1"/>
  <c r="BC13" i="4" a="1"/>
  <c r="DK5" i="4" a="1"/>
  <c r="AU7" i="4" a="1"/>
  <c r="E8" i="4" a="1"/>
  <c r="W23" i="2"/>
  <c r="M23" i="2"/>
  <c r="D19" i="2"/>
  <c r="G25" i="2"/>
  <c r="E25" i="3"/>
  <c r="H24" i="2"/>
  <c r="P29" i="2"/>
  <c r="AD45" i="3"/>
  <c r="W30" i="2"/>
  <c r="R22" i="2"/>
  <c r="G8" i="3"/>
  <c r="W20" i="2"/>
  <c r="AR87" i="3"/>
  <c r="C31" i="2"/>
  <c r="C32" i="2"/>
  <c r="C8" i="2"/>
  <c r="X20" i="2"/>
  <c r="AA46" i="3"/>
  <c r="S17" i="2"/>
  <c r="J11" i="2"/>
  <c r="AD16" i="3"/>
  <c r="R35" i="2"/>
  <c r="T22" i="2"/>
  <c r="M17" i="2"/>
  <c r="X33" i="2"/>
  <c r="F25" i="2"/>
  <c r="AR78" i="3"/>
  <c r="V12" i="2"/>
  <c r="J28" i="2"/>
  <c r="D21" i="3"/>
  <c r="C19" i="2"/>
  <c r="U12" i="2"/>
  <c r="V22" i="2"/>
  <c r="D26" i="3"/>
  <c r="L19" i="2"/>
  <c r="AR75" i="3"/>
  <c r="L35" i="2"/>
  <c r="E11" i="2"/>
  <c r="D23" i="3"/>
  <c r="V10" i="2"/>
  <c r="I21" i="2"/>
  <c r="D6" i="2"/>
  <c r="L28" i="2"/>
  <c r="AQ46" i="3"/>
  <c r="T15" i="2"/>
  <c r="E17" i="2"/>
  <c r="Z46" i="3"/>
  <c r="P7" i="2"/>
  <c r="X16" i="2"/>
  <c r="CY15" i="4" a="1"/>
  <c r="AV15" i="4" a="1"/>
  <c r="EC15" i="4" a="1"/>
  <c r="AV8" i="4" a="1"/>
  <c r="C11" i="4" a="1"/>
  <c r="AD5" i="4" a="1"/>
  <c r="V8" i="4" a="1"/>
  <c r="BN7" i="4" a="1"/>
  <c r="ED6" i="4" a="1"/>
  <c r="EK16" i="4" a="1"/>
  <c r="DB6" i="4" a="1"/>
  <c r="CB11" i="4" a="1"/>
  <c r="AT16" i="4" a="1"/>
  <c r="R36" i="2"/>
  <c r="F24" i="2"/>
  <c r="AD14" i="3"/>
  <c r="DJ14" i="4" a="1"/>
  <c r="CQ7" i="4" a="1"/>
  <c r="D15" i="4" a="1"/>
  <c r="DT13" i="4" a="1"/>
  <c r="BL12" i="4" a="1"/>
  <c r="BV8" i="4" a="1"/>
  <c r="DT5" i="4" a="1"/>
  <c r="BZ9" i="4" a="1"/>
  <c r="CA11" i="4" a="1"/>
  <c r="ED15" i="4" a="1"/>
  <c r="AE5" i="4" a="1"/>
  <c r="DX14" i="4" a="1"/>
  <c r="V20" i="2"/>
  <c r="L29" i="2"/>
  <c r="E37" i="3"/>
  <c r="BS16" i="4" a="1"/>
  <c r="DA13" i="4" a="1"/>
  <c r="DR12" i="4" a="1"/>
  <c r="CT9" i="4" a="1"/>
  <c r="DQ13" i="4" a="1"/>
  <c r="C59" i="2"/>
  <c r="K20" i="2"/>
  <c r="BS6" i="4" a="1"/>
  <c r="DT6" i="4" a="1"/>
  <c r="BZ15" i="4" a="1"/>
  <c r="AA13" i="4" a="1"/>
  <c r="ED16" i="4" a="1"/>
  <c r="DF11" i="4" a="1"/>
  <c r="CC14" i="4" a="1"/>
  <c r="DV5" i="4" a="1"/>
  <c r="BZ11" i="4" a="1"/>
  <c r="DA12" i="4" a="1"/>
  <c r="CH5" i="4" a="1"/>
  <c r="DN13" i="4" a="1"/>
  <c r="CK9" i="4" a="1"/>
  <c r="K5" i="4" a="1"/>
  <c r="CL8" i="4" a="1"/>
  <c r="K29" i="2"/>
  <c r="H54" i="2"/>
  <c r="AK11" i="4" a="1"/>
  <c r="K9" i="4" a="1"/>
  <c r="AO12" i="4" a="1"/>
  <c r="CJ8" i="4" a="1"/>
  <c r="AR20" i="3"/>
  <c r="BF12" i="4" a="1"/>
  <c r="I26" i="2"/>
  <c r="Q5" i="2"/>
  <c r="AR46" i="3"/>
  <c r="CE6" i="4" a="1"/>
  <c r="O9" i="4" a="1"/>
  <c r="AM6" i="4" a="1"/>
  <c r="H5" i="4" a="1"/>
  <c r="DY16" i="4" a="1"/>
  <c r="BS13" i="4" a="1"/>
  <c r="G24" i="3"/>
  <c r="DD9" i="4" a="1"/>
  <c r="CL6" i="4" a="1"/>
  <c r="R12" i="4" a="1"/>
  <c r="AR36" i="3"/>
  <c r="F21" i="2"/>
  <c r="E36" i="3"/>
  <c r="EJ16" i="4" a="1"/>
  <c r="CY13" i="4" a="1"/>
  <c r="DE16" i="4" a="1"/>
  <c r="J13" i="4" a="1"/>
  <c r="AQ13" i="4" a="1"/>
  <c r="G11" i="4" a="1"/>
  <c r="F16" i="3"/>
  <c r="EF13" i="4" a="1"/>
  <c r="EH7" i="4" a="1"/>
  <c r="CX9" i="4" a="1"/>
  <c r="Y15" i="4" a="1"/>
  <c r="EJ6" i="4" a="1"/>
  <c r="V36" i="2"/>
  <c r="H18" i="2"/>
  <c r="V18" i="2"/>
  <c r="L36" i="2"/>
  <c r="K7" i="4" a="1"/>
  <c r="BF14" i="4" a="1"/>
  <c r="BC12" i="4" a="1"/>
  <c r="CB14" i="4" a="1"/>
  <c r="CI7" i="4" a="1"/>
  <c r="CQ8" i="4" a="1"/>
  <c r="R5" i="4" a="1"/>
  <c r="AN8" i="4" a="1"/>
  <c r="EJ13" i="4" a="1"/>
  <c r="CG6" i="4" a="1"/>
  <c r="CH12" i="4" a="1"/>
  <c r="AL11" i="4" a="1"/>
  <c r="CS16" i="4" a="1"/>
  <c r="DL8" i="4" a="1"/>
  <c r="L11" i="2"/>
  <c r="C7" i="2"/>
  <c r="CY16" i="4" a="1"/>
  <c r="AV11" i="4" a="1"/>
  <c r="ED14" i="4" a="1"/>
  <c r="E6" i="4" a="1"/>
  <c r="AX11" i="4" a="1"/>
  <c r="W8" i="4" a="1"/>
  <c r="I34" i="2"/>
  <c r="AR83" i="3"/>
  <c r="CH7" i="4" a="1"/>
  <c r="CF13" i="4" a="1"/>
  <c r="DE12" i="4" a="1"/>
  <c r="Q24" i="2"/>
  <c r="DM12" i="4" a="1"/>
  <c r="BM8" i="4" a="1"/>
  <c r="AX14" i="4" a="1"/>
  <c r="Z14" i="4" a="1"/>
  <c r="CC15" i="4" a="1"/>
  <c r="DI9" i="4" a="1"/>
  <c r="AH16" i="4" a="1"/>
  <c r="DS14" i="4" a="1"/>
  <c r="BF6" i="4" a="1"/>
  <c r="AF15" i="4" a="1"/>
  <c r="ED11" i="4" a="1"/>
  <c r="F89" i="2"/>
  <c r="Q29" i="2"/>
  <c r="I46" i="3"/>
  <c r="F11" i="2"/>
  <c r="C16" i="2"/>
  <c r="K5" i="2"/>
  <c r="K24" i="2"/>
  <c r="F32" i="3"/>
  <c r="X66" i="2"/>
  <c r="S21" i="2"/>
  <c r="G6" i="3"/>
  <c r="AG15" i="4" a="1"/>
  <c r="CZ8" i="4" a="1"/>
  <c r="F38" i="3"/>
  <c r="BI7" i="4" a="1"/>
  <c r="T9" i="4" a="1"/>
  <c r="L12" i="2"/>
  <c r="C18" i="2"/>
  <c r="C46" i="3"/>
  <c r="G10" i="2"/>
  <c r="K15" i="2"/>
  <c r="I14" i="2"/>
  <c r="M32" i="2"/>
  <c r="AA45" i="3"/>
  <c r="V32" i="2"/>
  <c r="I29" i="2"/>
  <c r="AR66" i="3"/>
  <c r="P23" i="2"/>
  <c r="AR55" i="3"/>
  <c r="E29" i="3"/>
  <c r="P17" i="2"/>
  <c r="AR67" i="3"/>
  <c r="O6" i="2"/>
  <c r="G28" i="2"/>
  <c r="AC46" i="3"/>
  <c r="CQ6" i="4" a="1"/>
  <c r="CB5" i="4" a="1"/>
  <c r="AN12" i="4" a="1"/>
  <c r="CV12" i="4" a="1"/>
  <c r="P15" i="2"/>
  <c r="E34" i="2"/>
  <c r="N5" i="2"/>
  <c r="T27" i="2"/>
  <c r="F17" i="3"/>
  <c r="D47" i="2"/>
  <c r="X92" i="2"/>
  <c r="AR25" i="3"/>
  <c r="O18" i="2"/>
  <c r="N13" i="2"/>
  <c r="E45" i="3"/>
  <c r="F35" i="2"/>
  <c r="U28" i="2"/>
  <c r="Q78" i="2"/>
  <c r="Q31" i="2"/>
  <c r="E32" i="3"/>
  <c r="V28" i="2"/>
  <c r="J32" i="2"/>
  <c r="E13" i="3"/>
  <c r="U7" i="2"/>
  <c r="P12" i="2"/>
  <c r="DO14" i="4" a="1"/>
  <c r="AI8" i="4" a="1"/>
  <c r="DX11" i="4" a="1"/>
  <c r="DF5" i="4" a="1"/>
  <c r="BJ16" i="4" a="1"/>
  <c r="BB9" i="4" a="1"/>
  <c r="E30" i="2"/>
  <c r="G21" i="2"/>
  <c r="D32" i="2"/>
  <c r="F19" i="2"/>
  <c r="L46" i="3"/>
  <c r="N29" i="2"/>
  <c r="C29" i="2"/>
  <c r="AN46" i="3"/>
  <c r="G14" i="2"/>
  <c r="W19" i="2"/>
  <c r="BY8" i="4" a="1"/>
  <c r="S22" i="2"/>
  <c r="N22" i="2"/>
  <c r="R18" i="2"/>
  <c r="L30" i="2"/>
  <c r="Q58" i="2"/>
  <c r="N7" i="2"/>
  <c r="G5" i="3"/>
  <c r="C28" i="2"/>
  <c r="M31" i="2"/>
  <c r="M14" i="2"/>
  <c r="R12" i="2"/>
  <c r="H22" i="2"/>
  <c r="AR71" i="3"/>
  <c r="J18" i="2"/>
  <c r="R15" i="2"/>
  <c r="E28" i="3"/>
  <c r="R54" i="2"/>
  <c r="AR89" i="3"/>
  <c r="Q45" i="3"/>
  <c r="X34" i="2"/>
  <c r="W21" i="2"/>
  <c r="W15" i="2"/>
  <c r="AH46" i="3"/>
  <c r="S19" i="2"/>
  <c r="D14" i="2"/>
  <c r="L16" i="2"/>
  <c r="L14" i="2"/>
  <c r="X19" i="2"/>
  <c r="I24" i="2"/>
  <c r="AJ46" i="3"/>
  <c r="L13" i="2"/>
  <c r="Q15" i="2"/>
  <c r="E17" i="3"/>
  <c r="R13" i="2"/>
  <c r="X36" i="2"/>
  <c r="F11" i="3"/>
  <c r="E35" i="2"/>
  <c r="R9" i="2"/>
  <c r="DM6" i="4" a="1"/>
  <c r="EF14" i="4" a="1"/>
  <c r="BF7" i="4" a="1"/>
  <c r="AA16" i="4" a="1"/>
  <c r="R45" i="3"/>
  <c r="BO5" i="4" a="1"/>
  <c r="AB6" i="4" a="1"/>
  <c r="BW11" i="4" a="1"/>
  <c r="BJ9" i="4" a="1"/>
  <c r="DZ9" i="4" a="1"/>
  <c r="CE8" i="4" a="1"/>
  <c r="BU15" i="4" a="1"/>
  <c r="DY6" i="4" a="1"/>
  <c r="AH45" i="3"/>
  <c r="J33" i="2"/>
  <c r="D25" i="3"/>
  <c r="BA6" i="4" a="1"/>
  <c r="F40" i="3"/>
  <c r="DC15" i="4" a="1"/>
  <c r="H12" i="4" a="1"/>
  <c r="CN14" i="4" a="1"/>
  <c r="AR5" i="4" a="1"/>
  <c r="D5" i="3"/>
  <c r="EB8" i="4" a="1"/>
  <c r="BR11" i="4" a="1"/>
  <c r="O5" i="4" a="1"/>
  <c r="CA14" i="4" a="1"/>
  <c r="BE13" i="4" a="1"/>
  <c r="F7" i="3"/>
  <c r="X9" i="2"/>
  <c r="AR10" i="3"/>
  <c r="AN11" i="4" a="1"/>
  <c r="D46" i="3"/>
  <c r="CC13" i="4" a="1"/>
  <c r="AS14" i="4" a="1"/>
  <c r="CU6" i="4" a="1"/>
  <c r="P35" i="2"/>
  <c r="G9" i="2"/>
  <c r="EH16" i="4" a="1"/>
  <c r="CJ12" i="4" a="1"/>
  <c r="S15" i="4" a="1"/>
  <c r="CM15" i="4" a="1"/>
  <c r="AK9" i="4" a="1"/>
  <c r="DP5" i="4" a="1"/>
  <c r="AV5" i="4" a="1"/>
  <c r="DY11" i="4" a="1"/>
  <c r="AU16" i="4" a="1"/>
  <c r="EE13" i="4" a="1"/>
  <c r="CL5" i="4" a="1"/>
  <c r="AW6" i="4" a="1"/>
  <c r="Z13" i="4" a="1"/>
  <c r="DF8" i="4" a="1"/>
  <c r="CW15" i="4" a="1"/>
  <c r="G85" i="3"/>
  <c r="K8" i="2"/>
  <c r="U20" i="2"/>
  <c r="DR16" i="4" a="1"/>
  <c r="EG7" i="4" a="1"/>
  <c r="CG16" i="4" a="1"/>
  <c r="DK14" i="4" a="1"/>
  <c r="BB8" i="4" a="1"/>
  <c r="EJ7" i="4" a="1"/>
  <c r="Q28" i="2"/>
  <c r="U18" i="2"/>
  <c r="AO6" i="3"/>
  <c r="V16" i="4" a="1"/>
  <c r="CI14" i="4" a="1"/>
  <c r="CS7" i="4" a="1"/>
  <c r="DR8" i="4" a="1"/>
  <c r="AG9" i="4" a="1"/>
  <c r="AQ5" i="4" a="1"/>
  <c r="DV16" i="4" a="1"/>
  <c r="DK13" i="4" a="1"/>
  <c r="AZ5" i="4" a="1"/>
  <c r="CL14" i="4" a="1"/>
  <c r="Q69" i="2"/>
  <c r="Q33" i="2"/>
  <c r="E19" i="3"/>
  <c r="DB8" i="4" a="1"/>
  <c r="AZ14" i="4" a="1"/>
  <c r="I5" i="4" a="1"/>
  <c r="DU6" i="4" a="1"/>
  <c r="BY5" i="4" a="1"/>
  <c r="EB16" i="4" a="1"/>
  <c r="DT7" i="4" a="1"/>
  <c r="AP15" i="4" a="1"/>
  <c r="N7" i="4" a="1"/>
  <c r="E7" i="4" a="1"/>
  <c r="EI13" i="4" a="1"/>
  <c r="Y9" i="4" a="1"/>
  <c r="J20" i="2"/>
  <c r="T10" i="2"/>
  <c r="I25" i="2"/>
  <c r="E36" i="2"/>
  <c r="BA9" i="4" a="1"/>
  <c r="DC14" i="4" a="1"/>
  <c r="BE12" i="4" a="1"/>
  <c r="CP9" i="4" a="1"/>
  <c r="AN7" i="4" a="1"/>
  <c r="BG12" i="4" a="1"/>
  <c r="AL7" i="4" a="1"/>
  <c r="EG14" i="4" a="1"/>
  <c r="CK6" i="4" a="1"/>
  <c r="DD5" i="4" a="1"/>
  <c r="AT9" i="4" a="1"/>
  <c r="N8" i="4" a="1"/>
  <c r="AN5" i="4" a="1"/>
  <c r="EH9" i="4" a="1"/>
  <c r="C15" i="2"/>
  <c r="AR48" i="3"/>
  <c r="AO5" i="4" a="1"/>
  <c r="CQ5" i="4" a="1"/>
  <c r="AQ15" i="4" a="1"/>
  <c r="CD16" i="4" a="1"/>
  <c r="W11" i="4" a="1"/>
  <c r="AR21" i="3"/>
  <c r="D29" i="3"/>
  <c r="AR19" i="3"/>
  <c r="BL8" i="4" a="1"/>
  <c r="AF13" i="4" a="1"/>
  <c r="BD5" i="4" a="1"/>
  <c r="DK7" i="4" a="1"/>
  <c r="CP13" i="4" a="1"/>
  <c r="CN11" i="4" a="1"/>
  <c r="E13" i="4" a="1"/>
  <c r="N16" i="4" a="1"/>
  <c r="AN14" i="4" a="1"/>
  <c r="AU9" i="4" a="1"/>
  <c r="AT7" i="4" a="1"/>
  <c r="D94" i="3"/>
  <c r="DS7" i="4" a="1"/>
  <c r="D89" i="3"/>
  <c r="CI9" i="4" a="1"/>
  <c r="F69" i="3"/>
  <c r="EK6" i="4" a="1"/>
  <c r="DM15" i="4" a="1"/>
  <c r="CH13" i="4" a="1"/>
  <c r="CF6" i="4" a="1"/>
  <c r="C20" i="2"/>
  <c r="D18" i="2"/>
  <c r="V46" i="3"/>
  <c r="X15" i="2"/>
  <c r="F15" i="2"/>
  <c r="O16" i="2"/>
  <c r="W33" i="2"/>
  <c r="F29" i="3"/>
  <c r="K21" i="2"/>
  <c r="AR70" i="3"/>
  <c r="E16" i="3"/>
  <c r="AV16" i="4" a="1"/>
  <c r="CD15" i="4" a="1"/>
  <c r="Z8" i="4" a="1"/>
  <c r="AY6" i="4" a="1"/>
  <c r="C13" i="4" a="1"/>
  <c r="X8" i="2"/>
  <c r="J17" i="2"/>
  <c r="F10" i="2"/>
  <c r="G35" i="2"/>
  <c r="F39" i="3"/>
  <c r="O17" i="2"/>
  <c r="S8" i="2"/>
  <c r="E23" i="3"/>
  <c r="U17" i="2"/>
  <c r="W26" i="2"/>
  <c r="F18" i="3"/>
  <c r="D28" i="2"/>
  <c r="C26" i="2"/>
  <c r="F26" i="3"/>
  <c r="X5" i="2"/>
  <c r="P10" i="2"/>
  <c r="N36" i="2"/>
  <c r="D31" i="2"/>
  <c r="G14" i="3"/>
  <c r="CW14" i="4" a="1"/>
  <c r="AA9" i="4" a="1"/>
  <c r="E38" i="3"/>
  <c r="F16" i="4" a="1"/>
  <c r="H49" i="2"/>
  <c r="O21" i="2"/>
  <c r="X14" i="2"/>
  <c r="M29" i="2"/>
  <c r="D34" i="3"/>
  <c r="J10" i="2"/>
  <c r="H28" i="2"/>
  <c r="AD7" i="3"/>
  <c r="K35" i="2"/>
  <c r="AR79" i="3"/>
  <c r="EJ14" i="4" a="1"/>
  <c r="L32" i="2"/>
  <c r="R7" i="2"/>
  <c r="S12" i="2"/>
  <c r="X30" i="2"/>
  <c r="AR27" i="3"/>
  <c r="O12" i="2"/>
  <c r="T8" i="2"/>
  <c r="E34" i="3"/>
  <c r="E31" i="2"/>
  <c r="E21" i="2"/>
  <c r="CF7" i="4" a="1"/>
  <c r="CS12" i="4" a="1"/>
  <c r="DZ13" i="4" a="1"/>
  <c r="BA5" i="4" a="1"/>
  <c r="DI7" i="4" a="1"/>
  <c r="K8" i="4" a="1"/>
  <c r="W8" i="2"/>
  <c r="AR85" i="3"/>
  <c r="R33" i="2"/>
  <c r="G11" i="2"/>
  <c r="E42" i="3"/>
  <c r="I12" i="2"/>
  <c r="J29" i="2"/>
  <c r="G29" i="3"/>
  <c r="R8" i="2"/>
  <c r="X12" i="2"/>
  <c r="E33" i="2"/>
  <c r="M26" i="2"/>
  <c r="AM46" i="3"/>
  <c r="V16" i="2"/>
  <c r="AR72" i="3"/>
  <c r="S25" i="2"/>
  <c r="N6" i="2"/>
  <c r="AR40" i="3"/>
  <c r="R34" i="2"/>
  <c r="K27" i="2"/>
  <c r="G23" i="2"/>
  <c r="C24" i="2"/>
  <c r="P20" i="2"/>
  <c r="R16" i="2"/>
  <c r="V7" i="2"/>
  <c r="P69" i="2"/>
  <c r="AR42" i="3"/>
  <c r="E14" i="2"/>
  <c r="O24" i="2"/>
  <c r="M45" i="3"/>
  <c r="H16" i="2"/>
  <c r="I8" i="2"/>
  <c r="T6" i="2"/>
  <c r="H9" i="2"/>
  <c r="I17" i="2"/>
  <c r="AG45" i="3"/>
  <c r="S36" i="2"/>
  <c r="AR76" i="3"/>
  <c r="N11" i="2"/>
  <c r="L21" i="2"/>
  <c r="E26" i="3"/>
  <c r="H99" i="2"/>
  <c r="S5" i="2"/>
  <c r="D42" i="3"/>
  <c r="T29" i="2"/>
  <c r="AR80" i="3"/>
  <c r="AD9" i="4" a="1"/>
  <c r="L24" i="2"/>
  <c r="G8" i="2"/>
  <c r="CM8" i="4" a="1"/>
  <c r="BQ15" i="4" a="1"/>
  <c r="DQ16" i="4" a="1"/>
  <c r="W6" i="4" a="1"/>
  <c r="BK8" i="4" a="1"/>
  <c r="DI13" i="4" a="1"/>
  <c r="AU15" i="4" a="1"/>
  <c r="BZ8" i="4" a="1"/>
  <c r="AK12" i="4" a="1"/>
  <c r="ED7" i="4" a="1"/>
  <c r="BN15" i="4" a="1"/>
  <c r="BK7" i="4" a="1"/>
  <c r="CR11" i="4" a="1"/>
  <c r="X23" i="2"/>
  <c r="Q55" i="2"/>
  <c r="DM5" i="4" a="1"/>
  <c r="AD16" i="4" a="1"/>
  <c r="BF13" i="4" a="1"/>
  <c r="CT15" i="4" a="1"/>
  <c r="W7" i="4" a="1"/>
  <c r="AD7" i="4" a="1"/>
  <c r="DD12" i="4" a="1"/>
  <c r="Y16" i="4" a="1"/>
  <c r="DS6" i="4" a="1"/>
  <c r="AB16" i="4" a="1"/>
  <c r="BN8" i="4" a="1"/>
  <c r="BW9" i="4" a="1"/>
  <c r="CA16" i="4" a="1"/>
  <c r="O26" i="2"/>
  <c r="C34" i="2"/>
  <c r="CI15" i="4" a="1"/>
  <c r="EH13" i="4" a="1"/>
  <c r="AG7" i="4" a="1"/>
  <c r="AT6" i="4" a="1"/>
  <c r="O46" i="3"/>
  <c r="AK6" i="4" a="1"/>
  <c r="F26" i="2"/>
  <c r="J8" i="2"/>
  <c r="P7" i="4" a="1"/>
  <c r="CB15" i="4" a="1"/>
  <c r="CS8" i="4" a="1"/>
  <c r="BW6" i="4" a="1"/>
  <c r="CR8" i="4" a="1"/>
  <c r="CP8" i="4" a="1"/>
  <c r="BR7" i="4" a="1"/>
  <c r="AP9" i="4" a="1"/>
  <c r="DM13" i="4" a="1"/>
  <c r="CA5" i="4" a="1"/>
  <c r="AY8" i="4" a="1"/>
  <c r="AV13" i="4" a="1"/>
  <c r="DM9" i="4" a="1"/>
  <c r="M9" i="4" a="1"/>
  <c r="EJ11" i="4" a="1"/>
  <c r="Q7" i="2"/>
  <c r="F33" i="2"/>
  <c r="T31" i="2"/>
  <c r="W74" i="2"/>
  <c r="BB16" i="4" a="1"/>
  <c r="EE16" i="4" a="1"/>
  <c r="J5" i="2"/>
  <c r="P5" i="2"/>
  <c r="AR69" i="3"/>
  <c r="W27" i="2"/>
  <c r="G24" i="2"/>
  <c r="O29" i="2"/>
  <c r="T20" i="2"/>
  <c r="DW6" i="4" a="1"/>
  <c r="BP8" i="4" a="1"/>
  <c r="P9" i="2"/>
  <c r="AR26" i="3"/>
  <c r="K34" i="2"/>
  <c r="BJ12" i="4" a="1"/>
  <c r="D24" i="3"/>
  <c r="D20" i="3"/>
  <c r="L34" i="2"/>
  <c r="D11" i="3"/>
  <c r="CC6" i="4" a="1"/>
  <c r="F34" i="3"/>
  <c r="AR13" i="3"/>
  <c r="AR28" i="3"/>
  <c r="K11" i="2"/>
  <c r="AR15" i="3"/>
  <c r="AR11" i="3"/>
  <c r="Q30" i="2"/>
  <c r="L23" i="2"/>
  <c r="D8" i="2"/>
  <c r="E27" i="2"/>
  <c r="M34" i="2"/>
  <c r="AR84" i="3"/>
  <c r="G31" i="2"/>
  <c r="U30" i="2"/>
  <c r="W18" i="2"/>
  <c r="P32" i="2"/>
  <c r="K25" i="2"/>
  <c r="J31" i="2"/>
  <c r="N23" i="2"/>
  <c r="ED9" i="4" a="1"/>
  <c r="EI5" i="4" a="1"/>
  <c r="DR14" i="4" a="1"/>
  <c r="EC9" i="4" a="1"/>
  <c r="BE16" i="4" a="1"/>
  <c r="W29" i="2"/>
  <c r="BO15" i="4" a="1"/>
  <c r="AJ12" i="4" a="1"/>
  <c r="BS11" i="4" a="1"/>
  <c r="X9" i="4" a="1"/>
  <c r="H16" i="4" a="1"/>
  <c r="DS9" i="4" a="1"/>
  <c r="E15" i="2"/>
  <c r="BJ15" i="4" a="1"/>
  <c r="AN9" i="4" a="1"/>
  <c r="Q16" i="2"/>
  <c r="D36" i="3"/>
  <c r="DK16" i="4" a="1"/>
  <c r="DV15" i="4" a="1"/>
  <c r="AF16" i="4" a="1"/>
  <c r="DN6" i="4" a="1"/>
  <c r="DY8" i="4" a="1"/>
  <c r="AC5" i="4" a="1"/>
  <c r="H7" i="4" a="1"/>
  <c r="EH11" i="4" a="1"/>
  <c r="BM11" i="4" a="1"/>
  <c r="D60" i="3"/>
  <c r="AK46" i="3"/>
  <c r="D9" i="3"/>
  <c r="DM16" i="4" a="1"/>
  <c r="DR11" i="4" a="1"/>
  <c r="CO16" i="4" a="1"/>
  <c r="DU11" i="4" a="1"/>
  <c r="W70" i="2"/>
  <c r="G31" i="3"/>
  <c r="D11" i="4" a="1"/>
  <c r="CO9" i="4" a="1"/>
  <c r="DB13" i="4" a="1"/>
  <c r="AH15" i="4" a="1"/>
  <c r="DS8" i="4" a="1"/>
  <c r="AI13" i="4" a="1"/>
  <c r="CI11" i="4" a="1"/>
  <c r="AM8" i="4" a="1"/>
  <c r="E24" i="3"/>
  <c r="AI7" i="4" a="1"/>
  <c r="O8" i="4" a="1"/>
  <c r="BY15" i="4" a="1"/>
  <c r="CX7" i="4" a="1"/>
  <c r="AW14" i="4" a="1"/>
  <c r="BZ14" i="4" a="1"/>
  <c r="CJ11" i="4" a="1"/>
  <c r="AW15" i="4" a="1"/>
  <c r="CZ7" i="4" a="1"/>
  <c r="N34" i="2"/>
  <c r="U14" i="2"/>
  <c r="D24" i="2"/>
  <c r="G13" i="2"/>
  <c r="N13" i="4" a="1"/>
  <c r="BE15" i="4" a="1"/>
  <c r="U8" i="4" a="1"/>
  <c r="BP11" i="4" a="1"/>
  <c r="AE15" i="4" a="1"/>
  <c r="DL6" i="4" a="1"/>
  <c r="CR6" i="4" a="1"/>
  <c r="X16" i="4" a="1"/>
  <c r="N5" i="4" a="1"/>
  <c r="K13" i="4" a="1"/>
  <c r="M12" i="2"/>
  <c r="G46" i="3"/>
  <c r="Z5" i="4" a="1"/>
  <c r="CF9" i="4" a="1"/>
  <c r="BE9" i="4" a="1"/>
  <c r="AK7" i="4" a="1"/>
  <c r="R17" i="2"/>
  <c r="AR31" i="3"/>
  <c r="AZ12" i="4" a="1"/>
  <c r="R14" i="4" a="1"/>
  <c r="EC14" i="4" a="1"/>
  <c r="AW12" i="4" a="1"/>
  <c r="DG7" i="4" a="1"/>
  <c r="K11" i="4" a="1"/>
  <c r="DF9" i="4" a="1"/>
  <c r="BA16" i="4" a="1"/>
  <c r="F94" i="3"/>
  <c r="J6" i="4" a="1"/>
  <c r="D71" i="3"/>
  <c r="G96" i="3"/>
  <c r="CN6" i="4" a="1"/>
  <c r="BB5" i="4" a="1"/>
  <c r="G10" i="3"/>
  <c r="Y7" i="4" a="1"/>
  <c r="CK16" i="4" a="1"/>
  <c r="BX15" i="4" a="1"/>
  <c r="BJ13" i="4" a="1"/>
  <c r="F72" i="3"/>
  <c r="DC16" i="4" a="1"/>
  <c r="DZ7" i="4" a="1"/>
  <c r="AG14" i="4" a="1"/>
  <c r="CL7" i="4" a="1"/>
  <c r="DK15" i="4" a="1"/>
  <c r="G8" i="4" a="1"/>
  <c r="CG15" i="4" a="1"/>
  <c r="F85" i="3"/>
  <c r="D74" i="3"/>
  <c r="CV6" i="4" a="1"/>
  <c r="G7" i="4" a="1"/>
  <c r="CA12" i="4" a="1"/>
  <c r="BA14" i="4" a="1"/>
  <c r="CD7" i="4" a="1"/>
  <c r="E11" i="4" a="1"/>
  <c r="AM9" i="4" a="1"/>
  <c r="BT16" i="4" a="1"/>
  <c r="BG7" i="4" a="1"/>
  <c r="D13" i="4" a="1"/>
  <c r="DM14" i="4" a="1"/>
  <c r="AQ6" i="4" a="1"/>
  <c r="DN9" i="4" a="1"/>
  <c r="DA8" i="4" a="1"/>
  <c r="DH12" i="4" a="1"/>
  <c r="DQ6" i="4" a="1"/>
  <c r="DD16" i="4" a="1"/>
  <c r="EJ9" i="4" a="1"/>
  <c r="CR15" i="4" a="1"/>
  <c r="D68" i="3"/>
  <c r="X24" i="2"/>
  <c r="E9" i="3"/>
  <c r="AR90" i="3"/>
  <c r="AR58" i="3"/>
  <c r="BB11" i="4" a="1"/>
  <c r="CW9" i="4" a="1"/>
  <c r="C23" i="2"/>
  <c r="AD15" i="3"/>
  <c r="E5" i="2"/>
  <c r="K43" i="2"/>
  <c r="X26" i="2"/>
  <c r="W28" i="2"/>
  <c r="AS49" i="3"/>
  <c r="EA16" i="4" a="1"/>
  <c r="X7" i="2"/>
  <c r="L10" i="2"/>
  <c r="D17" i="2"/>
  <c r="G34" i="2"/>
  <c r="X28" i="2"/>
  <c r="K13" i="2"/>
  <c r="AR16" i="3"/>
  <c r="U36" i="2"/>
  <c r="AD8" i="4" a="1"/>
  <c r="AR14" i="3"/>
  <c r="Q22" i="2"/>
  <c r="U25" i="2"/>
  <c r="F35" i="3"/>
  <c r="Q46" i="2"/>
  <c r="U21" i="2"/>
  <c r="V21" i="2"/>
  <c r="G33" i="2"/>
  <c r="I35" i="2"/>
  <c r="D20" i="2"/>
  <c r="M6" i="2"/>
  <c r="AL46" i="3"/>
  <c r="E9" i="2"/>
  <c r="T30" i="2"/>
  <c r="L31" i="2"/>
  <c r="S30" i="2"/>
  <c r="E23" i="2"/>
  <c r="T23" i="2"/>
  <c r="E8" i="2"/>
  <c r="R30" i="2"/>
  <c r="DQ7" i="4" a="1"/>
  <c r="E12" i="4" a="1"/>
  <c r="K6" i="4" a="1"/>
  <c r="W9" i="4" a="1"/>
  <c r="CK12" i="4" a="1"/>
  <c r="J35" i="2"/>
  <c r="AK8" i="4" a="1"/>
  <c r="AH13" i="4" a="1"/>
  <c r="ED5" i="4" a="1"/>
  <c r="BW16" i="4" a="1"/>
  <c r="CK8" i="4" a="1"/>
  <c r="DB9" i="4" a="1"/>
  <c r="K18" i="2"/>
  <c r="U6" i="4" a="1"/>
  <c r="BG15" i="4" a="1"/>
  <c r="E20" i="2"/>
  <c r="E33" i="3"/>
  <c r="EK12" i="4" a="1"/>
  <c r="DW15" i="4" a="1"/>
  <c r="BN16" i="4" a="1"/>
  <c r="F13" i="4" a="1"/>
  <c r="DX13" i="4" a="1"/>
  <c r="CG9" i="4" a="1"/>
  <c r="DB5" i="4" a="1"/>
  <c r="R15" i="4" a="1"/>
  <c r="CY5" i="4" a="1"/>
  <c r="X31" i="2"/>
  <c r="O7" i="2"/>
  <c r="AK14" i="4" a="1"/>
  <c r="DP6" i="4" a="1"/>
  <c r="EG6" i="4" a="1"/>
  <c r="AM11" i="4" a="1"/>
  <c r="BB14" i="4" a="1"/>
  <c r="G7" i="3"/>
  <c r="BC9" i="4" a="1"/>
  <c r="BD12" i="4" a="1"/>
  <c r="DX6" i="4" a="1"/>
  <c r="E46" i="3"/>
  <c r="BG11" i="4" a="1"/>
  <c r="DW13" i="4" a="1"/>
  <c r="BK15" i="4" a="1"/>
  <c r="EK14" i="4" a="1"/>
  <c r="AR64" i="3"/>
  <c r="Q9" i="2"/>
  <c r="DE14" i="4" a="1"/>
  <c r="I12" i="4" a="1"/>
  <c r="BM16" i="4" a="1"/>
  <c r="BX9" i="4" a="1"/>
  <c r="D9" i="4" a="1"/>
  <c r="BV14" i="4" a="1"/>
  <c r="DO9" i="4" a="1"/>
  <c r="AO13" i="4" a="1"/>
  <c r="BE14" i="4" a="1"/>
  <c r="N14" i="2"/>
  <c r="M33" i="2"/>
  <c r="AR54" i="3"/>
  <c r="F42" i="3"/>
  <c r="CL16" i="4" a="1"/>
  <c r="CZ15" i="4" a="1"/>
  <c r="BK9" i="4" a="1"/>
  <c r="C8" i="4" a="1"/>
  <c r="DC8" i="4" a="1"/>
  <c r="DI16" i="4" a="1"/>
  <c r="EA6" i="4" a="1"/>
  <c r="CL13" i="4" a="1"/>
  <c r="BQ16" i="4" a="1"/>
  <c r="AI12" i="4" a="1"/>
  <c r="AE45" i="3"/>
  <c r="F9" i="3"/>
  <c r="T6" i="4" a="1"/>
  <c r="BH14" i="4" a="1"/>
  <c r="CJ14" i="4" a="1"/>
  <c r="DB16" i="4" a="1"/>
  <c r="V29" i="2"/>
  <c r="DO5" i="4" a="1"/>
  <c r="L16" i="4" a="1"/>
  <c r="CM7" i="4" a="1"/>
  <c r="EG16" i="4" a="1"/>
  <c r="CM9" i="4" a="1"/>
  <c r="CH16" i="4" a="1"/>
  <c r="N6" i="4" a="1"/>
  <c r="BD9" i="4" a="1"/>
  <c r="F62" i="3"/>
  <c r="F82" i="3"/>
  <c r="AL16" i="4" a="1"/>
  <c r="F95" i="3"/>
  <c r="G78" i="3"/>
  <c r="F90" i="3"/>
  <c r="AX8" i="4" a="1"/>
  <c r="F12" i="4" a="1"/>
  <c r="Q8" i="4" a="1"/>
  <c r="DN11" i="4" a="1"/>
  <c r="L12" i="4" a="1"/>
  <c r="AM12" i="4" a="1"/>
  <c r="F13" i="3"/>
  <c r="DL9" i="4" a="1"/>
  <c r="F15" i="3"/>
  <c r="BR6" i="4" a="1"/>
  <c r="P15" i="4" a="1"/>
  <c r="DD7" i="4" a="1"/>
  <c r="CB8" i="4" a="1"/>
  <c r="DV14" i="4" a="1"/>
  <c r="CI16" i="4" a="1"/>
  <c r="AP13" i="4" a="1"/>
  <c r="U12" i="4" a="1"/>
  <c r="AD15" i="4" a="1"/>
  <c r="N15" i="4" a="1"/>
  <c r="DA9" i="4" a="1"/>
  <c r="BI8" i="4" a="1"/>
  <c r="G18" i="3"/>
  <c r="AJ16" i="4" a="1"/>
  <c r="CN7" i="4" a="1"/>
  <c r="DN5" i="4" a="1"/>
  <c r="W14" i="4" a="1"/>
  <c r="CD6" i="4" a="1"/>
  <c r="I16" i="4" a="1"/>
  <c r="P14" i="4" a="1"/>
  <c r="Z6" i="4" a="1"/>
  <c r="CN5" i="4" a="1"/>
  <c r="AP12" i="4" a="1"/>
  <c r="E5" i="4" a="1"/>
  <c r="G59" i="3"/>
  <c r="H8" i="4" a="1"/>
  <c r="D40" i="3"/>
  <c r="P16" i="4" a="1"/>
  <c r="DE11" i="4" a="1"/>
  <c r="W15" i="4" a="1"/>
  <c r="EC6" i="4" a="1"/>
  <c r="EE5" i="4" a="1"/>
  <c r="DQ12" i="4" a="1"/>
  <c r="EE7" i="4" a="1"/>
  <c r="BO7" i="4" a="1"/>
  <c r="F12" i="3"/>
  <c r="X5" i="4" a="1"/>
  <c r="BX8" i="4" a="1"/>
  <c r="AV12" i="4" a="1"/>
  <c r="AD14" i="4" a="1"/>
  <c r="CC9" i="4" a="1"/>
  <c r="AG8" i="4" a="1"/>
  <c r="CU11" i="4" a="1"/>
  <c r="D76" i="3"/>
  <c r="CT12" i="4" a="1"/>
  <c r="P6" i="4" a="1"/>
  <c r="BV9" i="4" a="1"/>
  <c r="Y8" i="4" a="1"/>
  <c r="EI8" i="4" a="1"/>
  <c r="CG13" i="4" a="1"/>
  <c r="BM7" i="4" a="1"/>
  <c r="O15" i="4" a="1"/>
  <c r="G57" i="3"/>
  <c r="EK13" i="4" a="1"/>
  <c r="F8" i="2"/>
  <c r="AR9" i="3"/>
  <c r="AB45" i="3"/>
  <c r="I13" i="2"/>
  <c r="EF7" i="4" a="1"/>
  <c r="V9" i="4" a="1"/>
  <c r="P21" i="2"/>
  <c r="G45" i="3"/>
  <c r="D8" i="3"/>
  <c r="L25" i="2"/>
  <c r="C30" i="2"/>
  <c r="F10" i="3"/>
  <c r="Q57" i="2"/>
  <c r="AG11" i="4" a="1"/>
  <c r="W32" i="2"/>
  <c r="V33" i="2"/>
  <c r="M8" i="2"/>
  <c r="D36" i="2"/>
  <c r="D16" i="2"/>
  <c r="Q14" i="2"/>
  <c r="W31" i="2"/>
  <c r="N18" i="2"/>
  <c r="EI14" i="4" a="1"/>
  <c r="DO12" i="4" a="1"/>
  <c r="G15" i="2"/>
  <c r="K17" i="2"/>
  <c r="S23" i="2"/>
  <c r="W17" i="2"/>
  <c r="N24" i="2"/>
  <c r="I32" i="2"/>
  <c r="J15" i="2"/>
  <c r="R14" i="2"/>
  <c r="H19" i="2"/>
  <c r="D33" i="3"/>
  <c r="AR39" i="3"/>
  <c r="H17" i="2"/>
  <c r="H6" i="2"/>
  <c r="O34" i="2"/>
  <c r="T25" i="2"/>
  <c r="T11" i="2"/>
  <c r="E16" i="2"/>
  <c r="Q54" i="2"/>
  <c r="F14" i="3"/>
  <c r="DL16" i="4" a="1"/>
  <c r="DL15" i="4" a="1"/>
  <c r="AV14" i="4" a="1"/>
  <c r="R7" i="4" a="1"/>
  <c r="BU11" i="4" a="1"/>
  <c r="P18" i="2"/>
  <c r="BK13" i="4" a="1"/>
  <c r="BN11" i="4" a="1"/>
  <c r="BT6" i="4" a="1"/>
  <c r="BI15" i="4" a="1"/>
  <c r="DJ13" i="4" a="1"/>
  <c r="G17" i="2"/>
  <c r="AD10" i="3"/>
  <c r="BR14" i="4" a="1"/>
  <c r="AZ13" i="4" a="1"/>
  <c r="O15" i="2"/>
  <c r="Q46" i="3"/>
  <c r="CY14" i="4" a="1"/>
  <c r="CL12" i="4" a="1"/>
  <c r="CV9" i="4" a="1"/>
  <c r="CO7" i="4" a="1"/>
  <c r="X6" i="4" a="1"/>
  <c r="DH9" i="4" a="1"/>
  <c r="AS7" i="4" a="1"/>
  <c r="CE12" i="4" a="1"/>
  <c r="EB9" i="4" a="1"/>
  <c r="F6" i="2"/>
  <c r="N27" i="2"/>
  <c r="BS7" i="4" a="1"/>
  <c r="CO5" i="4" a="1"/>
  <c r="BH7" i="4" a="1"/>
  <c r="DL14" i="4" a="1"/>
  <c r="AW7" i="4" a="1"/>
  <c r="AQ45" i="3"/>
  <c r="C15" i="4" a="1"/>
  <c r="R8" i="4" a="1"/>
  <c r="V5" i="4" a="1"/>
  <c r="X13" i="4" a="1"/>
  <c r="BC8" i="4" a="1"/>
  <c r="EF6" i="4" a="1"/>
  <c r="BA7" i="4" a="1"/>
  <c r="U7" i="4" a="1"/>
  <c r="I19" i="2"/>
  <c r="H7" i="2"/>
  <c r="I11" i="4" a="1"/>
  <c r="AQ9" i="4" a="1"/>
  <c r="BP16" i="4" a="1"/>
  <c r="BH5" i="4" a="1"/>
  <c r="BS14" i="4" a="1"/>
  <c r="AG12" i="4" a="1"/>
  <c r="DP8" i="4" a="1"/>
  <c r="DR15" i="4" a="1"/>
  <c r="DG6" i="4" a="1"/>
  <c r="W46" i="3"/>
  <c r="M28" i="2"/>
  <c r="F19" i="3"/>
  <c r="AD9" i="3"/>
  <c r="Q13" i="4" a="1"/>
  <c r="X8" i="4" a="1"/>
  <c r="BR15" i="4" a="1"/>
  <c r="EK8" i="4" a="1"/>
  <c r="AH7" i="4" a="1"/>
  <c r="DZ12" i="4" a="1"/>
  <c r="I8" i="4" a="1"/>
  <c r="X12" i="4" a="1"/>
  <c r="BH9" i="4" a="1"/>
  <c r="BP6" i="4" a="1"/>
  <c r="E15" i="3"/>
  <c r="AR35" i="3"/>
  <c r="DO16" i="4" a="1"/>
  <c r="EA8" i="4" a="1"/>
  <c r="EF11" i="4" a="1"/>
  <c r="AR12" i="4" a="1"/>
  <c r="G29" i="2"/>
  <c r="EG12" i="4" a="1"/>
  <c r="CI12" i="4" a="1"/>
  <c r="DQ5" i="4" a="1"/>
  <c r="AJ9" i="4" a="1"/>
  <c r="EB11" i="4" a="1"/>
  <c r="ED8" i="4" a="1"/>
  <c r="Y14" i="4" a="1"/>
  <c r="T5" i="4" a="1"/>
  <c r="F87" i="3"/>
  <c r="D90" i="3"/>
  <c r="BK14" i="4" a="1"/>
  <c r="G73" i="3"/>
  <c r="F70" i="3"/>
  <c r="F83" i="3"/>
  <c r="AQ12" i="4" a="1"/>
  <c r="BV13" i="4" a="1"/>
  <c r="T13" i="4" a="1"/>
  <c r="EG15" i="4" a="1"/>
  <c r="DR13" i="4" a="1"/>
  <c r="DU14" i="4" a="1"/>
  <c r="T21" i="2"/>
  <c r="M7" i="4" a="1"/>
  <c r="CF16" i="4" a="1"/>
  <c r="DD6" i="4" a="1"/>
  <c r="AC8" i="4" a="1"/>
  <c r="BG14" i="4" a="1"/>
  <c r="AZ16" i="4" a="1"/>
  <c r="DD14" i="4" a="1"/>
  <c r="F47" i="3"/>
  <c r="G92" i="3"/>
  <c r="DN14" i="4" a="1"/>
  <c r="DI5" i="4" a="1"/>
  <c r="EB6" i="4" a="1"/>
  <c r="CP16" i="4" a="1"/>
  <c r="S14" i="4" a="1"/>
  <c r="EA11" i="4" a="1"/>
  <c r="Q9" i="4" a="1"/>
  <c r="DP16" i="4" a="1"/>
  <c r="CA6" i="4" a="1"/>
  <c r="AD12" i="4" a="1"/>
  <c r="EC13" i="4" a="1"/>
  <c r="DL7" i="4" a="1"/>
  <c r="F37" i="3"/>
  <c r="J14" i="4" a="1"/>
  <c r="EA13" i="4" a="1"/>
  <c r="AY15" i="4" a="1"/>
  <c r="BH11" i="4" a="1"/>
  <c r="BD8" i="4" a="1"/>
  <c r="EJ15" i="4" a="1"/>
  <c r="CN9" i="4" a="1"/>
  <c r="DN8" i="4" a="1"/>
  <c r="K14" i="4" a="1"/>
  <c r="P8" i="4" a="1"/>
  <c r="DR5" i="4" a="1"/>
  <c r="CS13" i="4" a="1"/>
  <c r="DO7" i="4" a="1"/>
  <c r="AF6" i="4" a="1"/>
  <c r="EH15" i="4" a="1"/>
  <c r="F66" i="3"/>
  <c r="T14" i="4" a="1"/>
  <c r="AE7" i="4" a="1"/>
  <c r="W12" i="4" a="1"/>
  <c r="CT8" i="4" a="1"/>
  <c r="AH6" i="4" a="1"/>
  <c r="DD15" i="4" a="1"/>
  <c r="DE5" i="4" a="1"/>
  <c r="DE6" i="4" a="1"/>
  <c r="D92" i="3"/>
  <c r="G80" i="3"/>
  <c r="BA15" i="4" a="1"/>
  <c r="CM16" i="4" a="1"/>
  <c r="AP7" i="4" a="1"/>
  <c r="Q5" i="4" a="1"/>
  <c r="CP7" i="4" a="1"/>
  <c r="DJ8" i="4" a="1"/>
  <c r="Q6" i="4" a="1"/>
  <c r="DE7" i="4" a="1"/>
  <c r="S9" i="4" a="1"/>
  <c r="CW5" i="4" a="1"/>
  <c r="G68" i="3"/>
  <c r="G91" i="3"/>
  <c r="CN12" i="4" a="1"/>
  <c r="CO14" i="4" a="1"/>
  <c r="CG14" i="4" a="1"/>
  <c r="DU13" i="4" a="1"/>
  <c r="CA7" i="4" a="1"/>
  <c r="BY9" i="4" a="1"/>
  <c r="ED12" i="4" a="1"/>
  <c r="D77" i="3"/>
  <c r="G87" i="3"/>
  <c r="BK16" i="4" a="1"/>
  <c r="G67" i="3"/>
  <c r="BA8" i="4" a="1"/>
  <c r="F81" i="3"/>
  <c r="BP13" i="4" a="1"/>
  <c r="CD5" i="4" a="1"/>
  <c r="DX5" i="4" a="1"/>
  <c r="EA15" i="4" a="1"/>
  <c r="EA14" i="4" a="1"/>
  <c r="BC6" i="4" a="1"/>
  <c r="G63" i="3"/>
  <c r="F91" i="3"/>
  <c r="DX7" i="4" a="1"/>
  <c r="DC5" i="4" a="1"/>
  <c r="CW12" i="4" a="1"/>
  <c r="CH6" i="4" a="1"/>
  <c r="DJ6" i="4" a="1"/>
  <c r="EF9" i="4" a="1"/>
  <c r="CY9" i="4" a="1"/>
  <c r="D81" i="3"/>
  <c r="U11" i="2"/>
  <c r="CR13" i="4" a="1"/>
  <c r="DS5" i="4" a="1"/>
  <c r="V13" i="4" a="1"/>
  <c r="BC7" i="4" a="1"/>
  <c r="Q12" i="2"/>
  <c r="Q12" i="4" a="1"/>
  <c r="DJ7" i="4" a="1"/>
  <c r="CK15" i="4" a="1"/>
  <c r="D6" i="3"/>
  <c r="U16" i="4" a="1"/>
  <c r="AD6" i="3"/>
  <c r="DT16" i="4" a="1"/>
  <c r="DL13" i="4" a="1"/>
  <c r="DY9" i="4" a="1"/>
  <c r="F73" i="3"/>
  <c r="W36" i="2"/>
  <c r="T45" i="3"/>
  <c r="AL45" i="3"/>
  <c r="AD5" i="3"/>
  <c r="BP9" i="4" a="1"/>
  <c r="DO11" i="4" a="1"/>
  <c r="O32" i="2"/>
  <c r="G15" i="3"/>
  <c r="AR18" i="3"/>
  <c r="D17" i="3"/>
  <c r="H45" i="3"/>
  <c r="G26" i="3"/>
  <c r="D27" i="3"/>
  <c r="CE7" i="4" a="1"/>
  <c r="N17" i="2"/>
  <c r="H21" i="2"/>
  <c r="T7" i="2"/>
  <c r="P11" i="2"/>
  <c r="Q8" i="2"/>
  <c r="P36" i="2"/>
  <c r="J19" i="2"/>
  <c r="T13" i="2"/>
  <c r="EA5" i="4" a="1"/>
  <c r="CA8" i="4" a="1"/>
  <c r="H31" i="2"/>
  <c r="N35" i="2"/>
  <c r="O20" i="2"/>
  <c r="T9" i="2"/>
  <c r="W13" i="2"/>
  <c r="R24" i="2"/>
  <c r="U26" i="2"/>
  <c r="E24" i="2"/>
  <c r="G22" i="2"/>
  <c r="F27" i="2"/>
  <c r="D18" i="3"/>
  <c r="E32" i="2"/>
  <c r="AR49" i="3"/>
  <c r="E12" i="2"/>
  <c r="AR73" i="3"/>
  <c r="D15" i="3"/>
  <c r="AR63" i="3"/>
  <c r="AR34" i="3"/>
  <c r="AR97" i="3"/>
  <c r="AP14" i="4" a="1"/>
  <c r="BL9" i="4" a="1"/>
  <c r="V15" i="4" a="1"/>
  <c r="DJ11" i="4" a="1"/>
  <c r="J11" i="4" a="1"/>
  <c r="DT12" i="4" a="1"/>
  <c r="CN8" i="4" a="1"/>
  <c r="AP16" i="4" a="1"/>
  <c r="BU12" i="4" a="1"/>
  <c r="CM14" i="4" a="1"/>
  <c r="DN16" i="4" a="1"/>
  <c r="E29" i="2"/>
  <c r="DG8" i="4" a="1"/>
  <c r="BO8" i="4" a="1"/>
  <c r="R16" i="4" a="1"/>
  <c r="O14" i="2"/>
  <c r="Y5" i="4" a="1"/>
  <c r="F6" i="4" a="1"/>
  <c r="AI15" i="4" a="1"/>
  <c r="DG11" i="4" a="1"/>
  <c r="CV7" i="4" a="1"/>
  <c r="EF5" i="4" a="1"/>
  <c r="AC13" i="4" a="1"/>
  <c r="DI12" i="4" a="1"/>
  <c r="BO6" i="4" a="1"/>
  <c r="DS11" i="4" a="1"/>
  <c r="X29" i="2"/>
  <c r="D13" i="2"/>
  <c r="X15" i="4" a="1"/>
  <c r="BL7" i="4" a="1"/>
  <c r="F9" i="4" a="1"/>
  <c r="AM7" i="4" a="1"/>
  <c r="E6" i="2"/>
  <c r="G26" i="2"/>
  <c r="CG12" i="4" a="1"/>
  <c r="DX9" i="4" a="1"/>
  <c r="AB5" i="4" a="1"/>
  <c r="AV9" i="4" a="1"/>
  <c r="AA11" i="4" a="1"/>
  <c r="CM12" i="4" a="1"/>
  <c r="L6" i="4" a="1"/>
  <c r="AW8" i="4" a="1"/>
  <c r="V24" i="2"/>
  <c r="S18" i="2"/>
  <c r="DQ9" i="4" a="1"/>
  <c r="J16" i="4" a="1"/>
  <c r="CE13" i="4" a="1"/>
  <c r="CQ14" i="4" a="1"/>
  <c r="EE6" i="4" a="1"/>
  <c r="BG5" i="4" a="1"/>
  <c r="AS9" i="4" a="1"/>
  <c r="AY13" i="4" a="1"/>
  <c r="DE9" i="4" a="1"/>
  <c r="X41" i="2"/>
  <c r="K19" i="2"/>
  <c r="D38" i="3"/>
  <c r="F41" i="3"/>
  <c r="AY5" i="4" a="1"/>
  <c r="DQ14" i="4" a="1"/>
  <c r="AD6" i="4" a="1"/>
  <c r="DL5" i="4" a="1"/>
  <c r="CZ5" i="4" a="1"/>
  <c r="CE5" i="4" a="1"/>
  <c r="CY12" i="4" a="1"/>
  <c r="DY12" i="4" a="1"/>
  <c r="DH5" i="4" a="1"/>
  <c r="AQ6" i="3"/>
  <c r="L7" i="2"/>
  <c r="E14" i="4" a="1"/>
  <c r="BP14" i="4" a="1"/>
  <c r="BO13" i="4" a="1"/>
  <c r="J45" i="3"/>
  <c r="H11" i="2"/>
  <c r="I15" i="2"/>
  <c r="BW15" i="4" a="1"/>
  <c r="AJ8" i="4" a="1"/>
  <c r="V6" i="4" a="1"/>
  <c r="AQ7" i="4" a="1"/>
  <c r="W5" i="4" a="1"/>
  <c r="CL15" i="4" a="1"/>
  <c r="AD13" i="4" a="1"/>
  <c r="O16" i="4" a="1"/>
  <c r="F56" i="3"/>
  <c r="AX5" i="4" a="1"/>
  <c r="D84" i="3"/>
  <c r="AC7" i="4" a="1"/>
  <c r="D54" i="3"/>
  <c r="S15" i="2"/>
  <c r="EI6" i="4" a="1"/>
  <c r="BT13" i="4" a="1"/>
  <c r="BB7" i="4" a="1"/>
  <c r="DW8" i="4" a="1"/>
  <c r="EI15" i="4" a="1"/>
  <c r="F58" i="3"/>
  <c r="AJ14" i="4" a="1"/>
  <c r="CF12" i="4" a="1"/>
  <c r="CO6" i="4" a="1"/>
  <c r="CV15" i="4" a="1"/>
  <c r="AW16" i="4" a="1"/>
  <c r="DK12" i="4" a="1"/>
  <c r="AM13" i="4" a="1"/>
  <c r="DK8" i="4" a="1"/>
  <c r="F68" i="3"/>
  <c r="W25" i="2"/>
  <c r="BU6" i="4" a="1"/>
  <c r="G20" i="3"/>
  <c r="BN9" i="4" a="1"/>
  <c r="BL5" i="4" a="1"/>
  <c r="CB16" i="4" a="1"/>
  <c r="V7" i="4" a="1"/>
  <c r="F96" i="3"/>
  <c r="BJ8" i="4" a="1"/>
  <c r="L13" i="4" a="1"/>
  <c r="DZ11" i="4" a="1"/>
  <c r="DJ5" i="4" a="1"/>
  <c r="AW11" i="4" a="1"/>
  <c r="BQ9" i="4" a="1"/>
  <c r="Y11" i="4" a="1"/>
  <c r="DZ6" i="4" a="1"/>
  <c r="CC5" i="4" a="1"/>
  <c r="BL14" i="4" a="1"/>
  <c r="BU5" i="4" a="1"/>
  <c r="AQ11" i="4" a="1"/>
  <c r="AD79" i="3"/>
  <c r="G70" i="3"/>
  <c r="DK6" i="4" a="1"/>
  <c r="DP13" i="4" a="1"/>
  <c r="AU5" i="4" a="1"/>
  <c r="M6" i="4" a="1"/>
  <c r="CD8" i="4" a="1"/>
  <c r="EG8" i="4" a="1"/>
  <c r="AT11" i="4" a="1"/>
  <c r="CM5" i="4" a="1"/>
  <c r="EA12" i="4" a="1"/>
  <c r="G61" i="3"/>
  <c r="AG13" i="4" a="1"/>
  <c r="AO9" i="4" a="1"/>
  <c r="U14" i="4" a="1"/>
  <c r="DE15" i="4" a="1"/>
  <c r="DO13" i="4" a="1"/>
  <c r="EF12" i="4" a="1"/>
  <c r="G5" i="4" a="1"/>
  <c r="ED13" i="4" a="1"/>
  <c r="D93" i="3"/>
  <c r="AD71" i="3"/>
  <c r="F61" i="3"/>
  <c r="O12" i="4" a="1"/>
  <c r="L5" i="4" a="1"/>
  <c r="BM5" i="4" a="1"/>
  <c r="AY11" i="4" a="1"/>
  <c r="DX16" i="4" a="1"/>
  <c r="CV11" i="4" a="1"/>
  <c r="CQ12" i="4" a="1"/>
  <c r="CE15" i="4" a="1"/>
  <c r="G66" i="3"/>
  <c r="F63" i="3"/>
  <c r="DW11" i="4" a="1"/>
  <c r="D87" i="3"/>
  <c r="CE14" i="4" a="1"/>
  <c r="AD87" i="3"/>
  <c r="J7" i="4" a="1"/>
  <c r="AD90" i="3"/>
  <c r="AB46" i="3"/>
  <c r="DS16" i="4" a="1"/>
  <c r="BZ13" i="4" a="1"/>
  <c r="DH16" i="4" a="1"/>
  <c r="CK7" i="4" a="1"/>
  <c r="R9" i="4" a="1"/>
  <c r="DW16" i="4" a="1"/>
  <c r="F59" i="3"/>
  <c r="D72" i="3"/>
  <c r="AD54" i="3"/>
  <c r="G94" i="3"/>
  <c r="F65" i="3"/>
  <c r="CF8" i="4" a="1"/>
  <c r="AD58" i="3"/>
  <c r="BX6" i="4" a="1"/>
  <c r="BY13" i="4" a="1"/>
  <c r="CR7" i="4" a="1"/>
  <c r="O36" i="2"/>
  <c r="BE6" i="4" a="1"/>
  <c r="I14" i="4" a="1"/>
  <c r="L11" i="4" a="1"/>
  <c r="C16" i="4" a="1"/>
  <c r="EE14" i="4" a="1"/>
  <c r="BY16" i="4" a="1"/>
  <c r="F34" i="2"/>
  <c r="U23" i="2"/>
  <c r="BN6" i="4" a="1"/>
  <c r="BX5" i="4" a="1"/>
  <c r="BS15" i="4" a="1"/>
  <c r="H27" i="2"/>
  <c r="N10" i="2"/>
  <c r="S27" i="2"/>
  <c r="V26" i="2"/>
  <c r="AR8" i="3"/>
  <c r="BO14" i="4" a="1"/>
  <c r="BI13" i="4" a="1"/>
  <c r="I9" i="4" a="1"/>
  <c r="C6" i="2"/>
  <c r="R29" i="2"/>
  <c r="I23" i="2"/>
  <c r="U45" i="3"/>
  <c r="T34" i="2"/>
  <c r="AR30" i="3"/>
  <c r="E30" i="3"/>
  <c r="N9" i="4" a="1"/>
  <c r="G30" i="2"/>
  <c r="M10" i="2"/>
  <c r="AR50" i="3"/>
  <c r="T16" i="2"/>
  <c r="T24" i="2"/>
  <c r="O23" i="2"/>
  <c r="K16" i="2"/>
  <c r="P30" i="2"/>
  <c r="BM14" i="4" a="1"/>
  <c r="C7" i="4" a="1"/>
  <c r="N26" i="2"/>
  <c r="P25" i="2"/>
  <c r="I5" i="2"/>
  <c r="E28" i="2"/>
  <c r="L26" i="2"/>
  <c r="W10" i="2"/>
  <c r="Q36" i="2"/>
  <c r="V15" i="2"/>
  <c r="M22" i="2"/>
  <c r="R6" i="2"/>
  <c r="O30" i="2"/>
  <c r="J13" i="2"/>
  <c r="J23" i="2"/>
  <c r="E41" i="3"/>
  <c r="S11" i="2"/>
  <c r="AD46" i="3"/>
  <c r="G16" i="3"/>
  <c r="F25" i="3"/>
  <c r="X35" i="2"/>
  <c r="AD11" i="4" a="1"/>
  <c r="DI14" i="4" a="1"/>
  <c r="R6" i="4" a="1"/>
  <c r="AF12" i="4" a="1"/>
  <c r="S16" i="4" a="1"/>
  <c r="CT14" i="4" a="1"/>
  <c r="O11" i="4" a="1"/>
  <c r="F8" i="4" a="1"/>
  <c r="BP7" i="4" a="1"/>
  <c r="DM8" i="4" a="1"/>
  <c r="BC11" i="4" a="1"/>
  <c r="C35" i="2"/>
  <c r="CB13" i="4" a="1"/>
  <c r="T7" i="4" a="1"/>
  <c r="BL13" i="4" a="1"/>
  <c r="E35" i="3"/>
  <c r="CB9" i="4" a="1"/>
  <c r="L45" i="3"/>
  <c r="CO15" i="4" a="1"/>
  <c r="BR13" i="4" a="1"/>
  <c r="M46" i="3"/>
  <c r="U11" i="4" a="1"/>
  <c r="L8" i="4" a="1"/>
  <c r="EH12" i="4" a="1"/>
  <c r="CH9" i="4" a="1"/>
  <c r="AR6" i="4" a="1"/>
  <c r="W9" i="2"/>
  <c r="V17" i="2"/>
  <c r="AH5" i="4" a="1"/>
  <c r="F28" i="3"/>
  <c r="CF11" i="4" a="1"/>
  <c r="F9" i="2"/>
  <c r="DZ16" i="4" a="1"/>
  <c r="X14" i="4" a="1"/>
  <c r="BX12" i="4" a="1"/>
  <c r="CZ12" i="4" a="1"/>
  <c r="CG7" i="4" a="1"/>
  <c r="BV5" i="4" a="1"/>
  <c r="DH6" i="4" a="1"/>
  <c r="I6" i="2"/>
  <c r="AB11" i="4" a="1"/>
  <c r="CD9" i="4" a="1"/>
  <c r="D5" i="4" a="1"/>
  <c r="V27" i="2"/>
  <c r="AM45" i="3"/>
  <c r="E27" i="3"/>
  <c r="BU16" i="4" a="1"/>
  <c r="DP7" i="4" a="1"/>
  <c r="D28" i="3"/>
  <c r="BX14" i="4" a="1"/>
  <c r="CU15" i="4" a="1"/>
  <c r="D61" i="3"/>
  <c r="D67" i="3"/>
  <c r="R5" i="2"/>
  <c r="C25" i="2"/>
  <c r="BG8" i="4" a="1"/>
  <c r="K10" i="2"/>
  <c r="D10" i="2"/>
  <c r="CJ5" i="4" a="1"/>
  <c r="AR88" i="3"/>
  <c r="T46" i="3"/>
  <c r="I11" i="2"/>
  <c r="AJ13" i="4" a="1"/>
  <c r="D22" i="3"/>
  <c r="I7" i="2"/>
  <c r="F20" i="3"/>
  <c r="H32" i="2"/>
  <c r="U29" i="2"/>
  <c r="AO46" i="3"/>
  <c r="E22" i="3"/>
  <c r="BP5" i="4" a="1"/>
  <c r="R23" i="2"/>
  <c r="G25" i="3"/>
  <c r="AX12" i="4" a="1"/>
  <c r="BK6" i="4" a="1"/>
  <c r="F12" i="2"/>
  <c r="AC12" i="4" a="1"/>
  <c r="EH5" i="4" a="1"/>
  <c r="CZ13" i="4" a="1"/>
  <c r="CN15" i="4" a="1"/>
  <c r="CN13" i="4" a="1"/>
  <c r="H14" i="2"/>
  <c r="EB5" i="4" a="1"/>
  <c r="BJ14" i="4" a="1"/>
  <c r="M13" i="4" a="1"/>
  <c r="CT5" i="4" a="1"/>
  <c r="AR29" i="3"/>
  <c r="O7" i="4" a="1"/>
  <c r="CY7" i="4" a="1"/>
  <c r="Q6" i="2"/>
  <c r="F23" i="3"/>
  <c r="N12" i="4" a="1"/>
  <c r="AS5" i="4" a="1"/>
  <c r="AM16" i="4" a="1"/>
  <c r="CU9" i="4" a="1"/>
  <c r="DH13" i="4" a="1"/>
  <c r="AR57" i="3"/>
  <c r="DB7" i="4" a="1"/>
  <c r="BW12" i="4" a="1"/>
  <c r="BT11" i="4" a="1"/>
  <c r="F89" i="3"/>
  <c r="AD94" i="3"/>
  <c r="DP15" i="4" a="1"/>
  <c r="AW5" i="4" a="1"/>
  <c r="AB7" i="4" a="1"/>
  <c r="BR8" i="4" a="1"/>
  <c r="AS13" i="4" a="1"/>
  <c r="DT14" i="4" a="1"/>
  <c r="BO11" i="4" a="1"/>
  <c r="D66" i="3"/>
  <c r="EI9" i="4" a="1"/>
  <c r="DC12" i="4" a="1"/>
  <c r="Q16" i="4" a="1"/>
  <c r="BR16" i="4" a="1"/>
  <c r="V14" i="4" a="1"/>
  <c r="CS6" i="4" a="1"/>
  <c r="D21" i="2"/>
  <c r="K45" i="3"/>
  <c r="BQ12" i="4" a="1"/>
  <c r="CU16" i="4" a="1"/>
  <c r="F84" i="3"/>
  <c r="BE11" i="4" a="1"/>
  <c r="G58" i="3"/>
  <c r="CV5" i="4" a="1"/>
  <c r="DX12" i="4" a="1"/>
  <c r="BT12" i="4" a="1"/>
  <c r="EB13" i="4" a="1"/>
  <c r="DY5" i="4" a="1"/>
  <c r="DP12" i="4" a="1"/>
  <c r="F11" i="4" a="1"/>
  <c r="EB12" i="4" a="1"/>
  <c r="CX11" i="4" a="1"/>
  <c r="DA6" i="4" a="1"/>
  <c r="CB7" i="4" a="1"/>
  <c r="DS12" i="4" a="1"/>
  <c r="AA6" i="4" a="1"/>
  <c r="BF15" i="4" a="1"/>
  <c r="BZ16" i="4" a="1"/>
  <c r="AD70" i="3"/>
  <c r="D65" i="3"/>
  <c r="BI12" i="4" a="1"/>
  <c r="AD83" i="3"/>
  <c r="G6" i="4" a="1"/>
  <c r="DC13" i="4" a="1"/>
  <c r="BO9" i="4" a="1"/>
  <c r="CU5" i="4" a="1"/>
  <c r="I6" i="4" a="1"/>
  <c r="DU16" i="4" a="1"/>
  <c r="EH14" i="4" a="1"/>
  <c r="D62" i="3"/>
  <c r="F5" i="4" a="1"/>
  <c r="F55" i="3"/>
  <c r="DS15" i="4" a="1"/>
  <c r="D7" i="3"/>
  <c r="BD6" i="4" a="1"/>
  <c r="CW6" i="4" a="1"/>
  <c r="AH11" i="4" a="1"/>
  <c r="G60" i="3"/>
  <c r="C14" i="4" a="1"/>
  <c r="AZ7" i="4" a="1"/>
  <c r="AU8" i="4" a="1"/>
  <c r="N30" i="2"/>
  <c r="AI6" i="4" a="1"/>
  <c r="EI16" i="4" a="1"/>
  <c r="CH11" i="4" a="1"/>
  <c r="O14" i="4" a="1"/>
  <c r="AP5" i="4" a="1"/>
  <c r="D95" i="3"/>
  <c r="BY14" i="4" a="1"/>
  <c r="R13" i="4" a="1"/>
  <c r="DZ15" i="4" a="1"/>
  <c r="F60" i="3"/>
  <c r="F50" i="3"/>
  <c r="D41" i="3"/>
  <c r="DA14" i="4" a="1"/>
  <c r="AJ6" i="4" a="1"/>
  <c r="CU13" i="4" a="1"/>
  <c r="BC14" i="4" a="1"/>
  <c r="E12" i="3"/>
  <c r="R11" i="2"/>
  <c r="C65" i="2"/>
  <c r="H8" i="2"/>
  <c r="D7" i="4" a="1"/>
  <c r="CR12" i="4" a="1"/>
  <c r="DH14" i="4" a="1"/>
  <c r="CZ6" i="4" a="1"/>
  <c r="AH8" i="4" a="1"/>
  <c r="AR37" i="3"/>
  <c r="G16" i="4" a="1"/>
  <c r="G82" i="3"/>
  <c r="AC6" i="4" a="1"/>
  <c r="V11" i="4" a="1"/>
  <c r="AR14" i="4" a="1"/>
  <c r="F57" i="3"/>
  <c r="I13" i="4" a="1"/>
  <c r="AD59" i="3"/>
  <c r="C12" i="4" a="1"/>
  <c r="BV7" i="4" a="1"/>
  <c r="DF6" i="4" a="1"/>
  <c r="D78" i="3"/>
  <c r="CT13" i="4" a="1"/>
  <c r="F28" i="2"/>
  <c r="C27" i="2"/>
  <c r="AI5" i="4" a="1"/>
  <c r="D7" i="2"/>
  <c r="H12" i="2"/>
  <c r="BE8" i="4" a="1"/>
  <c r="AR17" i="3"/>
  <c r="K9" i="2"/>
  <c r="L27" i="2"/>
  <c r="BP12" i="4" a="1"/>
  <c r="S14" i="2"/>
  <c r="D16" i="3"/>
  <c r="AD13" i="3"/>
  <c r="N16" i="2"/>
  <c r="X11" i="2"/>
  <c r="Q11" i="2"/>
  <c r="F36" i="3"/>
  <c r="EI12" i="4" a="1"/>
  <c r="T19" i="2"/>
  <c r="AP11" i="4" a="1"/>
  <c r="CX5" i="4" a="1"/>
  <c r="CM6" i="4" a="1"/>
  <c r="Q19" i="2"/>
  <c r="DF13" i="4" a="1"/>
  <c r="CC11" i="4" a="1"/>
  <c r="CW11" i="4" a="1"/>
  <c r="U5" i="4" a="1"/>
  <c r="DU8" i="4" a="1"/>
  <c r="H25" i="2"/>
  <c r="L7" i="4" a="1"/>
  <c r="EC7" i="4" a="1"/>
  <c r="CC7" i="4" a="1"/>
  <c r="CZ9" i="4" a="1"/>
  <c r="CF14" i="4" a="1"/>
  <c r="CR9" i="4" a="1"/>
  <c r="BF8" i="4" a="1"/>
  <c r="S16" i="2"/>
  <c r="BY7" i="4" a="1"/>
  <c r="CS5" i="4" a="1"/>
  <c r="BU9" i="4" a="1"/>
  <c r="CW8" i="4" a="1"/>
  <c r="DU5" i="4" a="1"/>
  <c r="T16" i="4" a="1"/>
  <c r="D30" i="3"/>
  <c r="D30" i="2"/>
  <c r="AX7" i="4" a="1"/>
  <c r="Q11" i="4" a="1"/>
  <c r="F74" i="3"/>
  <c r="BJ6" i="4" a="1"/>
  <c r="DV6" i="4" a="1"/>
  <c r="BQ13" i="4" a="1"/>
  <c r="CP11" i="4" a="1"/>
  <c r="CD12" i="4" a="1"/>
  <c r="E15" i="4" a="1"/>
  <c r="DK9" i="4" a="1"/>
  <c r="DO15" i="4" a="1"/>
  <c r="O6" i="4" a="1"/>
  <c r="CA13" i="4" a="1"/>
  <c r="AN6" i="4" a="1"/>
  <c r="AU13" i="4" a="1"/>
  <c r="M11" i="4" a="1"/>
  <c r="N15" i="2"/>
  <c r="AI16" i="4" a="1"/>
  <c r="CZ14" i="4" a="1"/>
  <c r="DY7" i="4" a="1"/>
  <c r="P9" i="4" a="1"/>
  <c r="I33" i="2"/>
  <c r="AE13" i="4" a="1"/>
  <c r="AF5" i="4" a="1"/>
  <c r="AE14" i="4" a="1"/>
  <c r="EB14" i="4" a="1"/>
  <c r="W16" i="4" a="1"/>
  <c r="BP15" i="4" a="1"/>
  <c r="BS12" i="4" a="1"/>
  <c r="BS5" i="4" a="1"/>
  <c r="DW12" i="4" a="1"/>
  <c r="CU12" i="4" a="1"/>
  <c r="G71" i="3"/>
  <c r="BD7" i="4" a="1"/>
  <c r="W13" i="4" a="1"/>
  <c r="D12" i="4" a="1"/>
  <c r="CR14" i="4" a="1"/>
  <c r="M8" i="4" a="1"/>
  <c r="DV13" i="4" a="1"/>
  <c r="CV16" i="4" a="1"/>
  <c r="F49" i="3"/>
  <c r="DH7" i="4" a="1"/>
  <c r="DV7" i="4" a="1"/>
  <c r="BF11" i="4" a="1"/>
  <c r="CD13" i="4" a="1"/>
  <c r="P5" i="4" a="1"/>
  <c r="EK7" i="4" a="1"/>
  <c r="D69" i="3"/>
  <c r="DT15" i="4" a="1"/>
  <c r="BB13" i="4" a="1"/>
  <c r="J5" i="4" a="1"/>
  <c r="CW16" i="4" a="1"/>
  <c r="H13" i="4" a="1"/>
  <c r="DJ12" i="4" a="1"/>
  <c r="AO15" i="4" a="1"/>
  <c r="AM15" i="4" a="1"/>
  <c r="S13" i="2"/>
  <c r="CK11" i="4" a="1"/>
  <c r="DA15" i="4" a="1"/>
  <c r="DA5" i="4" a="1"/>
  <c r="CK5" i="4" a="1"/>
  <c r="E19" i="2"/>
  <c r="AT8" i="4" a="1"/>
  <c r="D11" i="2"/>
  <c r="T18" i="2"/>
  <c r="Q56" i="2"/>
  <c r="DP11" i="4" a="1"/>
  <c r="DE8" i="4" a="1"/>
  <c r="DL11" i="4" a="1"/>
  <c r="AX15" i="4" a="1"/>
  <c r="AF11" i="4" a="1"/>
  <c r="CP6" i="4" a="1"/>
  <c r="Q14" i="4" a="1"/>
  <c r="AA5" i="4" a="1"/>
  <c r="AS6" i="4" a="1"/>
  <c r="DZ14" i="4" a="1"/>
  <c r="CO12" i="4" a="1"/>
  <c r="CT6" i="4" a="1"/>
  <c r="AG5" i="4" a="1"/>
  <c r="F14" i="4" a="1"/>
  <c r="EF15" i="4" a="1"/>
  <c r="L14" i="4" a="1"/>
  <c r="AZ11" i="4" a="1"/>
  <c r="BZ5" i="4" a="1"/>
  <c r="DC7" i="4" a="1"/>
  <c r="AO6" i="4" a="1"/>
  <c r="F78" i="3"/>
  <c r="DR6" i="4" a="1"/>
  <c r="AB8" i="4" a="1"/>
  <c r="AL5" i="4" a="1"/>
  <c r="P13" i="4" a="1"/>
  <c r="CO11" i="4" a="1"/>
  <c r="AV6" i="4" a="1"/>
  <c r="CL9" i="4" a="1"/>
  <c r="U9" i="4" a="1"/>
  <c r="EE8" i="4" a="1"/>
  <c r="F97" i="3"/>
  <c r="C17" i="2"/>
  <c r="F14" i="2"/>
  <c r="U32" i="2"/>
  <c r="F15" i="4" a="1"/>
  <c r="F33" i="3"/>
  <c r="U22" i="2"/>
  <c r="Q13" i="2"/>
  <c r="DO6" i="4" a="1"/>
  <c r="BD14" i="4" a="1"/>
  <c r="BH15" i="4" a="1"/>
  <c r="DG9" i="4" a="1"/>
  <c r="X21" i="2"/>
  <c r="DS13" i="4" a="1"/>
  <c r="H26" i="2"/>
  <c r="CA9" i="4" a="1"/>
  <c r="S24" i="2"/>
  <c r="N11" i="4" a="1"/>
  <c r="G89" i="3"/>
  <c r="G65" i="3"/>
  <c r="DU9" i="4" a="1"/>
  <c r="AU12" i="4" a="1"/>
  <c r="Y13" i="4" a="1"/>
  <c r="CR16" i="4" a="1"/>
  <c r="DV11" i="4" a="1"/>
  <c r="EG11" i="4" a="1"/>
  <c r="F71" i="3"/>
  <c r="AO14" i="4" a="1"/>
  <c r="AE8" i="4" a="1"/>
  <c r="D59" i="3"/>
  <c r="F77" i="3"/>
  <c r="DF15" i="4" a="1"/>
  <c r="AR15" i="4" a="1"/>
  <c r="G95" i="3"/>
  <c r="AI11" i="4" a="1"/>
  <c r="F36" i="2"/>
  <c r="U34" i="2"/>
  <c r="BV12" i="4" a="1"/>
  <c r="P33" i="2"/>
  <c r="CJ13" i="4" a="1"/>
  <c r="AL8" i="4" a="1"/>
  <c r="S6" i="4" a="1"/>
  <c r="D86" i="3"/>
  <c r="AL12" i="4" a="1"/>
  <c r="BY6" i="4" a="1"/>
  <c r="DG5" i="4" a="1"/>
  <c r="AS12" i="4" a="1"/>
  <c r="DI11" i="4" a="1"/>
  <c r="DV12" i="4" a="1"/>
  <c r="CX8" i="4" a="1"/>
  <c r="F88" i="3"/>
  <c r="CX13" i="4" a="1"/>
  <c r="P14" i="2"/>
  <c r="F5" i="2"/>
  <c r="K23" i="2"/>
  <c r="U5" i="2"/>
  <c r="G20" i="2"/>
  <c r="J8" i="4" a="1"/>
  <c r="D45" i="3"/>
  <c r="N20" i="2"/>
  <c r="M15" i="2"/>
  <c r="AG16" i="4" a="1"/>
  <c r="E13" i="2"/>
  <c r="O31" i="2"/>
  <c r="L17" i="2"/>
  <c r="J12" i="2"/>
  <c r="R46" i="3"/>
  <c r="R31" i="2"/>
  <c r="DG13" i="4" a="1"/>
  <c r="AC15" i="4" a="1"/>
  <c r="Q59" i="2"/>
  <c r="Z16" i="4" a="1"/>
  <c r="O13" i="4" a="1"/>
  <c r="EA7" i="4" a="1"/>
  <c r="D12" i="2"/>
  <c r="BZ7" i="4" a="1"/>
  <c r="BX16" i="4" a="1"/>
  <c r="CX12" i="4" a="1"/>
  <c r="T28" i="2"/>
  <c r="CI8" i="4" a="1"/>
  <c r="DQ8" i="4" a="1"/>
  <c r="CW7" i="4" a="1"/>
  <c r="CV13" i="4" a="1"/>
  <c r="K15" i="4" a="1"/>
  <c r="O10" i="2"/>
  <c r="EC8" i="4" a="1"/>
  <c r="EE12" i="4" a="1"/>
  <c r="AH9" i="4" a="1"/>
  <c r="DZ8" i="4" a="1"/>
  <c r="W11" i="2"/>
  <c r="DY14" i="4" a="1"/>
  <c r="CQ11" i="4" a="1"/>
  <c r="S8" i="4" a="1"/>
  <c r="G13" i="3"/>
  <c r="AX16" i="4" a="1"/>
  <c r="DH8" i="4" a="1"/>
  <c r="Y6" i="4" a="1"/>
  <c r="CT7" i="4" a="1"/>
  <c r="DW9" i="4" a="1"/>
  <c r="AD73" i="3"/>
  <c r="D88" i="3"/>
  <c r="BM13" i="4" a="1"/>
  <c r="BB12" i="4" a="1"/>
  <c r="AP8" i="4" a="1"/>
  <c r="H6" i="4" a="1"/>
  <c r="BH12" i="4" a="1"/>
  <c r="DY13" i="4" a="1"/>
  <c r="Q7" i="4" a="1"/>
  <c r="AE6" i="4" a="1"/>
  <c r="AC9" i="4" a="1"/>
  <c r="DB11" i="4" a="1"/>
  <c r="G79" i="3"/>
  <c r="CD14" i="4" a="1"/>
  <c r="CC12" i="4" a="1"/>
  <c r="AR9" i="4" a="1"/>
  <c r="BE5" i="4" a="1"/>
  <c r="EG9" i="4" a="1"/>
  <c r="CQ16" i="4" a="1"/>
  <c r="G62" i="3"/>
  <c r="BC15" i="4" a="1"/>
  <c r="AF7" i="4" a="1"/>
  <c r="AT13" i="4" a="1"/>
  <c r="DV8" i="4" a="1"/>
  <c r="H11" i="4" a="1"/>
  <c r="DH11" i="4" a="1"/>
  <c r="AO8" i="4" a="1"/>
  <c r="CI5" i="4" a="1"/>
  <c r="BQ8" i="4" a="1"/>
  <c r="Z12" i="4" a="1"/>
  <c r="P11" i="4" a="1"/>
  <c r="D75" i="3"/>
  <c r="E96" i="3"/>
  <c r="E90" i="3"/>
  <c r="CH14" i="4" a="1"/>
  <c r="BT5" i="4" a="1"/>
  <c r="BM12" i="4" a="1"/>
  <c r="CT16" i="4" a="1"/>
  <c r="E61" i="3"/>
  <c r="G64" i="3"/>
  <c r="E79" i="3"/>
  <c r="Z11" i="4" a="1"/>
  <c r="AD76" i="3"/>
  <c r="EI7" i="4" a="1"/>
  <c r="DG14" i="4" a="1"/>
  <c r="DB14" i="4" a="1"/>
  <c r="BG13" i="4" a="1"/>
  <c r="BZ12" i="4" a="1"/>
  <c r="CS11" i="4" a="1"/>
  <c r="AD72" i="3"/>
  <c r="E83" i="3"/>
  <c r="AD84" i="3"/>
  <c r="D97" i="3"/>
  <c r="F67" i="3"/>
  <c r="G75" i="3"/>
  <c r="AB9" i="4" a="1"/>
  <c r="BO12" i="4" a="1"/>
  <c r="CJ16" i="4" a="1"/>
  <c r="H9" i="4" a="1"/>
  <c r="AD67" i="3"/>
  <c r="AU6" i="4" a="1"/>
  <c r="E76" i="3"/>
  <c r="F79" i="3"/>
  <c r="Q10" i="2"/>
  <c r="AR61" i="3"/>
  <c r="E25" i="2"/>
  <c r="R20" i="2"/>
  <c r="BM9" i="4" a="1"/>
  <c r="AR68" i="3"/>
  <c r="AZ9" i="4" a="1"/>
  <c r="N19" i="2"/>
  <c r="CU8" i="4" a="1"/>
  <c r="BI16" i="4" a="1"/>
  <c r="O5" i="2"/>
  <c r="R21" i="2"/>
  <c r="D56" i="3"/>
  <c r="DM7" i="4" a="1"/>
  <c r="DY15" i="4" a="1"/>
  <c r="AB14" i="4" a="1"/>
  <c r="BV16" i="4" a="1"/>
  <c r="DE13" i="4" a="1"/>
  <c r="CB6" i="4" a="1"/>
  <c r="AQ14" i="4" a="1"/>
  <c r="AY16" i="4" a="1"/>
  <c r="AX9" i="4" a="1"/>
  <c r="DK11" i="4" a="1"/>
  <c r="T5" i="2"/>
  <c r="M24" i="2"/>
  <c r="BJ11" i="4" a="1"/>
  <c r="BU14" i="4" a="1"/>
  <c r="S11" i="4" a="1"/>
  <c r="DQ15" i="4" a="1"/>
  <c r="BH16" i="4" a="1"/>
  <c r="AD17" i="3"/>
  <c r="L9" i="4" a="1"/>
  <c r="AE11" i="4" a="1"/>
  <c r="AI45" i="3"/>
  <c r="BT14" i="4" a="1"/>
  <c r="EC16" i="4" a="1"/>
  <c r="CR5" i="4" a="1"/>
  <c r="CF5" i="4" a="1"/>
  <c r="L18" i="2"/>
  <c r="E59" i="3"/>
  <c r="AW13" i="4" a="1"/>
  <c r="BL16" i="4" a="1"/>
  <c r="DU12" i="4" a="1"/>
  <c r="AJ11" i="4" a="1"/>
  <c r="AH12" i="4" a="1"/>
  <c r="AX6" i="4" a="1"/>
  <c r="E62" i="3"/>
  <c r="CJ15" i="4" a="1"/>
  <c r="BA12" i="4" a="1"/>
  <c r="DR7" i="4" a="1"/>
  <c r="S26" i="2"/>
  <c r="K6" i="2"/>
  <c r="R28" i="2"/>
  <c r="CV14" i="4" a="1"/>
  <c r="BD11" i="4" a="1"/>
  <c r="EC12" i="4" a="1"/>
  <c r="AK13" i="4" a="1"/>
  <c r="AI14" i="4" a="1"/>
  <c r="Q15" i="4" a="1"/>
  <c r="F86" i="3"/>
  <c r="CK13" i="4" a="1"/>
  <c r="E77" i="3"/>
  <c r="CZ11" i="4" a="1"/>
  <c r="AG6" i="4" a="1"/>
  <c r="AY14" i="4" a="1"/>
  <c r="S7" i="4" a="1"/>
  <c r="F93" i="3"/>
  <c r="BG9" i="4" a="1"/>
  <c r="BV6" i="4" a="1"/>
  <c r="AW9" i="4" a="1"/>
  <c r="E86" i="3"/>
  <c r="P27" i="2"/>
  <c r="D23" i="2"/>
  <c r="J25" i="2"/>
  <c r="S33" i="2"/>
  <c r="K30" i="2"/>
  <c r="D8" i="4" a="1"/>
  <c r="X32" i="2"/>
  <c r="E45" i="2"/>
  <c r="D37" i="3"/>
  <c r="X18" i="2"/>
  <c r="AR59" i="3"/>
  <c r="W34" i="2"/>
  <c r="D15" i="2"/>
  <c r="U24" i="2"/>
  <c r="Z45" i="3"/>
  <c r="U19" i="2"/>
  <c r="BR5" i="4" a="1"/>
  <c r="AR8" i="4" a="1"/>
  <c r="X7" i="4" a="1"/>
  <c r="BT15" i="4" a="1"/>
  <c r="BY12" i="4" a="1"/>
  <c r="M5" i="4" a="1"/>
  <c r="N32" i="2"/>
  <c r="CG5" i="4" a="1"/>
  <c r="BW7" i="4" a="1"/>
  <c r="AQ8" i="4" a="1"/>
  <c r="N12" i="2"/>
  <c r="EK5" i="4" a="1"/>
  <c r="BV15" i="4" a="1"/>
  <c r="DN12" i="4" a="1"/>
  <c r="DP9" i="4" a="1"/>
  <c r="AE16" i="4" a="1"/>
  <c r="Q34" i="2"/>
  <c r="CA15" i="4" a="1"/>
  <c r="BK11" i="4" a="1"/>
  <c r="BW13" i="4" a="1"/>
  <c r="M30" i="2"/>
  <c r="AR74" i="3"/>
  <c r="DJ16" i="4" a="1"/>
  <c r="DA11" i="4" a="1"/>
  <c r="BL11" i="4" a="1"/>
  <c r="T36" i="2"/>
  <c r="Y46" i="3"/>
  <c r="DA7" i="4" a="1"/>
  <c r="DF16" i="4" a="1"/>
  <c r="DT9" i="4" a="1"/>
  <c r="DT8" i="4" a="1"/>
  <c r="D63" i="3"/>
  <c r="AD82" i="3"/>
  <c r="AD97" i="3"/>
  <c r="G14" i="4" a="1"/>
  <c r="EF8" i="4" a="1"/>
  <c r="BT8" i="4" a="1"/>
  <c r="G9" i="4" a="1"/>
  <c r="AY9" i="4" a="1"/>
  <c r="BW5" i="4" a="1"/>
  <c r="CO8" i="4" a="1"/>
  <c r="F76" i="3"/>
  <c r="AZ8" i="4" a="1"/>
  <c r="CX16" i="4" a="1"/>
  <c r="BI11" i="4" a="1"/>
  <c r="V14" i="2"/>
  <c r="AR23" i="3"/>
  <c r="BD13" i="4" a="1"/>
  <c r="AA8" i="4" a="1"/>
  <c r="Y12" i="4" a="1"/>
  <c r="CP5" i="4" a="1"/>
  <c r="U13" i="4" a="1"/>
  <c r="G83" i="3"/>
  <c r="BB15" i="4" a="1"/>
  <c r="CS15" i="4" a="1"/>
  <c r="AD11" i="3"/>
  <c r="G13" i="4" a="1"/>
  <c r="G15" i="4" a="1"/>
  <c r="BL6" i="4" a="1"/>
  <c r="AU14" i="4" a="1"/>
  <c r="BU7" i="4" a="1"/>
  <c r="AT15" i="4" a="1"/>
  <c r="CM11" i="4" a="1"/>
  <c r="AR7" i="4" a="1"/>
  <c r="F48" i="3"/>
  <c r="F75" i="3"/>
  <c r="G28" i="3"/>
  <c r="S12" i="4" a="1"/>
  <c r="BX13" i="4" a="1"/>
  <c r="AP6" i="4" a="1"/>
  <c r="CE9" i="4" a="1"/>
  <c r="G81" i="3"/>
  <c r="G76" i="3"/>
  <c r="F92" i="3"/>
  <c r="DJ15" i="4" a="1"/>
  <c r="E58" i="3"/>
  <c r="CJ7" i="4" a="1"/>
  <c r="DC9" i="4" a="1"/>
  <c r="BM15" i="4" a="1"/>
  <c r="H15" i="4" a="1"/>
  <c r="L15" i="4" a="1"/>
  <c r="BW8" i="4" a="1"/>
  <c r="G72" i="3"/>
  <c r="E67" i="3"/>
  <c r="E68" i="3"/>
  <c r="AD68" i="3"/>
  <c r="D85" i="3"/>
  <c r="AN13" i="4" a="1"/>
  <c r="D58" i="3"/>
  <c r="E64" i="3"/>
  <c r="AO7" i="4" a="1"/>
  <c r="BQ5" i="4" a="1"/>
  <c r="CS9" i="4" a="1"/>
  <c r="CP14" i="4" a="1"/>
  <c r="E7" i="3"/>
  <c r="AZ6" i="4" a="1"/>
  <c r="EH6" i="4" a="1"/>
  <c r="BI5" i="4" a="1"/>
  <c r="J9" i="4" a="1"/>
  <c r="AR82" i="3"/>
  <c r="AD12" i="3"/>
  <c r="BQ7" i="4" a="1"/>
  <c r="AS8" i="4" a="1"/>
  <c r="AD61" i="3"/>
  <c r="AL13" i="4" a="1"/>
  <c r="BS9" i="4" a="1"/>
  <c r="AK15" i="4" a="1"/>
  <c r="T11" i="4" a="1"/>
  <c r="H14" i="4" a="1"/>
  <c r="BX11" i="4" a="1"/>
  <c r="BQ14" i="4" a="1"/>
  <c r="AE12" i="4" a="1"/>
  <c r="G56" i="3"/>
  <c r="CE16" i="4" a="1"/>
  <c r="BS8" i="4" a="1"/>
  <c r="R10" i="2"/>
  <c r="DB15" i="4" a="1"/>
  <c r="EG13" i="4" a="1"/>
  <c r="E97" i="3"/>
  <c r="F80" i="3"/>
  <c r="E56" i="3"/>
  <c r="T8" i="4" a="1"/>
  <c r="N33" i="2"/>
  <c r="I31" i="2"/>
  <c r="DM11" i="4" a="1"/>
  <c r="BL15" i="4" a="1"/>
  <c r="F31" i="3"/>
  <c r="AR16" i="4" a="1"/>
  <c r="U13" i="2"/>
  <c r="DW5" i="4" a="1"/>
  <c r="BQ11" i="4" a="1"/>
  <c r="AC11" i="4" a="1"/>
  <c r="AL14" i="4" a="1"/>
  <c r="CU14" i="4" a="1"/>
  <c r="G55" i="3"/>
  <c r="G54" i="3"/>
  <c r="O22" i="2"/>
  <c r="AR22" i="3"/>
  <c r="N8" i="2"/>
  <c r="DG15" i="4" a="1"/>
  <c r="BR9" i="4" a="1"/>
  <c r="D32" i="3"/>
  <c r="EH8" i="4" a="1"/>
  <c r="BR12" i="4" a="1"/>
  <c r="BA11" i="4" a="1"/>
  <c r="AS11" i="4" a="1"/>
  <c r="DW14" i="4" a="1"/>
  <c r="CB12" i="4" a="1"/>
  <c r="CN16" i="4" a="1"/>
  <c r="BQ6" i="4" a="1"/>
  <c r="BG16" i="4" a="1"/>
  <c r="AH14" i="4" a="1"/>
  <c r="CS14" i="4" a="1"/>
  <c r="AT14" i="4" a="1"/>
  <c r="AA7" i="4" a="1"/>
  <c r="J15" i="4" a="1"/>
  <c r="Z9" i="4" a="1"/>
  <c r="DU15" i="4" a="1"/>
  <c r="CY8" i="4" a="1"/>
  <c r="S13" i="4" a="1"/>
  <c r="J12" i="4" a="1"/>
  <c r="CY6" i="4" a="1"/>
  <c r="H34" i="2"/>
  <c r="EJ5" i="4" a="1"/>
  <c r="S20" i="2"/>
  <c r="X13" i="2"/>
  <c r="W5" i="2"/>
  <c r="AK5" i="4" a="1"/>
  <c r="AR47" i="3"/>
  <c r="C10" i="2"/>
  <c r="E18" i="3"/>
  <c r="C33" i="2"/>
  <c r="V9" i="2"/>
  <c r="AR77" i="3"/>
  <c r="D35" i="2"/>
  <c r="P19" i="2"/>
  <c r="N28" i="2"/>
  <c r="W46" i="2"/>
  <c r="CK14" i="4" a="1"/>
  <c r="AB15" i="4" a="1"/>
  <c r="CH15" i="4" a="1"/>
  <c r="AC16" i="4" a="1"/>
  <c r="AS16" i="4" a="1"/>
  <c r="BK12" i="4" a="1"/>
  <c r="AU11" i="4" a="1"/>
  <c r="N46" i="3"/>
  <c r="DF14" i="4" a="1"/>
  <c r="S5" i="4" a="1"/>
  <c r="F18" i="2"/>
  <c r="V12" i="4" a="1"/>
  <c r="N25" i="2"/>
  <c r="DX8" i="4" a="1"/>
  <c r="CQ13" i="4" a="1"/>
  <c r="E9" i="4" a="1"/>
  <c r="AE46" i="3"/>
  <c r="DI8" i="4" a="1"/>
  <c r="CE11" i="4" a="1"/>
  <c r="X11" i="4" a="1"/>
  <c r="AR12" i="3"/>
  <c r="CO13" i="4" a="1"/>
  <c r="CQ15" i="4" a="1"/>
  <c r="CT11" i="4" a="1"/>
  <c r="CV8" i="4" a="1"/>
  <c r="X10" i="2"/>
  <c r="BF9" i="4" a="1"/>
  <c r="J27" i="2"/>
  <c r="DF12" i="4" a="1"/>
  <c r="BO16" i="4" a="1"/>
  <c r="DA16" i="4" a="1"/>
  <c r="E75" i="3"/>
  <c r="AD66" i="3"/>
  <c r="N14" i="4" a="1"/>
  <c r="CF15" i="4" a="1"/>
  <c r="BF16" i="4" a="1"/>
  <c r="DD8" i="4" a="1"/>
  <c r="R11" i="4" a="1"/>
  <c r="BB6" i="4" a="1"/>
  <c r="DX15" i="4" a="1"/>
  <c r="BW14" i="4" a="1"/>
  <c r="E91" i="3"/>
  <c r="Z7" i="4" a="1"/>
  <c r="DN7" i="4" a="1"/>
  <c r="DI6" i="4" a="1"/>
  <c r="AR81" i="3"/>
  <c r="Z15" i="4" a="1"/>
  <c r="DZ5" i="4" a="1"/>
  <c r="DG12" i="4" a="1"/>
  <c r="BJ7" i="4" a="1"/>
  <c r="CY11" i="4" a="1"/>
  <c r="BH13" i="4" a="1"/>
  <c r="G86" i="3"/>
  <c r="EC5" i="4" a="1"/>
  <c r="EA9" i="4" a="1"/>
  <c r="DQ11" i="4" a="1"/>
  <c r="EF16" i="4" a="1"/>
  <c r="BN14" i="4" a="1"/>
  <c r="AA15" i="4" a="1"/>
  <c r="E82" i="3"/>
  <c r="BI14" i="4" a="1"/>
  <c r="AX13" i="4" a="1"/>
  <c r="AA14" i="4" a="1"/>
  <c r="EK9" i="4" a="1"/>
  <c r="E87" i="3"/>
  <c r="S45" i="3"/>
  <c r="G23" i="3"/>
  <c r="BG6" i="4" a="1"/>
  <c r="BF5" i="4" a="1"/>
  <c r="AO16" i="4" a="1"/>
  <c r="EJ8" i="4" a="1"/>
  <c r="D79" i="3"/>
  <c r="AT12" i="4" a="1"/>
  <c r="G97" i="3"/>
  <c r="AL9" i="4" a="1"/>
  <c r="AD77" i="3"/>
  <c r="D83" i="3"/>
  <c r="EC11" i="4" a="1"/>
  <c r="CX15" i="4" a="1"/>
  <c r="DI15" i="4" a="1"/>
  <c r="AN16" i="4" a="1"/>
  <c r="BA13" i="4" a="1"/>
  <c r="G84" i="3"/>
  <c r="AJ15" i="4" a="1"/>
  <c r="F54" i="3"/>
  <c r="EB7" i="4" a="1"/>
  <c r="G22" i="3"/>
  <c r="D73" i="3"/>
  <c r="D26" i="2"/>
  <c r="O25" i="2"/>
  <c r="D5" i="2"/>
  <c r="F32" i="2"/>
  <c r="D13" i="3"/>
  <c r="EI11" i="4" a="1"/>
  <c r="BH6" i="4" a="1"/>
  <c r="CH8" i="4" a="1"/>
  <c r="M21" i="2"/>
  <c r="DH15" i="4" a="1"/>
  <c r="BX7" i="4" a="1"/>
  <c r="T12" i="4" a="1"/>
  <c r="M12" i="4" a="1"/>
  <c r="D55" i="3"/>
  <c r="I15" i="4" a="1"/>
  <c r="BN12" i="4" a="1"/>
  <c r="F27" i="3"/>
  <c r="AB12" i="4" a="1"/>
  <c r="D96" i="3"/>
  <c r="F64" i="3"/>
  <c r="M13" i="2"/>
  <c r="P46" i="3"/>
  <c r="F23" i="2"/>
  <c r="DD13" i="4" a="1"/>
  <c r="D16" i="4" a="1"/>
  <c r="BN13" i="4" a="1"/>
  <c r="D14" i="4" a="1"/>
  <c r="CQ9" i="4" a="1"/>
  <c r="S29" i="2"/>
  <c r="EE9" i="4" a="1"/>
  <c r="BD15" i="4" a="1"/>
  <c r="AV7" i="4" a="1"/>
  <c r="EK11" i="4" a="1"/>
  <c r="P12" i="4" a="1"/>
  <c r="D57" i="3"/>
  <c r="F29" i="2"/>
  <c r="G18" i="2"/>
  <c r="DJ9" i="4" a="1"/>
  <c r="W14" i="2"/>
  <c r="BD16" i="4" a="1"/>
  <c r="BM6" i="4" a="1"/>
  <c r="AA12" i="4" a="1"/>
  <c r="AR38" i="3"/>
  <c r="AM14" i="4" a="1"/>
  <c r="S7" i="2"/>
  <c r="DG16" i="4" a="1"/>
  <c r="DP14" i="4" a="1"/>
  <c r="AF14" i="4" a="1"/>
  <c r="BH8" i="4" a="1"/>
  <c r="DT11" i="4" a="1"/>
  <c r="DN15" i="4" a="1"/>
  <c r="CJ6" i="4" a="1"/>
  <c r="AR11" i="4" a="1"/>
  <c r="G90" i="3"/>
  <c r="G69" i="3"/>
  <c r="CI6" i="4" a="1"/>
  <c r="G74" i="3"/>
  <c r="G77" i="3"/>
  <c r="G88" i="3"/>
  <c r="G93" i="3"/>
  <c r="D82" i="3"/>
  <c r="D91" i="3"/>
  <c r="AD85" i="3"/>
  <c r="AD78" i="3"/>
  <c r="AD96" i="3"/>
  <c r="AD75" i="3"/>
  <c r="AD74" i="3"/>
  <c r="AD64" i="3"/>
  <c r="AD80" i="3"/>
  <c r="AD88" i="3"/>
  <c r="AD69" i="3"/>
  <c r="AD62" i="3"/>
  <c r="AD65" i="3"/>
  <c r="AD95" i="3"/>
  <c r="D64" i="3" l="1"/>
  <c r="D70" i="3"/>
  <c r="D80" i="3"/>
  <c r="AD55" i="3"/>
  <c r="AD89" i="3"/>
  <c r="AD93" i="3"/>
  <c r="AD60" i="3"/>
  <c r="AD86" i="3"/>
  <c r="AD91" i="3"/>
  <c r="AD92" i="3"/>
  <c r="AD81" i="3"/>
  <c r="AD56" i="3"/>
  <c r="AD57" i="3"/>
  <c r="AD63" i="3"/>
  <c r="E81" i="3"/>
  <c r="E63" i="3"/>
  <c r="E57" i="3"/>
  <c r="E72" i="3"/>
  <c r="E93" i="3"/>
  <c r="E66" i="3"/>
  <c r="E84" i="3"/>
  <c r="E73" i="3"/>
  <c r="E74" i="3"/>
  <c r="E54" i="3"/>
  <c r="E70" i="3"/>
  <c r="E80" i="3"/>
  <c r="E78" i="3"/>
  <c r="E85" i="3"/>
  <c r="E89" i="3"/>
  <c r="E94" i="3"/>
  <c r="E95" i="3"/>
  <c r="E88" i="3"/>
  <c r="E69" i="3"/>
  <c r="E71" i="3"/>
  <c r="E55" i="3"/>
  <c r="E92" i="3"/>
  <c r="E65" i="3"/>
  <c r="E60" i="3"/>
  <c r="BJ174" i="1"/>
  <c r="BJ160" i="1"/>
  <c r="BK160" i="1" s="1"/>
  <c r="BJ134" i="1"/>
  <c r="BK134" i="1" s="1"/>
  <c r="BJ142" i="1"/>
  <c r="BJ137" i="1"/>
  <c r="BK137" i="1" s="1"/>
  <c r="BJ169" i="1"/>
  <c r="BJ159" i="1"/>
  <c r="BK159" i="1" s="1"/>
  <c r="BJ147" i="1"/>
  <c r="BK147" i="1" s="1"/>
  <c r="BJ173" i="1"/>
  <c r="BK173" i="1" s="1"/>
  <c r="BJ152" i="1"/>
  <c r="BK152" i="1" s="1"/>
  <c r="BJ157" i="1"/>
  <c r="BK157" i="1" s="1"/>
  <c r="AJ164" i="1"/>
  <c r="AK164" i="1" s="1"/>
  <c r="AJ155" i="1"/>
  <c r="IY16" i="4" s="1"/>
  <c r="R19" i="1"/>
  <c r="V30" i="1"/>
  <c r="IZ9" i="4" s="1"/>
  <c r="F35" i="1"/>
  <c r="E57" i="1"/>
  <c r="AJ128" i="1"/>
  <c r="AK128" i="1" s="1"/>
  <c r="JG9" i="4" s="1"/>
  <c r="R57" i="1"/>
  <c r="HP14" i="4" s="1"/>
  <c r="E45" i="1"/>
  <c r="L34" i="1"/>
  <c r="AL159" i="1"/>
  <c r="AM159" i="1" s="1"/>
  <c r="AJ173" i="1"/>
  <c r="AK173" i="1" s="1"/>
  <c r="E55" i="1"/>
  <c r="N46" i="1"/>
  <c r="AJ170" i="1"/>
  <c r="BJ150" i="1"/>
  <c r="AJ153" i="1"/>
  <c r="AK153" i="1" s="1"/>
  <c r="AM45" i="1"/>
  <c r="JI9" i="4" s="1"/>
  <c r="II14" i="4" s="1"/>
  <c r="BX154" i="1"/>
  <c r="BJ161" i="1"/>
  <c r="BK161" i="1" s="1"/>
  <c r="IW16" i="4" s="1"/>
  <c r="I42" i="1"/>
  <c r="I204" i="1" s="1"/>
  <c r="IV8" i="4" s="1"/>
  <c r="BX24" i="1"/>
  <c r="M46" i="1"/>
  <c r="E35" i="1"/>
  <c r="IC16" i="4" s="1"/>
  <c r="O32" i="1"/>
  <c r="C61" i="1"/>
  <c r="BX150" i="1"/>
  <c r="BY150" i="1" s="1"/>
  <c r="BZ212" i="1" s="1"/>
  <c r="B56" i="1"/>
  <c r="AK35" i="1"/>
  <c r="W34" i="1"/>
  <c r="HZ14" i="4" s="1"/>
  <c r="T34" i="1"/>
  <c r="M56" i="1"/>
  <c r="AL169" i="1"/>
  <c r="BJ24" i="1"/>
  <c r="BX155" i="1"/>
  <c r="AJ129" i="1"/>
  <c r="AJ157" i="1"/>
  <c r="AK157" i="1" s="1"/>
  <c r="BJ141" i="1"/>
  <c r="AL165" i="1"/>
  <c r="AM165" i="1" s="1"/>
  <c r="AM42" i="1"/>
  <c r="BJ25" i="1"/>
  <c r="BX45" i="1"/>
  <c r="U30" i="1"/>
  <c r="IV16" i="4" s="1"/>
  <c r="IE9" i="4" s="1"/>
  <c r="BJ155" i="1"/>
  <c r="AJ135" i="1"/>
  <c r="AK135" i="1" s="1"/>
  <c r="IZ16" i="4" s="1"/>
  <c r="IZ21" i="4" s="1"/>
  <c r="BT87" i="1" s="1"/>
  <c r="BX147" i="1"/>
  <c r="BY147" i="1" s="1"/>
  <c r="L49" i="1"/>
  <c r="JB9" i="4" s="1"/>
  <c r="M25" i="1"/>
  <c r="M55" i="1"/>
  <c r="HV7" i="4" s="1"/>
  <c r="T32" i="1"/>
  <c r="C33" i="1"/>
  <c r="W35" i="1"/>
  <c r="D132" i="1"/>
  <c r="W55" i="1"/>
  <c r="HP8" i="4" s="1"/>
  <c r="J49" i="1"/>
  <c r="R56" i="1"/>
  <c r="I46" i="1"/>
  <c r="C45" i="1"/>
  <c r="O42" i="1"/>
  <c r="O204" i="1" s="1"/>
  <c r="HT15" i="4" s="1"/>
  <c r="J18" i="1"/>
  <c r="IR15" i="4" s="1"/>
  <c r="K35" i="1"/>
  <c r="HR9" i="4" s="1"/>
  <c r="BJ31" i="1"/>
  <c r="IH16" i="4" s="1"/>
  <c r="JC15" i="4" s="1"/>
  <c r="IE16" i="4" s="1"/>
  <c r="AJ127" i="1"/>
  <c r="M32" i="1"/>
  <c r="BX141" i="1"/>
  <c r="D46" i="1"/>
  <c r="AL153" i="1"/>
  <c r="AM153" i="1" s="1"/>
  <c r="BJ156" i="1"/>
  <c r="BK156" i="1" s="1"/>
  <c r="BJ145" i="1"/>
  <c r="BK145" i="1" s="1"/>
  <c r="IX14" i="4" s="1"/>
  <c r="IQ14" i="4" s="1"/>
  <c r="IP14" i="4" s="1"/>
  <c r="AJ137" i="1"/>
  <c r="AK137" i="1" s="1"/>
  <c r="IZ8" i="4" s="1"/>
  <c r="V23" i="1"/>
  <c r="JG8" i="4" s="1"/>
  <c r="IN7" i="4" s="1"/>
  <c r="C25" i="1"/>
  <c r="I25" i="1"/>
  <c r="K31" i="1"/>
  <c r="D34" i="1"/>
  <c r="HY16" i="4" s="1"/>
  <c r="L33" i="1"/>
  <c r="J45" i="1"/>
  <c r="O30" i="1"/>
  <c r="AL137" i="1"/>
  <c r="AM137" i="1" s="1"/>
  <c r="O56" i="1"/>
  <c r="IY15" i="4" s="1"/>
  <c r="AL150" i="1"/>
  <c r="AM150" i="1" s="1"/>
  <c r="AM212" i="1" s="1"/>
  <c r="IT16" i="4" s="1"/>
  <c r="P34" i="1"/>
  <c r="T55" i="1"/>
  <c r="E30" i="1"/>
  <c r="B31" i="1"/>
  <c r="HU9" i="4" s="1"/>
  <c r="IR9" i="4" s="1"/>
  <c r="AL152" i="1"/>
  <c r="AM152" i="1" s="1"/>
  <c r="IX7" i="4" s="1"/>
  <c r="IE15" i="4" s="1"/>
  <c r="P137" i="1"/>
  <c r="S35" i="1"/>
  <c r="C23" i="1"/>
  <c r="D32" i="1"/>
  <c r="R34" i="1"/>
  <c r="IB15" i="4" s="1"/>
  <c r="AJ142" i="1"/>
  <c r="AL83" i="1"/>
  <c r="H56" i="1"/>
  <c r="M33" i="1"/>
  <c r="AL147" i="1"/>
  <c r="AM147" i="1" s="1"/>
  <c r="C49" i="1"/>
  <c r="IT9" i="4" s="1"/>
  <c r="JG7" i="4" s="1"/>
  <c r="G46" i="1"/>
  <c r="P32" i="1"/>
  <c r="S32" i="1"/>
  <c r="P23" i="1"/>
  <c r="W23" i="1"/>
  <c r="AJ30" i="1"/>
  <c r="R30" i="1"/>
  <c r="K42" i="1"/>
  <c r="K204" i="1" s="1"/>
  <c r="BX31" i="1"/>
  <c r="G25" i="1"/>
  <c r="C19" i="1"/>
  <c r="B42" i="1"/>
  <c r="AJ152" i="1"/>
  <c r="AK152" i="1" s="1"/>
  <c r="AL128" i="1"/>
  <c r="AM128" i="1" s="1"/>
  <c r="HP7" i="4" s="1"/>
  <c r="Q23" i="1"/>
  <c r="AK24" i="1"/>
  <c r="AL84" i="1"/>
  <c r="AL132" i="1"/>
  <c r="AM132" i="1" s="1"/>
  <c r="AJ174" i="1"/>
  <c r="M49" i="1"/>
  <c r="AJ134" i="1"/>
  <c r="AK134" i="1" s="1"/>
  <c r="BJ170" i="1"/>
  <c r="AJ160" i="1"/>
  <c r="AK160" i="1" s="1"/>
  <c r="BJ143" i="1"/>
  <c r="IN16" i="4" s="1"/>
  <c r="AL156" i="1"/>
  <c r="AM156" i="1" s="1"/>
  <c r="IU16" i="4" s="1"/>
  <c r="AJ161" i="1"/>
  <c r="AK161" i="1" s="1"/>
  <c r="JB15" i="4" s="1"/>
  <c r="AL163" i="1"/>
  <c r="BX128" i="1"/>
  <c r="BY128" i="1" s="1"/>
  <c r="IU9" i="4" s="1"/>
  <c r="IU21" i="4" s="1"/>
  <c r="BO87" i="1" s="1"/>
  <c r="IA16" i="4" s="1"/>
  <c r="AL45" i="1"/>
  <c r="P18" i="1"/>
  <c r="IW7" i="4" s="1"/>
  <c r="HS7" i="4" s="1"/>
  <c r="BX49" i="1"/>
  <c r="G30" i="1"/>
  <c r="IS15" i="4" s="1"/>
  <c r="E25" i="1"/>
  <c r="AM46" i="1"/>
  <c r="Q45" i="1"/>
  <c r="T57" i="1"/>
  <c r="G55" i="1"/>
  <c r="AL19" i="1"/>
  <c r="H19" i="1"/>
  <c r="H23" i="1"/>
  <c r="BX137" i="1"/>
  <c r="BY137" i="1" s="1"/>
  <c r="B46" i="1"/>
  <c r="AJ42" i="1"/>
  <c r="U42" i="1"/>
  <c r="H18" i="1"/>
  <c r="AL42" i="1"/>
  <c r="U31" i="1"/>
  <c r="AK56" i="1"/>
  <c r="B61" i="1"/>
  <c r="W61" i="1"/>
  <c r="AL46" i="1"/>
  <c r="AM30" i="1"/>
  <c r="R23" i="1"/>
  <c r="I45" i="1"/>
  <c r="I34" i="1"/>
  <c r="N49" i="1"/>
  <c r="Q18" i="1"/>
  <c r="Q5" i="1" s="1"/>
  <c r="U33" i="1"/>
  <c r="O46" i="1"/>
  <c r="O49" i="1"/>
  <c r="N45" i="1"/>
  <c r="BX84" i="1"/>
  <c r="F49" i="1"/>
  <c r="H45" i="1"/>
  <c r="Q57" i="1"/>
  <c r="B18" i="1"/>
  <c r="HQ9" i="4" s="1"/>
  <c r="BX18" i="1"/>
  <c r="R42" i="1"/>
  <c r="R204" i="1" s="1"/>
  <c r="G42" i="1"/>
  <c r="G204" i="1" s="1"/>
  <c r="T45" i="1"/>
  <c r="JG14" i="4" s="1"/>
  <c r="BJ129" i="1"/>
  <c r="IP8" i="4" s="1"/>
  <c r="AL160" i="1"/>
  <c r="AM160" i="1" s="1"/>
  <c r="AJ145" i="1"/>
  <c r="AK145" i="1" s="1"/>
  <c r="HT9" i="4" s="1"/>
  <c r="JC16" i="4" s="1"/>
  <c r="JC21" i="4" s="1"/>
  <c r="BW87" i="1" s="1"/>
  <c r="BJ136" i="1"/>
  <c r="BK136" i="1" s="1"/>
  <c r="BJ162" i="1"/>
  <c r="BK162" i="1" s="1"/>
  <c r="AJ162" i="1"/>
  <c r="AK162" i="1" s="1"/>
  <c r="AL135" i="1"/>
  <c r="AM135" i="1" s="1"/>
  <c r="BJ153" i="1"/>
  <c r="BK153" i="1" s="1"/>
  <c r="IK9" i="4" s="1"/>
  <c r="AL173" i="1"/>
  <c r="AM173" i="1" s="1"/>
  <c r="IJ9" i="4" s="1"/>
  <c r="AM19" i="1"/>
  <c r="V46" i="1"/>
  <c r="V262" i="1" s="1"/>
  <c r="AL141" i="1"/>
  <c r="AL129" i="1"/>
  <c r="JI15" i="4" s="1"/>
  <c r="JE8" i="4" s="1"/>
  <c r="R33" i="1"/>
  <c r="AJ156" i="1"/>
  <c r="AK156" i="1" s="1"/>
  <c r="AL127" i="1"/>
  <c r="HS16" i="4" s="1"/>
  <c r="IM15" i="4" s="1"/>
  <c r="H33" i="1"/>
  <c r="G23" i="1"/>
  <c r="K19" i="1"/>
  <c r="J32" i="1"/>
  <c r="W127" i="1"/>
  <c r="IC9" i="4" s="1"/>
  <c r="IT14" i="4" s="1"/>
  <c r="IT19" i="4" s="1"/>
  <c r="BN88" i="1" s="1"/>
  <c r="BN117" i="1" s="1"/>
  <c r="R35" i="1"/>
  <c r="ID9" i="4" s="1"/>
  <c r="D18" i="1"/>
  <c r="HP9" i="4" s="1"/>
  <c r="C34" i="1"/>
  <c r="W57" i="1"/>
  <c r="N30" i="1"/>
  <c r="HT16" i="4" s="1"/>
  <c r="D57" i="1"/>
  <c r="IB16" i="4" s="1"/>
  <c r="BX55" i="1"/>
  <c r="BX135" i="1"/>
  <c r="BY135" i="1" s="1"/>
  <c r="AJ34" i="1"/>
  <c r="D25" i="1"/>
  <c r="BX83" i="1"/>
  <c r="D55" i="1"/>
  <c r="AJ35" i="1"/>
  <c r="E42" i="1"/>
  <c r="E204" i="1" s="1"/>
  <c r="V34" i="1"/>
  <c r="M61" i="1"/>
  <c r="S34" i="1"/>
  <c r="I32" i="1"/>
  <c r="O23" i="1"/>
  <c r="S19" i="1"/>
  <c r="M31" i="1"/>
  <c r="AJ31" i="1"/>
  <c r="BX35" i="1"/>
  <c r="AM34" i="1"/>
  <c r="N55" i="1"/>
  <c r="JE9" i="4" s="1"/>
  <c r="BJ18" i="1"/>
  <c r="BJ241" i="1" s="1"/>
  <c r="HU16" i="4" s="1"/>
  <c r="AJ18" i="1"/>
  <c r="P25" i="1"/>
  <c r="T23" i="1"/>
  <c r="AJ154" i="1"/>
  <c r="AJ189" i="1" s="1"/>
  <c r="AL164" i="1"/>
  <c r="AM164" i="1" s="1"/>
  <c r="JF14" i="4" s="1"/>
  <c r="JF15" i="4" s="1"/>
  <c r="AL154" i="1"/>
  <c r="II16" i="4" s="1"/>
  <c r="AJ150" i="1"/>
  <c r="AK150" i="1" s="1"/>
  <c r="IY7" i="4" s="1"/>
  <c r="AJ165" i="1"/>
  <c r="AK165" i="1" s="1"/>
  <c r="HY7" i="4" s="1"/>
  <c r="AL161" i="1"/>
  <c r="AM161" i="1" s="1"/>
  <c r="HT8" i="4" s="1"/>
  <c r="JB16" i="4" s="1"/>
  <c r="HU14" i="4" s="1"/>
  <c r="HU19" i="4" s="1"/>
  <c r="AO88" i="1" s="1"/>
  <c r="AO117" i="1" s="1"/>
  <c r="HX8" i="4" s="1"/>
  <c r="IP16" i="4" s="1"/>
  <c r="JH15" i="4" s="1"/>
  <c r="AL170" i="1"/>
  <c r="AL143" i="1"/>
  <c r="AJ136" i="1"/>
  <c r="AK136" i="1" s="1"/>
  <c r="AL162" i="1"/>
  <c r="AM162" i="1" s="1"/>
  <c r="HW14" i="4" s="1"/>
  <c r="HZ9" i="4" s="1"/>
  <c r="F57" i="1"/>
  <c r="BX56" i="1"/>
  <c r="AK34" i="1"/>
  <c r="IH9" i="4" s="1"/>
  <c r="HZ7" i="4" s="1"/>
  <c r="G19" i="1"/>
  <c r="H32" i="1"/>
  <c r="IG8" i="4" s="1"/>
  <c r="M42" i="1"/>
  <c r="M204" i="1" s="1"/>
  <c r="E18" i="1"/>
  <c r="E241" i="1" s="1"/>
  <c r="JF9" i="4" s="1"/>
  <c r="IS7" i="4" s="1"/>
  <c r="N33" i="1"/>
  <c r="IL14" i="4" s="1"/>
  <c r="BJ23" i="1"/>
  <c r="F31" i="1"/>
  <c r="O35" i="1"/>
  <c r="HT7" i="4" s="1"/>
  <c r="ID14" i="4" s="1"/>
  <c r="AL33" i="1"/>
  <c r="P163" i="1"/>
  <c r="S23" i="1"/>
  <c r="S46" i="1"/>
  <c r="G18" i="1"/>
  <c r="G241" i="1" s="1"/>
  <c r="G31" i="1"/>
  <c r="G32" i="1"/>
  <c r="Q30" i="1"/>
  <c r="I33" i="1"/>
  <c r="H55" i="1"/>
  <c r="V31" i="1"/>
  <c r="R45" i="1"/>
  <c r="J31" i="1"/>
  <c r="F33" i="1"/>
  <c r="M35" i="1"/>
  <c r="P30" i="1"/>
  <c r="U56" i="1"/>
  <c r="V55" i="1"/>
  <c r="P165" i="1"/>
  <c r="AL23" i="1"/>
  <c r="B49" i="1"/>
  <c r="K46" i="1"/>
  <c r="K262" i="1" s="1"/>
  <c r="H34" i="1"/>
  <c r="AL24" i="1"/>
  <c r="HV15" i="4" s="1"/>
  <c r="HT14" i="4" s="1"/>
  <c r="HQ16" i="4" s="1"/>
  <c r="HZ16" i="4" s="1"/>
  <c r="HZ21" i="4" s="1"/>
  <c r="AT87" i="1" s="1"/>
  <c r="AM35" i="1"/>
  <c r="IW9" i="4" s="1"/>
  <c r="IQ16" i="4" s="1"/>
  <c r="JD14" i="4" s="1"/>
  <c r="JD19" i="4" s="1"/>
  <c r="BX88" i="1" s="1"/>
  <c r="BX99" i="1" s="1"/>
  <c r="AL34" i="1"/>
  <c r="AL136" i="1"/>
  <c r="AM136" i="1" s="1"/>
  <c r="AL174" i="1"/>
  <c r="AM174" i="1" s="1"/>
  <c r="AL155" i="1"/>
  <c r="AL134" i="1"/>
  <c r="AM134" i="1" s="1"/>
  <c r="U57" i="1"/>
  <c r="IK16" i="4" s="1"/>
  <c r="IK21" i="4" s="1"/>
  <c r="BE87" i="1" s="1"/>
  <c r="II9" i="4" s="1"/>
  <c r="IR16" i="4" s="1"/>
  <c r="IR21" i="4" s="1"/>
  <c r="BL87" i="1" s="1"/>
  <c r="BL104" i="1" s="1"/>
  <c r="AL61" i="1"/>
  <c r="L56" i="1"/>
  <c r="M30" i="1"/>
  <c r="BX159" i="1"/>
  <c r="BY159" i="1" s="1"/>
  <c r="IA14" i="4" s="1"/>
  <c r="N19" i="1"/>
  <c r="IJ16" i="4" s="1"/>
  <c r="IJ21" i="4" s="1"/>
  <c r="BD87" i="1" s="1"/>
  <c r="J35" i="1"/>
  <c r="IM16" i="4" s="1"/>
  <c r="I61" i="1"/>
  <c r="Q49" i="1"/>
  <c r="S45" i="1"/>
  <c r="D45" i="1"/>
  <c r="R49" i="1"/>
  <c r="S49" i="1"/>
  <c r="L18" i="1"/>
  <c r="H61" i="1"/>
  <c r="F56" i="1"/>
  <c r="AL56" i="1"/>
  <c r="T46" i="1"/>
  <c r="BX33" i="1"/>
  <c r="BX30" i="1"/>
  <c r="J34" i="1"/>
  <c r="C31" i="1"/>
  <c r="W19" i="1"/>
  <c r="W20" i="1" s="1"/>
  <c r="BY83" i="1"/>
  <c r="J129" i="1"/>
  <c r="BJ34" i="1"/>
  <c r="B45" i="1"/>
  <c r="BX129" i="1"/>
  <c r="BY129" i="1" s="1"/>
  <c r="BX136" i="1"/>
  <c r="BY136" i="1" s="1"/>
  <c r="AJ141" i="1"/>
  <c r="IX16" i="4" s="1"/>
  <c r="AJ147" i="1"/>
  <c r="AK147" i="1" s="1"/>
  <c r="AL157" i="1"/>
  <c r="AM157" i="1" s="1"/>
  <c r="AL145" i="1"/>
  <c r="AM145" i="1" s="1"/>
  <c r="AM23" i="1"/>
  <c r="Q31" i="1"/>
  <c r="IG9" i="4" s="1"/>
  <c r="IP9" i="4" s="1"/>
  <c r="L25" i="1"/>
  <c r="HV16" i="4" s="1"/>
  <c r="HU8" i="4" s="1"/>
  <c r="IG15" i="4" s="1"/>
  <c r="F34" i="1"/>
  <c r="T30" i="1"/>
  <c r="IN14" i="4" s="1"/>
  <c r="IE14" i="4" s="1"/>
  <c r="IV7" i="4" s="1"/>
  <c r="HS8" i="4" s="1"/>
  <c r="JC8" i="4" s="1"/>
  <c r="HZ15" i="4" s="1"/>
  <c r="IS9" i="4" s="1"/>
  <c r="IS16" i="4" s="1"/>
  <c r="IS21" i="4" s="1"/>
  <c r="BM87" i="1" s="1"/>
  <c r="JA16" i="4" s="1"/>
  <c r="AJ132" i="1"/>
  <c r="AK132" i="1" s="1"/>
  <c r="JD15" i="4" s="1"/>
  <c r="D33" i="1"/>
  <c r="JC9" i="4" s="1"/>
  <c r="HV9" i="4" s="1"/>
  <c r="V57" i="1"/>
  <c r="IG16" i="4" s="1"/>
  <c r="M45" i="1"/>
  <c r="J46" i="1"/>
  <c r="O55" i="1"/>
  <c r="V35" i="1"/>
  <c r="T49" i="1"/>
  <c r="BX156" i="1"/>
  <c r="BY156" i="1" s="1"/>
  <c r="D42" i="1"/>
  <c r="K45" i="1"/>
  <c r="P49" i="1"/>
  <c r="BX25" i="1"/>
  <c r="BX34" i="1"/>
  <c r="J23" i="1"/>
  <c r="BX42" i="1"/>
  <c r="BX204" i="1" s="1"/>
  <c r="AL55" i="1"/>
  <c r="AJ25" i="1"/>
  <c r="AJ19" i="1"/>
  <c r="BX57" i="1"/>
  <c r="N57" i="1"/>
  <c r="V42" i="1"/>
  <c r="V263" i="1" s="1"/>
  <c r="BX142" i="1"/>
  <c r="E56" i="1"/>
  <c r="P19" i="1"/>
  <c r="JA9" i="4" s="1"/>
  <c r="IB9" i="4" s="1"/>
  <c r="IQ15" i="4" s="1"/>
  <c r="W45" i="1"/>
  <c r="II7" i="4" s="1"/>
  <c r="HX9" i="4" s="1"/>
  <c r="BX169" i="1"/>
  <c r="S57" i="1"/>
  <c r="AJ61" i="1"/>
  <c r="AK57" i="1"/>
  <c r="M23" i="1"/>
  <c r="H31" i="1"/>
  <c r="S18" i="1"/>
  <c r="S241" i="1" s="1"/>
  <c r="D30" i="1"/>
  <c r="BX61" i="1"/>
  <c r="U19" i="1"/>
  <c r="U20" i="1" s="1"/>
  <c r="F45" i="1"/>
  <c r="J42" i="1"/>
  <c r="J204" i="1" s="1"/>
  <c r="M18" i="1"/>
  <c r="R46" i="1"/>
  <c r="BX145" i="1"/>
  <c r="BY145" i="1" s="1"/>
  <c r="D56" i="1"/>
  <c r="W25" i="1"/>
  <c r="AM49" i="1"/>
  <c r="I57" i="1"/>
  <c r="H25" i="1"/>
  <c r="AK61" i="1"/>
  <c r="F23" i="1"/>
  <c r="Q56" i="1"/>
  <c r="BX157" i="1"/>
  <c r="BY157" i="1" s="1"/>
  <c r="AK55" i="1"/>
  <c r="N25" i="1"/>
  <c r="W49" i="1"/>
  <c r="R25" i="1"/>
  <c r="Q19" i="1"/>
  <c r="K55" i="1"/>
  <c r="BX153" i="1"/>
  <c r="BY153" i="1" s="1"/>
  <c r="J61" i="1"/>
  <c r="AJ55" i="1"/>
  <c r="L57" i="1"/>
  <c r="W30" i="1"/>
  <c r="G173" i="1"/>
  <c r="HP16" i="4" s="1"/>
  <c r="AM33" i="1"/>
  <c r="AL57" i="1"/>
  <c r="AL35" i="1"/>
  <c r="T31" i="1"/>
  <c r="AK45" i="1"/>
  <c r="N31" i="1"/>
  <c r="F61" i="1"/>
  <c r="I31" i="1"/>
  <c r="ID16" i="4" s="1"/>
  <c r="AK30" i="1"/>
  <c r="BX143" i="1"/>
  <c r="AL49" i="1"/>
  <c r="V56" i="1"/>
  <c r="E33" i="1"/>
  <c r="W33" i="1"/>
  <c r="C35" i="1"/>
  <c r="AL142" i="1"/>
  <c r="IQ9" i="4" s="1"/>
  <c r="AJ163" i="1"/>
  <c r="AJ193" i="1" s="1"/>
  <c r="ID7" i="4" s="1"/>
  <c r="JA7" i="4" s="1"/>
  <c r="AJ49" i="1"/>
  <c r="BX32" i="1"/>
  <c r="B33" i="1"/>
  <c r="JH9" i="4" s="1"/>
  <c r="JH14" i="4" s="1"/>
  <c r="H46" i="1"/>
  <c r="H262" i="1" s="1"/>
  <c r="JF16" i="4" s="1"/>
  <c r="JF21" i="4" s="1"/>
  <c r="BZ87" i="1" s="1"/>
  <c r="BZ104" i="1" s="1"/>
  <c r="P56" i="1"/>
  <c r="JD16" i="4" s="1"/>
  <c r="HY9" i="4" s="1"/>
  <c r="T35" i="1"/>
  <c r="IY8" i="4" s="1"/>
  <c r="JH16" i="4" s="1"/>
  <c r="JH21" i="4" s="1"/>
  <c r="CB87" i="1" s="1"/>
  <c r="O61" i="1"/>
  <c r="BX23" i="1"/>
  <c r="AJ46" i="1"/>
  <c r="I56" i="1"/>
  <c r="HW16" i="4" s="1"/>
  <c r="D61" i="1"/>
  <c r="AL25" i="1"/>
  <c r="Q34" i="1"/>
  <c r="AK31" i="1"/>
  <c r="P33" i="1"/>
  <c r="K34" i="1"/>
  <c r="W32" i="1"/>
  <c r="K30" i="1"/>
  <c r="C30" i="1"/>
  <c r="R32" i="1"/>
  <c r="V33" i="1"/>
  <c r="BX163" i="1"/>
  <c r="Q163" i="1"/>
  <c r="AK42" i="1"/>
  <c r="AK204" i="1" s="1"/>
  <c r="Q33" i="1"/>
  <c r="I35" i="1"/>
  <c r="Q25" i="1"/>
  <c r="L30" i="1"/>
  <c r="M19" i="1"/>
  <c r="K49" i="1"/>
  <c r="Q35" i="1"/>
  <c r="V32" i="1"/>
  <c r="F30" i="1"/>
  <c r="B57" i="1"/>
  <c r="M57" i="1"/>
  <c r="E32" i="1"/>
  <c r="C55" i="1"/>
  <c r="D49" i="1"/>
  <c r="IF9" i="4" s="1"/>
  <c r="O25" i="1"/>
  <c r="T19" i="1"/>
  <c r="I55" i="1"/>
  <c r="P170" i="1"/>
  <c r="E61" i="1"/>
  <c r="M34" i="1"/>
  <c r="N35" i="1"/>
  <c r="BX46" i="1"/>
  <c r="C134" i="1"/>
  <c r="AL31" i="1"/>
  <c r="S42" i="1"/>
  <c r="O33" i="1"/>
  <c r="N18" i="1"/>
  <c r="N241" i="1" s="1"/>
  <c r="O31" i="1"/>
  <c r="AK49" i="1"/>
  <c r="O45" i="1"/>
  <c r="BX161" i="1"/>
  <c r="BY161" i="1" s="1"/>
  <c r="H57" i="1"/>
  <c r="U55" i="1"/>
  <c r="L55" i="1"/>
  <c r="H30" i="1"/>
  <c r="J33" i="1"/>
  <c r="B35" i="1"/>
  <c r="K25" i="1"/>
  <c r="IW8" i="4" s="1"/>
  <c r="AM18" i="1"/>
  <c r="E23" i="1"/>
  <c r="P57" i="1"/>
  <c r="IO15" i="4" s="1"/>
  <c r="IQ7" i="4" s="1"/>
  <c r="BX170" i="1"/>
  <c r="B19" i="1"/>
  <c r="K23" i="1"/>
  <c r="U35" i="1"/>
  <c r="G35" i="1"/>
  <c r="HW15" i="4" s="1"/>
  <c r="IV9" i="4" s="1"/>
  <c r="AL30" i="1"/>
  <c r="IX9" i="4" s="1"/>
  <c r="JE16" i="4" s="1"/>
  <c r="HS9" i="4" s="1"/>
  <c r="BX19" i="1"/>
  <c r="G163" i="1"/>
  <c r="J57" i="1"/>
  <c r="K57" i="1"/>
  <c r="IN9" i="4" s="1"/>
  <c r="IT7" i="4" s="1"/>
  <c r="BJ33" i="1"/>
  <c r="JI16" i="4" s="1"/>
  <c r="ID15" i="4" s="1"/>
  <c r="ID20" i="4" s="1"/>
  <c r="AX89" i="1" s="1"/>
  <c r="AX118" i="1" s="1"/>
  <c r="O19" i="1"/>
  <c r="D31" i="1"/>
  <c r="S33" i="1"/>
  <c r="C18" i="1"/>
  <c r="C241" i="1" s="1"/>
  <c r="AJ45" i="1"/>
  <c r="D23" i="1"/>
  <c r="K61" i="1"/>
  <c r="K32" i="1"/>
  <c r="AJ57" i="1"/>
  <c r="T25" i="1"/>
  <c r="B32" i="1"/>
  <c r="AJ32" i="1"/>
  <c r="U25" i="1"/>
  <c r="BX152" i="1"/>
  <c r="BY152" i="1" s="1"/>
  <c r="E46" i="1"/>
  <c r="W56" i="1"/>
  <c r="L31" i="1"/>
  <c r="Q61" i="1"/>
  <c r="BJ30" i="1"/>
  <c r="I23" i="1"/>
  <c r="R31" i="1"/>
  <c r="B55" i="1"/>
  <c r="BX162" i="1"/>
  <c r="BY162" i="1" s="1"/>
  <c r="V49" i="1"/>
  <c r="O57" i="1"/>
  <c r="AK46" i="1"/>
  <c r="F46" i="1"/>
  <c r="C32" i="1"/>
  <c r="L45" i="1"/>
  <c r="V45" i="1"/>
  <c r="G34" i="1"/>
  <c r="G33" i="1"/>
  <c r="J55" i="1"/>
  <c r="T42" i="1"/>
  <c r="T204" i="1" s="1"/>
  <c r="AM24" i="1"/>
  <c r="BL84" i="1"/>
  <c r="P31" i="1"/>
  <c r="AK33" i="1"/>
  <c r="T18" i="1"/>
  <c r="T5" i="1" s="1"/>
  <c r="I49" i="1"/>
  <c r="V19" i="1"/>
  <c r="V20" i="1" s="1"/>
  <c r="V108" i="1" s="1"/>
  <c r="O34" i="1"/>
  <c r="P35" i="1"/>
  <c r="U49" i="1"/>
  <c r="B30" i="1"/>
  <c r="S25" i="1"/>
  <c r="F25" i="1"/>
  <c r="F42" i="1"/>
  <c r="J19" i="1"/>
  <c r="BJ35" i="1"/>
  <c r="S30" i="1"/>
  <c r="AK32" i="1"/>
  <c r="C42" i="1"/>
  <c r="C204" i="1" s="1"/>
  <c r="P61" i="1"/>
  <c r="S31" i="1"/>
  <c r="AJ33" i="1"/>
  <c r="S55" i="1"/>
  <c r="R18" i="1"/>
  <c r="R5" i="1" s="1"/>
  <c r="F18" i="1"/>
  <c r="F241" i="1" s="1"/>
  <c r="S61" i="1"/>
  <c r="AL32" i="1"/>
  <c r="AM32" i="1"/>
  <c r="L19" i="1"/>
  <c r="N32" i="1"/>
  <c r="BX174" i="1"/>
  <c r="BY174" i="1" s="1"/>
  <c r="T56" i="1"/>
  <c r="V61" i="1"/>
  <c r="N23" i="1"/>
  <c r="N56" i="1"/>
  <c r="B34" i="1"/>
  <c r="N61" i="1"/>
  <c r="R55" i="1"/>
  <c r="Q42" i="1"/>
  <c r="Q204" i="1" s="1"/>
  <c r="K56" i="1"/>
  <c r="G57" i="1"/>
  <c r="D35" i="1"/>
  <c r="D19" i="1"/>
  <c r="AK23" i="1"/>
  <c r="W142" i="1"/>
  <c r="L32" i="1"/>
  <c r="E31" i="1"/>
  <c r="E169" i="1"/>
  <c r="P42" i="1"/>
  <c r="P204" i="1" s="1"/>
  <c r="AL18" i="1"/>
  <c r="P46" i="1"/>
  <c r="H35" i="1"/>
  <c r="BX160" i="1"/>
  <c r="BY160" i="1" s="1"/>
  <c r="I18" i="1"/>
  <c r="I241" i="1" s="1"/>
  <c r="AJ24" i="1"/>
  <c r="U34" i="1"/>
  <c r="F32" i="1"/>
  <c r="IO16" i="4" s="1"/>
  <c r="C46" i="1"/>
  <c r="BX134" i="1"/>
  <c r="BY134" i="1" s="1"/>
  <c r="S56" i="1"/>
  <c r="J56" i="1"/>
  <c r="L46" i="1"/>
  <c r="Q32" i="1"/>
  <c r="U45" i="1"/>
  <c r="AM25" i="1"/>
  <c r="W42" i="1"/>
  <c r="IL9" i="4" s="1"/>
  <c r="IV14" i="4" s="1"/>
  <c r="BX127" i="1"/>
  <c r="BY127" i="1" s="1"/>
  <c r="B25" i="1"/>
  <c r="G56" i="1"/>
  <c r="BX173" i="1"/>
  <c r="BY173" i="1" s="1"/>
  <c r="E19" i="1"/>
  <c r="B23" i="1"/>
  <c r="G61" i="1"/>
  <c r="L42" i="1"/>
  <c r="L204" i="1" s="1"/>
  <c r="IQ8" i="4" s="1"/>
  <c r="E34" i="1"/>
  <c r="K18" i="1"/>
  <c r="U61" i="1"/>
  <c r="E49" i="1"/>
  <c r="AJ56" i="1"/>
  <c r="V25" i="1"/>
  <c r="W46" i="1"/>
  <c r="W262" i="1" s="1"/>
  <c r="F19" i="1"/>
  <c r="U23" i="1"/>
  <c r="G49" i="1"/>
  <c r="R61" i="1"/>
  <c r="T33" i="1"/>
  <c r="BX164" i="1"/>
  <c r="BY164" i="1" s="1"/>
  <c r="H42" i="1"/>
  <c r="T61" i="1"/>
  <c r="L23" i="1"/>
  <c r="AK25" i="1"/>
  <c r="I19" i="1"/>
  <c r="AK18" i="1"/>
  <c r="P45" i="1"/>
  <c r="Q46" i="1"/>
  <c r="IF15" i="4" s="1"/>
  <c r="P55" i="1"/>
  <c r="J30" i="1"/>
  <c r="L35" i="1"/>
  <c r="AJ23" i="1"/>
  <c r="U46" i="1"/>
  <c r="U262" i="1" s="1"/>
  <c r="K33" i="1"/>
  <c r="I30" i="1"/>
  <c r="H49" i="1"/>
  <c r="G45" i="1"/>
  <c r="W31" i="1"/>
  <c r="N42" i="1"/>
  <c r="N204" i="1" s="1"/>
  <c r="AK19" i="1"/>
  <c r="C56" i="1"/>
  <c r="BX165" i="1"/>
  <c r="BY165" i="1" s="1"/>
  <c r="Q55" i="1"/>
  <c r="U32" i="1"/>
  <c r="F55" i="1"/>
  <c r="BX132" i="1"/>
  <c r="BY132" i="1" s="1"/>
  <c r="C57" i="1"/>
  <c r="O18" i="1"/>
  <c r="HQ7" i="4" s="1"/>
  <c r="JD7" i="4" s="1"/>
  <c r="AM31" i="1"/>
  <c r="L61" i="1"/>
  <c r="N34" i="1"/>
  <c r="J25" i="1"/>
  <c r="IC8" i="4"/>
  <c r="HY8" i="4"/>
  <c r="JI7" i="4"/>
  <c r="IF7" i="4"/>
  <c r="IE8" i="4"/>
  <c r="IY14" i="4"/>
  <c r="IJ7" i="4"/>
  <c r="JE14" i="4"/>
  <c r="ID8" i="4"/>
  <c r="HU7" i="4"/>
  <c r="JB14" i="4"/>
  <c r="JE15" i="4"/>
  <c r="IU15" i="4"/>
  <c r="IM7" i="4"/>
  <c r="JH7" i="4"/>
  <c r="IH7" i="4"/>
  <c r="IM8" i="4"/>
  <c r="JF7" i="4"/>
  <c r="IJ8" i="4"/>
  <c r="JB8" i="4"/>
  <c r="K241" i="1"/>
  <c r="IJ14" i="4"/>
  <c r="IO7" i="4"/>
  <c r="IP7" i="4"/>
  <c r="CL112" i="1"/>
  <c r="CL114" i="1"/>
  <c r="CM114" i="1" s="1"/>
  <c r="CN114" i="1" s="1"/>
  <c r="CO114" i="1" s="1"/>
  <c r="CP114" i="1" s="1"/>
  <c r="CQ114" i="1" s="1"/>
  <c r="CR114" i="1" s="1"/>
  <c r="CS114" i="1" s="1"/>
  <c r="CT114" i="1" s="1"/>
  <c r="CU114" i="1" s="1"/>
  <c r="CV114" i="1" s="1"/>
  <c r="CW114" i="1" s="1"/>
  <c r="CX114" i="1" s="1"/>
  <c r="CY114" i="1" s="1"/>
  <c r="CZ114" i="1" s="1"/>
  <c r="DA114" i="1" s="1"/>
  <c r="DB114" i="1" s="1"/>
  <c r="CL113" i="1"/>
  <c r="CM113" i="1" s="1"/>
  <c r="CN113" i="1" s="1"/>
  <c r="CO113" i="1" s="1"/>
  <c r="CP113" i="1" s="1"/>
  <c r="CQ113" i="1" s="1"/>
  <c r="CR113" i="1" s="1"/>
  <c r="CS113" i="1" s="1"/>
  <c r="CT113" i="1" s="1"/>
  <c r="CU113" i="1" s="1"/>
  <c r="CV113" i="1" s="1"/>
  <c r="CW113" i="1" s="1"/>
  <c r="CX113" i="1" s="1"/>
  <c r="CY113" i="1" s="1"/>
  <c r="CZ113" i="1" s="1"/>
  <c r="DA113" i="1" s="1"/>
  <c r="DB113" i="1" s="1"/>
  <c r="O5" i="1"/>
  <c r="O241" i="1"/>
  <c r="IB14" i="4"/>
  <c r="IA8" i="4"/>
  <c r="HR15" i="4"/>
  <c r="JA15" i="4"/>
  <c r="IN15" i="4"/>
  <c r="JH8" i="4"/>
  <c r="HR7" i="4"/>
  <c r="IV15" i="4"/>
  <c r="HU15" i="4"/>
  <c r="IM14" i="4"/>
  <c r="HQ8" i="4"/>
  <c r="IU14" i="4"/>
  <c r="HV14" i="4"/>
  <c r="IX15" i="4"/>
  <c r="CR87" i="1"/>
  <c r="AC212" i="1"/>
  <c r="AB159" i="1"/>
  <c r="AB127" i="1"/>
  <c r="CO75" i="1"/>
  <c r="CP73" i="1"/>
  <c r="AJ241" i="1" l="1"/>
  <c r="K263" i="1"/>
  <c r="O262" i="1"/>
  <c r="AM138" i="1"/>
  <c r="HR16" i="4" s="1"/>
  <c r="HR21" i="4" s="1"/>
  <c r="AL87" i="1" s="1"/>
  <c r="AJ169" i="1"/>
  <c r="AJ171" i="1" s="1"/>
  <c r="AK219" i="1" s="1"/>
  <c r="AJ143" i="1"/>
  <c r="AJ159" i="1"/>
  <c r="AK159" i="1" s="1"/>
  <c r="IO9" i="4" s="1"/>
  <c r="IN8" i="4" s="1"/>
  <c r="J20" i="1"/>
  <c r="AM263" i="1"/>
  <c r="HQ15" i="4" s="1"/>
  <c r="S204" i="1"/>
  <c r="IT21" i="4"/>
  <c r="BN87" i="1" s="1"/>
  <c r="IY9" i="4" s="1"/>
  <c r="IE20" i="4"/>
  <c r="AY89" i="1" s="1"/>
  <c r="AY118" i="1" s="1"/>
  <c r="HT21" i="4"/>
  <c r="AN87" i="1" s="1"/>
  <c r="IK8" i="4" s="1"/>
  <c r="IB21" i="4"/>
  <c r="AV87" i="1" s="1"/>
  <c r="IX21" i="4"/>
  <c r="BR87" i="1" s="1"/>
  <c r="IL16" i="4" s="1"/>
  <c r="IA9" i="4" s="1"/>
  <c r="E20" i="1"/>
  <c r="JD9" i="4" s="1"/>
  <c r="JE7" i="4" s="1"/>
  <c r="IT15" i="4" s="1"/>
  <c r="IV21" i="4"/>
  <c r="BP87" i="1" s="1"/>
  <c r="JB21" i="4"/>
  <c r="BV87" i="1" s="1"/>
  <c r="S5" i="1"/>
  <c r="P193" i="1"/>
  <c r="BJ135" i="1"/>
  <c r="BK135" i="1" s="1"/>
  <c r="BJ132" i="1"/>
  <c r="BK132" i="1" s="1"/>
  <c r="BJ128" i="1"/>
  <c r="BK128" i="1" s="1"/>
  <c r="IZ7" i="4" s="1"/>
  <c r="BJ127" i="1"/>
  <c r="BK127" i="1" s="1"/>
  <c r="HY14" i="4" s="1"/>
  <c r="BJ154" i="1"/>
  <c r="HP15" i="4" s="1"/>
  <c r="BJ165" i="1"/>
  <c r="BK165" i="1" s="1"/>
  <c r="BJ164" i="1"/>
  <c r="BK164" i="1" s="1"/>
  <c r="BJ163" i="1"/>
  <c r="BX36" i="1"/>
  <c r="IY19" i="4"/>
  <c r="BS88" i="1" s="1"/>
  <c r="BS117" i="1" s="1"/>
  <c r="BX193" i="1"/>
  <c r="BY193" i="1" s="1"/>
  <c r="Q193" i="1"/>
  <c r="M20" i="1"/>
  <c r="IY21" i="4"/>
  <c r="BS87" i="1" s="1"/>
  <c r="R20" i="1"/>
  <c r="BX189" i="1"/>
  <c r="BY189" i="1" s="1"/>
  <c r="JB7" i="4" s="1"/>
  <c r="HS14" i="4" s="1"/>
  <c r="AL171" i="1"/>
  <c r="AM219" i="1" s="1"/>
  <c r="HQ14" i="4" s="1"/>
  <c r="BX190" i="1"/>
  <c r="BY190" i="1" s="1"/>
  <c r="K36" i="1"/>
  <c r="D36" i="1"/>
  <c r="HP20" i="4"/>
  <c r="AJ89" i="1" s="1"/>
  <c r="W26" i="1"/>
  <c r="R36" i="1"/>
  <c r="B263" i="1"/>
  <c r="IN21" i="4"/>
  <c r="BH87" i="1" s="1"/>
  <c r="AL262" i="1"/>
  <c r="AJ20" i="1"/>
  <c r="JH20" i="4"/>
  <c r="CB89" i="1" s="1"/>
  <c r="CB106" i="1" s="1"/>
  <c r="AL190" i="1"/>
  <c r="AM190" i="1" s="1"/>
  <c r="L263" i="1"/>
  <c r="HV21" i="4"/>
  <c r="AP87" i="1" s="1"/>
  <c r="IG21" i="4"/>
  <c r="BA87" i="1" s="1"/>
  <c r="J262" i="1"/>
  <c r="D263" i="1"/>
  <c r="BX144" i="1"/>
  <c r="BX148" i="1" s="1"/>
  <c r="JG16" i="4" s="1"/>
  <c r="IF16" i="4" s="1"/>
  <c r="IF21" i="4" s="1"/>
  <c r="AZ87" i="1" s="1"/>
  <c r="IQ20" i="4"/>
  <c r="BK89" i="1" s="1"/>
  <c r="BK118" i="1" s="1"/>
  <c r="IM9" i="4" s="1"/>
  <c r="R262" i="1"/>
  <c r="HP21" i="4"/>
  <c r="AJ87" i="1" s="1"/>
  <c r="HW9" i="4" s="1"/>
  <c r="HW21" i="4" s="1"/>
  <c r="AQ87" i="1" s="1"/>
  <c r="AK36" i="1"/>
  <c r="BX262" i="1"/>
  <c r="AM20" i="1"/>
  <c r="AM26" i="1" s="1"/>
  <c r="E26" i="1"/>
  <c r="E27" i="1" s="1"/>
  <c r="B20" i="1"/>
  <c r="B26" i="1" s="1"/>
  <c r="BX20" i="1"/>
  <c r="B36" i="1"/>
  <c r="F262" i="1"/>
  <c r="S36" i="1"/>
  <c r="F20" i="1"/>
  <c r="F108" i="1" s="1"/>
  <c r="AK20" i="1"/>
  <c r="I36" i="1"/>
  <c r="AM36" i="1"/>
  <c r="AM37" i="1" s="1"/>
  <c r="D262" i="1"/>
  <c r="AL144" i="1"/>
  <c r="AM144" i="1" s="1"/>
  <c r="AK212" i="1"/>
  <c r="E108" i="1"/>
  <c r="S263" i="1"/>
  <c r="R241" i="1"/>
  <c r="P262" i="1"/>
  <c r="H241" i="1"/>
  <c r="H20" i="1"/>
  <c r="U204" i="1"/>
  <c r="U263" i="1"/>
  <c r="BX130" i="1"/>
  <c r="D241" i="1"/>
  <c r="D20" i="1"/>
  <c r="E198" i="1" s="1"/>
  <c r="AL189" i="1"/>
  <c r="AM189" i="1" s="1"/>
  <c r="AL193" i="1"/>
  <c r="AM193" i="1" s="1"/>
  <c r="B262" i="1"/>
  <c r="B241" i="1"/>
  <c r="N20" i="1"/>
  <c r="M262" i="1"/>
  <c r="HS21" i="4"/>
  <c r="AM87" i="1" s="1"/>
  <c r="HQ21" i="4"/>
  <c r="AK87" i="1" s="1"/>
  <c r="H36" i="1"/>
  <c r="M241" i="1"/>
  <c r="IL21" i="4"/>
  <c r="BF87" i="1" s="1"/>
  <c r="P5" i="1"/>
  <c r="P241" i="1"/>
  <c r="P20" i="1"/>
  <c r="J241" i="1"/>
  <c r="U108" i="1"/>
  <c r="AL204" i="1"/>
  <c r="AL263" i="1"/>
  <c r="X198" i="1"/>
  <c r="X21" i="1"/>
  <c r="W108" i="1"/>
  <c r="IW21" i="4"/>
  <c r="BQ87" i="1" s="1"/>
  <c r="AL241" i="1"/>
  <c r="AL20" i="1"/>
  <c r="F204" i="1"/>
  <c r="F263" i="1"/>
  <c r="IQ21" i="4"/>
  <c r="BK87" i="1" s="1"/>
  <c r="AJ212" i="1"/>
  <c r="IL15" i="4"/>
  <c r="IB8" i="4"/>
  <c r="JD8" i="4"/>
  <c r="JD20" i="4" s="1"/>
  <c r="BX89" i="1" s="1"/>
  <c r="BX118" i="1" s="1"/>
  <c r="II15" i="4" s="1"/>
  <c r="II20" i="4" s="1"/>
  <c r="BC89" i="1" s="1"/>
  <c r="BC118" i="1" s="1"/>
  <c r="IP15" i="4"/>
  <c r="IP20" i="4" s="1"/>
  <c r="BJ89" i="1" s="1"/>
  <c r="IH14" i="4"/>
  <c r="IH19" i="4" s="1"/>
  <c r="BB88" i="1" s="1"/>
  <c r="BB117" i="1" s="1"/>
  <c r="IK14" i="4"/>
  <c r="Q263" i="1"/>
  <c r="IA15" i="4"/>
  <c r="HR14" i="4"/>
  <c r="IF8" i="4"/>
  <c r="IH8" i="4"/>
  <c r="IZ15" i="4"/>
  <c r="HZ8" i="4"/>
  <c r="JI8" i="4"/>
  <c r="J36" i="1"/>
  <c r="Q262" i="1"/>
  <c r="O263" i="1"/>
  <c r="IG7" i="4"/>
  <c r="W198" i="1"/>
  <c r="AK241" i="1"/>
  <c r="V198" i="1"/>
  <c r="S20" i="1"/>
  <c r="S108" i="1" s="1"/>
  <c r="HS15" i="4"/>
  <c r="HS20" i="4" s="1"/>
  <c r="AM89" i="1" s="1"/>
  <c r="AM118" i="1" s="1"/>
  <c r="BY138" i="1"/>
  <c r="E36" i="1"/>
  <c r="E37" i="1" s="1"/>
  <c r="P36" i="1"/>
  <c r="HV8" i="4"/>
  <c r="AL36" i="1"/>
  <c r="HY15" i="4"/>
  <c r="HY20" i="4" s="1"/>
  <c r="AS89" i="1" s="1"/>
  <c r="AS118" i="1" s="1"/>
  <c r="V36" i="1"/>
  <c r="V37" i="1" s="1"/>
  <c r="Q36" i="1"/>
  <c r="AJ47" i="1"/>
  <c r="IC15" i="4"/>
  <c r="IC20" i="4" s="1"/>
  <c r="AW89" i="1" s="1"/>
  <c r="AW118" i="1" s="1"/>
  <c r="T36" i="1"/>
  <c r="W36" i="1"/>
  <c r="W37" i="1" s="1"/>
  <c r="V21" i="1"/>
  <c r="IT8" i="4"/>
  <c r="HX14" i="4"/>
  <c r="HW8" i="4"/>
  <c r="HW20" i="4" s="1"/>
  <c r="AQ89" i="1" s="1"/>
  <c r="AQ118" i="1" s="1"/>
  <c r="S262" i="1"/>
  <c r="IS8" i="4"/>
  <c r="JC14" i="4"/>
  <c r="K20" i="1"/>
  <c r="K198" i="1" s="1"/>
  <c r="JA8" i="4"/>
  <c r="IK7" i="4"/>
  <c r="U36" i="1"/>
  <c r="HX7" i="4"/>
  <c r="AJ36" i="1"/>
  <c r="AJ37" i="1" s="1"/>
  <c r="IG14" i="4"/>
  <c r="IG19" i="4" s="1"/>
  <c r="BA88" i="1" s="1"/>
  <c r="BA117" i="1" s="1"/>
  <c r="O36" i="1"/>
  <c r="IC14" i="4"/>
  <c r="AK138" i="1"/>
  <c r="BJ171" i="1"/>
  <c r="BK219" i="1" s="1"/>
  <c r="C36" i="1"/>
  <c r="G262" i="1"/>
  <c r="C20" i="1"/>
  <c r="C26" i="1" s="1"/>
  <c r="V26" i="1"/>
  <c r="V27" i="1" s="1"/>
  <c r="C262" i="1"/>
  <c r="HZ20" i="4"/>
  <c r="AT89" i="1" s="1"/>
  <c r="AT118" i="1" s="1"/>
  <c r="L36" i="1"/>
  <c r="IO14" i="4"/>
  <c r="IO19" i="4" s="1"/>
  <c r="BI88" i="1" s="1"/>
  <c r="BI117" i="1" s="1"/>
  <c r="IU7" i="4"/>
  <c r="IU19" i="4" s="1"/>
  <c r="BO88" i="1" s="1"/>
  <c r="BO117" i="1" s="1"/>
  <c r="JI14" i="4"/>
  <c r="JI19" i="4" s="1"/>
  <c r="CC88" i="1" s="1"/>
  <c r="CC117" i="1" s="1"/>
  <c r="M36" i="1"/>
  <c r="N36" i="1"/>
  <c r="IA7" i="4"/>
  <c r="IC7" i="4"/>
  <c r="BY130" i="1"/>
  <c r="BY102" i="1" s="1"/>
  <c r="IW14" i="4"/>
  <c r="IW19" i="4" s="1"/>
  <c r="BQ88" i="1" s="1"/>
  <c r="BQ117" i="1" s="1"/>
  <c r="IH15" i="4"/>
  <c r="HX15" i="4"/>
  <c r="HX20" i="4" s="1"/>
  <c r="AR89" i="1" s="1"/>
  <c r="AR118" i="1" s="1"/>
  <c r="JF8" i="4"/>
  <c r="JF20" i="4" s="1"/>
  <c r="BZ89" i="1" s="1"/>
  <c r="JC7" i="4"/>
  <c r="BJ190" i="1"/>
  <c r="BK190" i="1" s="1"/>
  <c r="IR14" i="4"/>
  <c r="IX8" i="4"/>
  <c r="IX20" i="4" s="1"/>
  <c r="BR89" i="1" s="1"/>
  <c r="BR118" i="1" s="1"/>
  <c r="ID19" i="4"/>
  <c r="AX88" i="1" s="1"/>
  <c r="AX117" i="1" s="1"/>
  <c r="HZ19" i="4"/>
  <c r="AT88" i="1" s="1"/>
  <c r="AT117" i="1" s="1"/>
  <c r="C263" i="1"/>
  <c r="IO8" i="4"/>
  <c r="T241" i="1"/>
  <c r="IP19" i="4"/>
  <c r="BJ88" i="1" s="1"/>
  <c r="BJ117" i="1" s="1"/>
  <c r="N5" i="1"/>
  <c r="HV20" i="4"/>
  <c r="AP89" i="1" s="1"/>
  <c r="AP118" i="1" s="1"/>
  <c r="BY212" i="1"/>
  <c r="N262" i="1"/>
  <c r="G36" i="1"/>
  <c r="V204" i="1"/>
  <c r="BX166" i="1"/>
  <c r="BX195" i="1" s="1"/>
  <c r="IN19" i="4"/>
  <c r="BH88" i="1" s="1"/>
  <c r="BH117" i="1" s="1"/>
  <c r="IY20" i="4"/>
  <c r="BS89" i="1" s="1"/>
  <c r="BS118" i="1" s="1"/>
  <c r="IV20" i="4"/>
  <c r="BP89" i="1" s="1"/>
  <c r="BP118" i="1" s="1"/>
  <c r="AM127" i="1"/>
  <c r="AL130" i="1"/>
  <c r="HT20" i="4"/>
  <c r="AN89" i="1" s="1"/>
  <c r="AN118" i="1" s="1"/>
  <c r="J263" i="1"/>
  <c r="ID21" i="4"/>
  <c r="AX87" i="1" s="1"/>
  <c r="P263" i="1"/>
  <c r="N263" i="1"/>
  <c r="AM204" i="1"/>
  <c r="L20" i="1"/>
  <c r="BX158" i="1"/>
  <c r="BX192" i="1" s="1"/>
  <c r="H204" i="1"/>
  <c r="H263" i="1"/>
  <c r="CB104" i="1"/>
  <c r="CB95" i="1"/>
  <c r="CB112" i="1"/>
  <c r="BX171" i="1"/>
  <c r="BY219" i="1" s="1"/>
  <c r="AM262" i="1"/>
  <c r="G20" i="1"/>
  <c r="I262" i="1"/>
  <c r="G263" i="1"/>
  <c r="AM241" i="1"/>
  <c r="Q241" i="1"/>
  <c r="BX138" i="1"/>
  <c r="AJ138" i="1"/>
  <c r="IW15" i="4"/>
  <c r="G193" i="1"/>
  <c r="HW7" i="4"/>
  <c r="HW19" i="4" s="1"/>
  <c r="AQ88" i="1" s="1"/>
  <c r="AQ117" i="1" s="1"/>
  <c r="IF14" i="4"/>
  <c r="IF19" i="4" s="1"/>
  <c r="AZ88" i="1" s="1"/>
  <c r="AZ117" i="1" s="1"/>
  <c r="JA14" i="4"/>
  <c r="JA19" i="4" s="1"/>
  <c r="BU88" i="1" s="1"/>
  <c r="BU117" i="1" s="1"/>
  <c r="AJ204" i="1"/>
  <c r="AJ43" i="1"/>
  <c r="AK174" i="1"/>
  <c r="AI206" i="1"/>
  <c r="AI208" i="1" s="1"/>
  <c r="HR8" i="4"/>
  <c r="HR20" i="4" s="1"/>
  <c r="AL89" i="1" s="1"/>
  <c r="AL118" i="1" s="1"/>
  <c r="BK150" i="1"/>
  <c r="BL212" i="1" s="1"/>
  <c r="BJ144" i="1"/>
  <c r="AL158" i="1"/>
  <c r="II8" i="4"/>
  <c r="IL7" i="4"/>
  <c r="IL19" i="4" s="1"/>
  <c r="BF88" i="1" s="1"/>
  <c r="BF117" i="1" s="1"/>
  <c r="CA108" i="1"/>
  <c r="CA109" i="1" s="1"/>
  <c r="BX241" i="1"/>
  <c r="IH21" i="4"/>
  <c r="BB87" i="1" s="1"/>
  <c r="W263" i="1"/>
  <c r="W204" i="1"/>
  <c r="IE21" i="4"/>
  <c r="AY87" i="1" s="1"/>
  <c r="L241" i="1"/>
  <c r="HU20" i="4"/>
  <c r="AO89" i="1" s="1"/>
  <c r="AO118" i="1" s="1"/>
  <c r="T262" i="1"/>
  <c r="Q20" i="1"/>
  <c r="Q108" i="1" s="1"/>
  <c r="T263" i="1"/>
  <c r="R263" i="1"/>
  <c r="IO21" i="4"/>
  <c r="BI87" i="1" s="1"/>
  <c r="JI21" i="4"/>
  <c r="CC87" i="1" s="1"/>
  <c r="F36" i="1"/>
  <c r="IE7" i="4"/>
  <c r="IE19" i="4" s="1"/>
  <c r="AY88" i="1" s="1"/>
  <c r="AY117" i="1" s="1"/>
  <c r="IS14" i="4"/>
  <c r="IS19" i="4" s="1"/>
  <c r="BM88" i="1" s="1"/>
  <c r="BM117" i="1" s="1"/>
  <c r="IJ15" i="4"/>
  <c r="JE20" i="4"/>
  <c r="BY89" i="1" s="1"/>
  <c r="BY118" i="1" s="1"/>
  <c r="JG19" i="4"/>
  <c r="CA88" i="1" s="1"/>
  <c r="JA21" i="4"/>
  <c r="BU87" i="1" s="1"/>
  <c r="AM108" i="1"/>
  <c r="AM109" i="1" s="1"/>
  <c r="AL212" i="1"/>
  <c r="IB7" i="4"/>
  <c r="IB19" i="4" s="1"/>
  <c r="AV88" i="1" s="1"/>
  <c r="AV117" i="1" s="1"/>
  <c r="IZ14" i="4"/>
  <c r="IZ19" i="4" s="1"/>
  <c r="BT88" i="1" s="1"/>
  <c r="BT117" i="1" s="1"/>
  <c r="T20" i="1"/>
  <c r="T108" i="1" s="1"/>
  <c r="D204" i="1"/>
  <c r="I20" i="1"/>
  <c r="I263" i="1"/>
  <c r="JG15" i="4"/>
  <c r="JG20" i="4" s="1"/>
  <c r="CA89" i="1" s="1"/>
  <c r="IK15" i="4"/>
  <c r="IK20" i="4" s="1"/>
  <c r="BE89" i="1" s="1"/>
  <c r="BE118" i="1" s="1"/>
  <c r="IP21" i="4"/>
  <c r="BJ87" i="1" s="1"/>
  <c r="AJ190" i="1"/>
  <c r="AK190" i="1" s="1"/>
  <c r="HY21" i="4"/>
  <c r="AS87" i="1" s="1"/>
  <c r="IL8" i="4"/>
  <c r="JF19" i="4"/>
  <c r="BZ88" i="1" s="1"/>
  <c r="M263" i="1"/>
  <c r="II21" i="4"/>
  <c r="BC87" i="1" s="1"/>
  <c r="AK127" i="1"/>
  <c r="AJ130" i="1"/>
  <c r="AL138" i="1"/>
  <c r="IJ19" i="4"/>
  <c r="BD88" i="1" s="1"/>
  <c r="BD117" i="1" s="1"/>
  <c r="U26" i="1"/>
  <c r="U27" i="1" s="1"/>
  <c r="BX263" i="1"/>
  <c r="AL166" i="1"/>
  <c r="AL195" i="1" s="1"/>
  <c r="AJ158" i="1"/>
  <c r="O20" i="1"/>
  <c r="L262" i="1"/>
  <c r="JE21" i="4"/>
  <c r="BY87" i="1" s="1"/>
  <c r="IU8" i="4"/>
  <c r="IU20" i="4" s="1"/>
  <c r="BO89" i="1" s="1"/>
  <c r="BO118" i="1" s="1"/>
  <c r="W21" i="1"/>
  <c r="HU21" i="4"/>
  <c r="AO87" i="1" s="1"/>
  <c r="IR7" i="4"/>
  <c r="IC21" i="4"/>
  <c r="AW87" i="1" s="1"/>
  <c r="IM20" i="4"/>
  <c r="BG89" i="1" s="1"/>
  <c r="BG118" i="1" s="1"/>
  <c r="JH19" i="4"/>
  <c r="CB88" i="1" s="1"/>
  <c r="IN20" i="4"/>
  <c r="BH89" i="1" s="1"/>
  <c r="BH118" i="1" s="1"/>
  <c r="HT19" i="4"/>
  <c r="AN88" i="1" s="1"/>
  <c r="AN117" i="1" s="1"/>
  <c r="IG20" i="4"/>
  <c r="BA89" i="1" s="1"/>
  <c r="BA118" i="1" s="1"/>
  <c r="BX117" i="1"/>
  <c r="HV19" i="4"/>
  <c r="AP88" i="1" s="1"/>
  <c r="AP117" i="1" s="1"/>
  <c r="IX19" i="4"/>
  <c r="BR88" i="1" s="1"/>
  <c r="BR117" i="1" s="1"/>
  <c r="II19" i="4"/>
  <c r="BC88" i="1" s="1"/>
  <c r="BC117" i="1" s="1"/>
  <c r="JC20" i="4"/>
  <c r="BW89" i="1" s="1"/>
  <c r="BW118" i="1" s="1"/>
  <c r="HP19" i="4"/>
  <c r="AJ88" i="1" s="1"/>
  <c r="IM19" i="4"/>
  <c r="BG88" i="1" s="1"/>
  <c r="BG117" i="1" s="1"/>
  <c r="JB20" i="4"/>
  <c r="BV89" i="1" s="1"/>
  <c r="BV118" i="1" s="1"/>
  <c r="IQ19" i="4"/>
  <c r="BK88" i="1" s="1"/>
  <c r="BK117" i="1" s="1"/>
  <c r="IV19" i="4"/>
  <c r="BP88" i="1" s="1"/>
  <c r="BP117" i="1" s="1"/>
  <c r="CS87" i="1"/>
  <c r="AB173" i="1"/>
  <c r="CP75" i="1"/>
  <c r="CQ73" i="1"/>
  <c r="AC127" i="1"/>
  <c r="AC159" i="1"/>
  <c r="CB235" i="1"/>
  <c r="BQ1" i="1"/>
  <c r="BR1" i="1" s="1"/>
  <c r="BS1" i="1" s="1"/>
  <c r="BT1" i="1" s="1"/>
  <c r="BX194" i="1" l="1"/>
  <c r="AL148" i="1"/>
  <c r="M198" i="1"/>
  <c r="BX191" i="1"/>
  <c r="AJ144" i="1"/>
  <c r="BJ138" i="1"/>
  <c r="BJ189" i="1"/>
  <c r="BK189" i="1" s="1"/>
  <c r="AJ178" i="1"/>
  <c r="AK47" i="1" s="1"/>
  <c r="BK138" i="1"/>
  <c r="BJ193" i="1"/>
  <c r="BK193" i="1" s="1"/>
  <c r="BJ130" i="1"/>
  <c r="BJ102" i="1" s="1"/>
  <c r="AJ166" i="1"/>
  <c r="AJ195" i="1" s="1"/>
  <c r="BJ166" i="1"/>
  <c r="BJ195" i="1" s="1"/>
  <c r="BJ158" i="1"/>
  <c r="BJ192" i="1" s="1"/>
  <c r="BJ196" i="1" s="1"/>
  <c r="J26" i="1"/>
  <c r="J108" i="1"/>
  <c r="HQ20" i="4"/>
  <c r="AK89" i="1" s="1"/>
  <c r="IC19" i="4"/>
  <c r="AW88" i="1" s="1"/>
  <c r="AW117" i="1" s="1"/>
  <c r="IF20" i="4"/>
  <c r="AZ89" i="1" s="1"/>
  <c r="AZ118" i="1" s="1"/>
  <c r="IA19" i="4"/>
  <c r="AU88" i="1" s="1"/>
  <c r="AU117" i="1" s="1"/>
  <c r="JI20" i="4"/>
  <c r="CC89" i="1" s="1"/>
  <c r="IA21" i="4"/>
  <c r="AU87" i="1" s="1"/>
  <c r="IJ20" i="4"/>
  <c r="BD89" i="1" s="1"/>
  <c r="BD118" i="1" s="1"/>
  <c r="JD21" i="4"/>
  <c r="BX87" i="1" s="1"/>
  <c r="JE19" i="4"/>
  <c r="BY88" i="1" s="1"/>
  <c r="JB19" i="4"/>
  <c r="BV88" i="1" s="1"/>
  <c r="BV117" i="1" s="1"/>
  <c r="B27" i="1"/>
  <c r="B38" i="1"/>
  <c r="B39" i="1" s="1"/>
  <c r="IW20" i="4"/>
  <c r="BQ89" i="1" s="1"/>
  <c r="BQ118" i="1" s="1"/>
  <c r="HY19" i="4"/>
  <c r="AS88" i="1" s="1"/>
  <c r="AS117" i="1" s="1"/>
  <c r="Q26" i="1"/>
  <c r="M26" i="1"/>
  <c r="M108" i="1"/>
  <c r="HQ19" i="4"/>
  <c r="AK88" i="1" s="1"/>
  <c r="CC96" i="1"/>
  <c r="CF100" i="1" s="1"/>
  <c r="CB118" i="1"/>
  <c r="CB121" i="1" s="1"/>
  <c r="CB124" i="1" s="1"/>
  <c r="CC113" i="1"/>
  <c r="CB97" i="1"/>
  <c r="IZ20" i="4"/>
  <c r="BT89" i="1" s="1"/>
  <c r="BT118" i="1" s="1"/>
  <c r="BX178" i="1"/>
  <c r="X28" i="1"/>
  <c r="W27" i="1"/>
  <c r="J21" i="1"/>
  <c r="J198" i="1"/>
  <c r="I108" i="1"/>
  <c r="BY139" i="1"/>
  <c r="IO20" i="4"/>
  <c r="BI89" i="1" s="1"/>
  <c r="BI118" i="1" s="1"/>
  <c r="IM21" i="4"/>
  <c r="BG87" i="1" s="1"/>
  <c r="HX16" i="4"/>
  <c r="HX21" i="4" s="1"/>
  <c r="AR87" i="1" s="1"/>
  <c r="BX37" i="1"/>
  <c r="CC198" i="1"/>
  <c r="BY22" i="1"/>
  <c r="IR8" i="4" s="1"/>
  <c r="IR20" i="4" s="1"/>
  <c r="BL89" i="1" s="1"/>
  <c r="HS19" i="4"/>
  <c r="AM88" i="1" s="1"/>
  <c r="B37" i="1"/>
  <c r="IK19" i="4"/>
  <c r="BE88" i="1" s="1"/>
  <c r="BE117" i="1" s="1"/>
  <c r="CB21" i="1"/>
  <c r="AL37" i="1"/>
  <c r="IH20" i="4"/>
  <c r="BB89" i="1" s="1"/>
  <c r="BB118" i="1" s="1"/>
  <c r="H21" i="1"/>
  <c r="F198" i="1"/>
  <c r="BY144" i="1"/>
  <c r="BY43" i="1"/>
  <c r="CA235" i="1"/>
  <c r="BX26" i="1"/>
  <c r="F21" i="1"/>
  <c r="IA20" i="4"/>
  <c r="AU89" i="1" s="1"/>
  <c r="AU118" i="1" s="1"/>
  <c r="I198" i="1"/>
  <c r="IL20" i="4"/>
  <c r="BF89" i="1" s="1"/>
  <c r="BF118" i="1" s="1"/>
  <c r="F26" i="1"/>
  <c r="F27" i="1" s="1"/>
  <c r="AL194" i="1"/>
  <c r="O198" i="1"/>
  <c r="CB114" i="1"/>
  <c r="AM112" i="1"/>
  <c r="AM43" i="1"/>
  <c r="AK37" i="1"/>
  <c r="AL26" i="1"/>
  <c r="AM22" i="1"/>
  <c r="BX102" i="1"/>
  <c r="S21" i="1"/>
  <c r="T21" i="1"/>
  <c r="W28" i="1"/>
  <c r="C37" i="1"/>
  <c r="I21" i="1"/>
  <c r="HR19" i="4"/>
  <c r="AL88" i="1" s="1"/>
  <c r="AL117" i="1" s="1"/>
  <c r="JA20" i="4"/>
  <c r="BU89" i="1" s="1"/>
  <c r="BU118" i="1" s="1"/>
  <c r="AM38" i="1"/>
  <c r="H26" i="1"/>
  <c r="H108" i="1"/>
  <c r="K21" i="1"/>
  <c r="K26" i="1"/>
  <c r="K108" i="1"/>
  <c r="IT20" i="4"/>
  <c r="BN89" i="1" s="1"/>
  <c r="BN118" i="1" s="1"/>
  <c r="HX19" i="4"/>
  <c r="AR88" i="1" s="1"/>
  <c r="AR117" i="1" s="1"/>
  <c r="AJ26" i="1"/>
  <c r="AJ27" i="1" s="1"/>
  <c r="IS20" i="4"/>
  <c r="BM89" i="1" s="1"/>
  <c r="BM118" i="1" s="1"/>
  <c r="AM148" i="1"/>
  <c r="JG21" i="4"/>
  <c r="CA87" i="1" s="1"/>
  <c r="JC19" i="4"/>
  <c r="BW88" i="1" s="1"/>
  <c r="BW117" i="1" s="1"/>
  <c r="E21" i="1"/>
  <c r="D37" i="1"/>
  <c r="AL22" i="1"/>
  <c r="N198" i="1"/>
  <c r="N21" i="1"/>
  <c r="N26" i="1"/>
  <c r="BX139" i="1"/>
  <c r="Q198" i="1"/>
  <c r="AM27" i="1"/>
  <c r="R108" i="1"/>
  <c r="R198" i="1"/>
  <c r="R26" i="1"/>
  <c r="IB20" i="4"/>
  <c r="AV89" i="1" s="1"/>
  <c r="AV118" i="1" s="1"/>
  <c r="D198" i="1"/>
  <c r="D26" i="1"/>
  <c r="D21" i="1"/>
  <c r="P108" i="1"/>
  <c r="P26" i="1"/>
  <c r="C21" i="1"/>
  <c r="C198" i="1"/>
  <c r="AK26" i="1"/>
  <c r="AK22" i="1"/>
  <c r="AM235" i="1"/>
  <c r="N108" i="1"/>
  <c r="W38" i="1"/>
  <c r="BZ259" i="1"/>
  <c r="BZ261" i="1" s="1"/>
  <c r="BJ118" i="1"/>
  <c r="IR19" i="4"/>
  <c r="BL88" i="1" s="1"/>
  <c r="E38" i="1"/>
  <c r="E39" i="1" s="1"/>
  <c r="CC105" i="1"/>
  <c r="CA113" i="1"/>
  <c r="G198" i="1"/>
  <c r="G26" i="1"/>
  <c r="BZ106" i="1"/>
  <c r="BZ118" i="1"/>
  <c r="BZ121" i="1" s="1"/>
  <c r="L26" i="1"/>
  <c r="L27" i="1" s="1"/>
  <c r="M21" i="1"/>
  <c r="BZ216" i="1"/>
  <c r="CA117" i="1"/>
  <c r="L108" i="1"/>
  <c r="L21" i="1"/>
  <c r="I26" i="1"/>
  <c r="BY216" i="1"/>
  <c r="S26" i="1"/>
  <c r="S27" i="1" s="1"/>
  <c r="BX196" i="1"/>
  <c r="CB199" i="1" s="1"/>
  <c r="U198" i="1"/>
  <c r="BY217" i="1"/>
  <c r="L198" i="1"/>
  <c r="V38" i="1"/>
  <c r="V39" i="1" s="1"/>
  <c r="BZ217" i="1"/>
  <c r="BY259" i="1"/>
  <c r="S198" i="1"/>
  <c r="CA106" i="1"/>
  <c r="CA114" i="1"/>
  <c r="CA118" i="1"/>
  <c r="AL216" i="1"/>
  <c r="AL259" i="1"/>
  <c r="AL178" i="1"/>
  <c r="AL139" i="1"/>
  <c r="T198" i="1"/>
  <c r="P21" i="1"/>
  <c r="AJ139" i="1"/>
  <c r="BK212" i="1"/>
  <c r="AM259" i="1"/>
  <c r="AJ192" i="1"/>
  <c r="AJ206" i="1"/>
  <c r="U21" i="1"/>
  <c r="AK216" i="1"/>
  <c r="G108" i="1"/>
  <c r="Q21" i="1"/>
  <c r="R21" i="1"/>
  <c r="BX258" i="1"/>
  <c r="CA105" i="1"/>
  <c r="AL258" i="1"/>
  <c r="AL102" i="1"/>
  <c r="O26" i="1"/>
  <c r="O27" i="1" s="1"/>
  <c r="O108" i="1"/>
  <c r="T26" i="1"/>
  <c r="U28" i="1" s="1"/>
  <c r="O21" i="1"/>
  <c r="AL167" i="1"/>
  <c r="AL192" i="1"/>
  <c r="AM114" i="1"/>
  <c r="P198" i="1"/>
  <c r="CC95" i="1"/>
  <c r="CC112" i="1"/>
  <c r="CC104" i="1"/>
  <c r="BJ148" i="1"/>
  <c r="BK144" i="1"/>
  <c r="H198" i="1"/>
  <c r="AJ216" i="1"/>
  <c r="BZ99" i="1"/>
  <c r="BZ105" i="1"/>
  <c r="BZ117" i="1"/>
  <c r="BZ120" i="1" s="1"/>
  <c r="G21" i="1"/>
  <c r="V28" i="1"/>
  <c r="BX256" i="1"/>
  <c r="BX167" i="1"/>
  <c r="BX175" i="1" s="1"/>
  <c r="AM216" i="1"/>
  <c r="CB117" i="1"/>
  <c r="CB120" i="1" s="1"/>
  <c r="CB123" i="1" s="1"/>
  <c r="CB96" i="1"/>
  <c r="CE100" i="1" s="1"/>
  <c r="CB113" i="1"/>
  <c r="CB105" i="1"/>
  <c r="BY104" i="1"/>
  <c r="BY106" i="1"/>
  <c r="H27" i="1"/>
  <c r="C27" i="1"/>
  <c r="C28" i="1"/>
  <c r="C38" i="1"/>
  <c r="CT87" i="1"/>
  <c r="AB147" i="1"/>
  <c r="AD159" i="1"/>
  <c r="AE159" i="1"/>
  <c r="AD127" i="1"/>
  <c r="AE127" i="1"/>
  <c r="CQ75" i="1"/>
  <c r="CR73" i="1"/>
  <c r="AC173" i="1"/>
  <c r="BU1" i="1"/>
  <c r="Q37" i="1"/>
  <c r="P37" i="1"/>
  <c r="O37" i="1"/>
  <c r="I37" i="1"/>
  <c r="H37" i="1"/>
  <c r="G37" i="1"/>
  <c r="U37" i="1"/>
  <c r="T37" i="1"/>
  <c r="S37" i="1"/>
  <c r="R37" i="1"/>
  <c r="N37" i="1"/>
  <c r="M37" i="1"/>
  <c r="L37" i="1"/>
  <c r="K37" i="1"/>
  <c r="J37" i="1"/>
  <c r="F37" i="1"/>
  <c r="BL106" i="1" l="1"/>
  <c r="BL118" i="1"/>
  <c r="BL121" i="1" s="1"/>
  <c r="BJ105" i="1"/>
  <c r="AM213" i="1"/>
  <c r="AM211" i="1" s="1"/>
  <c r="B122" i="1"/>
  <c r="BJ191" i="1"/>
  <c r="CC106" i="1"/>
  <c r="BX104" i="1"/>
  <c r="AJ167" i="1"/>
  <c r="CC114" i="1"/>
  <c r="AJ207" i="1"/>
  <c r="BJ106" i="1"/>
  <c r="BJ194" i="1"/>
  <c r="BJ104" i="1"/>
  <c r="BJ139" i="1"/>
  <c r="J28" i="1"/>
  <c r="BJ178" i="1"/>
  <c r="BJ119" i="1" s="1"/>
  <c r="BJ120" i="1" s="1"/>
  <c r="BK216" i="1"/>
  <c r="BJ258" i="1"/>
  <c r="AK43" i="1"/>
  <c r="AK144" i="1"/>
  <c r="AJ148" i="1"/>
  <c r="AJ213" i="1" s="1"/>
  <c r="AJ211" i="1" s="1"/>
  <c r="BL216" i="1"/>
  <c r="BL259" i="1"/>
  <c r="BJ167" i="1"/>
  <c r="BK259" i="1"/>
  <c r="AL175" i="1"/>
  <c r="BJ256" i="1"/>
  <c r="BY117" i="1"/>
  <c r="BY99" i="1"/>
  <c r="J27" i="1"/>
  <c r="AL256" i="1"/>
  <c r="BY105" i="1"/>
  <c r="BL105" i="1"/>
  <c r="BL117" i="1"/>
  <c r="BL120" i="1" s="1"/>
  <c r="AJ38" i="1"/>
  <c r="AJ44" i="1" s="1"/>
  <c r="AJ48" i="1" s="1"/>
  <c r="G28" i="1"/>
  <c r="BX38" i="1"/>
  <c r="BY41" i="1" s="1"/>
  <c r="F28" i="1"/>
  <c r="CA104" i="1"/>
  <c r="CA112" i="1"/>
  <c r="AJ208" i="1"/>
  <c r="BX27" i="1"/>
  <c r="AL105" i="1"/>
  <c r="CC118" i="1"/>
  <c r="CC97" i="1"/>
  <c r="M27" i="1"/>
  <c r="Q27" i="1"/>
  <c r="Q28" i="1"/>
  <c r="P27" i="1"/>
  <c r="BX176" i="1"/>
  <c r="BZ215" i="1"/>
  <c r="BX242" i="1"/>
  <c r="BX243" i="1" s="1"/>
  <c r="I28" i="1"/>
  <c r="N28" i="1"/>
  <c r="E28" i="1"/>
  <c r="D38" i="1"/>
  <c r="D27" i="1"/>
  <c r="AM44" i="1"/>
  <c r="AM48" i="1" s="1"/>
  <c r="AM39" i="1"/>
  <c r="AM242" i="1"/>
  <c r="AM243" i="1" s="1"/>
  <c r="N27" i="1"/>
  <c r="AL27" i="1"/>
  <c r="AM29" i="1"/>
  <c r="AL38" i="1"/>
  <c r="AM260" i="1" s="1"/>
  <c r="K27" i="1"/>
  <c r="L28" i="1"/>
  <c r="R28" i="1"/>
  <c r="BX105" i="1"/>
  <c r="D28" i="1"/>
  <c r="BX106" i="1"/>
  <c r="AL29" i="1"/>
  <c r="AK29" i="1"/>
  <c r="AK38" i="1"/>
  <c r="AK27" i="1"/>
  <c r="W242" i="1"/>
  <c r="W243" i="1" s="1"/>
  <c r="X40" i="1"/>
  <c r="X260" i="1"/>
  <c r="W44" i="1"/>
  <c r="W48" i="1" s="1"/>
  <c r="W39" i="1"/>
  <c r="W122" i="1"/>
  <c r="S28" i="1"/>
  <c r="R27" i="1"/>
  <c r="M28" i="1"/>
  <c r="BX119" i="1"/>
  <c r="BX121" i="1" s="1"/>
  <c r="BY47" i="1"/>
  <c r="K28" i="1"/>
  <c r="AM113" i="1"/>
  <c r="AM117" i="1"/>
  <c r="BZ43" i="1"/>
  <c r="BY148" i="1"/>
  <c r="CB28" i="1"/>
  <c r="BY29" i="1"/>
  <c r="BY215" i="1"/>
  <c r="I27" i="1"/>
  <c r="W40" i="1"/>
  <c r="H28" i="1"/>
  <c r="G27" i="1"/>
  <c r="W260" i="1"/>
  <c r="V44" i="1"/>
  <c r="V48" i="1" s="1"/>
  <c r="V50" i="1" s="1"/>
  <c r="V242" i="1"/>
  <c r="V243" i="1" s="1"/>
  <c r="V122" i="1"/>
  <c r="T28" i="1"/>
  <c r="T27" i="1"/>
  <c r="AL106" i="1"/>
  <c r="AL104" i="1"/>
  <c r="AL196" i="1"/>
  <c r="AL191" i="1"/>
  <c r="O28" i="1"/>
  <c r="BL43" i="1"/>
  <c r="BK148" i="1"/>
  <c r="BL213" i="1" s="1"/>
  <c r="BL211" i="1" s="1"/>
  <c r="P28" i="1"/>
  <c r="AM47" i="1"/>
  <c r="AL119" i="1"/>
  <c r="D44" i="1"/>
  <c r="D48" i="1" s="1"/>
  <c r="D122" i="1"/>
  <c r="D242" i="1"/>
  <c r="D243" i="1" s="1"/>
  <c r="C40" i="1"/>
  <c r="C39" i="1"/>
  <c r="C260" i="1"/>
  <c r="AC87" i="1"/>
  <c r="CU87" i="1"/>
  <c r="AD173" i="1"/>
  <c r="AE173" i="1"/>
  <c r="AD150" i="1"/>
  <c r="CR75" i="1"/>
  <c r="CS73" i="1"/>
  <c r="AC147" i="1"/>
  <c r="BV1" i="1"/>
  <c r="BW1" i="1" s="1"/>
  <c r="BX1" i="1" s="1"/>
  <c r="B242" i="1"/>
  <c r="B243" i="1" s="1"/>
  <c r="BL242" i="1"/>
  <c r="BL243" i="1" s="1"/>
  <c r="G38" i="1"/>
  <c r="O38" i="1"/>
  <c r="H38" i="1"/>
  <c r="P38" i="1"/>
  <c r="I38" i="1"/>
  <c r="Q38" i="1"/>
  <c r="J38" i="1"/>
  <c r="R38" i="1"/>
  <c r="K38" i="1"/>
  <c r="S38" i="1"/>
  <c r="L38" i="1"/>
  <c r="T38" i="1"/>
  <c r="M38" i="1"/>
  <c r="U38" i="1"/>
  <c r="F38" i="1"/>
  <c r="F260" i="1" s="1"/>
  <c r="N38" i="1"/>
  <c r="CA122" i="1" l="1"/>
  <c r="BY260" i="1"/>
  <c r="BJ121" i="1"/>
  <c r="AJ175" i="1"/>
  <c r="AJ176" i="1" s="1"/>
  <c r="AL176" i="1"/>
  <c r="AJ242" i="1"/>
  <c r="AJ243" i="1" s="1"/>
  <c r="AJ39" i="1"/>
  <c r="CB40" i="1"/>
  <c r="BX39" i="1"/>
  <c r="BX44" i="1"/>
  <c r="CA65" i="1" s="1"/>
  <c r="AL43" i="1"/>
  <c r="AK148" i="1"/>
  <c r="AJ51" i="1"/>
  <c r="AM261" i="1"/>
  <c r="BX48" i="1"/>
  <c r="BX50" i="1" s="1"/>
  <c r="AJ50" i="1"/>
  <c r="E40" i="1"/>
  <c r="D260" i="1"/>
  <c r="D39" i="1"/>
  <c r="AM41" i="1"/>
  <c r="AL242" i="1"/>
  <c r="AL243" i="1" s="1"/>
  <c r="AL44" i="1"/>
  <c r="AL48" i="1" s="1"/>
  <c r="AL39" i="1"/>
  <c r="AL260" i="1"/>
  <c r="AL261" i="1" s="1"/>
  <c r="AM236" i="1"/>
  <c r="W50" i="1"/>
  <c r="W51" i="1"/>
  <c r="AK242" i="1"/>
  <c r="AK243" i="1" s="1"/>
  <c r="AK39" i="1"/>
  <c r="AL41" i="1"/>
  <c r="AK41" i="1"/>
  <c r="AK44" i="1"/>
  <c r="AK48" i="1" s="1"/>
  <c r="AM122" i="1"/>
  <c r="BX120" i="1"/>
  <c r="D40" i="1"/>
  <c r="AM51" i="1"/>
  <c r="AM52" i="1" s="1"/>
  <c r="AM255" i="1" s="1"/>
  <c r="AM50" i="1"/>
  <c r="BY261" i="1"/>
  <c r="BY213" i="1"/>
  <c r="BY211" i="1" s="1"/>
  <c r="BZ213" i="1"/>
  <c r="BZ211" i="1" s="1"/>
  <c r="V51" i="1"/>
  <c r="AK213" i="1"/>
  <c r="AK211" i="1" s="1"/>
  <c r="AL213" i="1"/>
  <c r="AL211" i="1" s="1"/>
  <c r="AL121" i="1"/>
  <c r="AL120" i="1"/>
  <c r="V58" i="1"/>
  <c r="V52" i="1"/>
  <c r="V255" i="1" s="1"/>
  <c r="AJ244" i="1"/>
  <c r="AJ52" i="1"/>
  <c r="AJ58" i="1"/>
  <c r="AL51" i="1"/>
  <c r="AL50" i="1"/>
  <c r="D50" i="1"/>
  <c r="D51" i="1"/>
  <c r="T260" i="1"/>
  <c r="P260" i="1"/>
  <c r="M260" i="1"/>
  <c r="R260" i="1"/>
  <c r="I260" i="1"/>
  <c r="K260" i="1"/>
  <c r="G260" i="1"/>
  <c r="H260" i="1"/>
  <c r="L260" i="1"/>
  <c r="S260" i="1"/>
  <c r="O260" i="1"/>
  <c r="J260" i="1"/>
  <c r="N260" i="1"/>
  <c r="U260" i="1"/>
  <c r="V260" i="1"/>
  <c r="Q260" i="1"/>
  <c r="R122" i="1"/>
  <c r="S40" i="1"/>
  <c r="T122" i="1"/>
  <c r="U40" i="1"/>
  <c r="U122" i="1"/>
  <c r="V40" i="1"/>
  <c r="P122" i="1"/>
  <c r="Q40" i="1"/>
  <c r="Q122" i="1"/>
  <c r="R40" i="1"/>
  <c r="I122" i="1"/>
  <c r="J40" i="1"/>
  <c r="S122" i="1"/>
  <c r="T40" i="1"/>
  <c r="H122" i="1"/>
  <c r="I40" i="1"/>
  <c r="E122" i="1"/>
  <c r="F40" i="1"/>
  <c r="L122" i="1"/>
  <c r="M40" i="1"/>
  <c r="O122" i="1"/>
  <c r="P40" i="1"/>
  <c r="N122" i="1"/>
  <c r="O40" i="1"/>
  <c r="K122" i="1"/>
  <c r="L40" i="1"/>
  <c r="F122" i="1"/>
  <c r="G40" i="1"/>
  <c r="G122" i="1"/>
  <c r="H40" i="1"/>
  <c r="M122" i="1"/>
  <c r="N40" i="1"/>
  <c r="J122" i="1"/>
  <c r="K40" i="1"/>
  <c r="CV87" i="1"/>
  <c r="AD212" i="1"/>
  <c r="AB152" i="1"/>
  <c r="AE147" i="1"/>
  <c r="AD147" i="1"/>
  <c r="CT73" i="1"/>
  <c r="CS75" i="1"/>
  <c r="C122" i="1"/>
  <c r="BY1" i="1"/>
  <c r="L39" i="1"/>
  <c r="N39" i="1"/>
  <c r="F39" i="1"/>
  <c r="O39" i="1"/>
  <c r="U44" i="1"/>
  <c r="U48" i="1" s="1"/>
  <c r="U39" i="1"/>
  <c r="G39" i="1"/>
  <c r="S39" i="1"/>
  <c r="M39" i="1"/>
  <c r="R39" i="1"/>
  <c r="J39" i="1"/>
  <c r="I39" i="1"/>
  <c r="P39" i="1"/>
  <c r="H39" i="1"/>
  <c r="K39" i="1"/>
  <c r="T39" i="1"/>
  <c r="Q39" i="1"/>
  <c r="T242" i="1"/>
  <c r="T243" i="1" s="1"/>
  <c r="Q242" i="1"/>
  <c r="Q243" i="1" s="1"/>
  <c r="K242" i="1"/>
  <c r="K243" i="1" s="1"/>
  <c r="O242" i="1"/>
  <c r="O243" i="1" s="1"/>
  <c r="U242" i="1"/>
  <c r="U243" i="1" s="1"/>
  <c r="L242" i="1"/>
  <c r="L243" i="1" s="1"/>
  <c r="C242" i="1"/>
  <c r="C243" i="1" s="1"/>
  <c r="I242" i="1"/>
  <c r="I243" i="1" s="1"/>
  <c r="G242" i="1"/>
  <c r="G243" i="1" s="1"/>
  <c r="R242" i="1"/>
  <c r="R243" i="1" s="1"/>
  <c r="P242" i="1"/>
  <c r="P243" i="1" s="1"/>
  <c r="F242" i="1"/>
  <c r="F243" i="1" s="1"/>
  <c r="M242" i="1"/>
  <c r="M243" i="1" s="1"/>
  <c r="N242" i="1"/>
  <c r="N243" i="1" s="1"/>
  <c r="E242" i="1"/>
  <c r="E243" i="1" s="1"/>
  <c r="S242" i="1"/>
  <c r="S243" i="1" s="1"/>
  <c r="J242" i="1"/>
  <c r="J243" i="1" s="1"/>
  <c r="H242" i="1"/>
  <c r="H243" i="1" s="1"/>
  <c r="B44" i="1"/>
  <c r="L44" i="1"/>
  <c r="Q44" i="1"/>
  <c r="T44" i="1"/>
  <c r="N44" i="1"/>
  <c r="S44" i="1"/>
  <c r="F44" i="1"/>
  <c r="K44" i="1"/>
  <c r="H44" i="1"/>
  <c r="I44" i="1"/>
  <c r="P44" i="1"/>
  <c r="C44" i="1"/>
  <c r="O44" i="1"/>
  <c r="R44" i="1"/>
  <c r="M44" i="1"/>
  <c r="G44" i="1"/>
  <c r="E44" i="1"/>
  <c r="J44" i="1"/>
  <c r="BX51" i="1" l="1"/>
  <c r="W244" i="1"/>
  <c r="W52" i="1"/>
  <c r="W255" i="1" s="1"/>
  <c r="X53" i="1"/>
  <c r="W58" i="1"/>
  <c r="W62" i="1" s="1"/>
  <c r="AM244" i="1"/>
  <c r="W53" i="1"/>
  <c r="AK50" i="1"/>
  <c r="AK51" i="1"/>
  <c r="BX52" i="1"/>
  <c r="BX255" i="1" s="1"/>
  <c r="CB53" i="1"/>
  <c r="BX244" i="1"/>
  <c r="AK54" i="1"/>
  <c r="AK244" i="1"/>
  <c r="D244" i="1"/>
  <c r="D52" i="1"/>
  <c r="D58" i="1"/>
  <c r="AJ217" i="1"/>
  <c r="AJ215" i="1" s="1"/>
  <c r="AJ76" i="1"/>
  <c r="AJ203" i="1"/>
  <c r="AJ205" i="1" s="1"/>
  <c r="AJ209" i="1" s="1"/>
  <c r="AJ223" i="1" s="1"/>
  <c r="AJ62" i="1"/>
  <c r="AL244" i="1"/>
  <c r="AL58" i="1"/>
  <c r="AM54" i="1"/>
  <c r="AL52" i="1"/>
  <c r="AL255" i="1" s="1"/>
  <c r="BK174" i="1"/>
  <c r="BM174" i="1"/>
  <c r="CW87" i="1"/>
  <c r="AE150" i="1"/>
  <c r="AE212" i="1" s="1"/>
  <c r="CT75" i="1"/>
  <c r="CU73" i="1"/>
  <c r="BZ1" i="1"/>
  <c r="U51" i="1"/>
  <c r="V53" i="1" s="1"/>
  <c r="U50" i="1"/>
  <c r="P48" i="1"/>
  <c r="P51" i="1" s="1"/>
  <c r="R48" i="1"/>
  <c r="R51" i="1" s="1"/>
  <c r="E48" i="1"/>
  <c r="S48" i="1"/>
  <c r="S50" i="1" s="1"/>
  <c r="G48" i="1"/>
  <c r="G51" i="1" s="1"/>
  <c r="K48" i="1"/>
  <c r="K51" i="1" s="1"/>
  <c r="B48" i="1"/>
  <c r="O48" i="1"/>
  <c r="O51" i="1" s="1"/>
  <c r="H48" i="1"/>
  <c r="H51" i="1" s="1"/>
  <c r="N48" i="1"/>
  <c r="N51" i="1" s="1"/>
  <c r="L48" i="1"/>
  <c r="L50" i="1" s="1"/>
  <c r="C48" i="1"/>
  <c r="M48" i="1"/>
  <c r="M50" i="1" s="1"/>
  <c r="T48" i="1"/>
  <c r="T51" i="1" s="1"/>
  <c r="F48" i="1"/>
  <c r="F50" i="1" s="1"/>
  <c r="J48" i="1"/>
  <c r="J50" i="1" s="1"/>
  <c r="I48" i="1"/>
  <c r="I50" i="1" s="1"/>
  <c r="Q48" i="1"/>
  <c r="Q51" i="1" s="1"/>
  <c r="V244" i="1"/>
  <c r="BY54" i="1" l="1"/>
  <c r="BX58" i="1"/>
  <c r="AK58" i="1"/>
  <c r="AK52" i="1"/>
  <c r="AM237" i="1"/>
  <c r="AL54" i="1"/>
  <c r="AJ220" i="1"/>
  <c r="AJ221" i="1" s="1"/>
  <c r="D62" i="1"/>
  <c r="D203" i="1"/>
  <c r="D205" i="1" s="1"/>
  <c r="AL76" i="1"/>
  <c r="AL62" i="1"/>
  <c r="AL203" i="1"/>
  <c r="AL205" i="1" s="1"/>
  <c r="AK129" i="1"/>
  <c r="AK130" i="1" s="1"/>
  <c r="R53" i="1"/>
  <c r="U53" i="1"/>
  <c r="O53" i="1"/>
  <c r="B51" i="1"/>
  <c r="B50" i="1"/>
  <c r="C51" i="1"/>
  <c r="C50" i="1"/>
  <c r="E51" i="1"/>
  <c r="E58" i="1" s="1"/>
  <c r="E50" i="1"/>
  <c r="P53" i="1"/>
  <c r="H53" i="1"/>
  <c r="Q53" i="1"/>
  <c r="BJ175" i="1"/>
  <c r="BJ176" i="1" s="1"/>
  <c r="BL175" i="1"/>
  <c r="BL176" i="1" s="1"/>
  <c r="CX87" i="1"/>
  <c r="CV73" i="1"/>
  <c r="CU75" i="1"/>
  <c r="CA1" i="1"/>
  <c r="CB1" i="1" s="1"/>
  <c r="O50" i="1"/>
  <c r="BL244" i="1"/>
  <c r="S51" i="1"/>
  <c r="U52" i="1"/>
  <c r="U255" i="1" s="1"/>
  <c r="P52" i="1"/>
  <c r="P255" i="1" s="1"/>
  <c r="Q58" i="1"/>
  <c r="Q52" i="1"/>
  <c r="Q255" i="1" s="1"/>
  <c r="L51" i="1"/>
  <c r="P50" i="1"/>
  <c r="H52" i="1"/>
  <c r="H255" i="1" s="1"/>
  <c r="G52" i="1"/>
  <c r="G255" i="1" s="1"/>
  <c r="U58" i="1"/>
  <c r="N52" i="1"/>
  <c r="N255" i="1" s="1"/>
  <c r="R52" i="1"/>
  <c r="R255" i="1" s="1"/>
  <c r="K52" i="1"/>
  <c r="K255" i="1" s="1"/>
  <c r="O58" i="1"/>
  <c r="O52" i="1"/>
  <c r="O255" i="1" s="1"/>
  <c r="T58" i="1"/>
  <c r="T52" i="1"/>
  <c r="T255" i="1" s="1"/>
  <c r="R50" i="1"/>
  <c r="K50" i="1"/>
  <c r="N50" i="1"/>
  <c r="G50" i="1"/>
  <c r="H50" i="1"/>
  <c r="J51" i="1"/>
  <c r="K53" i="1" s="1"/>
  <c r="M51" i="1"/>
  <c r="N53" i="1" s="1"/>
  <c r="T50" i="1"/>
  <c r="F51" i="1"/>
  <c r="G53" i="1" s="1"/>
  <c r="I51" i="1"/>
  <c r="I53" i="1" s="1"/>
  <c r="O244" i="1"/>
  <c r="Q50" i="1"/>
  <c r="P244" i="1"/>
  <c r="P58" i="1"/>
  <c r="K244" i="1"/>
  <c r="K58" i="1"/>
  <c r="H244" i="1"/>
  <c r="H58" i="1"/>
  <c r="R58" i="1"/>
  <c r="N58" i="1"/>
  <c r="G58" i="1"/>
  <c r="G244" i="1"/>
  <c r="R244" i="1"/>
  <c r="N244" i="1"/>
  <c r="Q244" i="1"/>
  <c r="U244" i="1"/>
  <c r="T244" i="1"/>
  <c r="V62" i="1"/>
  <c r="V203" i="1"/>
  <c r="V205" i="1" s="1"/>
  <c r="AK203" i="1" l="1"/>
  <c r="AK205" i="1" s="1"/>
  <c r="AK76" i="1"/>
  <c r="AK62" i="1"/>
  <c r="BX76" i="1"/>
  <c r="CA79" i="1" s="1"/>
  <c r="BX62" i="1"/>
  <c r="BX203" i="1"/>
  <c r="BX205" i="1" s="1"/>
  <c r="CA64" i="1"/>
  <c r="AK139" i="1"/>
  <c r="AK217" i="1"/>
  <c r="AK215" i="1" s="1"/>
  <c r="AL217" i="1"/>
  <c r="AL215" i="1" s="1"/>
  <c r="E244" i="1"/>
  <c r="E52" i="1"/>
  <c r="E255" i="1" s="1"/>
  <c r="E53" i="1"/>
  <c r="D53" i="1"/>
  <c r="C52" i="1"/>
  <c r="B52" i="1"/>
  <c r="C53" i="1"/>
  <c r="F53" i="1"/>
  <c r="M53" i="1"/>
  <c r="S52" i="1"/>
  <c r="S255" i="1" s="1"/>
  <c r="T53" i="1"/>
  <c r="L53" i="1"/>
  <c r="J53" i="1"/>
  <c r="S53" i="1"/>
  <c r="AD87" i="1"/>
  <c r="CY87" i="1"/>
  <c r="CV75" i="1"/>
  <c r="CW73" i="1"/>
  <c r="CC1" i="1"/>
  <c r="K62" i="1"/>
  <c r="G62" i="1"/>
  <c r="E62" i="1"/>
  <c r="S58" i="1"/>
  <c r="S244" i="1"/>
  <c r="L244" i="1"/>
  <c r="L58" i="1"/>
  <c r="O203" i="1"/>
  <c r="O205" i="1" s="1"/>
  <c r="O62" i="1"/>
  <c r="B244" i="1"/>
  <c r="B58" i="1"/>
  <c r="M58" i="1"/>
  <c r="M52" i="1"/>
  <c r="M255" i="1" s="1"/>
  <c r="C244" i="1"/>
  <c r="I58" i="1"/>
  <c r="I52" i="1"/>
  <c r="I255" i="1" s="1"/>
  <c r="J58" i="1"/>
  <c r="J52" i="1"/>
  <c r="J255" i="1" s="1"/>
  <c r="F58" i="1"/>
  <c r="F52" i="1"/>
  <c r="F255" i="1" s="1"/>
  <c r="L52" i="1"/>
  <c r="L255" i="1" s="1"/>
  <c r="J244" i="1"/>
  <c r="E203" i="1"/>
  <c r="E205" i="1" s="1"/>
  <c r="R203" i="1"/>
  <c r="R205" i="1" s="1"/>
  <c r="M244" i="1"/>
  <c r="R62" i="1"/>
  <c r="I244" i="1"/>
  <c r="H62" i="1"/>
  <c r="H203" i="1"/>
  <c r="H205" i="1" s="1"/>
  <c r="F244" i="1"/>
  <c r="C58" i="1"/>
  <c r="N203" i="1"/>
  <c r="N205" i="1" s="1"/>
  <c r="N62" i="1"/>
  <c r="G203" i="1"/>
  <c r="G205" i="1" s="1"/>
  <c r="P62" i="1"/>
  <c r="K203" i="1"/>
  <c r="K205" i="1" s="1"/>
  <c r="P203" i="1"/>
  <c r="P205" i="1" s="1"/>
  <c r="U62" i="1"/>
  <c r="U203" i="1"/>
  <c r="U205" i="1" s="1"/>
  <c r="Q62" i="1"/>
  <c r="Q203" i="1"/>
  <c r="Q205" i="1" s="1"/>
  <c r="T62" i="1"/>
  <c r="T203" i="1"/>
  <c r="T205" i="1" s="1"/>
  <c r="CA95" i="1" l="1"/>
  <c r="CA96" i="1"/>
  <c r="CD100" i="1" s="1"/>
  <c r="CE80" i="1"/>
  <c r="BW99" i="1"/>
  <c r="CA97" i="1"/>
  <c r="CZ87" i="1"/>
  <c r="AC152" i="1"/>
  <c r="CX73" i="1"/>
  <c r="CW75" i="1"/>
  <c r="CD1" i="1"/>
  <c r="CE1" i="1" s="1"/>
  <c r="CF1" i="1" s="1"/>
  <c r="CG1" i="1" s="1"/>
  <c r="CH1" i="1" s="1"/>
  <c r="CI1" i="1" s="1"/>
  <c r="CJ1" i="1" s="1"/>
  <c r="CK1" i="1" s="1"/>
  <c r="L203" i="1"/>
  <c r="L205" i="1" s="1"/>
  <c r="J203" i="1"/>
  <c r="J205" i="1" s="1"/>
  <c r="M203" i="1"/>
  <c r="M205" i="1" s="1"/>
  <c r="B62" i="1"/>
  <c r="F62" i="1"/>
  <c r="I62" i="1"/>
  <c r="C62" i="1"/>
  <c r="L62" i="1"/>
  <c r="S62" i="1"/>
  <c r="J62" i="1"/>
  <c r="S203" i="1"/>
  <c r="S205" i="1" s="1"/>
  <c r="M62" i="1"/>
  <c r="I203" i="1"/>
  <c r="I205" i="1" s="1"/>
  <c r="F203" i="1"/>
  <c r="F205" i="1" s="1"/>
  <c r="C203" i="1"/>
  <c r="C205" i="1" s="1"/>
  <c r="DA87" i="1" l="1"/>
  <c r="CX75" i="1"/>
  <c r="CY73" i="1"/>
  <c r="AB134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DB87" i="1" l="1"/>
  <c r="CY75" i="1"/>
  <c r="CZ73" i="1"/>
  <c r="AE87" i="1" l="1"/>
  <c r="AB135" i="1"/>
  <c r="AB138" i="1" s="1"/>
  <c r="AB259" i="1" s="1"/>
  <c r="AD152" i="1"/>
  <c r="CZ75" i="1"/>
  <c r="DA73" i="1"/>
  <c r="H104" i="2"/>
  <c r="Q87" i="2"/>
  <c r="C55" i="2"/>
  <c r="H68" i="2"/>
  <c r="AB84" i="3"/>
  <c r="M9" i="3"/>
  <c r="M97" i="2"/>
  <c r="S105" i="2"/>
  <c r="F64" i="2"/>
  <c r="AP70" i="3"/>
  <c r="AJ16" i="3"/>
  <c r="G106" i="2"/>
  <c r="W99" i="2"/>
  <c r="V63" i="2"/>
  <c r="J98" i="2"/>
  <c r="I49" i="2"/>
  <c r="T90" i="2"/>
  <c r="S93" i="2"/>
  <c r="I51" i="2"/>
  <c r="M17" i="3"/>
  <c r="U66" i="2"/>
  <c r="M46" i="2"/>
  <c r="R98" i="2"/>
  <c r="O104" i="2"/>
  <c r="AP82" i="3"/>
  <c r="AM26" i="3"/>
  <c r="P63" i="2"/>
  <c r="T80" i="2"/>
  <c r="U89" i="2"/>
  <c r="Q113" i="2"/>
  <c r="I60" i="2"/>
  <c r="W85" i="2"/>
  <c r="K65" i="2"/>
  <c r="AP47" i="3"/>
  <c r="AC37" i="3"/>
  <c r="R95" i="2"/>
  <c r="U78" i="2"/>
  <c r="X56" i="2"/>
  <c r="U40" i="2"/>
  <c r="AI15" i="3"/>
  <c r="G73" i="2"/>
  <c r="P98" i="2"/>
  <c r="E91" i="2"/>
  <c r="T63" i="2"/>
  <c r="AP30" i="3"/>
  <c r="Q108" i="2"/>
  <c r="D81" i="2"/>
  <c r="O51" i="2"/>
  <c r="P56" i="2"/>
  <c r="E90" i="2"/>
  <c r="D45" i="2"/>
  <c r="G53" i="2"/>
  <c r="H42" i="2"/>
  <c r="AB87" i="3"/>
  <c r="X16" i="3"/>
  <c r="J93" i="2"/>
  <c r="R63" i="2"/>
  <c r="M95" i="2"/>
  <c r="M59" i="2"/>
  <c r="AO21" i="3"/>
  <c r="S109" i="2"/>
  <c r="F111" i="2"/>
  <c r="S72" i="2"/>
  <c r="U97" i="2"/>
  <c r="D49" i="2"/>
  <c r="D64" i="2"/>
  <c r="L109" i="2"/>
  <c r="T34" i="3"/>
  <c r="F105" i="2"/>
  <c r="O105" i="2"/>
  <c r="U77" i="2"/>
  <c r="N63" i="2"/>
  <c r="L37" i="3"/>
  <c r="T98" i="2"/>
  <c r="H105" i="2"/>
  <c r="K66" i="2"/>
  <c r="F85" i="2"/>
  <c r="O23" i="3"/>
  <c r="S74" i="2"/>
  <c r="T67" i="2"/>
  <c r="E92" i="2"/>
  <c r="I45" i="2"/>
  <c r="AB55" i="3"/>
  <c r="M39" i="3"/>
  <c r="L90" i="2"/>
  <c r="P81" i="2"/>
  <c r="G59" i="2"/>
  <c r="W96" i="2"/>
  <c r="AD20" i="3"/>
  <c r="D61" i="2"/>
  <c r="S78" i="2"/>
  <c r="N62" i="2"/>
  <c r="N54" i="2"/>
  <c r="AK37" i="3"/>
  <c r="O84" i="2"/>
  <c r="C49" i="2"/>
  <c r="N52" i="2"/>
  <c r="O91" i="2"/>
  <c r="AD50" i="3"/>
  <c r="S80" i="2"/>
  <c r="R48" i="2"/>
  <c r="W54" i="2"/>
  <c r="E80" i="2"/>
  <c r="AB64" i="3"/>
  <c r="O15" i="3"/>
  <c r="U98" i="2"/>
  <c r="L68" i="2"/>
  <c r="I63" i="2"/>
  <c r="V109" i="2"/>
  <c r="AP72" i="3"/>
  <c r="AE11" i="3"/>
  <c r="O54" i="2"/>
  <c r="D76" i="2"/>
  <c r="J69" i="2"/>
  <c r="N47" i="2"/>
  <c r="W15" i="3"/>
  <c r="L87" i="2"/>
  <c r="C76" i="2"/>
  <c r="U95" i="2"/>
  <c r="J109" i="2"/>
  <c r="G81" i="2"/>
  <c r="U94" i="2"/>
  <c r="Q98" i="2"/>
  <c r="AN33" i="3"/>
  <c r="J54" i="2"/>
  <c r="P79" i="2"/>
  <c r="L81" i="2"/>
  <c r="V87" i="2"/>
  <c r="D44" i="2"/>
  <c r="W58" i="2"/>
  <c r="N57" i="2"/>
  <c r="AM11" i="3"/>
  <c r="T84" i="2"/>
  <c r="R89" i="2"/>
  <c r="AB68" i="3"/>
  <c r="J59" i="2"/>
  <c r="K112" i="2"/>
  <c r="AA25" i="3"/>
  <c r="C85" i="2"/>
  <c r="M69" i="2"/>
  <c r="D82" i="2"/>
  <c r="AP56" i="3"/>
  <c r="AM14" i="3"/>
  <c r="G48" i="3"/>
  <c r="R57" i="2"/>
  <c r="K23" i="3"/>
  <c r="H50" i="2"/>
  <c r="E77" i="2"/>
  <c r="N60" i="2"/>
  <c r="X98" i="2"/>
  <c r="L108" i="2"/>
  <c r="R45" i="2"/>
  <c r="AH31" i="3"/>
  <c r="AJ41" i="3"/>
  <c r="AM29" i="3"/>
  <c r="AO42" i="3"/>
  <c r="AD32" i="3"/>
  <c r="V32" i="3"/>
  <c r="AB17" i="3"/>
  <c r="AN7" i="3"/>
  <c r="AC26" i="3"/>
  <c r="J42" i="3"/>
  <c r="M37" i="3"/>
  <c r="T15" i="3"/>
  <c r="L56" i="2"/>
  <c r="AP63" i="3"/>
  <c r="K80" i="2"/>
  <c r="G80" i="2"/>
  <c r="J12" i="3"/>
  <c r="W43" i="2"/>
  <c r="H94" i="2"/>
  <c r="S75" i="2"/>
  <c r="C48" i="3"/>
  <c r="Z12" i="3"/>
  <c r="L18" i="3"/>
  <c r="Q21" i="3"/>
  <c r="AE13" i="3"/>
  <c r="AC16" i="3"/>
  <c r="AA18" i="3"/>
  <c r="AK18" i="3"/>
  <c r="W27" i="3"/>
  <c r="V5" i="3"/>
  <c r="U90" i="2"/>
  <c r="D111" i="2"/>
  <c r="J40" i="2"/>
  <c r="AP50" i="3"/>
  <c r="D66" i="2"/>
  <c r="U56" i="2"/>
  <c r="T87" i="2"/>
  <c r="W79" i="2"/>
  <c r="P41" i="3"/>
  <c r="AA21" i="3"/>
  <c r="Z38" i="3"/>
  <c r="N27" i="3"/>
  <c r="C42" i="3"/>
  <c r="AI35" i="3"/>
  <c r="AQ28" i="3"/>
  <c r="N32" i="3"/>
  <c r="V47" i="2"/>
  <c r="AP69" i="3"/>
  <c r="L72" i="2"/>
  <c r="D86" i="2"/>
  <c r="U79" i="2"/>
  <c r="C60" i="2"/>
  <c r="AB77" i="3"/>
  <c r="K50" i="2"/>
  <c r="F74" i="2"/>
  <c r="V84" i="2"/>
  <c r="S42" i="2"/>
  <c r="AE24" i="3"/>
  <c r="AJ15" i="3"/>
  <c r="J13" i="3"/>
  <c r="AC34" i="3"/>
  <c r="O20" i="3"/>
  <c r="AL29" i="3"/>
  <c r="S14" i="3"/>
  <c r="L16" i="3"/>
  <c r="W42" i="3"/>
  <c r="G41" i="3"/>
  <c r="J37" i="3"/>
  <c r="R88" i="2"/>
  <c r="F66" i="2"/>
  <c r="G65" i="2"/>
  <c r="H65" i="2"/>
  <c r="I53" i="2"/>
  <c r="K57" i="2"/>
  <c r="AP89" i="3"/>
  <c r="AA42" i="3"/>
  <c r="L39" i="3"/>
  <c r="AC32" i="3"/>
  <c r="R73" i="2"/>
  <c r="R18" i="3"/>
  <c r="L91" i="2"/>
  <c r="C78" i="2"/>
  <c r="U19" i="3"/>
  <c r="E64" i="2"/>
  <c r="H85" i="2"/>
  <c r="N91" i="2"/>
  <c r="AP71" i="3"/>
  <c r="AN32" i="3"/>
  <c r="AQ14" i="3"/>
  <c r="S8" i="3"/>
  <c r="U8" i="3"/>
  <c r="AO29" i="3"/>
  <c r="S92" i="2"/>
  <c r="S64" i="2"/>
  <c r="W113" i="2"/>
  <c r="P93" i="2"/>
  <c r="T75" i="2"/>
  <c r="T48" i="2"/>
  <c r="C87" i="2"/>
  <c r="W71" i="2"/>
  <c r="T91" i="2"/>
  <c r="H28" i="3"/>
  <c r="N58" i="2"/>
  <c r="L85" i="2"/>
  <c r="R110" i="2"/>
  <c r="O96" i="2"/>
  <c r="V77" i="2"/>
  <c r="AM16" i="3"/>
  <c r="V42" i="2"/>
  <c r="S60" i="2"/>
  <c r="C43" i="2"/>
  <c r="D58" i="2"/>
  <c r="AP92" i="3"/>
  <c r="AM12" i="3"/>
  <c r="O76" i="2"/>
  <c r="V113" i="2"/>
  <c r="F107" i="2"/>
  <c r="H59" i="2"/>
  <c r="F70" i="2"/>
  <c r="Q74" i="2"/>
  <c r="U109" i="2"/>
  <c r="D75" i="2"/>
  <c r="W22" i="3"/>
  <c r="T76" i="2"/>
  <c r="Q91" i="2"/>
  <c r="W111" i="2"/>
  <c r="V46" i="2"/>
  <c r="P32" i="3"/>
  <c r="H21" i="3"/>
  <c r="M57" i="2"/>
  <c r="H44" i="2"/>
  <c r="M72" i="2"/>
  <c r="I57" i="2"/>
  <c r="E49" i="2"/>
  <c r="H73" i="2"/>
  <c r="D73" i="2"/>
  <c r="C21" i="3"/>
  <c r="P20" i="3"/>
  <c r="H112" i="2"/>
  <c r="E99" i="2"/>
  <c r="Q61" i="2"/>
  <c r="AB59" i="3"/>
  <c r="Z35" i="3"/>
  <c r="S104" i="2"/>
  <c r="U47" i="2"/>
  <c r="N113" i="2"/>
  <c r="AB58" i="3"/>
  <c r="AM40" i="3"/>
  <c r="J41" i="2"/>
  <c r="N82" i="2"/>
  <c r="J113" i="2"/>
  <c r="F81" i="2"/>
  <c r="I95" i="2"/>
  <c r="X108" i="2"/>
  <c r="K72" i="2"/>
  <c r="J49" i="2"/>
  <c r="AI6" i="3"/>
  <c r="P27" i="3"/>
  <c r="V72" i="2"/>
  <c r="O90" i="2"/>
  <c r="L99" i="2"/>
  <c r="AB48" i="3"/>
  <c r="AH36" i="3"/>
  <c r="T78" i="2"/>
  <c r="W68" i="2"/>
  <c r="G88" i="2"/>
  <c r="G113" i="2"/>
  <c r="L89" i="2"/>
  <c r="V82" i="2"/>
  <c r="AP66" i="3"/>
  <c r="AA17" i="3"/>
  <c r="K76" i="2"/>
  <c r="F72" i="2"/>
  <c r="L96" i="2"/>
  <c r="E78" i="2"/>
  <c r="P25" i="3"/>
  <c r="F47" i="2"/>
  <c r="Q52" i="2"/>
  <c r="C107" i="2"/>
  <c r="P110" i="2"/>
  <c r="AB19" i="3"/>
  <c r="V106" i="2"/>
  <c r="R106" i="2"/>
  <c r="V89" i="2"/>
  <c r="H67" i="2"/>
  <c r="AB56" i="3"/>
  <c r="AP8" i="3"/>
  <c r="N65" i="2"/>
  <c r="U45" i="2"/>
  <c r="P53" i="2"/>
  <c r="S98" i="2"/>
  <c r="AB38" i="3"/>
  <c r="S40" i="2"/>
  <c r="G61" i="2"/>
  <c r="N53" i="2"/>
  <c r="Q44" i="2"/>
  <c r="C38" i="3"/>
  <c r="F40" i="2"/>
  <c r="E104" i="2"/>
  <c r="R80" i="2"/>
  <c r="I88" i="2"/>
  <c r="AI24" i="3"/>
  <c r="P76" i="2"/>
  <c r="S43" i="2"/>
  <c r="I86" i="2"/>
  <c r="Q86" i="2"/>
  <c r="AH23" i="3"/>
  <c r="Q23" i="3"/>
  <c r="P96" i="2"/>
  <c r="I109" i="2"/>
  <c r="F90" i="2"/>
  <c r="P49" i="2"/>
  <c r="V16" i="3"/>
  <c r="W48" i="2"/>
  <c r="J65" i="2"/>
  <c r="L62" i="2"/>
  <c r="D104" i="2"/>
  <c r="C47" i="3"/>
  <c r="AG27" i="3"/>
  <c r="J72" i="2"/>
  <c r="H81" i="2"/>
  <c r="V41" i="2"/>
  <c r="S44" i="2"/>
  <c r="X90" i="2"/>
  <c r="W69" i="2"/>
  <c r="S65" i="2"/>
  <c r="Z10" i="3"/>
  <c r="G43" i="2"/>
  <c r="D88" i="2"/>
  <c r="O68" i="2"/>
  <c r="T51" i="2"/>
  <c r="T104" i="2"/>
  <c r="R96" i="2"/>
  <c r="V95" i="2"/>
  <c r="AK17" i="3"/>
  <c r="N84" i="2"/>
  <c r="O61" i="2"/>
  <c r="Q36" i="3"/>
  <c r="U58" i="2"/>
  <c r="L106" i="2"/>
  <c r="T33" i="3"/>
  <c r="N78" i="2"/>
  <c r="S68" i="2"/>
  <c r="H47" i="2"/>
  <c r="AP62" i="3"/>
  <c r="Z28" i="3"/>
  <c r="AE5" i="3"/>
  <c r="D84" i="2"/>
  <c r="K107" i="2"/>
  <c r="O46" i="2"/>
  <c r="AP68" i="3"/>
  <c r="N85" i="2"/>
  <c r="L50" i="2"/>
  <c r="W106" i="2"/>
  <c r="J90" i="2"/>
  <c r="AD37" i="3"/>
  <c r="AJ23" i="3"/>
  <c r="AB25" i="3"/>
  <c r="AN26" i="3"/>
  <c r="J7" i="3"/>
  <c r="G38" i="3"/>
  <c r="AB31" i="3"/>
  <c r="AC8" i="3"/>
  <c r="AB36" i="3"/>
  <c r="L30" i="3"/>
  <c r="X32" i="3"/>
  <c r="AD23" i="3"/>
  <c r="AP78" i="3"/>
  <c r="I19" i="3"/>
  <c r="X46" i="2"/>
  <c r="P52" i="2"/>
  <c r="K113" i="2"/>
  <c r="D92" i="2"/>
  <c r="E66" i="2"/>
  <c r="M74" i="2"/>
  <c r="AP95" i="3"/>
  <c r="C32" i="3"/>
  <c r="W10" i="3"/>
  <c r="Y9" i="3"/>
  <c r="I5" i="3"/>
  <c r="Z36" i="3"/>
  <c r="AJ19" i="3"/>
  <c r="C26" i="3"/>
  <c r="AO38" i="3"/>
  <c r="T38" i="3"/>
  <c r="C90" i="2"/>
  <c r="W98" i="2"/>
  <c r="R72" i="2"/>
  <c r="AK5" i="3"/>
  <c r="S51" i="2"/>
  <c r="D105" i="2"/>
  <c r="E105" i="2"/>
  <c r="G51" i="2"/>
  <c r="AP13" i="3"/>
  <c r="U37" i="3"/>
  <c r="R13" i="3"/>
  <c r="AO5" i="3"/>
  <c r="V38" i="3"/>
  <c r="N13" i="3"/>
  <c r="Q10" i="3"/>
  <c r="AC17" i="3"/>
  <c r="C23" i="3"/>
  <c r="I9" i="3"/>
  <c r="R58" i="2"/>
  <c r="W41" i="2"/>
  <c r="S94" i="2"/>
  <c r="H71" i="2"/>
  <c r="AP64" i="3"/>
  <c r="F110" i="2"/>
  <c r="T54" i="2"/>
  <c r="I46" i="2"/>
  <c r="L46" i="2"/>
  <c r="AI11" i="3"/>
  <c r="O9" i="3"/>
  <c r="AD26" i="3"/>
  <c r="AO36" i="3"/>
  <c r="R26" i="3"/>
  <c r="AL26" i="3"/>
  <c r="Q25" i="3"/>
  <c r="AH35" i="3"/>
  <c r="R27" i="3"/>
  <c r="I85" i="2"/>
  <c r="AK29" i="3"/>
  <c r="C64" i="2"/>
  <c r="F62" i="2"/>
  <c r="V60" i="2"/>
  <c r="D57" i="2"/>
  <c r="L58" i="2"/>
  <c r="T93" i="2"/>
  <c r="O39" i="3"/>
  <c r="N20" i="3"/>
  <c r="Z29" i="3"/>
  <c r="N23" i="3"/>
  <c r="AH17" i="3"/>
  <c r="M11" i="3"/>
  <c r="F92" i="2"/>
  <c r="T74" i="2"/>
  <c r="Q45" i="2"/>
  <c r="F57" i="2"/>
  <c r="Q93" i="2"/>
  <c r="R43" i="2"/>
  <c r="AB91" i="3"/>
  <c r="V18" i="3"/>
  <c r="AO41" i="3"/>
  <c r="AL24" i="3"/>
  <c r="AJ7" i="3"/>
  <c r="P19" i="3"/>
  <c r="T86" i="2"/>
  <c r="G36" i="3"/>
  <c r="L113" i="2"/>
  <c r="H63" i="2"/>
  <c r="M56" i="2"/>
  <c r="T62" i="2"/>
  <c r="Y17" i="3"/>
  <c r="W47" i="2"/>
  <c r="I105" i="2"/>
  <c r="AA8" i="3"/>
  <c r="K90" i="2"/>
  <c r="E110" i="2"/>
  <c r="J75" i="2"/>
  <c r="P108" i="2"/>
  <c r="S90" i="2"/>
  <c r="V8" i="3"/>
  <c r="C92" i="2"/>
  <c r="G97" i="2"/>
  <c r="F86" i="2"/>
  <c r="W110" i="2"/>
  <c r="R29" i="3"/>
  <c r="AI5" i="3"/>
  <c r="K61" i="2"/>
  <c r="R77" i="2"/>
  <c r="K92" i="2"/>
  <c r="R60" i="2"/>
  <c r="U84" i="2"/>
  <c r="T40" i="2"/>
  <c r="L60" i="2"/>
  <c r="T57" i="2"/>
  <c r="X27" i="3"/>
  <c r="U80" i="2"/>
  <c r="U92" i="2"/>
  <c r="D96" i="2"/>
  <c r="I110" i="2"/>
  <c r="AP10" i="3"/>
  <c r="P50" i="2"/>
  <c r="C58" i="2"/>
  <c r="R74" i="2"/>
  <c r="U106" i="2"/>
  <c r="I64" i="2"/>
  <c r="T72" i="2"/>
  <c r="O45" i="2"/>
  <c r="W64" i="2"/>
  <c r="AP25" i="3"/>
  <c r="T45" i="2"/>
  <c r="W73" i="2"/>
  <c r="E89" i="2"/>
  <c r="N79" i="2"/>
  <c r="AB54" i="3"/>
  <c r="J92" i="2"/>
  <c r="M76" i="2"/>
  <c r="X110" i="2"/>
  <c r="F56" i="2"/>
  <c r="AB62" i="3"/>
  <c r="M20" i="3"/>
  <c r="P109" i="2"/>
  <c r="X47" i="2"/>
  <c r="N86" i="2"/>
  <c r="M42" i="2"/>
  <c r="M85" i="2"/>
  <c r="R62" i="2"/>
  <c r="W89" i="2"/>
  <c r="V68" i="2"/>
  <c r="X30" i="3"/>
  <c r="V55" i="2"/>
  <c r="O82" i="2"/>
  <c r="Q82" i="2"/>
  <c r="G87" i="2"/>
  <c r="AP76" i="3"/>
  <c r="AA31" i="3"/>
  <c r="X70" i="2"/>
  <c r="X99" i="2"/>
  <c r="H43" i="2"/>
  <c r="C73" i="2"/>
  <c r="M49" i="2"/>
  <c r="K55" i="2"/>
  <c r="AP74" i="3"/>
  <c r="AL9" i="3"/>
  <c r="X50" i="2"/>
  <c r="X113" i="2"/>
  <c r="X107" i="2"/>
  <c r="L97" i="2"/>
  <c r="I39" i="3"/>
  <c r="N96" i="2"/>
  <c r="O42" i="2"/>
  <c r="C86" i="2"/>
  <c r="H45" i="2"/>
  <c r="AA34" i="3"/>
  <c r="N51" i="2"/>
  <c r="T99" i="2"/>
  <c r="H111" i="2"/>
  <c r="K78" i="2"/>
  <c r="J36" i="3"/>
  <c r="T111" i="2"/>
  <c r="I91" i="2"/>
  <c r="W49" i="2"/>
  <c r="W82" i="2"/>
  <c r="AP83" i="3"/>
  <c r="AB37" i="3"/>
  <c r="P65" i="2"/>
  <c r="O58" i="2"/>
  <c r="O99" i="2"/>
  <c r="H93" i="2"/>
  <c r="W21" i="3"/>
  <c r="E52" i="2"/>
  <c r="W83" i="2"/>
  <c r="D71" i="2"/>
  <c r="U85" i="2"/>
  <c r="R35" i="3"/>
  <c r="Q85" i="2"/>
  <c r="S53" i="2"/>
  <c r="H56" i="2"/>
  <c r="I69" i="2"/>
  <c r="E49" i="3"/>
  <c r="M71" i="2"/>
  <c r="F84" i="2"/>
  <c r="I70" i="2"/>
  <c r="X88" i="2"/>
  <c r="H57" i="2"/>
  <c r="AQ29" i="3"/>
  <c r="P88" i="2"/>
  <c r="Q66" i="2"/>
  <c r="W66" i="2"/>
  <c r="X87" i="2"/>
  <c r="AP49" i="3"/>
  <c r="Q26" i="3"/>
  <c r="N93" i="2"/>
  <c r="I84" i="2"/>
  <c r="O93" i="2"/>
  <c r="T77" i="2"/>
  <c r="O83" i="2"/>
  <c r="V99" i="2"/>
  <c r="E112" i="2"/>
  <c r="AB20" i="3"/>
  <c r="X71" i="2"/>
  <c r="J52" i="2"/>
  <c r="U52" i="2"/>
  <c r="X57" i="2"/>
  <c r="Q48" i="2"/>
  <c r="N109" i="2"/>
  <c r="AB94" i="3"/>
  <c r="J25" i="3"/>
  <c r="V74" i="2"/>
  <c r="O113" i="2"/>
  <c r="AN12" i="3"/>
  <c r="X44" i="2"/>
  <c r="N67" i="2"/>
  <c r="H51" i="2"/>
  <c r="V43" i="2"/>
  <c r="C45" i="2"/>
  <c r="V53" i="2"/>
  <c r="Z30" i="3"/>
  <c r="AC13" i="3"/>
  <c r="AC5" i="3"/>
  <c r="N111" i="2"/>
  <c r="P94" i="2"/>
  <c r="F44" i="2"/>
  <c r="AP85" i="3"/>
  <c r="E63" i="2"/>
  <c r="M45" i="2"/>
  <c r="P43" i="2"/>
  <c r="C51" i="2"/>
  <c r="O38" i="3"/>
  <c r="Z9" i="3"/>
  <c r="O25" i="3"/>
  <c r="K22" i="3"/>
  <c r="S30" i="3"/>
  <c r="AB7" i="3"/>
  <c r="AO8" i="3"/>
  <c r="AJ8" i="3"/>
  <c r="L13" i="3"/>
  <c r="C34" i="3"/>
  <c r="Y8" i="3"/>
  <c r="Q17" i="3"/>
  <c r="U99" i="2"/>
  <c r="AH24" i="3"/>
  <c r="N76" i="2"/>
  <c r="T70" i="2"/>
  <c r="G111" i="2"/>
  <c r="F94" i="2"/>
  <c r="C109" i="2"/>
  <c r="W76" i="2"/>
  <c r="H17" i="3"/>
  <c r="Q29" i="3"/>
  <c r="AD19" i="3"/>
  <c r="R8" i="3"/>
  <c r="AH8" i="3"/>
  <c r="L27" i="3"/>
  <c r="R5" i="3"/>
  <c r="X10" i="3"/>
  <c r="AJ12" i="3"/>
  <c r="O98" i="2"/>
  <c r="E87" i="2"/>
  <c r="N112" i="2"/>
  <c r="E74" i="2"/>
  <c r="P5" i="3"/>
  <c r="K79" i="2"/>
  <c r="V110" i="2"/>
  <c r="S41" i="2"/>
  <c r="X84" i="2"/>
  <c r="AM8" i="3"/>
  <c r="AI28" i="3"/>
  <c r="AL28" i="3"/>
  <c r="S37" i="3"/>
  <c r="AO10" i="3"/>
  <c r="AH27" i="3"/>
  <c r="U32" i="3"/>
  <c r="AN19" i="3"/>
  <c r="C41" i="2"/>
  <c r="AG15" i="3"/>
  <c r="X82" i="2"/>
  <c r="J77" i="2"/>
  <c r="D62" i="2"/>
  <c r="G63" i="2"/>
  <c r="Q34" i="3"/>
  <c r="Q84" i="2"/>
  <c r="I90" i="2"/>
  <c r="J64" i="2"/>
  <c r="C95" i="2"/>
  <c r="K36" i="3"/>
  <c r="P35" i="3"/>
  <c r="AH19" i="3"/>
  <c r="L10" i="3"/>
  <c r="AB24" i="3"/>
  <c r="AN21" i="3"/>
  <c r="J14" i="3"/>
  <c r="R42" i="3"/>
  <c r="R34" i="3"/>
  <c r="S108" i="2"/>
  <c r="K56" i="2"/>
  <c r="J99" i="2"/>
  <c r="F67" i="2"/>
  <c r="F50" i="2"/>
  <c r="K44" i="2"/>
  <c r="L57" i="2"/>
  <c r="O88" i="2"/>
  <c r="R24" i="3"/>
  <c r="AI9" i="3"/>
  <c r="AO16" i="3"/>
  <c r="AJ40" i="3"/>
  <c r="C67" i="2"/>
  <c r="AN35" i="3"/>
  <c r="W57" i="2"/>
  <c r="J105" i="2"/>
  <c r="AP79" i="3"/>
  <c r="S57" i="2"/>
  <c r="S48" i="2"/>
  <c r="H109" i="2"/>
  <c r="Q83" i="2"/>
  <c r="C98" i="2"/>
  <c r="M63" i="2"/>
  <c r="F113" i="2"/>
  <c r="T68" i="2"/>
  <c r="T110" i="2"/>
  <c r="AO14" i="3"/>
  <c r="P41" i="2"/>
  <c r="V40" i="2"/>
  <c r="J44" i="2"/>
  <c r="AE9" i="3"/>
  <c r="O107" i="2"/>
  <c r="J84" i="2"/>
  <c r="F82" i="2"/>
  <c r="H91" i="2"/>
  <c r="W109" i="2"/>
  <c r="U110" i="2"/>
  <c r="M53" i="2"/>
  <c r="X69" i="2"/>
  <c r="AB81" i="3"/>
  <c r="N97" i="2"/>
  <c r="C47" i="2"/>
  <c r="G64" i="2"/>
  <c r="AC29" i="3"/>
  <c r="L51" i="2"/>
  <c r="C104" i="2"/>
  <c r="V88" i="2"/>
  <c r="L73" i="2"/>
  <c r="AP84" i="3"/>
  <c r="T88" i="2"/>
  <c r="M94" i="2"/>
  <c r="G70" i="2"/>
  <c r="R90" i="2"/>
  <c r="E58" i="2"/>
  <c r="D68" i="2"/>
  <c r="AK24" i="3"/>
  <c r="O57" i="2"/>
  <c r="V70" i="2"/>
  <c r="X12" i="3"/>
  <c r="C89" i="2"/>
  <c r="H90" i="2"/>
  <c r="AG37" i="3"/>
  <c r="I77" i="2"/>
  <c r="J111" i="2"/>
  <c r="AD35" i="3"/>
  <c r="D53" i="2"/>
  <c r="W61" i="2"/>
  <c r="E47" i="2"/>
  <c r="O80" i="2"/>
  <c r="H5" i="3"/>
  <c r="G96" i="2"/>
  <c r="X51" i="2"/>
  <c r="AB86" i="3"/>
  <c r="X77" i="2"/>
  <c r="J108" i="2"/>
  <c r="R97" i="2"/>
  <c r="D78" i="2"/>
  <c r="G48" i="2"/>
  <c r="N106" i="2"/>
  <c r="AD28" i="3"/>
  <c r="G44" i="2"/>
  <c r="N74" i="2"/>
  <c r="L32" i="3"/>
  <c r="G40" i="2"/>
  <c r="V111" i="2"/>
  <c r="L105" i="2"/>
  <c r="E106" i="2"/>
  <c r="L69" i="2"/>
  <c r="Q72" i="2"/>
  <c r="AJ30" i="3"/>
  <c r="P70" i="2"/>
  <c r="M84" i="2"/>
  <c r="N14" i="3"/>
  <c r="H83" i="2"/>
  <c r="W81" i="2"/>
  <c r="R65" i="2"/>
  <c r="Y34" i="3"/>
  <c r="J47" i="2"/>
  <c r="G105" i="2"/>
  <c r="W37" i="3"/>
  <c r="H78" i="2"/>
  <c r="E111" i="2"/>
  <c r="R78" i="2"/>
  <c r="U67" i="2"/>
  <c r="X45" i="2"/>
  <c r="X106" i="2"/>
  <c r="O95" i="2"/>
  <c r="X40" i="2"/>
  <c r="G104" i="2"/>
  <c r="U30" i="3"/>
  <c r="D50" i="2"/>
  <c r="E56" i="2"/>
  <c r="G91" i="2"/>
  <c r="AL27" i="3"/>
  <c r="S112" i="2"/>
  <c r="R94" i="2"/>
  <c r="W18" i="3"/>
  <c r="G47" i="2"/>
  <c r="AG28" i="3"/>
  <c r="I81" i="2"/>
  <c r="I106" i="2"/>
  <c r="V71" i="2"/>
  <c r="O108" i="2"/>
  <c r="AB11" i="3"/>
  <c r="AI8" i="3"/>
  <c r="L26" i="3"/>
  <c r="AJ10" i="3"/>
  <c r="W11" i="3"/>
  <c r="AH6" i="3"/>
  <c r="P28" i="3"/>
  <c r="S79" i="2"/>
  <c r="X49" i="2"/>
  <c r="AP96" i="3"/>
  <c r="O89" i="2"/>
  <c r="H96" i="2"/>
  <c r="I38" i="3"/>
  <c r="N36" i="3"/>
  <c r="S10" i="3"/>
  <c r="K15" i="3"/>
  <c r="K25" i="3"/>
  <c r="AM23" i="3"/>
  <c r="H95" i="2"/>
  <c r="W87" i="2"/>
  <c r="AP93" i="3"/>
  <c r="Q67" i="2"/>
  <c r="O64" i="2"/>
  <c r="T25" i="3"/>
  <c r="W35" i="3"/>
  <c r="I17" i="3"/>
  <c r="V13" i="3"/>
  <c r="AG25" i="3"/>
  <c r="U25" i="3"/>
  <c r="S91" i="2"/>
  <c r="J94" i="2"/>
  <c r="I66" i="2"/>
  <c r="M34" i="3"/>
  <c r="Q71" i="2"/>
  <c r="J86" i="2"/>
  <c r="S16" i="3"/>
  <c r="AH41" i="3"/>
  <c r="V39" i="3"/>
  <c r="O26" i="3"/>
  <c r="J26" i="3"/>
  <c r="L9" i="3"/>
  <c r="X111" i="2"/>
  <c r="I97" i="2"/>
  <c r="V24" i="3"/>
  <c r="M113" i="2"/>
  <c r="X61" i="2"/>
  <c r="AE14" i="3"/>
  <c r="AH28" i="3"/>
  <c r="T31" i="3"/>
  <c r="J43" i="2"/>
  <c r="O112" i="2"/>
  <c r="E75" i="2"/>
  <c r="V73" i="2"/>
  <c r="J58" i="2"/>
  <c r="Y22" i="3"/>
  <c r="AP14" i="3"/>
  <c r="AB28" i="3"/>
  <c r="V41" i="3"/>
  <c r="I33" i="3"/>
  <c r="M43" i="2"/>
  <c r="N104" i="2"/>
  <c r="G83" i="2"/>
  <c r="O65" i="2"/>
  <c r="Z11" i="3"/>
  <c r="W55" i="2"/>
  <c r="O22" i="3"/>
  <c r="K74" i="2"/>
  <c r="V62" i="2"/>
  <c r="S59" i="2"/>
  <c r="H20" i="3"/>
  <c r="AP16" i="3"/>
  <c r="N8" i="3"/>
  <c r="W88" i="2"/>
  <c r="R40" i="3"/>
  <c r="E85" i="2"/>
  <c r="K63" i="2"/>
  <c r="D80" i="2"/>
  <c r="U48" i="2"/>
  <c r="I59" i="2"/>
  <c r="C80" i="2"/>
  <c r="AO33" i="3"/>
  <c r="AP26" i="3"/>
  <c r="U36" i="3"/>
  <c r="AJ37" i="3"/>
  <c r="M32" i="3"/>
  <c r="AB27" i="3"/>
  <c r="AM15" i="3"/>
  <c r="AH7" i="3"/>
  <c r="M66" i="2"/>
  <c r="S31" i="3"/>
  <c r="Q18" i="3"/>
  <c r="U27" i="3"/>
  <c r="AP9" i="3"/>
  <c r="AL32" i="3"/>
  <c r="K24" i="3"/>
  <c r="V28" i="3"/>
  <c r="S67" i="2"/>
  <c r="AG42" i="3"/>
  <c r="K8" i="3"/>
  <c r="T20" i="3"/>
  <c r="AL16" i="3"/>
  <c r="U7" i="3"/>
  <c r="S24" i="3"/>
  <c r="AP27" i="3"/>
  <c r="H57" i="3"/>
  <c r="C81" i="2"/>
  <c r="O21" i="3"/>
  <c r="AK19" i="3"/>
  <c r="AL18" i="3"/>
  <c r="AE18" i="3"/>
  <c r="AC30" i="3"/>
  <c r="H7" i="3"/>
  <c r="K34" i="3"/>
  <c r="H75" i="3"/>
  <c r="Q89" i="2"/>
  <c r="T35" i="3"/>
  <c r="T36" i="3"/>
  <c r="I11" i="3"/>
  <c r="C24" i="3"/>
  <c r="Z16" i="3"/>
  <c r="R10" i="3"/>
  <c r="V10" i="3"/>
  <c r="T108" i="2"/>
  <c r="I112" i="2"/>
  <c r="AI18" i="3"/>
  <c r="H25" i="3"/>
  <c r="AM42" i="3"/>
  <c r="AO9" i="3"/>
  <c r="X38" i="3"/>
  <c r="AM34" i="3"/>
  <c r="S13" i="3"/>
  <c r="H91" i="3"/>
  <c r="G84" i="2"/>
  <c r="M79" i="2"/>
  <c r="K29" i="3"/>
  <c r="L88" i="2"/>
  <c r="T47" i="2"/>
  <c r="AL20" i="3"/>
  <c r="J107" i="2"/>
  <c r="K98" i="2"/>
  <c r="P74" i="2"/>
  <c r="D108" i="2"/>
  <c r="F61" i="2"/>
  <c r="AP91" i="3"/>
  <c r="D90" i="2"/>
  <c r="L94" i="2"/>
  <c r="L67" i="2"/>
  <c r="G98" i="2"/>
  <c r="U81" i="2"/>
  <c r="D67" i="2"/>
  <c r="D48" i="2"/>
  <c r="P61" i="2"/>
  <c r="AN31" i="3"/>
  <c r="V107" i="2"/>
  <c r="Q94" i="2"/>
  <c r="X79" i="2"/>
  <c r="R71" i="2"/>
  <c r="AH42" i="3"/>
  <c r="I92" i="2"/>
  <c r="D55" i="2"/>
  <c r="AH33" i="3"/>
  <c r="C94" i="2"/>
  <c r="H72" i="2"/>
  <c r="AB93" i="3"/>
  <c r="T42" i="2"/>
  <c r="J97" i="2"/>
  <c r="T23" i="3"/>
  <c r="J71" i="2"/>
  <c r="J68" i="2"/>
  <c r="K111" i="2"/>
  <c r="J61" i="2"/>
  <c r="S63" i="2"/>
  <c r="F77" i="2"/>
  <c r="V78" i="2"/>
  <c r="C68" i="2"/>
  <c r="Q27" i="3"/>
  <c r="O41" i="2"/>
  <c r="Q79" i="2"/>
  <c r="AG39" i="3"/>
  <c r="X75" i="2"/>
  <c r="S107" i="2"/>
  <c r="O50" i="2"/>
  <c r="M88" i="2"/>
  <c r="T46" i="2"/>
  <c r="Q50" i="2"/>
  <c r="P64" i="2"/>
  <c r="P99" i="2"/>
  <c r="X109" i="2"/>
  <c r="U44" i="2"/>
  <c r="F106" i="2"/>
  <c r="O67" i="2"/>
  <c r="L29" i="3"/>
  <c r="F46" i="2"/>
  <c r="O69" i="2"/>
  <c r="V58" i="2"/>
  <c r="V91" i="2"/>
  <c r="AE25" i="3"/>
  <c r="F71" i="2"/>
  <c r="U59" i="2"/>
  <c r="AN22" i="3"/>
  <c r="C48" i="2"/>
  <c r="R82" i="2"/>
  <c r="AB60" i="3"/>
  <c r="P91" i="2"/>
  <c r="R91" i="2"/>
  <c r="R104" i="2"/>
  <c r="U24" i="3"/>
  <c r="E43" i="2"/>
  <c r="G54" i="2"/>
  <c r="AE32" i="3"/>
  <c r="L82" i="2"/>
  <c r="D74" i="2"/>
  <c r="AP81" i="3"/>
  <c r="K49" i="2"/>
  <c r="M89" i="2"/>
  <c r="M47" i="2"/>
  <c r="E82" i="2"/>
  <c r="T94" i="2"/>
  <c r="G86" i="2"/>
  <c r="AM41" i="3"/>
  <c r="C50" i="2"/>
  <c r="R75" i="2"/>
  <c r="S95" i="2"/>
  <c r="E46" i="2"/>
  <c r="I107" i="2"/>
  <c r="X97" i="2"/>
  <c r="O5" i="3"/>
  <c r="J104" i="2"/>
  <c r="M70" i="2"/>
  <c r="M105" i="2"/>
  <c r="R76" i="2"/>
  <c r="AB69" i="3"/>
  <c r="H113" i="2"/>
  <c r="P105" i="2"/>
  <c r="N59" i="2"/>
  <c r="C110" i="2"/>
  <c r="AM25" i="3"/>
  <c r="I76" i="2"/>
  <c r="R30" i="3"/>
  <c r="V112" i="2"/>
  <c r="N64" i="2"/>
  <c r="W56" i="2"/>
  <c r="G78" i="2"/>
  <c r="AO20" i="3"/>
  <c r="U113" i="2"/>
  <c r="L92" i="2"/>
  <c r="G79" i="2"/>
  <c r="G99" i="2"/>
  <c r="E107" i="2"/>
  <c r="AP94" i="3"/>
  <c r="L22" i="3"/>
  <c r="AL23" i="3"/>
  <c r="J21" i="3"/>
  <c r="AK15" i="3"/>
  <c r="AA23" i="3"/>
  <c r="AP31" i="3"/>
  <c r="O12" i="3"/>
  <c r="O110" i="2"/>
  <c r="K109" i="2"/>
  <c r="U21" i="3"/>
  <c r="I62" i="2"/>
  <c r="P89" i="2"/>
  <c r="H14" i="3"/>
  <c r="R9" i="3"/>
  <c r="N18" i="3"/>
  <c r="AN38" i="3"/>
  <c r="AD31" i="3"/>
  <c r="J6" i="3"/>
  <c r="AP58" i="3"/>
  <c r="J63" i="2"/>
  <c r="M40" i="2"/>
  <c r="F52" i="2"/>
  <c r="H80" i="2"/>
  <c r="K35" i="3"/>
  <c r="I6" i="3"/>
  <c r="T6" i="3"/>
  <c r="V30" i="3"/>
  <c r="U31" i="3"/>
  <c r="R66" i="2"/>
  <c r="O49" i="2"/>
  <c r="AB95" i="3"/>
  <c r="U111" i="2"/>
  <c r="Q43" i="2"/>
  <c r="P80" i="2"/>
  <c r="T61" i="2"/>
  <c r="AA36" i="3"/>
  <c r="Y23" i="3"/>
  <c r="K26" i="3"/>
  <c r="AE35" i="3"/>
  <c r="AP40" i="3"/>
  <c r="Y15" i="3"/>
  <c r="C28" i="3"/>
  <c r="O55" i="2"/>
  <c r="R52" i="2"/>
  <c r="L110" i="2"/>
  <c r="I58" i="2"/>
  <c r="AC42" i="3"/>
  <c r="I12" i="3"/>
  <c r="D97" i="2"/>
  <c r="F65" i="2"/>
  <c r="H97" i="2"/>
  <c r="G46" i="2"/>
  <c r="M78" i="2"/>
  <c r="Q60" i="2"/>
  <c r="H38" i="3"/>
  <c r="K19" i="3"/>
  <c r="K7" i="3"/>
  <c r="I41" i="3"/>
  <c r="N38" i="3"/>
  <c r="H13" i="3"/>
  <c r="E69" i="2"/>
  <c r="I22" i="3"/>
  <c r="AE7" i="3"/>
  <c r="P113" i="2"/>
  <c r="K81" i="2"/>
  <c r="O77" i="2"/>
  <c r="X62" i="2"/>
  <c r="H89" i="2"/>
  <c r="V97" i="2"/>
  <c r="P34" i="3"/>
  <c r="M13" i="3"/>
  <c r="AJ28" i="3"/>
  <c r="X42" i="2"/>
  <c r="T55" i="2"/>
  <c r="R83" i="2"/>
  <c r="AP87" i="3"/>
  <c r="R86" i="2"/>
  <c r="P54" i="2"/>
  <c r="M73" i="2"/>
  <c r="L61" i="2"/>
  <c r="AB41" i="3"/>
  <c r="P6" i="3"/>
  <c r="H16" i="3"/>
  <c r="AC41" i="3"/>
  <c r="AO34" i="3"/>
  <c r="AD36" i="3"/>
  <c r="V40" i="3"/>
  <c r="AC33" i="3"/>
  <c r="I82" i="2"/>
  <c r="AM21" i="3"/>
  <c r="AD41" i="3"/>
  <c r="U38" i="3"/>
  <c r="AH29" i="3"/>
  <c r="V15" i="3"/>
  <c r="AA33" i="3"/>
  <c r="R16" i="3"/>
  <c r="O84" i="3"/>
  <c r="H96" i="3"/>
  <c r="H87" i="3"/>
  <c r="M61" i="2"/>
  <c r="C12" i="3"/>
  <c r="AN30" i="3"/>
  <c r="AC10" i="3"/>
  <c r="AQ22" i="3"/>
  <c r="K20" i="3"/>
  <c r="AA11" i="3"/>
  <c r="AE27" i="3"/>
  <c r="H49" i="3"/>
  <c r="H71" i="3"/>
  <c r="E60" i="2"/>
  <c r="O35" i="3"/>
  <c r="W40" i="3"/>
  <c r="AE16" i="3"/>
  <c r="I14" i="3"/>
  <c r="Q35" i="3"/>
  <c r="AI20" i="3"/>
  <c r="M14" i="3"/>
  <c r="R105" i="2"/>
  <c r="H37" i="3"/>
  <c r="U12" i="3"/>
  <c r="O13" i="3"/>
  <c r="K6" i="3"/>
  <c r="N21" i="3"/>
  <c r="R21" i="3"/>
  <c r="U17" i="3"/>
  <c r="O109" i="2"/>
  <c r="X74" i="2"/>
  <c r="X39" i="3"/>
  <c r="Z23" i="3"/>
  <c r="N22" i="3"/>
  <c r="AK42" i="3"/>
  <c r="AC9" i="3"/>
  <c r="Y5" i="3"/>
  <c r="O62" i="3"/>
  <c r="Y87" i="3"/>
  <c r="E109" i="2"/>
  <c r="W95" i="2"/>
  <c r="T105" i="2"/>
  <c r="AL31" i="3"/>
  <c r="U71" i="2"/>
  <c r="K68" i="2"/>
  <c r="X7" i="3"/>
  <c r="D98" i="2"/>
  <c r="M41" i="2"/>
  <c r="AP77" i="3"/>
  <c r="F95" i="2"/>
  <c r="W53" i="2"/>
  <c r="V31" i="3"/>
  <c r="Q63" i="2"/>
  <c r="K48" i="2"/>
  <c r="AB73" i="3"/>
  <c r="X83" i="2"/>
  <c r="Q88" i="2"/>
  <c r="X78" i="2"/>
  <c r="V51" i="2"/>
  <c r="N75" i="2"/>
  <c r="I16" i="3"/>
  <c r="J80" i="2"/>
  <c r="T41" i="2"/>
  <c r="M10" i="3"/>
  <c r="W63" i="2"/>
  <c r="D87" i="2"/>
  <c r="W5" i="3"/>
  <c r="D93" i="2"/>
  <c r="M60" i="2"/>
  <c r="F59" i="2"/>
  <c r="L93" i="2"/>
  <c r="O63" i="2"/>
  <c r="F97" i="2"/>
  <c r="G71" i="2"/>
  <c r="R87" i="2"/>
  <c r="W104" i="2"/>
  <c r="L20" i="3"/>
  <c r="T65" i="2"/>
  <c r="T73" i="2"/>
  <c r="R108" i="2"/>
  <c r="I93" i="2"/>
  <c r="V29" i="3"/>
  <c r="R55" i="2"/>
  <c r="S83" i="2"/>
  <c r="S36" i="3"/>
  <c r="D69" i="2"/>
  <c r="O92" i="2"/>
  <c r="AB75" i="3"/>
  <c r="T64" i="2"/>
  <c r="H46" i="2"/>
  <c r="G76" i="2"/>
  <c r="L54" i="2"/>
  <c r="H86" i="2"/>
  <c r="O52" i="2"/>
  <c r="AN9" i="3"/>
  <c r="E61" i="2"/>
  <c r="M58" i="2"/>
  <c r="S7" i="3"/>
  <c r="F99" i="2"/>
  <c r="G110" i="2"/>
  <c r="AB72" i="3"/>
  <c r="N45" i="2"/>
  <c r="K105" i="2"/>
  <c r="P77" i="2"/>
  <c r="AP34" i="3"/>
  <c r="M80" i="2"/>
  <c r="Q64" i="2"/>
  <c r="U51" i="2"/>
  <c r="U74" i="2"/>
  <c r="E67" i="2"/>
  <c r="P48" i="2"/>
  <c r="AN23" i="3"/>
  <c r="O71" i="2"/>
  <c r="E40" i="2"/>
  <c r="O81" i="2"/>
  <c r="N69" i="2"/>
  <c r="S33" i="3"/>
  <c r="I41" i="2"/>
  <c r="G108" i="2"/>
  <c r="T85" i="2"/>
  <c r="V44" i="2"/>
  <c r="O8" i="3"/>
  <c r="C71" i="2"/>
  <c r="P104" i="2"/>
  <c r="C77" i="2"/>
  <c r="N56" i="2"/>
  <c r="K53" i="2"/>
  <c r="N98" i="2"/>
  <c r="O18" i="3"/>
  <c r="P83" i="2"/>
  <c r="P97" i="2"/>
  <c r="H41" i="3"/>
  <c r="L112" i="2"/>
  <c r="K40" i="2"/>
  <c r="K13" i="3"/>
  <c r="AI32" i="3"/>
  <c r="AH12" i="3"/>
  <c r="AG36" i="3"/>
  <c r="V23" i="3"/>
  <c r="U23" i="3"/>
  <c r="V7" i="3"/>
  <c r="AP32" i="3"/>
  <c r="T71" i="2"/>
  <c r="V76" i="2"/>
  <c r="AJ22" i="3"/>
  <c r="P106" i="2"/>
  <c r="G85" i="2"/>
  <c r="S35" i="3"/>
  <c r="AM37" i="3"/>
  <c r="U40" i="3"/>
  <c r="J5" i="3"/>
  <c r="AQ32" i="3"/>
  <c r="AC12" i="3"/>
  <c r="I37" i="3"/>
  <c r="O86" i="2"/>
  <c r="P51" i="2"/>
  <c r="G112" i="2"/>
  <c r="G74" i="2"/>
  <c r="N10" i="3"/>
  <c r="N9" i="3"/>
  <c r="H22" i="3"/>
  <c r="H30" i="3"/>
  <c r="R6" i="3"/>
  <c r="C99" i="2"/>
  <c r="P71" i="2"/>
  <c r="AE21" i="3"/>
  <c r="Q42" i="2"/>
  <c r="G75" i="2"/>
  <c r="V48" i="2"/>
  <c r="E73" i="2"/>
  <c r="M22" i="3"/>
  <c r="G33" i="3"/>
  <c r="X14" i="3"/>
  <c r="J28" i="3"/>
  <c r="J8" i="3"/>
  <c r="N37" i="3"/>
  <c r="U42" i="2"/>
  <c r="J48" i="2"/>
  <c r="K86" i="2"/>
  <c r="V90" i="2"/>
  <c r="N61" i="2"/>
  <c r="H9" i="3"/>
  <c r="Y29" i="3"/>
  <c r="U73" i="2"/>
  <c r="V61" i="2"/>
  <c r="E96" i="2"/>
  <c r="P46" i="2"/>
  <c r="N40" i="2"/>
  <c r="N110" i="2"/>
  <c r="Q16" i="3"/>
  <c r="C9" i="3"/>
  <c r="V14" i="3"/>
  <c r="AQ23" i="3"/>
  <c r="AM28" i="3"/>
  <c r="H19" i="3"/>
  <c r="G68" i="2"/>
  <c r="R25" i="3"/>
  <c r="U53" i="2"/>
  <c r="L75" i="2"/>
  <c r="C52" i="2"/>
  <c r="G72" i="2"/>
  <c r="V80" i="2"/>
  <c r="E54" i="2"/>
  <c r="C66" i="2"/>
  <c r="Z15" i="3"/>
  <c r="Q19" i="3"/>
  <c r="AD47" i="3"/>
  <c r="F79" i="2"/>
  <c r="O74" i="2"/>
  <c r="X76" i="2"/>
  <c r="L19" i="3"/>
  <c r="K97" i="2"/>
  <c r="N41" i="2"/>
  <c r="H92" i="2"/>
  <c r="K106" i="2"/>
  <c r="N39" i="3"/>
  <c r="L23" i="3"/>
  <c r="AK14" i="3"/>
  <c r="J10" i="3"/>
  <c r="G50" i="3"/>
  <c r="O32" i="3"/>
  <c r="W32" i="3"/>
  <c r="K21" i="3"/>
  <c r="P47" i="2"/>
  <c r="AE33" i="3"/>
  <c r="AB21" i="3"/>
  <c r="S20" i="3"/>
  <c r="AN29" i="3"/>
  <c r="T30" i="3"/>
  <c r="R23" i="3"/>
  <c r="W14" i="3"/>
  <c r="J88" i="3"/>
  <c r="J54" i="3"/>
  <c r="O86" i="3"/>
  <c r="W92" i="3"/>
  <c r="N89" i="2"/>
  <c r="AL42" i="3"/>
  <c r="AN34" i="3"/>
  <c r="AN41" i="3"/>
  <c r="AI27" i="3"/>
  <c r="J18" i="3"/>
  <c r="AL36" i="3"/>
  <c r="AK16" i="3"/>
  <c r="AK55" i="3"/>
  <c r="AO50" i="3"/>
  <c r="AO78" i="3"/>
  <c r="J86" i="3"/>
  <c r="AO74" i="3"/>
  <c r="H87" i="2"/>
  <c r="H32" i="3"/>
  <c r="P18" i="3"/>
  <c r="Z17" i="3"/>
  <c r="W41" i="3"/>
  <c r="AA6" i="3"/>
  <c r="AD25" i="3"/>
  <c r="AG29" i="3"/>
  <c r="AO97" i="3"/>
  <c r="O41" i="3"/>
  <c r="H64" i="2"/>
  <c r="X72" i="2"/>
  <c r="G62" i="2"/>
  <c r="S34" i="3"/>
  <c r="P72" i="2"/>
  <c r="W86" i="2"/>
  <c r="AG17" i="3"/>
  <c r="N107" i="2"/>
  <c r="M112" i="2"/>
  <c r="AC18" i="3"/>
  <c r="W59" i="2"/>
  <c r="G56" i="2"/>
  <c r="AA30" i="3"/>
  <c r="G92" i="2"/>
  <c r="V56" i="2"/>
  <c r="I28" i="3"/>
  <c r="W93" i="2"/>
  <c r="F51" i="2"/>
  <c r="I40" i="2"/>
  <c r="W72" i="2"/>
  <c r="M64" i="2"/>
  <c r="AH15" i="3"/>
  <c r="K82" i="2"/>
  <c r="I43" i="2"/>
  <c r="AE31" i="3"/>
  <c r="R79" i="2"/>
  <c r="E98" i="2"/>
  <c r="AQ39" i="3"/>
  <c r="G90" i="2"/>
  <c r="F60" i="2"/>
  <c r="AB78" i="3"/>
  <c r="K52" i="2"/>
  <c r="N43" i="2"/>
  <c r="AB57" i="3"/>
  <c r="P66" i="2"/>
  <c r="R112" i="2"/>
  <c r="E48" i="2"/>
  <c r="V67" i="2"/>
  <c r="U96" i="2"/>
  <c r="N68" i="2"/>
  <c r="U50" i="2"/>
  <c r="N44" i="2"/>
  <c r="S69" i="2"/>
  <c r="H70" i="2"/>
  <c r="M68" i="2"/>
  <c r="AG7" i="3"/>
  <c r="X64" i="2"/>
  <c r="E72" i="2"/>
  <c r="H34" i="3"/>
  <c r="U105" i="2"/>
  <c r="J76" i="2"/>
  <c r="J67" i="2"/>
  <c r="U54" i="2"/>
  <c r="S46" i="2"/>
  <c r="D56" i="2"/>
  <c r="L31" i="3"/>
  <c r="S99" i="2"/>
  <c r="U69" i="2"/>
  <c r="AM32" i="3"/>
  <c r="V65" i="2"/>
  <c r="M81" i="2"/>
  <c r="C49" i="3"/>
  <c r="V49" i="2"/>
  <c r="W42" i="2"/>
  <c r="P45" i="2"/>
  <c r="I98" i="2"/>
  <c r="I54" i="2"/>
  <c r="F91" i="2"/>
  <c r="AP90" i="3"/>
  <c r="N88" i="2"/>
  <c r="V94" i="2"/>
  <c r="N70" i="2"/>
  <c r="J62" i="2"/>
  <c r="V52" i="2"/>
  <c r="F98" i="2"/>
  <c r="G82" i="2"/>
  <c r="X48" i="2"/>
  <c r="Q31" i="3"/>
  <c r="D65" i="2"/>
  <c r="M65" i="2"/>
  <c r="V54" i="2"/>
  <c r="S58" i="2"/>
  <c r="U57" i="2"/>
  <c r="D85" i="2"/>
  <c r="W108" i="2"/>
  <c r="R50" i="2"/>
  <c r="K93" i="2"/>
  <c r="E108" i="2"/>
  <c r="X85" i="2"/>
  <c r="R20" i="3"/>
  <c r="I111" i="2"/>
  <c r="L43" i="2"/>
  <c r="AC20" i="3"/>
  <c r="P107" i="2"/>
  <c r="K89" i="2"/>
  <c r="T32" i="3"/>
  <c r="AB33" i="3"/>
  <c r="AG35" i="3"/>
  <c r="J29" i="3"/>
  <c r="AG13" i="3"/>
  <c r="U18" i="3"/>
  <c r="X29" i="3"/>
  <c r="H68" i="3"/>
  <c r="T58" i="2"/>
  <c r="C82" i="2"/>
  <c r="X59" i="2"/>
  <c r="O85" i="2"/>
  <c r="X80" i="2"/>
  <c r="N5" i="3"/>
  <c r="AL17" i="3"/>
  <c r="AQ36" i="3"/>
  <c r="T37" i="3"/>
  <c r="Z24" i="3"/>
  <c r="AA29" i="3"/>
  <c r="AB23" i="3"/>
  <c r="W45" i="2"/>
  <c r="I94" i="2"/>
  <c r="J91" i="2"/>
  <c r="R68" i="2"/>
  <c r="G32" i="3"/>
  <c r="AA22" i="3"/>
  <c r="C19" i="3"/>
  <c r="T42" i="3"/>
  <c r="AI34" i="3"/>
  <c r="R70" i="2"/>
  <c r="R81" i="2"/>
  <c r="P8" i="3"/>
  <c r="V59" i="2"/>
  <c r="P73" i="2"/>
  <c r="P40" i="2"/>
  <c r="C91" i="2"/>
  <c r="V33" i="3"/>
  <c r="K14" i="3"/>
  <c r="N35" i="3"/>
  <c r="AK26" i="3"/>
  <c r="O30" i="3"/>
  <c r="D72" i="2"/>
  <c r="E76" i="2"/>
  <c r="T112" i="2"/>
  <c r="Q40" i="2"/>
  <c r="J74" i="2"/>
  <c r="L78" i="2"/>
  <c r="J38" i="3"/>
  <c r="AH38" i="3"/>
  <c r="V66" i="2"/>
  <c r="I72" i="2"/>
  <c r="AP59" i="3"/>
  <c r="N50" i="2"/>
  <c r="D54" i="2"/>
  <c r="K83" i="2"/>
  <c r="AJ33" i="3"/>
  <c r="X21" i="3"/>
  <c r="AK25" i="3"/>
  <c r="AI19" i="3"/>
  <c r="AJ24" i="3"/>
  <c r="K75" i="2"/>
  <c r="Q75" i="2"/>
  <c r="AP23" i="3"/>
  <c r="G57" i="2"/>
  <c r="V96" i="2"/>
  <c r="U70" i="2"/>
  <c r="R41" i="2"/>
  <c r="C42" i="2"/>
  <c r="O44" i="2"/>
  <c r="V45" i="2"/>
  <c r="AM22" i="3"/>
  <c r="C30" i="3"/>
  <c r="Z22" i="3"/>
  <c r="X104" i="2"/>
  <c r="T43" i="2"/>
  <c r="D60" i="2"/>
  <c r="Z6" i="3"/>
  <c r="I71" i="2"/>
  <c r="L47" i="2"/>
  <c r="M107" i="2"/>
  <c r="X68" i="2"/>
  <c r="W19" i="3"/>
  <c r="T26" i="3"/>
  <c r="S6" i="3"/>
  <c r="M18" i="3"/>
  <c r="T10" i="3"/>
  <c r="T9" i="3"/>
  <c r="AC15" i="3"/>
  <c r="U64" i="2"/>
  <c r="K51" i="2"/>
  <c r="AA13" i="3"/>
  <c r="AJ5" i="3"/>
  <c r="AA26" i="3"/>
  <c r="AN5" i="3"/>
  <c r="M26" i="3"/>
  <c r="AM17" i="3"/>
  <c r="V19" i="3"/>
  <c r="J64" i="3"/>
  <c r="J66" i="3"/>
  <c r="AK75" i="3"/>
  <c r="AK89" i="3"/>
  <c r="AN94" i="3"/>
  <c r="AJ56" i="3"/>
  <c r="AK91" i="3"/>
  <c r="O77" i="3"/>
  <c r="T17" i="3"/>
  <c r="S50" i="2"/>
  <c r="I30" i="3"/>
  <c r="P21" i="3"/>
  <c r="L41" i="3"/>
  <c r="K10" i="3"/>
  <c r="AP28" i="3"/>
  <c r="AG31" i="3"/>
  <c r="AQ20" i="3"/>
  <c r="AJ74" i="3"/>
  <c r="W76" i="3"/>
  <c r="N56" i="3"/>
  <c r="W70" i="3"/>
  <c r="AI21" i="3"/>
  <c r="V50" i="2"/>
  <c r="M12" i="3"/>
  <c r="H35" i="3"/>
  <c r="T13" i="3"/>
  <c r="P11" i="3"/>
  <c r="W6" i="3"/>
  <c r="R41" i="3"/>
  <c r="AJ6" i="3"/>
  <c r="H78" i="3"/>
  <c r="AO69" i="3"/>
  <c r="AO73" i="3"/>
  <c r="W84" i="3"/>
  <c r="AN56" i="3"/>
  <c r="R113" i="2"/>
  <c r="K71" i="2"/>
  <c r="AG19" i="3"/>
  <c r="I34" i="3"/>
  <c r="L34" i="3"/>
  <c r="P15" i="3"/>
  <c r="R28" i="3"/>
  <c r="AP42" i="3"/>
  <c r="O96" i="3"/>
  <c r="H80" i="3"/>
  <c r="V105" i="2"/>
  <c r="G42" i="2"/>
  <c r="E95" i="2"/>
  <c r="F42" i="2"/>
  <c r="K94" i="2"/>
  <c r="I48" i="2"/>
  <c r="I108" i="2"/>
  <c r="P92" i="2"/>
  <c r="S49" i="2"/>
  <c r="F55" i="2"/>
  <c r="C40" i="2"/>
  <c r="O87" i="2"/>
  <c r="AH22" i="3"/>
  <c r="P60" i="2"/>
  <c r="T95" i="2"/>
  <c r="L59" i="2"/>
  <c r="E47" i="3"/>
  <c r="W67" i="2"/>
  <c r="F78" i="2"/>
  <c r="O62" i="2"/>
  <c r="P111" i="2"/>
  <c r="AQ18" i="3"/>
  <c r="C105" i="2"/>
  <c r="G58" i="2"/>
  <c r="AB88" i="3"/>
  <c r="I56" i="2"/>
  <c r="AH37" i="3"/>
  <c r="T56" i="2"/>
  <c r="M55" i="2"/>
  <c r="D113" i="2"/>
  <c r="Q68" i="2"/>
  <c r="Y6" i="3"/>
  <c r="X67" i="2"/>
  <c r="D112" i="2"/>
  <c r="R46" i="2"/>
  <c r="P112" i="2"/>
  <c r="AP41" i="3"/>
  <c r="F45" i="2"/>
  <c r="H66" i="2"/>
  <c r="K41" i="2"/>
  <c r="R84" i="2"/>
  <c r="N71" i="2"/>
  <c r="U87" i="2"/>
  <c r="Q5" i="3"/>
  <c r="W36" i="3"/>
  <c r="AK7" i="3"/>
  <c r="S22" i="3"/>
  <c r="P67" i="2"/>
  <c r="W84" i="2"/>
  <c r="I23" i="3"/>
  <c r="AL19" i="3"/>
  <c r="P33" i="3"/>
  <c r="F68" i="2"/>
  <c r="AO7" i="3"/>
  <c r="H61" i="2"/>
  <c r="AJ13" i="3"/>
  <c r="AL12" i="3"/>
  <c r="W60" i="2"/>
  <c r="X112" i="2"/>
  <c r="AP19" i="3"/>
  <c r="O111" i="2"/>
  <c r="AA10" i="3"/>
  <c r="AD30" i="3"/>
  <c r="J30" i="3"/>
  <c r="P44" i="2"/>
  <c r="K99" i="2"/>
  <c r="AE39" i="3"/>
  <c r="W40" i="2"/>
  <c r="N49" i="2"/>
  <c r="E79" i="2"/>
  <c r="N15" i="3"/>
  <c r="I27" i="3"/>
  <c r="AN10" i="3"/>
  <c r="Q106" i="2"/>
  <c r="S56" i="2"/>
  <c r="D46" i="2"/>
  <c r="R56" i="2"/>
  <c r="D40" i="2"/>
  <c r="W24" i="3"/>
  <c r="P62" i="2"/>
  <c r="E71" i="2"/>
  <c r="C88" i="2"/>
  <c r="H98" i="2"/>
  <c r="P10" i="3"/>
  <c r="AO17" i="3"/>
  <c r="AK11" i="3"/>
  <c r="AJ21" i="3"/>
  <c r="K62" i="2"/>
  <c r="AH39" i="3"/>
  <c r="AI23" i="3"/>
  <c r="AQ40" i="3"/>
  <c r="O95" i="3"/>
  <c r="AN73" i="3"/>
  <c r="O94" i="2"/>
  <c r="I31" i="3"/>
  <c r="C8" i="3"/>
  <c r="N42" i="3"/>
  <c r="H85" i="3"/>
  <c r="N63" i="3"/>
  <c r="R32" i="3"/>
  <c r="AI7" i="3"/>
  <c r="M19" i="3"/>
  <c r="AM6" i="3"/>
  <c r="N72" i="3"/>
  <c r="D110" i="2"/>
  <c r="G47" i="3"/>
  <c r="AL11" i="3"/>
  <c r="H26" i="3"/>
  <c r="Q37" i="3"/>
  <c r="AK59" i="3"/>
  <c r="W72" i="3"/>
  <c r="AN80" i="3"/>
  <c r="J78" i="3"/>
  <c r="AP61" i="3"/>
  <c r="R7" i="3"/>
  <c r="X18" i="3"/>
  <c r="AQ25" i="3"/>
  <c r="P40" i="3"/>
  <c r="AA39" i="3"/>
  <c r="W81" i="3"/>
  <c r="O49" i="3"/>
  <c r="N91" i="3"/>
  <c r="Q94" i="3"/>
  <c r="N82" i="3"/>
  <c r="H55" i="2"/>
  <c r="D94" i="2"/>
  <c r="T18" i="3"/>
  <c r="AO30" i="3"/>
  <c r="X42" i="3"/>
  <c r="W23" i="3"/>
  <c r="C40" i="3"/>
  <c r="R31" i="3"/>
  <c r="Q63" i="3"/>
  <c r="Y57" i="3"/>
  <c r="W82" i="3"/>
  <c r="O97" i="3"/>
  <c r="H56" i="3"/>
  <c r="H64" i="3"/>
  <c r="N87" i="2"/>
  <c r="AB97" i="3"/>
  <c r="V36" i="3"/>
  <c r="U35" i="3"/>
  <c r="Y28" i="3"/>
  <c r="M42" i="3"/>
  <c r="X13" i="3"/>
  <c r="AN39" i="3"/>
  <c r="W71" i="3"/>
  <c r="Q58" i="3"/>
  <c r="Y79" i="3"/>
  <c r="AN66" i="3"/>
  <c r="AN95" i="3"/>
  <c r="H47" i="3"/>
  <c r="U49" i="2"/>
  <c r="AB76" i="3"/>
  <c r="K37" i="3"/>
  <c r="AO18" i="3"/>
  <c r="AG26" i="3"/>
  <c r="X37" i="3"/>
  <c r="L36" i="3"/>
  <c r="Q20" i="3"/>
  <c r="H67" i="3"/>
  <c r="D59" i="2"/>
  <c r="S110" i="2"/>
  <c r="S5" i="3"/>
  <c r="S23" i="3"/>
  <c r="AE40" i="3"/>
  <c r="AM7" i="3"/>
  <c r="AG32" i="3"/>
  <c r="AA20" i="3"/>
  <c r="J96" i="3"/>
  <c r="AN49" i="3"/>
  <c r="AK86" i="3"/>
  <c r="AK87" i="3"/>
  <c r="AN93" i="3"/>
  <c r="Q77" i="3"/>
  <c r="Y60" i="3"/>
  <c r="AN79" i="3"/>
  <c r="Y47" i="3"/>
  <c r="AJ83" i="3"/>
  <c r="AN8" i="3"/>
  <c r="G60" i="2"/>
  <c r="V42" i="3"/>
  <c r="Z40" i="3"/>
  <c r="AO27" i="3"/>
  <c r="AG20" i="3"/>
  <c r="AB26" i="3"/>
  <c r="Z5" i="3"/>
  <c r="O90" i="3"/>
  <c r="Y80" i="3"/>
  <c r="H65" i="3"/>
  <c r="AO59" i="3"/>
  <c r="J62" i="3"/>
  <c r="H76" i="3"/>
  <c r="J92" i="3"/>
  <c r="Y48" i="3"/>
  <c r="Q73" i="3"/>
  <c r="N94" i="2"/>
  <c r="P29" i="3"/>
  <c r="AQ19" i="3"/>
  <c r="AP38" i="3"/>
  <c r="AE28" i="3"/>
  <c r="R17" i="3"/>
  <c r="AI22" i="3"/>
  <c r="C35" i="3"/>
  <c r="N65" i="3"/>
  <c r="Z70" i="3"/>
  <c r="O59" i="3"/>
  <c r="U86" i="2"/>
  <c r="V108" i="2"/>
  <c r="Q42" i="3"/>
  <c r="AK10" i="3"/>
  <c r="AA24" i="3"/>
  <c r="AH26" i="3"/>
  <c r="V27" i="3"/>
  <c r="L12" i="3"/>
  <c r="J68" i="3"/>
  <c r="S67" i="3"/>
  <c r="Y78" i="3"/>
  <c r="Y91" i="3"/>
  <c r="S62" i="3"/>
  <c r="S90" i="3"/>
  <c r="S71" i="3"/>
  <c r="S76" i="3"/>
  <c r="Z47" i="3"/>
  <c r="Z79" i="3"/>
  <c r="Z82" i="3"/>
  <c r="Z93" i="3"/>
  <c r="Z50" i="3"/>
  <c r="Z73" i="3"/>
  <c r="Z63" i="3"/>
  <c r="Z83" i="3"/>
  <c r="Z65" i="3"/>
  <c r="I20" i="3"/>
  <c r="N93" i="3"/>
  <c r="AL5" i="3"/>
  <c r="S56" i="3"/>
  <c r="Z48" i="3"/>
  <c r="AL60" i="3"/>
  <c r="AO58" i="3"/>
  <c r="O40" i="3"/>
  <c r="AL15" i="3"/>
  <c r="W57" i="3"/>
  <c r="F80" i="2"/>
  <c r="P7" i="3"/>
  <c r="AJ68" i="3"/>
  <c r="S94" i="3"/>
  <c r="H12" i="3"/>
  <c r="AK72" i="3"/>
  <c r="O82" i="3"/>
  <c r="G49" i="3"/>
  <c r="N62" i="3"/>
  <c r="Z32" i="3"/>
  <c r="M33" i="3"/>
  <c r="S41" i="3"/>
  <c r="N87" i="3"/>
  <c r="S74" i="3"/>
  <c r="AN92" i="3"/>
  <c r="AK77" i="3"/>
  <c r="AK39" i="3"/>
  <c r="AP20" i="3"/>
  <c r="Z49" i="3"/>
  <c r="AO70" i="3"/>
  <c r="S39" i="3"/>
  <c r="Z80" i="3"/>
  <c r="Y70" i="3"/>
  <c r="S69" i="3"/>
  <c r="AL84" i="3"/>
  <c r="AL54" i="3"/>
  <c r="AL30" i="3"/>
  <c r="U72" i="2"/>
  <c r="Y30" i="3"/>
  <c r="Y18" i="3"/>
  <c r="J40" i="3"/>
  <c r="U10" i="3"/>
  <c r="G55" i="2"/>
  <c r="Q9" i="3"/>
  <c r="S70" i="2"/>
  <c r="C56" i="2"/>
  <c r="F109" i="2"/>
  <c r="Q107" i="2"/>
  <c r="R40" i="2"/>
  <c r="X24" i="3"/>
  <c r="AA41" i="3"/>
  <c r="H88" i="2"/>
  <c r="L7" i="3"/>
  <c r="J70" i="3"/>
  <c r="T7" i="3"/>
  <c r="N19" i="3"/>
  <c r="P37" i="3"/>
  <c r="AO57" i="3"/>
  <c r="Q74" i="3"/>
  <c r="I32" i="3"/>
  <c r="L38" i="3"/>
  <c r="AJ47" i="3"/>
  <c r="O59" i="2"/>
  <c r="AQ11" i="3"/>
  <c r="AJ62" i="3"/>
  <c r="H69" i="2"/>
  <c r="AL35" i="3"/>
  <c r="J50" i="3"/>
  <c r="AM31" i="3"/>
  <c r="K33" i="3"/>
  <c r="O36" i="3"/>
  <c r="Y63" i="3"/>
  <c r="T12" i="3"/>
  <c r="AL6" i="3"/>
  <c r="K5" i="3"/>
  <c r="S66" i="3"/>
  <c r="AD49" i="3"/>
  <c r="S92" i="3"/>
  <c r="K95" i="3"/>
  <c r="G35" i="3"/>
  <c r="E62" i="2"/>
  <c r="Q97" i="2"/>
  <c r="X89" i="2"/>
  <c r="U112" i="2"/>
  <c r="R51" i="2"/>
  <c r="AI33" i="3"/>
  <c r="O75" i="2"/>
  <c r="C36" i="3"/>
  <c r="S45" i="2"/>
  <c r="O27" i="3"/>
  <c r="D77" i="2"/>
  <c r="M40" i="3"/>
  <c r="G89" i="2"/>
  <c r="AC28" i="3"/>
  <c r="G45" i="2"/>
  <c r="T107" i="2"/>
  <c r="AH14" i="3"/>
  <c r="M52" i="2"/>
  <c r="AC39" i="3"/>
  <c r="W55" i="3"/>
  <c r="AB32" i="3"/>
  <c r="AN59" i="3"/>
  <c r="C63" i="2"/>
  <c r="AB40" i="3"/>
  <c r="C14" i="3"/>
  <c r="AN54" i="3"/>
  <c r="AI17" i="3"/>
  <c r="AI37" i="3"/>
  <c r="C106" i="2"/>
  <c r="R59" i="2"/>
  <c r="D109" i="2"/>
  <c r="O106" i="2"/>
  <c r="T50" i="2"/>
  <c r="E94" i="2"/>
  <c r="R109" i="2"/>
  <c r="AA9" i="3"/>
  <c r="T83" i="2"/>
  <c r="H74" i="2"/>
  <c r="AP54" i="3"/>
  <c r="J87" i="2"/>
  <c r="F108" i="2"/>
  <c r="X81" i="2"/>
  <c r="W105" i="2"/>
  <c r="E57" i="2"/>
  <c r="L84" i="2"/>
  <c r="E97" i="2"/>
  <c r="U41" i="2"/>
  <c r="G37" i="3"/>
  <c r="S71" i="2"/>
  <c r="V85" i="2"/>
  <c r="J60" i="2"/>
  <c r="E70" i="2"/>
  <c r="W50" i="2"/>
  <c r="L80" i="2"/>
  <c r="T97" i="2"/>
  <c r="F93" i="2"/>
  <c r="F96" i="2"/>
  <c r="AJ25" i="3"/>
  <c r="J89" i="2"/>
  <c r="D51" i="2"/>
  <c r="H107" i="2"/>
  <c r="F58" i="2"/>
  <c r="S73" i="2"/>
  <c r="L76" i="2"/>
  <c r="M48" i="2"/>
  <c r="F104" i="2"/>
  <c r="S96" i="2"/>
  <c r="J16" i="3"/>
  <c r="C61" i="2"/>
  <c r="U15" i="3"/>
  <c r="S113" i="2"/>
  <c r="Z26" i="3"/>
  <c r="X33" i="3"/>
  <c r="Q13" i="3"/>
  <c r="O78" i="3"/>
  <c r="M83" i="2"/>
  <c r="L71" i="2"/>
  <c r="AP37" i="3"/>
  <c r="AN6" i="3"/>
  <c r="AP15" i="3"/>
  <c r="AL22" i="3"/>
  <c r="W91" i="2"/>
  <c r="AP86" i="3"/>
  <c r="K27" i="3"/>
  <c r="AP35" i="3"/>
  <c r="X43" i="2"/>
  <c r="V98" i="2"/>
  <c r="F63" i="2"/>
  <c r="AP88" i="3"/>
  <c r="R22" i="3"/>
  <c r="Z14" i="3"/>
  <c r="M109" i="2"/>
  <c r="AP48" i="3"/>
  <c r="U60" i="2"/>
  <c r="C27" i="3"/>
  <c r="H58" i="2"/>
  <c r="AB74" i="3"/>
  <c r="G52" i="2"/>
  <c r="AB34" i="3"/>
  <c r="P38" i="3"/>
  <c r="K108" i="2"/>
  <c r="N42" i="2"/>
  <c r="Q90" i="2"/>
  <c r="K64" i="2"/>
  <c r="I61" i="2"/>
  <c r="N92" i="2"/>
  <c r="AG38" i="3"/>
  <c r="AB83" i="3"/>
  <c r="X91" i="2"/>
  <c r="I65" i="2"/>
  <c r="T60" i="2"/>
  <c r="AB22" i="3"/>
  <c r="K30" i="3"/>
  <c r="AB13" i="3"/>
  <c r="AB16" i="3"/>
  <c r="N99" i="2"/>
  <c r="AQ33" i="3"/>
  <c r="U14" i="3"/>
  <c r="Y14" i="3"/>
  <c r="O88" i="3"/>
  <c r="O73" i="3"/>
  <c r="AO68" i="3"/>
  <c r="AO90" i="3"/>
  <c r="E44" i="2"/>
  <c r="AG18" i="3"/>
  <c r="J9" i="3"/>
  <c r="Z41" i="3"/>
  <c r="AK64" i="3"/>
  <c r="AK63" i="3"/>
  <c r="I99" i="2"/>
  <c r="Q12" i="3"/>
  <c r="J11" i="3"/>
  <c r="U28" i="3"/>
  <c r="W88" i="3"/>
  <c r="P82" i="2"/>
  <c r="AQ7" i="3"/>
  <c r="Y21" i="3"/>
  <c r="X35" i="3"/>
  <c r="T29" i="3"/>
  <c r="AN75" i="3"/>
  <c r="H74" i="3"/>
  <c r="N68" i="3"/>
  <c r="AJ97" i="3"/>
  <c r="O93" i="3"/>
  <c r="E68" i="2"/>
  <c r="K38" i="3"/>
  <c r="R15" i="3"/>
  <c r="AA15" i="3"/>
  <c r="Y42" i="3"/>
  <c r="I10" i="3"/>
  <c r="N95" i="3"/>
  <c r="N81" i="3"/>
  <c r="H94" i="3"/>
  <c r="J97" i="3"/>
  <c r="O17" i="3"/>
  <c r="AP57" i="3"/>
  <c r="AJ27" i="3"/>
  <c r="AN28" i="3"/>
  <c r="H36" i="3"/>
  <c r="V26" i="3"/>
  <c r="AQ37" i="3"/>
  <c r="C10" i="3"/>
  <c r="W68" i="3"/>
  <c r="O50" i="3"/>
  <c r="J57" i="3"/>
  <c r="AN91" i="3"/>
  <c r="AK84" i="3"/>
  <c r="N47" i="3"/>
  <c r="M91" i="2"/>
  <c r="AQ38" i="3"/>
  <c r="V20" i="3"/>
  <c r="U29" i="3"/>
  <c r="C33" i="3"/>
  <c r="W25" i="3"/>
  <c r="Q40" i="3"/>
  <c r="V17" i="3"/>
  <c r="J82" i="3"/>
  <c r="J61" i="3"/>
  <c r="AN87" i="3"/>
  <c r="AJ50" i="3"/>
  <c r="V64" i="2"/>
  <c r="AA12" i="3"/>
  <c r="M41" i="3"/>
  <c r="AM35" i="3"/>
  <c r="J15" i="3"/>
  <c r="P26" i="3"/>
  <c r="AE20" i="3"/>
  <c r="R11" i="3"/>
  <c r="Y74" i="3"/>
  <c r="AP67" i="3"/>
  <c r="U108" i="2"/>
  <c r="AH5" i="3"/>
  <c r="AA14" i="3"/>
  <c r="AO40" i="3"/>
  <c r="N7" i="3"/>
  <c r="I21" i="3"/>
  <c r="Y10" i="3"/>
  <c r="H82" i="3"/>
  <c r="AJ93" i="3"/>
  <c r="W49" i="3"/>
  <c r="I60" i="3"/>
  <c r="Y92" i="3"/>
  <c r="AN63" i="3"/>
  <c r="I62" i="3"/>
  <c r="S97" i="3"/>
  <c r="Q84" i="3"/>
  <c r="AK47" i="3"/>
  <c r="W91" i="3"/>
  <c r="N61" i="3"/>
  <c r="AH57" i="3"/>
  <c r="AO47" i="3"/>
  <c r="U104" i="2"/>
  <c r="N24" i="3"/>
  <c r="P14" i="3"/>
  <c r="AA16" i="3"/>
  <c r="AB10" i="3"/>
  <c r="N31" i="3"/>
  <c r="AO23" i="3"/>
  <c r="V35" i="3"/>
  <c r="Z92" i="3"/>
  <c r="K88" i="3"/>
  <c r="J56" i="3"/>
  <c r="AN88" i="3"/>
  <c r="S84" i="3"/>
  <c r="AJ81" i="3"/>
  <c r="AK66" i="3"/>
  <c r="N72" i="2"/>
  <c r="H52" i="2"/>
  <c r="Q15" i="3"/>
  <c r="AN24" i="3"/>
  <c r="K16" i="3"/>
  <c r="AB35" i="3"/>
  <c r="S27" i="3"/>
  <c r="AB14" i="3"/>
  <c r="AN62" i="3"/>
  <c r="K89" i="3"/>
  <c r="O91" i="3"/>
  <c r="O29" i="3"/>
  <c r="M108" i="2"/>
  <c r="D47" i="3"/>
  <c r="AL13" i="3"/>
  <c r="AE34" i="3"/>
  <c r="AD27" i="3"/>
  <c r="X25" i="3"/>
  <c r="AP24" i="3"/>
  <c r="AN78" i="3"/>
  <c r="H63" i="3"/>
  <c r="Q83" i="3"/>
  <c r="Z55" i="3"/>
  <c r="K96" i="3"/>
  <c r="N83" i="3"/>
  <c r="AL95" i="3"/>
  <c r="AK95" i="3"/>
  <c r="Q72" i="3"/>
  <c r="Y62" i="3"/>
  <c r="Y84" i="3"/>
  <c r="S96" i="3"/>
  <c r="S54" i="3"/>
  <c r="S85" i="3"/>
  <c r="S57" i="3"/>
  <c r="AH60" i="3"/>
  <c r="AH84" i="3"/>
  <c r="AH78" i="3"/>
  <c r="AH86" i="3"/>
  <c r="K60" i="3"/>
  <c r="K65" i="3"/>
  <c r="K87" i="3"/>
  <c r="Z62" i="3"/>
  <c r="AL92" i="3"/>
  <c r="AL97" i="3"/>
  <c r="AL72" i="3"/>
  <c r="AL62" i="3"/>
  <c r="AN15" i="3"/>
  <c r="AK60" i="3"/>
  <c r="W79" i="3"/>
  <c r="AK81" i="3"/>
  <c r="T69" i="2"/>
  <c r="T16" i="3"/>
  <c r="AL21" i="3"/>
  <c r="AH9" i="3"/>
  <c r="Q79" i="3"/>
  <c r="H77" i="3"/>
  <c r="AN57" i="3"/>
  <c r="Q75" i="3"/>
  <c r="C44" i="2"/>
  <c r="K11" i="3"/>
  <c r="AE12" i="3"/>
  <c r="Q6" i="3"/>
  <c r="X5" i="3"/>
  <c r="X8" i="3"/>
  <c r="S82" i="3"/>
  <c r="H73" i="3"/>
  <c r="S75" i="3"/>
  <c r="S61" i="3"/>
  <c r="AH74" i="3"/>
  <c r="AH62" i="3"/>
  <c r="K61" i="3"/>
  <c r="K97" i="3"/>
  <c r="Z69" i="3"/>
  <c r="Z64" i="3"/>
  <c r="Z81" i="3"/>
  <c r="X97" i="3"/>
  <c r="AL59" i="3"/>
  <c r="O56" i="3"/>
  <c r="J20" i="3"/>
  <c r="I8" i="3"/>
  <c r="L35" i="3"/>
  <c r="U22" i="3"/>
  <c r="AC38" i="3"/>
  <c r="AQ42" i="3"/>
  <c r="AH75" i="3"/>
  <c r="O89" i="3"/>
  <c r="K85" i="3"/>
  <c r="Z75" i="3"/>
  <c r="Z95" i="3"/>
  <c r="Z66" i="3"/>
  <c r="X90" i="3"/>
  <c r="AL91" i="3"/>
  <c r="AL66" i="3"/>
  <c r="AL48" i="3"/>
  <c r="AL87" i="3"/>
  <c r="Q56" i="3"/>
  <c r="AJ95" i="3"/>
  <c r="S81" i="2"/>
  <c r="AQ41" i="3"/>
  <c r="AL7" i="3"/>
  <c r="Z20" i="3"/>
  <c r="H54" i="3"/>
  <c r="AB6" i="3"/>
  <c r="AA7" i="3"/>
  <c r="O19" i="3"/>
  <c r="M8" i="3"/>
  <c r="Q70" i="2"/>
  <c r="I74" i="3"/>
  <c r="J67" i="3"/>
  <c r="Y69" i="3"/>
  <c r="X88" i="3"/>
  <c r="W47" i="3"/>
  <c r="AK62" i="3"/>
  <c r="K83" i="3"/>
  <c r="S89" i="3"/>
  <c r="AH66" i="3"/>
  <c r="X78" i="3"/>
  <c r="AL88" i="3"/>
  <c r="M75" i="2"/>
  <c r="AP12" i="3"/>
  <c r="P58" i="2"/>
  <c r="H84" i="2"/>
  <c r="E81" i="2"/>
  <c r="AP60" i="3"/>
  <c r="C74" i="2"/>
  <c r="X54" i="2"/>
  <c r="AB66" i="3"/>
  <c r="X31" i="3"/>
  <c r="P16" i="3"/>
  <c r="AP22" i="3"/>
  <c r="I24" i="3"/>
  <c r="Q76" i="2"/>
  <c r="AM19" i="3"/>
  <c r="S38" i="3"/>
  <c r="H70" i="3"/>
  <c r="O85" i="3"/>
  <c r="AO71" i="3"/>
  <c r="Z7" i="3"/>
  <c r="I73" i="2"/>
  <c r="W29" i="3"/>
  <c r="L44" i="2"/>
  <c r="X105" i="2"/>
  <c r="I113" i="2"/>
  <c r="S55" i="2"/>
  <c r="P87" i="2"/>
  <c r="X34" i="3"/>
  <c r="M51" i="2"/>
  <c r="O40" i="2"/>
  <c r="T8" i="3"/>
  <c r="I42" i="2"/>
  <c r="J46" i="2"/>
  <c r="C37" i="3"/>
  <c r="W107" i="2"/>
  <c r="R47" i="2"/>
  <c r="E84" i="2"/>
  <c r="K73" i="2"/>
  <c r="P78" i="2"/>
  <c r="P90" i="2"/>
  <c r="T82" i="2"/>
  <c r="D89" i="2"/>
  <c r="Q73" i="2"/>
  <c r="D52" i="2"/>
  <c r="K91" i="2"/>
  <c r="V81" i="2"/>
  <c r="C46" i="2"/>
  <c r="AP55" i="3"/>
  <c r="N48" i="2"/>
  <c r="N40" i="3"/>
  <c r="K84" i="2"/>
  <c r="L63" i="2"/>
  <c r="R67" i="2"/>
  <c r="O66" i="2"/>
  <c r="Q62" i="2"/>
  <c r="Q105" i="2"/>
  <c r="M93" i="2"/>
  <c r="P59" i="2"/>
  <c r="L55" i="2"/>
  <c r="AO15" i="3"/>
  <c r="AB50" i="3"/>
  <c r="V57" i="2"/>
  <c r="T96" i="2"/>
  <c r="AI25" i="3"/>
  <c r="AK6" i="3"/>
  <c r="AD42" i="3"/>
  <c r="Q82" i="3"/>
  <c r="E59" i="2"/>
  <c r="N73" i="2"/>
  <c r="Y19" i="3"/>
  <c r="M7" i="3"/>
  <c r="AO31" i="3"/>
  <c r="R69" i="2"/>
  <c r="Q109" i="2"/>
  <c r="AP80" i="3"/>
  <c r="AC11" i="3"/>
  <c r="AM27" i="3"/>
  <c r="Q51" i="2"/>
  <c r="D63" i="2"/>
  <c r="Q104" i="2"/>
  <c r="AB67" i="3"/>
  <c r="AG24" i="3"/>
  <c r="O34" i="3"/>
  <c r="K67" i="2"/>
  <c r="AP73" i="3"/>
  <c r="L104" i="2"/>
  <c r="I7" i="3"/>
  <c r="W112" i="2"/>
  <c r="J41" i="3"/>
  <c r="C62" i="2"/>
  <c r="J34" i="3"/>
  <c r="Q11" i="3"/>
  <c r="F49" i="2"/>
  <c r="L42" i="2"/>
  <c r="D95" i="2"/>
  <c r="V79" i="2"/>
  <c r="W92" i="2"/>
  <c r="AB61" i="3"/>
  <c r="AJ34" i="3"/>
  <c r="R36" i="3"/>
  <c r="U43" i="2"/>
  <c r="W97" i="2"/>
  <c r="Q80" i="2"/>
  <c r="C22" i="3"/>
  <c r="K39" i="3"/>
  <c r="AD48" i="3"/>
  <c r="W8" i="3"/>
  <c r="T52" i="2"/>
  <c r="M5" i="3"/>
  <c r="Z21" i="3"/>
  <c r="Y12" i="3"/>
  <c r="Q65" i="3"/>
  <c r="I54" i="3"/>
  <c r="D106" i="2"/>
  <c r="AE29" i="3"/>
  <c r="AQ26" i="3"/>
  <c r="U5" i="3"/>
  <c r="N69" i="3"/>
  <c r="AN50" i="3"/>
  <c r="AJ75" i="3"/>
  <c r="U107" i="2"/>
  <c r="V21" i="3"/>
  <c r="AB15" i="3"/>
  <c r="AG30" i="3"/>
  <c r="O87" i="3"/>
  <c r="W73" i="3"/>
  <c r="S111" i="2"/>
  <c r="AQ8" i="3"/>
  <c r="AA40" i="3"/>
  <c r="AK9" i="3"/>
  <c r="O31" i="3"/>
  <c r="W50" i="3"/>
  <c r="W62" i="3"/>
  <c r="M86" i="3"/>
  <c r="AK96" i="3"/>
  <c r="M64" i="3"/>
  <c r="AO83" i="3"/>
  <c r="U90" i="3"/>
  <c r="Z25" i="3"/>
  <c r="V9" i="3"/>
  <c r="AO32" i="3"/>
  <c r="O16" i="3"/>
  <c r="AD22" i="3"/>
  <c r="T19" i="3"/>
  <c r="AN67" i="3"/>
  <c r="AJ77" i="3"/>
  <c r="AN47" i="3"/>
  <c r="N70" i="3"/>
  <c r="Y67" i="3"/>
  <c r="Q110" i="2"/>
  <c r="AI41" i="3"/>
  <c r="J31" i="3"/>
  <c r="AN16" i="3"/>
  <c r="AJ20" i="3"/>
  <c r="AC35" i="3"/>
  <c r="R38" i="3"/>
  <c r="AG14" i="3"/>
  <c r="O80" i="3"/>
  <c r="W86" i="3"/>
  <c r="Y76" i="3"/>
  <c r="Y68" i="3"/>
  <c r="Y82" i="3"/>
  <c r="H89" i="3"/>
  <c r="Q59" i="3"/>
  <c r="J90" i="3"/>
  <c r="U97" i="3"/>
  <c r="K104" i="2"/>
  <c r="G40" i="3"/>
  <c r="M21" i="3"/>
  <c r="J24" i="3"/>
  <c r="O7" i="3"/>
  <c r="AQ16" i="3"/>
  <c r="P23" i="3"/>
  <c r="K32" i="3"/>
  <c r="I64" i="3"/>
  <c r="J55" i="3"/>
  <c r="N85" i="3"/>
  <c r="O54" i="3"/>
  <c r="I96" i="3"/>
  <c r="I94" i="3"/>
  <c r="Q91" i="3"/>
  <c r="R92" i="2"/>
  <c r="AN27" i="3"/>
  <c r="P36" i="3"/>
  <c r="T39" i="3"/>
  <c r="Z31" i="3"/>
  <c r="P12" i="3"/>
  <c r="P17" i="3"/>
  <c r="W30" i="3"/>
  <c r="AO48" i="3"/>
  <c r="N97" i="3"/>
  <c r="H55" i="3"/>
  <c r="H40" i="2"/>
  <c r="AB85" i="3"/>
  <c r="AM9" i="3"/>
  <c r="O14" i="3"/>
  <c r="AM30" i="3"/>
  <c r="AB8" i="3"/>
  <c r="N88" i="3"/>
  <c r="J58" i="3"/>
  <c r="AN64" i="3"/>
  <c r="Y65" i="3"/>
  <c r="Y61" i="3"/>
  <c r="AH55" i="3"/>
  <c r="L33" i="3"/>
  <c r="AD39" i="3"/>
  <c r="AG33" i="3"/>
  <c r="AJ42" i="3"/>
  <c r="S55" i="3"/>
  <c r="H50" i="3"/>
  <c r="K48" i="3"/>
  <c r="U49" i="3"/>
  <c r="K85" i="2"/>
  <c r="Y36" i="3"/>
  <c r="W17" i="3"/>
  <c r="AJ82" i="3"/>
  <c r="S47" i="3"/>
  <c r="I55" i="3"/>
  <c r="O79" i="3"/>
  <c r="S87" i="2"/>
  <c r="N26" i="3"/>
  <c r="P9" i="3"/>
  <c r="AE37" i="3"/>
  <c r="Q38" i="3"/>
  <c r="Y37" i="3"/>
  <c r="Y54" i="3"/>
  <c r="Q69" i="3"/>
  <c r="AH89" i="3"/>
  <c r="J87" i="3"/>
  <c r="U70" i="3"/>
  <c r="S80" i="3"/>
  <c r="U71" i="3"/>
  <c r="Y86" i="3"/>
  <c r="Y88" i="3"/>
  <c r="S78" i="3"/>
  <c r="AH50" i="3"/>
  <c r="AH67" i="3"/>
  <c r="K76" i="3"/>
  <c r="K67" i="3"/>
  <c r="Z76" i="3"/>
  <c r="X68" i="3"/>
  <c r="AL63" i="3"/>
  <c r="AL55" i="3"/>
  <c r="AL76" i="3"/>
  <c r="AL78" i="3"/>
  <c r="K74" i="3"/>
  <c r="AJ31" i="3"/>
  <c r="AP36" i="3"/>
  <c r="Z18" i="3"/>
  <c r="C13" i="3"/>
  <c r="W90" i="3"/>
  <c r="S86" i="3"/>
  <c r="J93" i="3"/>
  <c r="J72" i="3"/>
  <c r="X64" i="3"/>
  <c r="AK78" i="3"/>
  <c r="Y66" i="3"/>
  <c r="S63" i="3"/>
  <c r="S83" i="3"/>
  <c r="K49" i="3"/>
  <c r="X72" i="3"/>
  <c r="AJ61" i="3"/>
  <c r="AO88" i="3"/>
  <c r="V22" i="3"/>
  <c r="T11" i="3"/>
  <c r="AD34" i="3"/>
  <c r="AH25" i="3"/>
  <c r="Y71" i="3"/>
  <c r="AA37" i="3"/>
  <c r="Y31" i="3"/>
  <c r="AM13" i="3"/>
  <c r="AI26" i="3"/>
  <c r="X28" i="3"/>
  <c r="AQ5" i="3"/>
  <c r="AJ36" i="3"/>
  <c r="N12" i="3"/>
  <c r="AE41" i="3"/>
  <c r="AN71" i="3"/>
  <c r="AJ14" i="3"/>
  <c r="Y7" i="3"/>
  <c r="X19" i="3"/>
  <c r="I63" i="3"/>
  <c r="M82" i="3"/>
  <c r="S79" i="3"/>
  <c r="K70" i="3"/>
  <c r="Z96" i="3"/>
  <c r="Z72" i="3"/>
  <c r="AL89" i="3"/>
  <c r="M23" i="3"/>
  <c r="R107" i="2"/>
  <c r="R93" i="2"/>
  <c r="G42" i="3"/>
  <c r="N108" i="2"/>
  <c r="W65" i="2"/>
  <c r="V34" i="3"/>
  <c r="AQ13" i="3"/>
  <c r="AD38" i="3"/>
  <c r="S42" i="3"/>
  <c r="M96" i="2"/>
  <c r="T81" i="2"/>
  <c r="V69" i="2"/>
  <c r="S19" i="3"/>
  <c r="AB63" i="3"/>
  <c r="K12" i="3"/>
  <c r="AI14" i="3"/>
  <c r="J45" i="2"/>
  <c r="Q92" i="2"/>
  <c r="R14" i="3"/>
  <c r="AG34" i="3"/>
  <c r="AE36" i="3"/>
  <c r="AN69" i="3"/>
  <c r="Y56" i="3"/>
  <c r="Q54" i="3"/>
  <c r="AJ91" i="3"/>
  <c r="Q57" i="3"/>
  <c r="J82" i="2"/>
  <c r="E48" i="3"/>
  <c r="AC25" i="3"/>
  <c r="Q55" i="3"/>
  <c r="AJ49" i="3"/>
  <c r="Y64" i="3"/>
  <c r="AO54" i="3"/>
  <c r="AO24" i="3"/>
  <c r="AK28" i="3"/>
  <c r="U33" i="3"/>
  <c r="AH18" i="3"/>
  <c r="K59" i="3"/>
  <c r="I83" i="3"/>
  <c r="X95" i="2"/>
  <c r="AN17" i="3"/>
  <c r="AD21" i="3"/>
  <c r="AO22" i="3"/>
  <c r="Q50" i="3"/>
  <c r="S93" i="3"/>
  <c r="K72" i="3"/>
  <c r="Z68" i="3"/>
  <c r="AL47" i="3"/>
  <c r="AL58" i="3"/>
  <c r="I26" i="3"/>
  <c r="M36" i="3"/>
  <c r="W62" i="2"/>
  <c r="L66" i="2"/>
  <c r="P30" i="3"/>
  <c r="U91" i="2"/>
  <c r="W26" i="3"/>
  <c r="G41" i="2"/>
  <c r="J55" i="2"/>
  <c r="AK21" i="3"/>
  <c r="P85" i="2"/>
  <c r="K95" i="2"/>
  <c r="AH21" i="3"/>
  <c r="D42" i="2"/>
  <c r="G109" i="2"/>
  <c r="T59" i="2"/>
  <c r="AI13" i="3"/>
  <c r="AN20" i="3"/>
  <c r="AJ84" i="3"/>
  <c r="AG12" i="3"/>
  <c r="O63" i="3"/>
  <c r="N33" i="3"/>
  <c r="U56" i="3"/>
  <c r="N48" i="3"/>
  <c r="O83" i="3"/>
  <c r="Z13" i="3"/>
  <c r="AN82" i="3"/>
  <c r="U75" i="3"/>
  <c r="AO62" i="3"/>
  <c r="D49" i="3"/>
  <c r="AB65" i="3"/>
  <c r="M106" i="2"/>
  <c r="D79" i="2"/>
  <c r="I87" i="2"/>
  <c r="R111" i="2"/>
  <c r="S76" i="2"/>
  <c r="M99" i="2"/>
  <c r="O48" i="2"/>
  <c r="T109" i="2"/>
  <c r="C84" i="2"/>
  <c r="T24" i="3"/>
  <c r="C93" i="2"/>
  <c r="L48" i="2"/>
  <c r="AL41" i="3"/>
  <c r="J79" i="2"/>
  <c r="Q112" i="2"/>
  <c r="X73" i="2"/>
  <c r="AB47" i="3"/>
  <c r="V86" i="2"/>
  <c r="L86" i="2"/>
  <c r="E50" i="2"/>
  <c r="R53" i="2"/>
  <c r="AB70" i="3"/>
  <c r="L111" i="2"/>
  <c r="F73" i="2"/>
  <c r="O79" i="2"/>
  <c r="M92" i="2"/>
  <c r="AH16" i="3"/>
  <c r="K47" i="2"/>
  <c r="Q33" i="3"/>
  <c r="J70" i="2"/>
  <c r="F53" i="2"/>
  <c r="G107" i="2"/>
  <c r="U65" i="2"/>
  <c r="D99" i="2"/>
  <c r="L49" i="2"/>
  <c r="L95" i="2"/>
  <c r="W94" i="2"/>
  <c r="W77" i="2"/>
  <c r="O37" i="3"/>
  <c r="AI16" i="3"/>
  <c r="P84" i="2"/>
  <c r="S54" i="2"/>
  <c r="AJ39" i="3"/>
  <c r="J33" i="3"/>
  <c r="AQ10" i="3"/>
  <c r="M82" i="2"/>
  <c r="M111" i="2"/>
  <c r="Q41" i="2"/>
  <c r="L14" i="3"/>
  <c r="AG23" i="3"/>
  <c r="AA5" i="3"/>
  <c r="C53" i="2"/>
  <c r="W90" i="2"/>
  <c r="AL33" i="3"/>
  <c r="AO19" i="3"/>
  <c r="K9" i="3"/>
  <c r="S40" i="3"/>
  <c r="N81" i="2"/>
  <c r="L70" i="2"/>
  <c r="Z19" i="3"/>
  <c r="AN36" i="3"/>
  <c r="T40" i="3"/>
  <c r="F43" i="2"/>
  <c r="W28" i="3"/>
  <c r="T89" i="2"/>
  <c r="AC23" i="3"/>
  <c r="I89" i="2"/>
  <c r="S12" i="3"/>
  <c r="G50" i="2"/>
  <c r="AC36" i="3"/>
  <c r="N25" i="3"/>
  <c r="S97" i="2"/>
  <c r="S66" i="2"/>
  <c r="P57" i="2"/>
  <c r="AB96" i="3"/>
  <c r="L45" i="2"/>
  <c r="AB71" i="3"/>
  <c r="I42" i="3"/>
  <c r="M15" i="3"/>
  <c r="D41" i="2"/>
  <c r="S61" i="2"/>
  <c r="Q111" i="2"/>
  <c r="AI10" i="3"/>
  <c r="AK8" i="3"/>
  <c r="R37" i="3"/>
  <c r="AI30" i="3"/>
  <c r="F69" i="2"/>
  <c r="AN40" i="3"/>
  <c r="AN42" i="3"/>
  <c r="W20" i="3"/>
  <c r="W83" i="3"/>
  <c r="H79" i="3"/>
  <c r="I72" i="3"/>
  <c r="M63" i="3"/>
  <c r="E42" i="2"/>
  <c r="S26" i="3"/>
  <c r="C29" i="3"/>
  <c r="AG41" i="3"/>
  <c r="O57" i="3"/>
  <c r="H48" i="3"/>
  <c r="N66" i="3"/>
  <c r="AE70" i="3"/>
  <c r="I92" i="3"/>
  <c r="W33" i="3"/>
  <c r="R19" i="3"/>
  <c r="O42" i="3"/>
  <c r="E50" i="3"/>
  <c r="AN90" i="3"/>
  <c r="W94" i="3"/>
  <c r="AE96" i="3"/>
  <c r="AP97" i="3"/>
  <c r="I29" i="3"/>
  <c r="H42" i="3"/>
  <c r="AB42" i="3"/>
  <c r="AB9" i="3"/>
  <c r="AJ70" i="3"/>
  <c r="J77" i="3"/>
  <c r="AK82" i="3"/>
  <c r="O47" i="3"/>
  <c r="AE56" i="3"/>
  <c r="V76" i="3"/>
  <c r="AK93" i="3"/>
  <c r="M104" i="2"/>
  <c r="T28" i="3"/>
  <c r="M30" i="3"/>
  <c r="AB12" i="3"/>
  <c r="W34" i="3"/>
  <c r="AM10" i="3"/>
  <c r="AK85" i="3"/>
  <c r="AO76" i="3"/>
  <c r="AN65" i="3"/>
  <c r="U59" i="3"/>
  <c r="AE68" i="3"/>
  <c r="M72" i="3"/>
  <c r="U92" i="3"/>
  <c r="I50" i="3"/>
  <c r="AN60" i="3"/>
  <c r="N57" i="3"/>
  <c r="L52" i="2"/>
  <c r="AM39" i="3"/>
  <c r="Q32" i="3"/>
  <c r="N16" i="3"/>
  <c r="AM24" i="3"/>
  <c r="AQ34" i="3"/>
  <c r="Y32" i="3"/>
  <c r="C18" i="3"/>
  <c r="U61" i="3"/>
  <c r="AA49" i="3"/>
  <c r="AO60" i="3"/>
  <c r="N80" i="3"/>
  <c r="AJ64" i="3"/>
  <c r="M87" i="3"/>
  <c r="N76" i="3"/>
  <c r="AA62" i="3"/>
  <c r="J60" i="3"/>
  <c r="AN74" i="3"/>
  <c r="N71" i="3"/>
  <c r="W58" i="3"/>
  <c r="N105" i="2"/>
  <c r="J17" i="3"/>
  <c r="AC27" i="3"/>
  <c r="S25" i="3"/>
  <c r="U6" i="3"/>
  <c r="Y11" i="3"/>
  <c r="AQ24" i="3"/>
  <c r="O33" i="3"/>
  <c r="I76" i="3"/>
  <c r="I67" i="3"/>
  <c r="AA84" i="3"/>
  <c r="W48" i="3"/>
  <c r="U85" i="3"/>
  <c r="O69" i="3"/>
  <c r="AK83" i="3"/>
  <c r="J74" i="3"/>
  <c r="N89" i="3"/>
  <c r="P75" i="2"/>
  <c r="AO11" i="3"/>
  <c r="AK27" i="3"/>
  <c r="AG9" i="3"/>
  <c r="AP17" i="3"/>
  <c r="Y25" i="3"/>
  <c r="Y20" i="3"/>
  <c r="AJ9" i="3"/>
  <c r="M69" i="3"/>
  <c r="G77" i="2"/>
  <c r="S32" i="3"/>
  <c r="J19" i="3"/>
  <c r="M28" i="3"/>
  <c r="AI31" i="3"/>
  <c r="AG16" i="3"/>
  <c r="V11" i="3"/>
  <c r="AE26" i="3"/>
  <c r="AN70" i="3"/>
  <c r="O72" i="3"/>
  <c r="H97" i="3"/>
  <c r="N67" i="3"/>
  <c r="M75" i="3"/>
  <c r="AA89" i="3"/>
  <c r="H72" i="3"/>
  <c r="W97" i="3"/>
  <c r="Q80" i="3"/>
  <c r="AE71" i="3"/>
  <c r="AK50" i="3"/>
  <c r="J73" i="3"/>
  <c r="M89" i="3"/>
  <c r="AH69" i="3"/>
  <c r="U77" i="3"/>
  <c r="S68" i="3"/>
  <c r="U68" i="2"/>
  <c r="AK30" i="3"/>
  <c r="U16" i="3"/>
  <c r="H31" i="3"/>
  <c r="M6" i="3"/>
  <c r="H39" i="3"/>
  <c r="AC31" i="3"/>
  <c r="C16" i="3"/>
  <c r="Y81" i="3"/>
  <c r="V58" i="3"/>
  <c r="H81" i="3"/>
  <c r="AN76" i="3"/>
  <c r="I66" i="3"/>
  <c r="Y73" i="3"/>
  <c r="W54" i="3"/>
  <c r="W56" i="3"/>
  <c r="AH95" i="3"/>
  <c r="Q95" i="3"/>
  <c r="C108" i="2"/>
  <c r="H8" i="3"/>
  <c r="H83" i="3"/>
  <c r="V50" i="3"/>
  <c r="AA58" i="3"/>
  <c r="Y50" i="3"/>
  <c r="S48" i="3"/>
  <c r="AH80" i="3"/>
  <c r="AH96" i="3"/>
  <c r="K77" i="3"/>
  <c r="K86" i="3"/>
  <c r="Z87" i="3"/>
  <c r="Z84" i="3"/>
  <c r="AQ59" i="3"/>
  <c r="X55" i="3"/>
  <c r="X94" i="3"/>
  <c r="X77" i="3"/>
  <c r="AL93" i="3"/>
  <c r="AJ59" i="3"/>
  <c r="W7" i="3"/>
  <c r="Y72" i="3"/>
  <c r="M78" i="3"/>
  <c r="V55" i="3"/>
  <c r="AJ48" i="3"/>
  <c r="U61" i="2"/>
  <c r="V25" i="3"/>
  <c r="I104" i="2"/>
  <c r="W65" i="3"/>
  <c r="M27" i="3"/>
  <c r="Q78" i="3"/>
  <c r="N77" i="3"/>
  <c r="Q67" i="3"/>
  <c r="Q81" i="3"/>
  <c r="N55" i="3"/>
  <c r="D91" i="2"/>
  <c r="Z27" i="3"/>
  <c r="N79" i="3"/>
  <c r="U89" i="3"/>
  <c r="Y93" i="3"/>
  <c r="AH64" i="3"/>
  <c r="H69" i="3"/>
  <c r="Q7" i="3"/>
  <c r="O11" i="3"/>
  <c r="Y58" i="3"/>
  <c r="S60" i="3"/>
  <c r="AH76" i="3"/>
  <c r="AH49" i="3"/>
  <c r="K66" i="3"/>
  <c r="K63" i="3"/>
  <c r="Z60" i="3"/>
  <c r="Z58" i="3"/>
  <c r="AQ95" i="3"/>
  <c r="X83" i="3"/>
  <c r="X65" i="3"/>
  <c r="AL56" i="3"/>
  <c r="V92" i="2"/>
  <c r="J50" i="2"/>
  <c r="M87" i="2"/>
  <c r="U55" i="2"/>
  <c r="AB82" i="3"/>
  <c r="C54" i="2"/>
  <c r="I44" i="2"/>
  <c r="H82" i="2"/>
  <c r="Y41" i="3"/>
  <c r="X93" i="2"/>
  <c r="I67" i="2"/>
  <c r="K60" i="2"/>
  <c r="W12" i="3"/>
  <c r="J106" i="2"/>
  <c r="AA38" i="3"/>
  <c r="AO91" i="3"/>
  <c r="AK34" i="3"/>
  <c r="AJ58" i="3"/>
  <c r="AQ31" i="3"/>
  <c r="AJ88" i="3"/>
  <c r="AK38" i="3"/>
  <c r="AO84" i="3"/>
  <c r="U63" i="3"/>
  <c r="AE66" i="3"/>
  <c r="AH10" i="3"/>
  <c r="R39" i="3"/>
  <c r="AQ27" i="3"/>
  <c r="I90" i="3"/>
  <c r="S47" i="2"/>
  <c r="AK92" i="3"/>
  <c r="AJ67" i="3"/>
  <c r="O97" i="2"/>
  <c r="V6" i="3"/>
  <c r="Q81" i="2"/>
  <c r="X20" i="3"/>
  <c r="AB30" i="3"/>
  <c r="T5" i="3"/>
  <c r="AO94" i="3"/>
  <c r="O94" i="3"/>
  <c r="O53" i="2"/>
  <c r="AL25" i="3"/>
  <c r="T78" i="3"/>
  <c r="Y83" i="3"/>
  <c r="Y55" i="3"/>
  <c r="S91" i="3"/>
  <c r="AH94" i="3"/>
  <c r="K79" i="3"/>
  <c r="Z97" i="3"/>
  <c r="AQ49" i="3"/>
  <c r="X49" i="3"/>
  <c r="X54" i="3"/>
  <c r="AL80" i="3"/>
  <c r="C83" i="2"/>
  <c r="M90" i="2"/>
  <c r="K42" i="2"/>
  <c r="C25" i="3"/>
  <c r="AI12" i="3"/>
  <c r="L64" i="2"/>
  <c r="C41" i="3"/>
  <c r="T113" i="2"/>
  <c r="AG22" i="3"/>
  <c r="D107" i="2"/>
  <c r="Z37" i="3"/>
  <c r="H110" i="2"/>
  <c r="AP33" i="3"/>
  <c r="Q77" i="2"/>
  <c r="X55" i="2"/>
  <c r="N77" i="2"/>
  <c r="H79" i="2"/>
  <c r="L65" i="2"/>
  <c r="M25" i="3"/>
  <c r="AK13" i="3"/>
  <c r="X6" i="3"/>
  <c r="H18" i="3"/>
  <c r="AJ55" i="3"/>
  <c r="AO93" i="3"/>
  <c r="C7" i="3"/>
  <c r="AN37" i="3"/>
  <c r="O81" i="3"/>
  <c r="W66" i="3"/>
  <c r="N90" i="3"/>
  <c r="U39" i="3"/>
  <c r="AP29" i="3"/>
  <c r="T44" i="2"/>
  <c r="N59" i="3"/>
  <c r="W77" i="3"/>
  <c r="N49" i="3"/>
  <c r="AI42" i="3"/>
  <c r="W59" i="3"/>
  <c r="K69" i="2"/>
  <c r="AE89" i="3"/>
  <c r="AB80" i="3"/>
  <c r="AA35" i="3"/>
  <c r="C4" i="3"/>
  <c r="AA47" i="3"/>
  <c r="AO81" i="3"/>
  <c r="T92" i="2"/>
  <c r="M54" i="2"/>
  <c r="G49" i="2"/>
  <c r="G94" i="2"/>
  <c r="J73" i="2"/>
  <c r="N46" i="2"/>
  <c r="H41" i="2"/>
  <c r="R44" i="2"/>
  <c r="M67" i="2"/>
  <c r="Q99" i="2"/>
  <c r="X65" i="2"/>
  <c r="K77" i="2"/>
  <c r="T66" i="2"/>
  <c r="I36" i="3"/>
  <c r="W80" i="2"/>
  <c r="D43" i="2"/>
  <c r="S86" i="2"/>
  <c r="AJ38" i="3"/>
  <c r="N80" i="2"/>
  <c r="I78" i="2"/>
  <c r="J51" i="2"/>
  <c r="T53" i="2"/>
  <c r="AE10" i="3"/>
  <c r="F48" i="2"/>
  <c r="G66" i="2"/>
  <c r="Q47" i="2"/>
  <c r="L41" i="2"/>
  <c r="U11" i="3"/>
  <c r="J110" i="2"/>
  <c r="L5" i="3"/>
  <c r="E113" i="2"/>
  <c r="I52" i="2"/>
  <c r="U82" i="2"/>
  <c r="AB92" i="3"/>
  <c r="M62" i="2"/>
  <c r="C97" i="2"/>
  <c r="I83" i="2"/>
  <c r="W51" i="2"/>
  <c r="Q95" i="2"/>
  <c r="AL37" i="3"/>
  <c r="H48" i="2"/>
  <c r="V75" i="2"/>
  <c r="AP75" i="3"/>
  <c r="AN18" i="3"/>
  <c r="M24" i="3"/>
  <c r="AH40" i="3"/>
  <c r="X96" i="2"/>
  <c r="AB49" i="3"/>
  <c r="N83" i="2"/>
  <c r="AK41" i="3"/>
  <c r="Y33" i="3"/>
  <c r="AK35" i="3"/>
  <c r="U62" i="2"/>
  <c r="S89" i="2"/>
  <c r="Z8" i="3"/>
  <c r="AM38" i="3"/>
  <c r="AE15" i="3"/>
  <c r="J112" i="2"/>
  <c r="L77" i="2"/>
  <c r="O43" i="2"/>
  <c r="U41" i="3"/>
  <c r="M16" i="3"/>
  <c r="AA27" i="3"/>
  <c r="N55" i="2"/>
  <c r="Z34" i="3"/>
  <c r="T49" i="2"/>
  <c r="P31" i="3"/>
  <c r="Q65" i="2"/>
  <c r="J66" i="2"/>
  <c r="V93" i="2"/>
  <c r="AC6" i="3"/>
  <c r="AE19" i="3"/>
  <c r="K46" i="2"/>
  <c r="AB79" i="3"/>
  <c r="I13" i="3"/>
  <c r="Y40" i="3"/>
  <c r="E51" i="2"/>
  <c r="AK31" i="3"/>
  <c r="AH32" i="3"/>
  <c r="P95" i="2"/>
  <c r="L83" i="2"/>
  <c r="X60" i="2"/>
  <c r="J88" i="2"/>
  <c r="S11" i="3"/>
  <c r="AA28" i="3"/>
  <c r="H23" i="3"/>
  <c r="AC19" i="3"/>
  <c r="L8" i="3"/>
  <c r="AK32" i="3"/>
  <c r="D48" i="3"/>
  <c r="AM36" i="3"/>
  <c r="AA78" i="3"/>
  <c r="I56" i="3"/>
  <c r="J59" i="3"/>
  <c r="W78" i="3"/>
  <c r="V89" i="3"/>
  <c r="Y39" i="3"/>
  <c r="J39" i="3"/>
  <c r="N17" i="3"/>
  <c r="Q8" i="3"/>
  <c r="I47" i="3"/>
  <c r="J85" i="3"/>
  <c r="AK54" i="3"/>
  <c r="H86" i="3"/>
  <c r="I70" i="3"/>
  <c r="J53" i="2"/>
  <c r="G34" i="3"/>
  <c r="AN14" i="3"/>
  <c r="W13" i="3"/>
  <c r="V95" i="3"/>
  <c r="Q87" i="3"/>
  <c r="AK94" i="3"/>
  <c r="W63" i="3"/>
  <c r="AK12" i="3"/>
  <c r="Q41" i="3"/>
  <c r="D50" i="3"/>
  <c r="Y24" i="3"/>
  <c r="AQ17" i="3"/>
  <c r="AE49" i="3"/>
  <c r="AN84" i="3"/>
  <c r="AE83" i="3"/>
  <c r="H60" i="3"/>
  <c r="L47" i="3"/>
  <c r="O58" i="3"/>
  <c r="J83" i="2"/>
  <c r="W9" i="3"/>
  <c r="L42" i="3"/>
  <c r="AG6" i="3"/>
  <c r="T41" i="3"/>
  <c r="AQ35" i="3"/>
  <c r="AJ85" i="3"/>
  <c r="AA81" i="3"/>
  <c r="Y49" i="3"/>
  <c r="I65" i="3"/>
  <c r="AO82" i="3"/>
  <c r="AO67" i="3"/>
  <c r="Q66" i="3"/>
  <c r="H62" i="3"/>
  <c r="Y96" i="3"/>
  <c r="I89" i="3"/>
  <c r="R61" i="2"/>
  <c r="AG10" i="3"/>
  <c r="P13" i="3"/>
  <c r="AM18" i="3"/>
  <c r="AL34" i="3"/>
  <c r="X36" i="3"/>
  <c r="AD33" i="3"/>
  <c r="L24" i="3"/>
  <c r="Y85" i="3"/>
  <c r="AO85" i="3"/>
  <c r="O61" i="3"/>
  <c r="AJ71" i="3"/>
  <c r="V49" i="3"/>
  <c r="H90" i="3"/>
  <c r="W93" i="3"/>
  <c r="AN55" i="3"/>
  <c r="U69" i="3"/>
  <c r="Q86" i="3"/>
  <c r="AE86" i="3"/>
  <c r="R64" i="2"/>
  <c r="AE6" i="3"/>
  <c r="AQ9" i="3"/>
  <c r="S28" i="3"/>
  <c r="AI36" i="3"/>
  <c r="AK22" i="3"/>
  <c r="Q14" i="3"/>
  <c r="X23" i="3"/>
  <c r="J49" i="3"/>
  <c r="Q49" i="3"/>
  <c r="U60" i="3"/>
  <c r="Q70" i="3"/>
  <c r="O67" i="3"/>
  <c r="H92" i="3"/>
  <c r="J75" i="3"/>
  <c r="I50" i="2"/>
  <c r="AL8" i="3"/>
  <c r="M31" i="3"/>
  <c r="K41" i="3"/>
  <c r="C39" i="3"/>
  <c r="J27" i="3"/>
  <c r="X40" i="3"/>
  <c r="AO37" i="3"/>
  <c r="V97" i="3"/>
  <c r="U84" i="3"/>
  <c r="O92" i="3"/>
  <c r="Q96" i="2"/>
  <c r="AB18" i="3"/>
  <c r="U20" i="3"/>
  <c r="Z39" i="3"/>
  <c r="AA32" i="3"/>
  <c r="AN13" i="3"/>
  <c r="AE30" i="3"/>
  <c r="X41" i="3"/>
  <c r="S81" i="3"/>
  <c r="U87" i="3"/>
  <c r="S77" i="3"/>
  <c r="AJ94" i="3"/>
  <c r="M56" i="3"/>
  <c r="J79" i="3"/>
  <c r="AJ89" i="3"/>
  <c r="H88" i="3"/>
  <c r="T79" i="3"/>
  <c r="AN61" i="3"/>
  <c r="AH47" i="3"/>
  <c r="AO75" i="3"/>
  <c r="AJ96" i="3"/>
  <c r="AK90" i="3"/>
  <c r="AH97" i="3"/>
  <c r="W44" i="2"/>
  <c r="W16" i="3"/>
  <c r="S9" i="3"/>
  <c r="U42" i="3"/>
  <c r="N30" i="3"/>
  <c r="P22" i="3"/>
  <c r="J23" i="3"/>
  <c r="AE22" i="3"/>
  <c r="T61" i="3"/>
  <c r="AE60" i="3"/>
  <c r="AN96" i="3"/>
  <c r="AK80" i="3"/>
  <c r="Z89" i="3"/>
  <c r="Z56" i="3"/>
  <c r="V81" i="3"/>
  <c r="H95" i="3"/>
  <c r="I91" i="3"/>
  <c r="AH56" i="3"/>
  <c r="O70" i="3"/>
  <c r="AJ76" i="3"/>
  <c r="W61" i="3"/>
  <c r="N50" i="3"/>
  <c r="AO61" i="3"/>
  <c r="Q53" i="2"/>
  <c r="P39" i="3"/>
  <c r="L21" i="3"/>
  <c r="C20" i="3"/>
  <c r="AL10" i="3"/>
  <c r="K31" i="3"/>
  <c r="X26" i="3"/>
  <c r="AL14" i="3"/>
  <c r="K80" i="3"/>
  <c r="AK69" i="3"/>
  <c r="AQ94" i="3"/>
  <c r="AE92" i="3"/>
  <c r="M73" i="3"/>
  <c r="Q49" i="2"/>
  <c r="AI38" i="3"/>
  <c r="AP21" i="3"/>
  <c r="AI29" i="3"/>
  <c r="I40" i="3"/>
  <c r="AG11" i="3"/>
  <c r="AQ30" i="3"/>
  <c r="W39" i="3"/>
  <c r="AA80" i="3"/>
  <c r="AA66" i="3"/>
  <c r="N86" i="3"/>
  <c r="I68" i="3"/>
  <c r="J83" i="3"/>
  <c r="AQ70" i="3"/>
  <c r="J71" i="3"/>
  <c r="X61" i="3"/>
  <c r="U48" i="3"/>
  <c r="AE54" i="3"/>
  <c r="W67" i="3"/>
  <c r="U62" i="3"/>
  <c r="AJ57" i="3"/>
  <c r="Y97" i="3"/>
  <c r="Y94" i="3"/>
  <c r="S49" i="3"/>
  <c r="S70" i="3"/>
  <c r="S50" i="3"/>
  <c r="S59" i="3"/>
  <c r="AH72" i="3"/>
  <c r="AH77" i="3"/>
  <c r="AH59" i="3"/>
  <c r="AH83" i="3"/>
  <c r="T59" i="3"/>
  <c r="T58" i="3"/>
  <c r="K47" i="3"/>
  <c r="K91" i="3"/>
  <c r="K81" i="3"/>
  <c r="K75" i="3"/>
  <c r="K93" i="3"/>
  <c r="Z61" i="3"/>
  <c r="Z88" i="3"/>
  <c r="Z59" i="3"/>
  <c r="Z74" i="3"/>
  <c r="Z94" i="3"/>
  <c r="AQ75" i="3"/>
  <c r="AQ47" i="3"/>
  <c r="AQ97" i="3"/>
  <c r="AQ62" i="3"/>
  <c r="X82" i="3"/>
  <c r="X58" i="3"/>
  <c r="X63" i="3"/>
  <c r="X70" i="3"/>
  <c r="X62" i="3"/>
  <c r="X93" i="3"/>
  <c r="AL96" i="3"/>
  <c r="AL61" i="3"/>
  <c r="AL49" i="3"/>
  <c r="AL70" i="3"/>
  <c r="AL82" i="3"/>
  <c r="H11" i="3"/>
  <c r="H77" i="2"/>
  <c r="C70" i="2"/>
  <c r="P42" i="2"/>
  <c r="C96" i="2"/>
  <c r="AH13" i="3"/>
  <c r="M77" i="2"/>
  <c r="AB89" i="3"/>
  <c r="AJ11" i="3"/>
  <c r="Y27" i="3"/>
  <c r="L40" i="3"/>
  <c r="K70" i="2"/>
  <c r="W75" i="3"/>
  <c r="W78" i="2"/>
  <c r="AJ18" i="3"/>
  <c r="H66" i="3"/>
  <c r="H76" i="2"/>
  <c r="AL40" i="3"/>
  <c r="AK20" i="3"/>
  <c r="N84" i="3"/>
  <c r="Y77" i="3"/>
  <c r="Q96" i="3"/>
  <c r="L74" i="2"/>
  <c r="AH20" i="3"/>
  <c r="AK57" i="3"/>
  <c r="E86" i="2"/>
  <c r="C11" i="3"/>
  <c r="AN83" i="3"/>
  <c r="AA90" i="3"/>
  <c r="J80" i="3"/>
  <c r="X58" i="2"/>
  <c r="AN48" i="3"/>
  <c r="X15" i="3"/>
  <c r="J35" i="3"/>
  <c r="J94" i="3"/>
  <c r="AK67" i="3"/>
  <c r="S21" i="3"/>
  <c r="V91" i="3"/>
  <c r="W80" i="3"/>
  <c r="V63" i="3"/>
  <c r="AJ66" i="3"/>
  <c r="U76" i="2"/>
  <c r="AE64" i="3"/>
  <c r="AN25" i="3"/>
  <c r="AQ61" i="3"/>
  <c r="X84" i="3"/>
  <c r="AL71" i="3"/>
  <c r="S82" i="2"/>
  <c r="AO39" i="3"/>
  <c r="Y13" i="3"/>
  <c r="J85" i="2"/>
  <c r="X22" i="3"/>
  <c r="M98" i="2"/>
  <c r="O28" i="3"/>
  <c r="P68" i="2"/>
  <c r="X86" i="2"/>
  <c r="Q47" i="3"/>
  <c r="J32" i="3"/>
  <c r="H93" i="3"/>
  <c r="AE50" i="3"/>
  <c r="M38" i="3"/>
  <c r="X11" i="3"/>
  <c r="M58" i="3"/>
  <c r="I74" i="2"/>
  <c r="H61" i="3"/>
  <c r="O55" i="3"/>
  <c r="L28" i="3"/>
  <c r="AE91" i="3"/>
  <c r="O66" i="3"/>
  <c r="AJ26" i="3"/>
  <c r="AH54" i="3"/>
  <c r="AK48" i="3"/>
  <c r="S64" i="3"/>
  <c r="U13" i="3"/>
  <c r="H10" i="3"/>
  <c r="AE42" i="3"/>
  <c r="AK61" i="3"/>
  <c r="O60" i="3"/>
  <c r="S73" i="3"/>
  <c r="AH58" i="3"/>
  <c r="K94" i="3"/>
  <c r="K62" i="3"/>
  <c r="Z85" i="3"/>
  <c r="Z90" i="3"/>
  <c r="AQ85" i="3"/>
  <c r="X48" i="3"/>
  <c r="AL90" i="3"/>
  <c r="AL73" i="3"/>
  <c r="H75" i="2"/>
  <c r="L53" i="2"/>
  <c r="C72" i="2"/>
  <c r="AJ17" i="3"/>
  <c r="R33" i="3"/>
  <c r="AO25" i="3"/>
  <c r="AD40" i="3"/>
  <c r="C6" i="3"/>
  <c r="E65" i="2"/>
  <c r="L11" i="3"/>
  <c r="S15" i="3"/>
  <c r="N58" i="3"/>
  <c r="Q71" i="3"/>
  <c r="T14" i="3"/>
  <c r="M92" i="3"/>
  <c r="Q24" i="3"/>
  <c r="J76" i="3"/>
  <c r="AJ86" i="3"/>
  <c r="S18" i="3"/>
  <c r="AO12" i="3"/>
  <c r="J22" i="3"/>
  <c r="O65" i="3"/>
  <c r="G39" i="3"/>
  <c r="AE8" i="3"/>
  <c r="AJ63" i="3"/>
  <c r="AE97" i="3"/>
  <c r="AJ90" i="3"/>
  <c r="Q28" i="3"/>
  <c r="AQ21" i="3"/>
  <c r="AJ72" i="3"/>
  <c r="O73" i="2"/>
  <c r="H53" i="2"/>
  <c r="W52" i="2"/>
  <c r="K40" i="3"/>
  <c r="L98" i="2"/>
  <c r="G69" i="2"/>
  <c r="X53" i="2"/>
  <c r="K45" i="2"/>
  <c r="L25" i="3"/>
  <c r="G93" i="2"/>
  <c r="U75" i="2"/>
  <c r="AD24" i="3"/>
  <c r="S88" i="2"/>
  <c r="P55" i="2"/>
  <c r="I68" i="2"/>
  <c r="I79" i="2"/>
  <c r="S84" i="2"/>
  <c r="H40" i="3"/>
  <c r="U46" i="2"/>
  <c r="D70" i="2"/>
  <c r="L40" i="2"/>
  <c r="T79" i="2"/>
  <c r="C17" i="3"/>
  <c r="P86" i="2"/>
  <c r="F41" i="2"/>
  <c r="M35" i="3"/>
  <c r="L79" i="2"/>
  <c r="K54" i="2"/>
  <c r="V104" i="2"/>
  <c r="M110" i="2"/>
  <c r="J81" i="2"/>
  <c r="U88" i="2"/>
  <c r="E41" i="2"/>
  <c r="H24" i="3"/>
  <c r="L107" i="2"/>
  <c r="K58" i="2"/>
  <c r="J57" i="2"/>
  <c r="F88" i="2"/>
  <c r="T106" i="2"/>
  <c r="O24" i="3"/>
  <c r="I96" i="2"/>
  <c r="K88" i="2"/>
  <c r="H6" i="3"/>
  <c r="AH30" i="3"/>
  <c r="H33" i="3"/>
  <c r="AL38" i="3"/>
  <c r="AM5" i="3"/>
  <c r="E53" i="2"/>
  <c r="R99" i="2"/>
  <c r="AK33" i="3"/>
  <c r="Y35" i="3"/>
  <c r="F112" i="2"/>
  <c r="G67" i="2"/>
  <c r="E55" i="2"/>
  <c r="T22" i="3"/>
  <c r="I18" i="3"/>
  <c r="E88" i="2"/>
  <c r="O70" i="2"/>
  <c r="K110" i="2"/>
  <c r="H27" i="3"/>
  <c r="AB29" i="3"/>
  <c r="N29" i="3"/>
  <c r="M50" i="2"/>
  <c r="S85" i="2"/>
  <c r="AB90" i="3"/>
  <c r="AG40" i="3"/>
  <c r="G95" i="2"/>
  <c r="I80" i="2"/>
  <c r="U26" i="3"/>
  <c r="I35" i="3"/>
  <c r="D83" i="2"/>
  <c r="X94" i="2"/>
  <c r="H62" i="2"/>
  <c r="V12" i="3"/>
  <c r="N66" i="2"/>
  <c r="U34" i="3"/>
  <c r="AJ29" i="3"/>
  <c r="O6" i="3"/>
  <c r="N94" i="3"/>
  <c r="M81" i="3"/>
  <c r="AO89" i="3"/>
  <c r="U63" i="2"/>
  <c r="W38" i="3"/>
  <c r="AO13" i="3"/>
  <c r="Y16" i="3"/>
  <c r="I87" i="3"/>
  <c r="M65" i="3"/>
  <c r="O76" i="3"/>
  <c r="AE95" i="3"/>
  <c r="L80" i="3"/>
  <c r="W31" i="3"/>
  <c r="C31" i="3"/>
  <c r="L54" i="3"/>
  <c r="AE73" i="3"/>
  <c r="S17" i="3"/>
  <c r="H15" i="3"/>
  <c r="AE62" i="3"/>
  <c r="AA87" i="3"/>
  <c r="AK65" i="3"/>
  <c r="W69" i="3"/>
  <c r="X17" i="3"/>
  <c r="AL39" i="3"/>
  <c r="AJ54" i="3"/>
  <c r="L59" i="3"/>
  <c r="V57" i="3"/>
  <c r="I25" i="3"/>
  <c r="AK49" i="3"/>
  <c r="AC24" i="3"/>
  <c r="AM65" i="3"/>
  <c r="J69" i="3"/>
  <c r="AQ15" i="3"/>
  <c r="C15" i="3"/>
  <c r="Q64" i="3"/>
  <c r="AH11" i="3"/>
  <c r="AK23" i="3"/>
  <c r="Q97" i="3"/>
  <c r="AC40" i="3"/>
  <c r="K64" i="3"/>
  <c r="N75" i="3"/>
  <c r="R85" i="2"/>
  <c r="H29" i="3"/>
  <c r="AQ96" i="3"/>
  <c r="AL57" i="3"/>
  <c r="AH65" i="3"/>
  <c r="AH79" i="3"/>
  <c r="K78" i="3"/>
  <c r="Z77" i="3"/>
  <c r="V83" i="2"/>
  <c r="F87" i="2"/>
  <c r="M29" i="3"/>
  <c r="W75" i="2"/>
  <c r="S106" i="2"/>
  <c r="I47" i="2"/>
  <c r="U93" i="2"/>
  <c r="J78" i="2"/>
  <c r="C57" i="2"/>
  <c r="O56" i="2"/>
  <c r="J42" i="2"/>
  <c r="O72" i="2"/>
  <c r="F54" i="2"/>
  <c r="AD29" i="3"/>
  <c r="H60" i="2"/>
  <c r="T27" i="3"/>
  <c r="Y38" i="3"/>
  <c r="N28" i="3"/>
  <c r="AE67" i="3"/>
  <c r="Q39" i="3"/>
  <c r="AO65" i="3"/>
  <c r="AO72" i="3"/>
  <c r="AH34" i="3"/>
  <c r="AJ87" i="3"/>
  <c r="AC21" i="3"/>
  <c r="H58" i="3"/>
  <c r="AO49" i="3"/>
  <c r="AE23" i="3"/>
  <c r="AC7" i="3"/>
  <c r="Z33" i="3"/>
  <c r="AO87" i="3"/>
  <c r="I59" i="3"/>
  <c r="Q90" i="3"/>
  <c r="M71" i="3"/>
  <c r="H84" i="3"/>
  <c r="AG5" i="3"/>
  <c r="AC14" i="3"/>
  <c r="Q30" i="3"/>
  <c r="AG8" i="3"/>
  <c r="AJ35" i="3"/>
  <c r="AA65" i="3"/>
  <c r="AO64" i="3"/>
  <c r="AE94" i="3"/>
  <c r="Y89" i="3"/>
  <c r="I82" i="3"/>
  <c r="X52" i="2"/>
  <c r="K18" i="3"/>
  <c r="M85" i="3"/>
  <c r="T96" i="3"/>
  <c r="U9" i="3"/>
  <c r="J89" i="3"/>
  <c r="W95" i="3"/>
  <c r="Q61" i="3"/>
  <c r="AO80" i="3"/>
  <c r="K55" i="3"/>
  <c r="R42" i="2"/>
  <c r="N11" i="3"/>
  <c r="T21" i="3"/>
  <c r="S95" i="3"/>
  <c r="M59" i="3"/>
  <c r="I73" i="3"/>
  <c r="AG96" i="3"/>
  <c r="M77" i="3"/>
  <c r="K90" i="3"/>
  <c r="AG82" i="3"/>
  <c r="S88" i="3"/>
  <c r="AH82" i="3"/>
  <c r="AH63" i="3"/>
  <c r="T94" i="3"/>
  <c r="Z91" i="3"/>
  <c r="AQ72" i="3"/>
  <c r="AQ92" i="3"/>
  <c r="X86" i="3"/>
  <c r="AL69" i="3"/>
  <c r="M44" i="2"/>
  <c r="I75" i="2"/>
  <c r="N34" i="3"/>
  <c r="M86" i="2"/>
  <c r="E83" i="2"/>
  <c r="F83" i="2"/>
  <c r="U83" i="2"/>
  <c r="H108" i="2"/>
  <c r="J96" i="2"/>
  <c r="AC22" i="3"/>
  <c r="E93" i="2"/>
  <c r="R49" i="2"/>
  <c r="AO35" i="3"/>
  <c r="O47" i="2"/>
  <c r="AJ32" i="3"/>
  <c r="O10" i="3"/>
  <c r="I55" i="2"/>
  <c r="C69" i="2"/>
  <c r="AM33" i="3"/>
  <c r="AK40" i="3"/>
  <c r="AE58" i="3"/>
  <c r="AN72" i="3"/>
  <c r="AA86" i="3"/>
  <c r="C75" i="2"/>
  <c r="O48" i="3"/>
  <c r="O60" i="2"/>
  <c r="AI39" i="3"/>
  <c r="S29" i="3"/>
  <c r="J91" i="3"/>
  <c r="N96" i="3"/>
  <c r="AM70" i="3"/>
  <c r="AA54" i="3"/>
  <c r="J95" i="2"/>
  <c r="J56" i="2"/>
  <c r="S77" i="2"/>
  <c r="Q89" i="3"/>
  <c r="I84" i="3"/>
  <c r="AI40" i="3"/>
  <c r="N64" i="3"/>
  <c r="X9" i="3"/>
  <c r="AO63" i="3"/>
  <c r="AN85" i="3"/>
  <c r="R12" i="3"/>
  <c r="Q76" i="3"/>
  <c r="V61" i="3"/>
  <c r="I15" i="3"/>
  <c r="Y75" i="3"/>
  <c r="Q22" i="3"/>
  <c r="Q62" i="3"/>
  <c r="AQ87" i="3"/>
  <c r="AG60" i="3"/>
  <c r="AH92" i="3"/>
  <c r="K57" i="3"/>
  <c r="AQ76" i="3"/>
  <c r="X87" i="3"/>
  <c r="AA69" i="3"/>
  <c r="AG63" i="3"/>
  <c r="AH87" i="3"/>
  <c r="AQ56" i="3"/>
  <c r="AL81" i="3"/>
  <c r="Z54" i="3"/>
  <c r="AK97" i="3"/>
  <c r="J63" i="3"/>
  <c r="U88" i="3"/>
  <c r="AK88" i="3"/>
  <c r="AM96" i="3"/>
  <c r="X74" i="3"/>
  <c r="U96" i="3"/>
  <c r="P24" i="3"/>
  <c r="O78" i="2"/>
  <c r="T69" i="3"/>
  <c r="L94" i="3"/>
  <c r="L17" i="3"/>
  <c r="Q60" i="3"/>
  <c r="T73" i="3"/>
  <c r="K28" i="3"/>
  <c r="M48" i="3"/>
  <c r="AA19" i="3"/>
  <c r="K56" i="3"/>
  <c r="AP18" i="3"/>
  <c r="AH70" i="3"/>
  <c r="AA61" i="3"/>
  <c r="N41" i="3"/>
  <c r="N95" i="2"/>
  <c r="AM50" i="3"/>
  <c r="M47" i="3"/>
  <c r="AP11" i="3"/>
  <c r="AN77" i="3"/>
  <c r="AO28" i="3"/>
  <c r="S58" i="3"/>
  <c r="T75" i="3"/>
  <c r="Z67" i="3"/>
  <c r="AQ57" i="3"/>
  <c r="AL65" i="3"/>
  <c r="N60" i="3"/>
  <c r="N6" i="3"/>
  <c r="P42" i="3"/>
  <c r="L83" i="3"/>
  <c r="W87" i="3"/>
  <c r="AO56" i="3"/>
  <c r="Z42" i="3"/>
  <c r="AO77" i="3"/>
  <c r="L6" i="3"/>
  <c r="AQ84" i="3"/>
  <c r="AG21" i="3"/>
  <c r="Y59" i="3"/>
  <c r="U83" i="3"/>
  <c r="S87" i="3"/>
  <c r="T95" i="3"/>
  <c r="Z78" i="3"/>
  <c r="AQ69" i="3"/>
  <c r="AL50" i="3"/>
  <c r="S72" i="3"/>
  <c r="Z86" i="3"/>
  <c r="AL64" i="3"/>
  <c r="M67" i="3"/>
  <c r="AN11" i="3"/>
  <c r="U78" i="3"/>
  <c r="O71" i="3"/>
  <c r="L73" i="3"/>
  <c r="AG80" i="3"/>
  <c r="AH91" i="3"/>
  <c r="K50" i="3"/>
  <c r="Z71" i="3"/>
  <c r="X47" i="3"/>
  <c r="AL74" i="3"/>
  <c r="AN58" i="3"/>
  <c r="C79" i="2"/>
  <c r="L64" i="3"/>
  <c r="K42" i="3"/>
  <c r="M70" i="3"/>
  <c r="I77" i="3"/>
  <c r="AQ12" i="3"/>
  <c r="K54" i="3"/>
  <c r="V87" i="3"/>
  <c r="AK36" i="3"/>
  <c r="AM20" i="3"/>
  <c r="AE76" i="3"/>
  <c r="S52" i="2"/>
  <c r="L68" i="3"/>
  <c r="AA85" i="3"/>
  <c r="AE17" i="3"/>
  <c r="Y26" i="3"/>
  <c r="Y95" i="3"/>
  <c r="S65" i="3"/>
  <c r="T56" i="3"/>
  <c r="Z57" i="3"/>
  <c r="X80" i="3"/>
  <c r="AL75" i="3"/>
  <c r="AM63" i="3"/>
  <c r="K17" i="3"/>
  <c r="AO26" i="3"/>
  <c r="U86" i="3"/>
  <c r="H59" i="3"/>
  <c r="H106" i="2"/>
  <c r="M62" i="3"/>
  <c r="AK70" i="3"/>
  <c r="AH71" i="3"/>
  <c r="V37" i="3"/>
  <c r="N90" i="2"/>
  <c r="AK68" i="3"/>
  <c r="Y90" i="3"/>
  <c r="T70" i="3"/>
  <c r="X95" i="3"/>
  <c r="AP65" i="3"/>
  <c r="AP39" i="3"/>
  <c r="T66" i="3"/>
  <c r="AH93" i="3"/>
  <c r="L55" i="3"/>
  <c r="F76" i="2"/>
  <c r="K96" i="2"/>
  <c r="AE74" i="3"/>
  <c r="AE38" i="3"/>
  <c r="L15" i="3"/>
  <c r="AG56" i="3"/>
  <c r="AQ66" i="3"/>
  <c r="O75" i="3"/>
  <c r="O68" i="3"/>
  <c r="O64" i="3"/>
  <c r="O74" i="3"/>
  <c r="W64" i="3"/>
  <c r="W89" i="3"/>
  <c r="W96" i="3"/>
  <c r="W85" i="3"/>
  <c r="W60" i="3"/>
  <c r="J84" i="3"/>
  <c r="J95" i="3"/>
  <c r="J81" i="3"/>
  <c r="J65" i="3"/>
  <c r="J47" i="3"/>
  <c r="N54" i="3"/>
  <c r="N74" i="3"/>
  <c r="N92" i="3"/>
  <c r="N73" i="3"/>
  <c r="N78" i="3"/>
  <c r="AJ80" i="3"/>
  <c r="AJ65" i="3"/>
  <c r="AJ69" i="3"/>
  <c r="AJ79" i="3"/>
  <c r="AJ60" i="3"/>
  <c r="AJ92" i="3"/>
  <c r="AJ73" i="3"/>
  <c r="AN68" i="3"/>
  <c r="AN97" i="3"/>
  <c r="AN81" i="3"/>
  <c r="AN86" i="3"/>
  <c r="AN89" i="3"/>
  <c r="Q68" i="3"/>
  <c r="Q85" i="3"/>
  <c r="Q92" i="3"/>
  <c r="Q48" i="3"/>
  <c r="Q88" i="3"/>
  <c r="Q93" i="3"/>
  <c r="AL83" i="3"/>
  <c r="AL77" i="3"/>
  <c r="AL79" i="3"/>
  <c r="AL85" i="3"/>
  <c r="AL68" i="3"/>
  <c r="AL86" i="3"/>
  <c r="AL94" i="3"/>
  <c r="AL67" i="3"/>
  <c r="K71" i="3"/>
  <c r="K73" i="3"/>
  <c r="K84" i="3"/>
  <c r="K82" i="3"/>
  <c r="K58" i="3"/>
  <c r="K68" i="3"/>
  <c r="K92" i="3"/>
  <c r="K69" i="3"/>
  <c r="AH90" i="3"/>
  <c r="AH88" i="3"/>
  <c r="AH48" i="3"/>
  <c r="AH73" i="3"/>
  <c r="AH81" i="3"/>
  <c r="AH61" i="3"/>
  <c r="AH68" i="3"/>
  <c r="AH85" i="3"/>
  <c r="X81" i="3"/>
  <c r="X69" i="3"/>
  <c r="X57" i="3"/>
  <c r="X76" i="3"/>
  <c r="X56" i="3"/>
  <c r="X67" i="3"/>
  <c r="X75" i="3"/>
  <c r="X79" i="3"/>
  <c r="X60" i="3"/>
  <c r="X92" i="3"/>
  <c r="X73" i="3"/>
  <c r="X85" i="3"/>
  <c r="X50" i="3"/>
  <c r="X71" i="3"/>
  <c r="X89" i="3"/>
  <c r="X66" i="3"/>
  <c r="X91" i="3"/>
  <c r="X96" i="3"/>
  <c r="X59" i="3"/>
  <c r="M66" i="3"/>
  <c r="M61" i="3"/>
  <c r="M97" i="3"/>
  <c r="M55" i="3"/>
  <c r="M94" i="3"/>
  <c r="M79" i="3"/>
  <c r="M93" i="3"/>
  <c r="M49" i="3"/>
  <c r="M57" i="3"/>
  <c r="M83" i="3"/>
  <c r="M68" i="3"/>
  <c r="M96" i="3"/>
  <c r="M84" i="3"/>
  <c r="M60" i="3"/>
  <c r="M50" i="3"/>
  <c r="M90" i="3"/>
  <c r="M54" i="3"/>
  <c r="M88" i="3"/>
  <c r="M74" i="3"/>
  <c r="M80" i="3"/>
  <c r="M91" i="3"/>
  <c r="M95" i="3"/>
  <c r="M76" i="3"/>
  <c r="U91" i="3"/>
  <c r="U55" i="3"/>
  <c r="U54" i="3"/>
  <c r="U80" i="3"/>
  <c r="U50" i="3"/>
  <c r="U81" i="3"/>
  <c r="U74" i="3"/>
  <c r="U76" i="3"/>
  <c r="U58" i="3"/>
  <c r="U73" i="3"/>
  <c r="U93" i="3"/>
  <c r="U66" i="3"/>
  <c r="U79" i="3"/>
  <c r="U94" i="3"/>
  <c r="U65" i="3"/>
  <c r="U68" i="3"/>
  <c r="U57" i="3"/>
  <c r="U47" i="3"/>
  <c r="U95" i="3"/>
  <c r="U64" i="3"/>
  <c r="U82" i="3"/>
  <c r="U67" i="3"/>
  <c r="AQ54" i="3"/>
  <c r="AQ64" i="3"/>
  <c r="AQ73" i="3"/>
  <c r="AQ79" i="3"/>
  <c r="AQ50" i="3"/>
  <c r="AQ67" i="3"/>
  <c r="AQ80" i="3"/>
  <c r="AQ55" i="3"/>
  <c r="AQ74" i="3"/>
  <c r="AQ91" i="3"/>
  <c r="AQ71" i="3"/>
  <c r="AQ86" i="3"/>
  <c r="AQ82" i="3"/>
  <c r="AQ65" i="3"/>
  <c r="AQ68" i="3"/>
  <c r="AQ81" i="3"/>
  <c r="AQ83" i="3"/>
  <c r="AQ89" i="3"/>
  <c r="AQ77" i="3"/>
  <c r="AQ90" i="3"/>
  <c r="AQ63" i="3"/>
  <c r="AQ93" i="3"/>
  <c r="AQ58" i="3"/>
  <c r="AQ88" i="3"/>
  <c r="AA93" i="3"/>
  <c r="AA96" i="3"/>
  <c r="AA91" i="3"/>
  <c r="AA63" i="3"/>
  <c r="AA59" i="3"/>
  <c r="AA70" i="3"/>
  <c r="AA56" i="3"/>
  <c r="AA76" i="3"/>
  <c r="AA74" i="3"/>
  <c r="AA64" i="3"/>
  <c r="AA73" i="3"/>
  <c r="AA88" i="3"/>
  <c r="AA68" i="3"/>
  <c r="AA67" i="3"/>
  <c r="AA75" i="3"/>
  <c r="AA97" i="3"/>
  <c r="AA79" i="3"/>
  <c r="AA77" i="3"/>
  <c r="AA55" i="3"/>
  <c r="AA83" i="3"/>
  <c r="AA72" i="3"/>
  <c r="AA71" i="3"/>
  <c r="AA60" i="3"/>
  <c r="AA92" i="3"/>
  <c r="AA82" i="3"/>
  <c r="AA57" i="3"/>
  <c r="AA94" i="3"/>
  <c r="AA50" i="3"/>
  <c r="AA95" i="3"/>
  <c r="AA48" i="3"/>
  <c r="T49" i="3"/>
  <c r="T88" i="3"/>
  <c r="T93" i="3"/>
  <c r="T91" i="3"/>
  <c r="T55" i="3"/>
  <c r="T68" i="3"/>
  <c r="T50" i="3"/>
  <c r="T82" i="3"/>
  <c r="T76" i="3"/>
  <c r="T83" i="3"/>
  <c r="T48" i="3"/>
  <c r="T72" i="3"/>
  <c r="T97" i="3"/>
  <c r="T67" i="3"/>
  <c r="T62" i="3"/>
  <c r="T64" i="3"/>
  <c r="T54" i="3"/>
  <c r="T77" i="3"/>
  <c r="T80" i="3"/>
  <c r="T92" i="3"/>
  <c r="T47" i="3"/>
  <c r="T60" i="3"/>
  <c r="T87" i="3"/>
  <c r="T63" i="3"/>
  <c r="T90" i="3"/>
  <c r="T57" i="3"/>
  <c r="T84" i="3"/>
  <c r="T86" i="3"/>
  <c r="T65" i="3"/>
  <c r="T85" i="3"/>
  <c r="L91" i="3"/>
  <c r="L48" i="3"/>
  <c r="L92" i="3"/>
  <c r="L89" i="3"/>
  <c r="L79" i="3"/>
  <c r="L61" i="3"/>
  <c r="L62" i="3"/>
  <c r="L96" i="3"/>
  <c r="L70" i="3"/>
  <c r="L75" i="3"/>
  <c r="L60" i="3"/>
  <c r="L71" i="3"/>
  <c r="L63" i="3"/>
  <c r="L69" i="3"/>
  <c r="L58" i="3"/>
  <c r="L81" i="3"/>
  <c r="L84" i="3"/>
  <c r="L56" i="3"/>
  <c r="L93" i="3"/>
  <c r="L95" i="3"/>
  <c r="L50" i="3"/>
  <c r="L77" i="3"/>
  <c r="L88" i="3"/>
  <c r="L65" i="3"/>
  <c r="L57" i="3"/>
  <c r="L86" i="3"/>
  <c r="L74" i="3"/>
  <c r="L90" i="3"/>
  <c r="L72" i="3"/>
  <c r="L97" i="3"/>
  <c r="L67" i="3"/>
  <c r="L87" i="3"/>
  <c r="L49" i="3"/>
  <c r="L82" i="3"/>
  <c r="L76" i="3"/>
  <c r="L78" i="3"/>
  <c r="L66" i="3"/>
  <c r="AM77" i="3"/>
  <c r="AM91" i="3"/>
  <c r="AM68" i="3"/>
  <c r="AM89" i="3"/>
  <c r="AM71" i="3"/>
  <c r="AM75" i="3"/>
  <c r="AM67" i="3"/>
  <c r="AM69" i="3"/>
  <c r="AM56" i="3"/>
  <c r="AM97" i="3"/>
  <c r="AM47" i="3"/>
  <c r="AM49" i="3"/>
  <c r="AM86" i="3"/>
  <c r="AM61" i="3"/>
  <c r="AM94" i="3"/>
  <c r="AM95" i="3"/>
  <c r="AM48" i="3"/>
  <c r="AM80" i="3"/>
  <c r="AM74" i="3"/>
  <c r="AM76" i="3"/>
  <c r="AM81" i="3"/>
  <c r="AM87" i="3"/>
  <c r="AM85" i="3"/>
  <c r="AM54" i="3"/>
  <c r="AM58" i="3"/>
  <c r="AM92" i="3"/>
  <c r="AM90" i="3"/>
  <c r="AM83" i="3"/>
  <c r="AM60" i="3"/>
  <c r="AM59" i="3"/>
  <c r="AM55" i="3"/>
  <c r="AM93" i="3"/>
  <c r="AM78" i="3"/>
  <c r="AM79" i="3"/>
  <c r="AM72" i="3"/>
  <c r="AM62" i="3"/>
  <c r="AM84" i="3"/>
  <c r="AM66" i="3"/>
  <c r="AM82" i="3"/>
  <c r="AM64" i="3"/>
  <c r="AM88" i="3"/>
  <c r="AM73" i="3"/>
  <c r="AM57" i="3"/>
  <c r="AG92" i="3"/>
  <c r="AG67" i="3"/>
  <c r="AG79" i="3"/>
  <c r="AG62" i="3"/>
  <c r="AG65" i="3"/>
  <c r="AG81" i="3"/>
  <c r="AG97" i="3"/>
  <c r="AG73" i="3"/>
  <c r="AG78" i="3"/>
  <c r="AG57" i="3"/>
  <c r="AG86" i="3"/>
  <c r="AG93" i="3"/>
  <c r="AG58" i="3"/>
  <c r="AG66" i="3"/>
  <c r="AG90" i="3"/>
  <c r="AG59" i="3"/>
  <c r="AG87" i="3"/>
  <c r="AG49" i="3"/>
  <c r="AG54" i="3"/>
  <c r="AG69" i="3"/>
  <c r="AG64" i="3"/>
  <c r="AG72" i="3"/>
  <c r="AG76" i="3"/>
  <c r="AG89" i="3"/>
  <c r="AG61" i="3"/>
  <c r="AG95" i="3"/>
  <c r="AG68" i="3"/>
  <c r="AG48" i="3"/>
  <c r="AG74" i="3"/>
  <c r="AG71" i="3"/>
  <c r="AG85" i="3"/>
  <c r="AG83" i="3"/>
  <c r="AG94" i="3"/>
  <c r="AG47" i="3"/>
  <c r="AG77" i="3"/>
  <c r="AG91" i="3"/>
  <c r="AG70" i="3"/>
  <c r="AG50" i="3"/>
  <c r="AG84" i="3"/>
  <c r="AG75" i="3"/>
  <c r="AG88" i="3"/>
  <c r="AG55" i="3"/>
  <c r="AJ78" i="3" l="1"/>
  <c r="AQ78" i="3"/>
  <c r="AQ48" i="3"/>
  <c r="U72" i="3"/>
  <c r="AQ60" i="3"/>
  <c r="AC92" i="3"/>
  <c r="AC94" i="3"/>
  <c r="AC97" i="3"/>
  <c r="AC64" i="3"/>
  <c r="AC78" i="3"/>
  <c r="AC72" i="3"/>
  <c r="AC83" i="3"/>
  <c r="AC54" i="3"/>
  <c r="AC76" i="3"/>
  <c r="AC56" i="3"/>
  <c r="R81" i="3"/>
  <c r="AC93" i="3"/>
  <c r="AC50" i="3"/>
  <c r="R57" i="3"/>
  <c r="R60" i="3"/>
  <c r="AC65" i="3"/>
  <c r="R92" i="3"/>
  <c r="R62" i="3"/>
  <c r="AC58" i="3"/>
  <c r="AC61" i="3"/>
  <c r="R95" i="3"/>
  <c r="AC69" i="3"/>
  <c r="AC47" i="3"/>
  <c r="AC59" i="3"/>
  <c r="AC82" i="3"/>
  <c r="R64" i="3"/>
  <c r="R84" i="3"/>
  <c r="AC68" i="3"/>
  <c r="R94" i="3"/>
  <c r="R47" i="3"/>
  <c r="R76" i="3"/>
  <c r="AC89" i="3"/>
  <c r="AC63" i="3"/>
  <c r="AC75" i="3"/>
  <c r="AC85" i="3"/>
  <c r="R87" i="3"/>
  <c r="AC48" i="3"/>
  <c r="R88" i="3"/>
  <c r="R55" i="3"/>
  <c r="AC60" i="3"/>
  <c r="AC55" i="3"/>
  <c r="AC57" i="3"/>
  <c r="AC73" i="3"/>
  <c r="T74" i="3"/>
  <c r="T81" i="3"/>
  <c r="AC49" i="3"/>
  <c r="R70" i="3"/>
  <c r="R72" i="3"/>
  <c r="R93" i="3"/>
  <c r="R78" i="3"/>
  <c r="AC79" i="3"/>
  <c r="R61" i="3"/>
  <c r="AC67" i="3"/>
  <c r="R83" i="3"/>
  <c r="R79" i="3"/>
  <c r="AC88" i="3"/>
  <c r="R48" i="3"/>
  <c r="AC71" i="3"/>
  <c r="AC96" i="3"/>
  <c r="R96" i="3"/>
  <c r="R80" i="3"/>
  <c r="AC84" i="3"/>
  <c r="R89" i="3"/>
  <c r="R68" i="3"/>
  <c r="AC87" i="3"/>
  <c r="AC74" i="3"/>
  <c r="AC70" i="3"/>
  <c r="R67" i="3"/>
  <c r="R77" i="3"/>
  <c r="R97" i="3"/>
  <c r="AC86" i="3"/>
  <c r="R56" i="3"/>
  <c r="AC66" i="3"/>
  <c r="AC91" i="3"/>
  <c r="AC81" i="3"/>
  <c r="R86" i="3"/>
  <c r="AC90" i="3"/>
  <c r="R69" i="3"/>
  <c r="AC80" i="3"/>
  <c r="W74" i="3"/>
  <c r="AE88" i="3"/>
  <c r="AK56" i="3"/>
  <c r="V80" i="3"/>
  <c r="AE77" i="3"/>
  <c r="AI87" i="3"/>
  <c r="V67" i="3"/>
  <c r="I69" i="3"/>
  <c r="AC77" i="3"/>
  <c r="AO96" i="3"/>
  <c r="I88" i="3"/>
  <c r="R74" i="3"/>
  <c r="AI71" i="3"/>
  <c r="AO79" i="3"/>
  <c r="AK79" i="3"/>
  <c r="V60" i="3"/>
  <c r="AE57" i="3"/>
  <c r="R90" i="3"/>
  <c r="V96" i="3"/>
  <c r="AO95" i="3"/>
  <c r="AK58" i="3"/>
  <c r="AO92" i="3"/>
  <c r="R66" i="3"/>
  <c r="AE48" i="3"/>
  <c r="AI49" i="3"/>
  <c r="I49" i="3"/>
  <c r="AC95" i="3"/>
  <c r="I71" i="3"/>
  <c r="V66" i="3"/>
  <c r="R73" i="3"/>
  <c r="AE79" i="3"/>
  <c r="V93" i="3"/>
  <c r="R85" i="3"/>
  <c r="AI55" i="3"/>
  <c r="AO55" i="3"/>
  <c r="AK76" i="3"/>
  <c r="AK73" i="3"/>
  <c r="AI63" i="3"/>
  <c r="AK74" i="3"/>
  <c r="R54" i="3"/>
  <c r="R71" i="3"/>
  <c r="AO66" i="3"/>
  <c r="AK71" i="3"/>
  <c r="I80" i="3"/>
  <c r="I85" i="3"/>
  <c r="AE85" i="3"/>
  <c r="AC62" i="3"/>
  <c r="I93" i="3"/>
  <c r="AI62" i="3"/>
  <c r="V75" i="3"/>
  <c r="V71" i="3"/>
  <c r="R91" i="3"/>
  <c r="R50" i="3"/>
  <c r="V79" i="3"/>
  <c r="I58" i="3"/>
  <c r="AE81" i="3"/>
  <c r="AI76" i="3"/>
  <c r="V83" i="3"/>
  <c r="V70" i="3"/>
  <c r="AI77" i="3"/>
  <c r="AI68" i="3"/>
  <c r="R58" i="3"/>
  <c r="V72" i="3"/>
  <c r="V62" i="3"/>
  <c r="I95" i="3"/>
  <c r="V78" i="3"/>
  <c r="AI58" i="3"/>
  <c r="R63" i="3"/>
  <c r="R49" i="3"/>
  <c r="I79" i="3"/>
  <c r="I48" i="3"/>
  <c r="AE75" i="3"/>
  <c r="I75" i="3"/>
  <c r="AI80" i="3"/>
  <c r="R65" i="3"/>
  <c r="AI47" i="3"/>
  <c r="R75" i="3"/>
  <c r="AE80" i="3"/>
  <c r="R59" i="3"/>
  <c r="V85" i="3"/>
  <c r="V86" i="3"/>
  <c r="V68" i="3"/>
  <c r="I86" i="3"/>
  <c r="V69" i="3"/>
  <c r="I57" i="3"/>
  <c r="R82" i="3"/>
  <c r="I61" i="3"/>
  <c r="V56" i="3"/>
  <c r="AI57" i="3"/>
  <c r="AE72" i="3"/>
  <c r="AI82" i="3"/>
  <c r="AE78" i="3"/>
  <c r="AE87" i="3"/>
  <c r="AE59" i="3"/>
  <c r="V88" i="3"/>
  <c r="I81" i="3"/>
  <c r="V54" i="3"/>
  <c r="AI90" i="3"/>
  <c r="AI81" i="3"/>
  <c r="I78" i="3"/>
  <c r="AI92" i="3"/>
  <c r="AI56" i="3"/>
  <c r="AI96" i="3"/>
  <c r="V47" i="3"/>
  <c r="V90" i="3"/>
  <c r="AE61" i="3"/>
  <c r="AE69" i="3"/>
  <c r="V84" i="3"/>
  <c r="V65" i="3"/>
  <c r="AI69" i="3"/>
  <c r="AI60" i="3"/>
  <c r="V73" i="3"/>
  <c r="AI72" i="3"/>
  <c r="AI91" i="3"/>
  <c r="AE93" i="3"/>
  <c r="AI50" i="3"/>
  <c r="AI83" i="3"/>
  <c r="AI66" i="3"/>
  <c r="V92" i="3"/>
  <c r="V94" i="3"/>
  <c r="V74" i="3"/>
  <c r="AI88" i="3"/>
  <c r="AE55" i="3"/>
  <c r="AI93" i="3"/>
  <c r="AI97" i="3"/>
  <c r="AI94" i="3"/>
  <c r="V48" i="3"/>
  <c r="AE65" i="3"/>
  <c r="AE84" i="3"/>
  <c r="AE47" i="3"/>
  <c r="V59" i="3"/>
  <c r="AE90" i="3"/>
  <c r="AI64" i="3"/>
  <c r="V64" i="3"/>
  <c r="AE63" i="3"/>
  <c r="V77" i="3"/>
  <c r="AI67" i="3"/>
  <c r="AI86" i="3"/>
  <c r="AE82" i="3"/>
  <c r="V82" i="3"/>
  <c r="AI61" i="3"/>
  <c r="AI95" i="3"/>
  <c r="AI54" i="3"/>
  <c r="AI48" i="3"/>
  <c r="AI70" i="3"/>
  <c r="AI84" i="3"/>
  <c r="AI65" i="3"/>
  <c r="AI89" i="3"/>
  <c r="AI78" i="3"/>
  <c r="AI74" i="3"/>
  <c r="AI79" i="3"/>
  <c r="AI59" i="3"/>
  <c r="AI75" i="3"/>
  <c r="AI85" i="3"/>
  <c r="AI73" i="3"/>
  <c r="J48" i="3"/>
  <c r="P74" i="3"/>
  <c r="P49" i="3"/>
  <c r="P75" i="3"/>
  <c r="P92" i="3"/>
  <c r="P90" i="3"/>
  <c r="P67" i="3"/>
  <c r="P91" i="3"/>
  <c r="P88" i="3"/>
  <c r="P81" i="3"/>
  <c r="P68" i="3"/>
  <c r="P66" i="3"/>
  <c r="P73" i="3"/>
  <c r="P64" i="3"/>
  <c r="P50" i="3"/>
  <c r="P72" i="3"/>
  <c r="P94" i="3"/>
  <c r="P84" i="3"/>
  <c r="P77" i="3"/>
  <c r="P97" i="3"/>
  <c r="P87" i="3"/>
  <c r="P89" i="3"/>
  <c r="P93" i="3"/>
  <c r="L85" i="3"/>
  <c r="T89" i="3"/>
  <c r="P56" i="3"/>
  <c r="P59" i="3"/>
  <c r="T71" i="3"/>
  <c r="P76" i="3"/>
  <c r="P80" i="3"/>
  <c r="P83" i="3"/>
  <c r="P60" i="3"/>
  <c r="P58" i="3"/>
  <c r="P57" i="3"/>
  <c r="P79" i="3"/>
  <c r="P61" i="3"/>
  <c r="P95" i="3"/>
  <c r="P62" i="3"/>
  <c r="P86" i="3"/>
  <c r="P85" i="3"/>
  <c r="P54" i="3"/>
  <c r="P47" i="3"/>
  <c r="P48" i="3"/>
  <c r="P65" i="3"/>
  <c r="P71" i="3"/>
  <c r="P78" i="3"/>
  <c r="P96" i="3"/>
  <c r="P82" i="3"/>
  <c r="P69" i="3"/>
  <c r="P70" i="3"/>
  <c r="P63" i="3"/>
  <c r="P55" i="3"/>
  <c r="BM84" i="1"/>
  <c r="BM83" i="1"/>
  <c r="BS83" i="1"/>
  <c r="AR161" i="1"/>
  <c r="AS161" i="1" s="1"/>
  <c r="AR152" i="1"/>
  <c r="AS152" i="1" s="1"/>
  <c r="AR155" i="1"/>
  <c r="AR83" i="1"/>
  <c r="AR162" i="1"/>
  <c r="AS162" i="1" s="1"/>
  <c r="AR145" i="1"/>
  <c r="AS145" i="1" s="1"/>
  <c r="AR136" i="1"/>
  <c r="AS136" i="1" s="1"/>
  <c r="AR147" i="1"/>
  <c r="AS147" i="1" s="1"/>
  <c r="AR128" i="1"/>
  <c r="AS128" i="1" s="1"/>
  <c r="AR160" i="1"/>
  <c r="AS160" i="1" s="1"/>
  <c r="AR137" i="1"/>
  <c r="AS137" i="1" s="1"/>
  <c r="AR150" i="1"/>
  <c r="AS150" i="1" s="1"/>
  <c r="AR84" i="1"/>
  <c r="AR174" i="1"/>
  <c r="AS174" i="1" s="1"/>
  <c r="AR127" i="1"/>
  <c r="AR156" i="1"/>
  <c r="AS156" i="1" s="1"/>
  <c r="AR154" i="1"/>
  <c r="AR129" i="1"/>
  <c r="AR142" i="1"/>
  <c r="AR135" i="1"/>
  <c r="AS135" i="1" s="1"/>
  <c r="AR132" i="1"/>
  <c r="AS132" i="1" s="1"/>
  <c r="AR143" i="1"/>
  <c r="AR173" i="1"/>
  <c r="AS173" i="1" s="1"/>
  <c r="AR134" i="1"/>
  <c r="AS134" i="1" s="1"/>
  <c r="AR153" i="1"/>
  <c r="AS153" i="1" s="1"/>
  <c r="AR163" i="1"/>
  <c r="AR165" i="1"/>
  <c r="AS165" i="1" s="1"/>
  <c r="AR164" i="1"/>
  <c r="AS164" i="1" s="1"/>
  <c r="AZ157" i="1"/>
  <c r="BA157" i="1" s="1"/>
  <c r="AZ160" i="1"/>
  <c r="BA160" i="1" s="1"/>
  <c r="AZ156" i="1"/>
  <c r="BA156" i="1" s="1"/>
  <c r="AZ128" i="1"/>
  <c r="BA128" i="1" s="1"/>
  <c r="AZ136" i="1"/>
  <c r="BA136" i="1" s="1"/>
  <c r="AZ135" i="1"/>
  <c r="BA135" i="1" s="1"/>
  <c r="AZ162" i="1"/>
  <c r="BA162" i="1" s="1"/>
  <c r="AZ132" i="1"/>
  <c r="BA132" i="1" s="1"/>
  <c r="AZ165" i="1"/>
  <c r="BA165" i="1" s="1"/>
  <c r="AZ169" i="1"/>
  <c r="AZ150" i="1"/>
  <c r="BA150" i="1" s="1"/>
  <c r="AZ159" i="1"/>
  <c r="BA159" i="1" s="1"/>
  <c r="AZ134" i="1"/>
  <c r="BA134" i="1" s="1"/>
  <c r="AZ145" i="1"/>
  <c r="BA145" i="1" s="1"/>
  <c r="AZ170" i="1"/>
  <c r="AZ155" i="1"/>
  <c r="AZ84" i="1"/>
  <c r="AZ141" i="1"/>
  <c r="AZ164" i="1"/>
  <c r="BA164" i="1" s="1"/>
  <c r="AZ137" i="1"/>
  <c r="BA137" i="1" s="1"/>
  <c r="AZ83" i="1"/>
  <c r="BG84" i="1"/>
  <c r="BW84" i="1"/>
  <c r="BA84" i="1"/>
  <c r="AS84" i="1"/>
  <c r="AS83" i="1"/>
  <c r="BD173" i="1"/>
  <c r="BE173" i="1" s="1"/>
  <c r="BD164" i="1"/>
  <c r="BE164" i="1" s="1"/>
  <c r="BD161" i="1"/>
  <c r="BE161" i="1" s="1"/>
  <c r="BD163" i="1"/>
  <c r="BD84" i="1"/>
  <c r="BD157" i="1"/>
  <c r="BE157" i="1" s="1"/>
  <c r="BD165" i="1"/>
  <c r="BE165" i="1" s="1"/>
  <c r="BD132" i="1"/>
  <c r="BE132" i="1" s="1"/>
  <c r="BD153" i="1"/>
  <c r="BE153" i="1" s="1"/>
  <c r="BD127" i="1"/>
  <c r="BE127" i="1" s="1"/>
  <c r="BD128" i="1"/>
  <c r="BE128" i="1" s="1"/>
  <c r="BD142" i="1"/>
  <c r="BD154" i="1"/>
  <c r="BN157" i="1"/>
  <c r="BO157" i="1" s="1"/>
  <c r="BN141" i="1"/>
  <c r="BN154" i="1"/>
  <c r="BN137" i="1"/>
  <c r="BO137" i="1" s="1"/>
  <c r="BN136" i="1"/>
  <c r="BO136" i="1" s="1"/>
  <c r="BR141" i="1"/>
  <c r="BR157" i="1"/>
  <c r="BS157" i="1" s="1"/>
  <c r="BR153" i="1"/>
  <c r="BS153" i="1" s="1"/>
  <c r="BR150" i="1"/>
  <c r="BS150" i="1" s="1"/>
  <c r="BR170" i="1"/>
  <c r="BT163" i="1"/>
  <c r="BT154" i="1"/>
  <c r="BT141" i="1"/>
  <c r="BP165" i="1"/>
  <c r="BQ165" i="1" s="1"/>
  <c r="BP132" i="1"/>
  <c r="BQ132" i="1" s="1"/>
  <c r="BP153" i="1"/>
  <c r="BQ153" i="1" s="1"/>
  <c r="BP142" i="1"/>
  <c r="BP160" i="1"/>
  <c r="BQ160" i="1" s="1"/>
  <c r="BP169" i="1"/>
  <c r="AT152" i="1"/>
  <c r="AU152" i="1" s="1"/>
  <c r="AT165" i="1"/>
  <c r="AU165" i="1" s="1"/>
  <c r="AT147" i="1"/>
  <c r="AU147" i="1" s="1"/>
  <c r="AP160" i="1"/>
  <c r="AQ160" i="1" s="1"/>
  <c r="AP154" i="1"/>
  <c r="AP174" i="1"/>
  <c r="AQ174" i="1" s="1"/>
  <c r="AP156" i="1"/>
  <c r="AQ156" i="1" s="1"/>
  <c r="AR34" i="1"/>
  <c r="E154" i="1"/>
  <c r="E189" i="1" s="1"/>
  <c r="AZ161" i="1"/>
  <c r="BA161" i="1" s="1"/>
  <c r="BV160" i="1"/>
  <c r="BW160" i="1" s="1"/>
  <c r="BD174" i="1"/>
  <c r="BE174" i="1" s="1"/>
  <c r="AZ143" i="1"/>
  <c r="G87" i="1"/>
  <c r="BU57" i="1"/>
  <c r="AQ31" i="1"/>
  <c r="BD169" i="1"/>
  <c r="BF128" i="1"/>
  <c r="BG128" i="1" s="1"/>
  <c r="AZ127" i="1"/>
  <c r="BA127" i="1" s="1"/>
  <c r="BE57" i="1"/>
  <c r="BK31" i="1"/>
  <c r="AR141" i="1"/>
  <c r="R161" i="1"/>
  <c r="BS19" i="1"/>
  <c r="BB162" i="1"/>
  <c r="BC162" i="1" s="1"/>
  <c r="BW24" i="1"/>
  <c r="AQ61" i="1"/>
  <c r="AR159" i="1"/>
  <c r="AS159" i="1" s="1"/>
  <c r="B156" i="1"/>
  <c r="BT129" i="1"/>
  <c r="BR147" i="1"/>
  <c r="BS147" i="1" s="1"/>
  <c r="AQ84" i="1"/>
  <c r="BN164" i="1"/>
  <c r="BO164" i="1" s="1"/>
  <c r="BT25" i="1"/>
  <c r="BR159" i="1"/>
  <c r="BS159" i="1" s="1"/>
  <c r="BR84" i="1"/>
  <c r="BF152" i="1"/>
  <c r="BG152" i="1" s="1"/>
  <c r="AZ174" i="1"/>
  <c r="BA174" i="1" s="1"/>
  <c r="BM32" i="1"/>
  <c r="AR18" i="1"/>
  <c r="BF61" i="1"/>
  <c r="AR170" i="1"/>
  <c r="AV61" i="1"/>
  <c r="AT18" i="1"/>
  <c r="AT132" i="1"/>
  <c r="AU132" i="1" s="1"/>
  <c r="BR160" i="1"/>
  <c r="BS160" i="1" s="1"/>
  <c r="BU42" i="1"/>
  <c r="BT150" i="1"/>
  <c r="BU150" i="1" s="1"/>
  <c r="BV25" i="1"/>
  <c r="BS84" i="1"/>
  <c r="M181" i="1"/>
  <c r="BN143" i="1"/>
  <c r="BV35" i="1"/>
  <c r="AQ42" i="1"/>
  <c r="AR31" i="1"/>
  <c r="AZ142" i="1"/>
  <c r="N170" i="1"/>
  <c r="BD147" i="1"/>
  <c r="BE147" i="1" s="1"/>
  <c r="AP135" i="1"/>
  <c r="AQ135" i="1" s="1"/>
  <c r="BR154" i="1"/>
  <c r="BN162" i="1"/>
  <c r="BO162" i="1" s="1"/>
  <c r="BD162" i="1"/>
  <c r="BE162" i="1" s="1"/>
  <c r="BN165" i="1"/>
  <c r="BO165" i="1" s="1"/>
  <c r="AO34" i="1"/>
  <c r="AX24" i="1"/>
  <c r="BT157" i="1"/>
  <c r="BU157" i="1" s="1"/>
  <c r="AT159" i="1"/>
  <c r="AU159" i="1" s="1"/>
  <c r="R155" i="1"/>
  <c r="R190" i="1" s="1"/>
  <c r="I137" i="1"/>
  <c r="I181" i="1"/>
  <c r="AT173" i="1"/>
  <c r="AU173" i="1" s="1"/>
  <c r="AP164" i="1"/>
  <c r="AQ164" i="1" s="1"/>
  <c r="AY49" i="1"/>
  <c r="B169" i="1"/>
  <c r="BT145" i="1"/>
  <c r="BU145" i="1" s="1"/>
  <c r="AU23" i="1"/>
  <c r="N134" i="1"/>
  <c r="BU56" i="1"/>
  <c r="Q173" i="1"/>
  <c r="D182" i="1"/>
  <c r="G89" i="1"/>
  <c r="T174" i="1"/>
  <c r="E174" i="1"/>
  <c r="D174" i="1"/>
  <c r="L145" i="1"/>
  <c r="L141" i="1" s="1"/>
  <c r="AT55" i="1"/>
  <c r="H169" i="1"/>
  <c r="BR142" i="1"/>
  <c r="BF164" i="1"/>
  <c r="BG164" i="1" s="1"/>
  <c r="BN135" i="1"/>
  <c r="BO135" i="1" s="1"/>
  <c r="BN155" i="1"/>
  <c r="AZ32" i="1"/>
  <c r="AT25" i="1"/>
  <c r="Q128" i="1"/>
  <c r="AP163" i="1"/>
  <c r="AZ173" i="1"/>
  <c r="BA173" i="1" s="1"/>
  <c r="AQ35" i="1"/>
  <c r="W161" i="1"/>
  <c r="BP56" i="1"/>
  <c r="BI33" i="1"/>
  <c r="AN156" i="1"/>
  <c r="AO156" i="1" s="1"/>
  <c r="BK45" i="1"/>
  <c r="BU83" i="1"/>
  <c r="AN129" i="1"/>
  <c r="BI32" i="1"/>
  <c r="BP162" i="1"/>
  <c r="BQ162" i="1" s="1"/>
  <c r="BN55" i="1"/>
  <c r="AT42" i="1"/>
  <c r="BJ49" i="1"/>
  <c r="E163" i="1"/>
  <c r="E193" i="1" s="1"/>
  <c r="N152" i="1"/>
  <c r="I128" i="1"/>
  <c r="N137" i="1"/>
  <c r="B165" i="1"/>
  <c r="I170" i="1"/>
  <c r="T182" i="1"/>
  <c r="H134" i="1"/>
  <c r="R87" i="1"/>
  <c r="V169" i="1"/>
  <c r="AS49" i="1"/>
  <c r="E136" i="1"/>
  <c r="E164" i="1" s="1"/>
  <c r="U174" i="1"/>
  <c r="BF150" i="1"/>
  <c r="BG150" i="1" s="1"/>
  <c r="BN153" i="1"/>
  <c r="BO153" i="1" s="1"/>
  <c r="BN160" i="1"/>
  <c r="BO160" i="1" s="1"/>
  <c r="BR128" i="1"/>
  <c r="BS128" i="1" s="1"/>
  <c r="AN49" i="1"/>
  <c r="Q180" i="1"/>
  <c r="BQ45" i="1"/>
  <c r="BN25" i="1"/>
  <c r="AI34" i="1"/>
  <c r="BW34" i="1"/>
  <c r="AP142" i="1"/>
  <c r="BQ83" i="1"/>
  <c r="AO46" i="1"/>
  <c r="BB128" i="1"/>
  <c r="BC128" i="1" s="1"/>
  <c r="BD31" i="1"/>
  <c r="AN34" i="1"/>
  <c r="AY31" i="1"/>
  <c r="AR169" i="1"/>
  <c r="BE30" i="1"/>
  <c r="T142" i="1"/>
  <c r="AU18" i="1"/>
  <c r="BP49" i="1"/>
  <c r="BA55" i="1"/>
  <c r="BB24" i="1"/>
  <c r="C174" i="1"/>
  <c r="AO56" i="1"/>
  <c r="BA57" i="1"/>
  <c r="H157" i="1"/>
  <c r="F181" i="1"/>
  <c r="BH136" i="1"/>
  <c r="BI136" i="1" s="1"/>
  <c r="R180" i="1"/>
  <c r="L159" i="1"/>
  <c r="AT49" i="1"/>
  <c r="BH49" i="1"/>
  <c r="J77" i="1"/>
  <c r="AO35" i="1"/>
  <c r="F147" i="1"/>
  <c r="E83" i="1"/>
  <c r="BE56" i="1"/>
  <c r="AN18" i="1"/>
  <c r="J136" i="1"/>
  <c r="J164" i="1" s="1"/>
  <c r="S87" i="1"/>
  <c r="I165" i="1"/>
  <c r="K88" i="1"/>
  <c r="D127" i="1"/>
  <c r="L77" i="1"/>
  <c r="J163" i="1"/>
  <c r="J193" i="1" s="1"/>
  <c r="K156" i="1"/>
  <c r="AS56" i="1"/>
  <c r="E127" i="1"/>
  <c r="O145" i="1"/>
  <c r="O141" i="1" s="1"/>
  <c r="AI31" i="1"/>
  <c r="S156" i="1"/>
  <c r="H156" i="1"/>
  <c r="H146" i="1"/>
  <c r="T169" i="1"/>
  <c r="F182" i="1"/>
  <c r="AR46" i="1"/>
  <c r="J132" i="1"/>
  <c r="V161" i="1"/>
  <c r="N153" i="1"/>
  <c r="BP145" i="1"/>
  <c r="BQ145" i="1" s="1"/>
  <c r="BW32" i="1"/>
  <c r="AW42" i="1"/>
  <c r="BP136" i="1"/>
  <c r="BQ136" i="1" s="1"/>
  <c r="BP135" i="1"/>
  <c r="BQ135" i="1" s="1"/>
  <c r="BU24" i="1"/>
  <c r="AY35" i="1"/>
  <c r="AZ33" i="1"/>
  <c r="AT129" i="1"/>
  <c r="AY34" i="1"/>
  <c r="AR25" i="1"/>
  <c r="AI18" i="1"/>
  <c r="AI190" i="1" s="1"/>
  <c r="BU46" i="1"/>
  <c r="BP31" i="1"/>
  <c r="B152" i="1"/>
  <c r="G169" i="1"/>
  <c r="BR136" i="1"/>
  <c r="BS136" i="1" s="1"/>
  <c r="BF136" i="1"/>
  <c r="BG136" i="1" s="1"/>
  <c r="BF157" i="1"/>
  <c r="BG157" i="1" s="1"/>
  <c r="BN129" i="1"/>
  <c r="BK61" i="1"/>
  <c r="AN23" i="1"/>
  <c r="BP57" i="1"/>
  <c r="AR42" i="1"/>
  <c r="AR204" i="1" s="1"/>
  <c r="BD25" i="1"/>
  <c r="BK84" i="1"/>
  <c r="W145" i="1"/>
  <c r="W141" i="1" s="1"/>
  <c r="O146" i="1"/>
  <c r="AU42" i="1"/>
  <c r="I180" i="1"/>
  <c r="BD156" i="1"/>
  <c r="BE156" i="1" s="1"/>
  <c r="BT46" i="1"/>
  <c r="T154" i="1"/>
  <c r="T189" i="1" s="1"/>
  <c r="BP161" i="1"/>
  <c r="BQ161" i="1" s="1"/>
  <c r="BB135" i="1"/>
  <c r="BC135" i="1" s="1"/>
  <c r="BB164" i="1"/>
  <c r="BC164" i="1" s="1"/>
  <c r="AY32" i="1"/>
  <c r="AP56" i="1"/>
  <c r="BD34" i="1"/>
  <c r="AP169" i="1"/>
  <c r="BT170" i="1"/>
  <c r="AI25" i="1"/>
  <c r="D145" i="1"/>
  <c r="BN19" i="1"/>
  <c r="AT156" i="1"/>
  <c r="AU156" i="1" s="1"/>
  <c r="BQ19" i="1"/>
  <c r="G154" i="1"/>
  <c r="G189" i="1" s="1"/>
  <c r="AN161" i="1"/>
  <c r="AO161" i="1" s="1"/>
  <c r="BP35" i="1"/>
  <c r="V170" i="1"/>
  <c r="BP25" i="1"/>
  <c r="BH163" i="1"/>
  <c r="L155" i="1"/>
  <c r="L190" i="1" s="1"/>
  <c r="O128" i="1"/>
  <c r="G155" i="1"/>
  <c r="G190" i="1" s="1"/>
  <c r="AN25" i="1"/>
  <c r="BR155" i="1"/>
  <c r="BR143" i="1"/>
  <c r="BR83" i="1"/>
  <c r="BR173" i="1"/>
  <c r="BS173" i="1" s="1"/>
  <c r="BD134" i="1"/>
  <c r="BE134" i="1" s="1"/>
  <c r="BD143" i="1"/>
  <c r="BD135" i="1"/>
  <c r="BE135" i="1" s="1"/>
  <c r="BD129" i="1"/>
  <c r="BD155" i="1"/>
  <c r="BF147" i="1"/>
  <c r="BG147" i="1" s="1"/>
  <c r="BF137" i="1"/>
  <c r="BG137" i="1" s="1"/>
  <c r="AZ129" i="1"/>
  <c r="BN170" i="1"/>
  <c r="BN150" i="1"/>
  <c r="BN145" i="1"/>
  <c r="BO145" i="1" s="1"/>
  <c r="AY84" i="1"/>
  <c r="AY83" i="1"/>
  <c r="BP128" i="1"/>
  <c r="BQ128" i="1" s="1"/>
  <c r="AP170" i="1"/>
  <c r="BM25" i="1"/>
  <c r="BO49" i="1"/>
  <c r="BV32" i="1"/>
  <c r="P173" i="1"/>
  <c r="BR33" i="1"/>
  <c r="BD57" i="1"/>
  <c r="BR23" i="1"/>
  <c r="AI19" i="1"/>
  <c r="AR32" i="1"/>
  <c r="AT84" i="1"/>
  <c r="BN127" i="1"/>
  <c r="BO127" i="1" s="1"/>
  <c r="AN174" i="1"/>
  <c r="AO174" i="1" s="1"/>
  <c r="BB154" i="1"/>
  <c r="BF127" i="1"/>
  <c r="BG127" i="1" s="1"/>
  <c r="BF163" i="1"/>
  <c r="BT173" i="1"/>
  <c r="BU173" i="1" s="1"/>
  <c r="AP45" i="1"/>
  <c r="BA61" i="1"/>
  <c r="BC30" i="1"/>
  <c r="BP173" i="1"/>
  <c r="BQ173" i="1" s="1"/>
  <c r="AZ153" i="1"/>
  <c r="BA153" i="1" s="1"/>
  <c r="AN137" i="1"/>
  <c r="AO137" i="1" s="1"/>
  <c r="BP163" i="1"/>
  <c r="AP153" i="1"/>
  <c r="AQ153" i="1" s="1"/>
  <c r="BA19" i="1"/>
  <c r="BH35" i="1"/>
  <c r="H159" i="1"/>
  <c r="AN165" i="1"/>
  <c r="AO165" i="1" s="1"/>
  <c r="AW83" i="1"/>
  <c r="AP83" i="1"/>
  <c r="BD45" i="1"/>
  <c r="AW33" i="1"/>
  <c r="AY42" i="1"/>
  <c r="BK18" i="1"/>
  <c r="Q143" i="1"/>
  <c r="AN136" i="1"/>
  <c r="AO136" i="1" s="1"/>
  <c r="BB83" i="1"/>
  <c r="BR55" i="1"/>
  <c r="BS35" i="1"/>
  <c r="BM23" i="1"/>
  <c r="AN134" i="1"/>
  <c r="AO134" i="1" s="1"/>
  <c r="BE83" i="1"/>
  <c r="BP157" i="1"/>
  <c r="BQ157" i="1" s="1"/>
  <c r="BW56" i="1"/>
  <c r="BM18" i="1"/>
  <c r="BM241" i="1" s="1"/>
  <c r="AR61" i="1"/>
  <c r="I174" i="1"/>
  <c r="AN132" i="1"/>
  <c r="AO132" i="1" s="1"/>
  <c r="BT156" i="1"/>
  <c r="BU156" i="1" s="1"/>
  <c r="BK83" i="1"/>
  <c r="BW31" i="1"/>
  <c r="AJ84" i="1"/>
  <c r="BQ24" i="1"/>
  <c r="BB174" i="1"/>
  <c r="BC174" i="1" s="1"/>
  <c r="BT33" i="1"/>
  <c r="AM55" i="1"/>
  <c r="AP157" i="1"/>
  <c r="AQ157" i="1" s="1"/>
  <c r="AT31" i="1"/>
  <c r="BB163" i="1"/>
  <c r="AN45" i="1"/>
  <c r="BG42" i="1"/>
  <c r="BG204" i="1" s="1"/>
  <c r="AY25" i="1"/>
  <c r="K174" i="1"/>
  <c r="O181" i="1"/>
  <c r="D160" i="1"/>
  <c r="BH153" i="1"/>
  <c r="BI153" i="1" s="1"/>
  <c r="BI18" i="1"/>
  <c r="U182" i="1"/>
  <c r="S173" i="1"/>
  <c r="BF55" i="1"/>
  <c r="AS30" i="1"/>
  <c r="N129" i="1"/>
  <c r="K155" i="1"/>
  <c r="K190" i="1" s="1"/>
  <c r="I83" i="1"/>
  <c r="BK34" i="1"/>
  <c r="BQ56" i="1"/>
  <c r="M174" i="1"/>
  <c r="BH83" i="1"/>
  <c r="BT35" i="1"/>
  <c r="U169" i="1"/>
  <c r="G135" i="1"/>
  <c r="P181" i="1"/>
  <c r="V160" i="1"/>
  <c r="H174" i="1"/>
  <c r="BH165" i="1"/>
  <c r="BI165" i="1" s="1"/>
  <c r="H161" i="1"/>
  <c r="D84" i="1"/>
  <c r="I77" i="1"/>
  <c r="BA25" i="1"/>
  <c r="K127" i="1"/>
  <c r="P134" i="1"/>
  <c r="E135" i="1"/>
  <c r="BK23" i="1"/>
  <c r="I160" i="1"/>
  <c r="H170" i="1"/>
  <c r="M157" i="1"/>
  <c r="R145" i="1"/>
  <c r="R141" i="1" s="1"/>
  <c r="C129" i="1"/>
  <c r="V157" i="1"/>
  <c r="J155" i="1"/>
  <c r="J190" i="1" s="1"/>
  <c r="L147" i="1"/>
  <c r="G127" i="1"/>
  <c r="I153" i="1"/>
  <c r="F173" i="1"/>
  <c r="L163" i="1"/>
  <c r="L193" i="1" s="1"/>
  <c r="BG56" i="1"/>
  <c r="BH169" i="1"/>
  <c r="BO61" i="1"/>
  <c r="AT83" i="1"/>
  <c r="BV49" i="1"/>
  <c r="AT136" i="1"/>
  <c r="AU136" i="1" s="1"/>
  <c r="AN35" i="1"/>
  <c r="BD18" i="1"/>
  <c r="AS46" i="1"/>
  <c r="G156" i="1"/>
  <c r="M155" i="1"/>
  <c r="M190" i="1" s="1"/>
  <c r="P155" i="1"/>
  <c r="P190" i="1" s="1"/>
  <c r="G77" i="1"/>
  <c r="C88" i="1"/>
  <c r="S84" i="1"/>
  <c r="K143" i="1"/>
  <c r="BO24" i="1"/>
  <c r="AI46" i="1"/>
  <c r="J128" i="1"/>
  <c r="B174" i="1"/>
  <c r="BR169" i="1"/>
  <c r="BD83" i="1"/>
  <c r="BW83" i="1"/>
  <c r="AZ152" i="1"/>
  <c r="BR46" i="1"/>
  <c r="BD19" i="1"/>
  <c r="BB18" i="1"/>
  <c r="BB241" i="1" s="1"/>
  <c r="R134" i="1"/>
  <c r="BN23" i="1"/>
  <c r="BP137" i="1"/>
  <c r="BQ137" i="1" s="1"/>
  <c r="BP129" i="1"/>
  <c r="BQ55" i="1"/>
  <c r="I87" i="1"/>
  <c r="BC24" i="1"/>
  <c r="H147" i="1"/>
  <c r="W182" i="1"/>
  <c r="B163" i="1"/>
  <c r="B193" i="1" s="1"/>
  <c r="BH155" i="1"/>
  <c r="L136" i="1"/>
  <c r="L164" i="1" s="1"/>
  <c r="I159" i="1"/>
  <c r="BR127" i="1"/>
  <c r="BS127" i="1" s="1"/>
  <c r="BD160" i="1"/>
  <c r="BE160" i="1" s="1"/>
  <c r="BD170" i="1"/>
  <c r="BF129" i="1"/>
  <c r="BF132" i="1"/>
  <c r="BG132" i="1" s="1"/>
  <c r="BN83" i="1"/>
  <c r="AU25" i="1"/>
  <c r="AN142" i="1"/>
  <c r="BN159" i="1"/>
  <c r="BO159" i="1" s="1"/>
  <c r="AT153" i="1"/>
  <c r="AU153" i="1" s="1"/>
  <c r="AT150" i="1"/>
  <c r="AU150" i="1" s="1"/>
  <c r="BB46" i="1"/>
  <c r="BD150" i="1"/>
  <c r="BE150" i="1" s="1"/>
  <c r="BF156" i="1"/>
  <c r="BG156" i="1" s="1"/>
  <c r="BF162" i="1"/>
  <c r="BG162" i="1" s="1"/>
  <c r="BN173" i="1"/>
  <c r="BO173" i="1" s="1"/>
  <c r="BN169" i="1"/>
  <c r="BE84" i="1"/>
  <c r="BB84" i="1"/>
  <c r="AN170" i="1"/>
  <c r="B89" i="1"/>
  <c r="BN174" i="1"/>
  <c r="BO174" i="1" s="1"/>
  <c r="AN154" i="1"/>
  <c r="BB129" i="1"/>
  <c r="AI30" i="1"/>
  <c r="AS18" i="1"/>
  <c r="BA30" i="1"/>
  <c r="T146" i="1"/>
  <c r="BN142" i="1"/>
  <c r="BQ84" i="1"/>
  <c r="AN145" i="1"/>
  <c r="AO145" i="1" s="1"/>
  <c r="BT143" i="1"/>
  <c r="BK57" i="1"/>
  <c r="BB25" i="1"/>
  <c r="BM30" i="1"/>
  <c r="AS42" i="1"/>
  <c r="F155" i="1"/>
  <c r="F190" i="1" s="1"/>
  <c r="BE19" i="1"/>
  <c r="BE46" i="1"/>
  <c r="BV31" i="1"/>
  <c r="BU25" i="1"/>
  <c r="O169" i="1"/>
  <c r="AT163" i="1"/>
  <c r="AP147" i="1"/>
  <c r="AQ147" i="1" s="1"/>
  <c r="BE25" i="1"/>
  <c r="BA18" i="1"/>
  <c r="AY46" i="1"/>
  <c r="AP31" i="1"/>
  <c r="BT147" i="1"/>
  <c r="BU147" i="1" s="1"/>
  <c r="AP132" i="1"/>
  <c r="AQ132" i="1" s="1"/>
  <c r="BP159" i="1"/>
  <c r="BQ159" i="1" s="1"/>
  <c r="AT169" i="1"/>
  <c r="BG83" i="1"/>
  <c r="AI35" i="1"/>
  <c r="BW55" i="1"/>
  <c r="AT30" i="1"/>
  <c r="K161" i="1"/>
  <c r="AT128" i="1"/>
  <c r="AU128" i="1" s="1"/>
  <c r="BT132" i="1"/>
  <c r="BU132" i="1" s="1"/>
  <c r="AO84" i="1"/>
  <c r="BT160" i="1"/>
  <c r="BU160" i="1" s="1"/>
  <c r="BS23" i="1"/>
  <c r="BC55" i="1"/>
  <c r="BH24" i="1"/>
  <c r="AZ42" i="1"/>
  <c r="AZ204" i="1" s="1"/>
  <c r="AP150" i="1"/>
  <c r="AQ150" i="1" s="1"/>
  <c r="BP143" i="1"/>
  <c r="BH61" i="1"/>
  <c r="AN61" i="1"/>
  <c r="AO49" i="1"/>
  <c r="BT136" i="1"/>
  <c r="BU136" i="1" s="1"/>
  <c r="AK84" i="1"/>
  <c r="AU61" i="1"/>
  <c r="AT161" i="1"/>
  <c r="AU161" i="1" s="1"/>
  <c r="AI49" i="1"/>
  <c r="AY57" i="1"/>
  <c r="D128" i="1"/>
  <c r="AN153" i="1"/>
  <c r="AO153" i="1" s="1"/>
  <c r="BC19" i="1"/>
  <c r="BT61" i="1"/>
  <c r="BO23" i="1"/>
  <c r="C127" i="1"/>
  <c r="AS34" i="1"/>
  <c r="AO61" i="1"/>
  <c r="K132" i="1"/>
  <c r="BH173" i="1"/>
  <c r="BI173" i="1" s="1"/>
  <c r="O165" i="1"/>
  <c r="AT46" i="1"/>
  <c r="F159" i="1"/>
  <c r="AY24" i="1"/>
  <c r="BI45" i="1"/>
  <c r="BC42" i="1"/>
  <c r="E129" i="1"/>
  <c r="BM45" i="1"/>
  <c r="AR33" i="1"/>
  <c r="P127" i="1"/>
  <c r="BW23" i="1"/>
  <c r="R163" i="1"/>
  <c r="R193" i="1" s="1"/>
  <c r="BO30" i="1"/>
  <c r="V155" i="1"/>
  <c r="V190" i="1" s="1"/>
  <c r="K181" i="1"/>
  <c r="K173" i="1"/>
  <c r="F88" i="1"/>
  <c r="J134" i="1"/>
  <c r="BN30" i="1"/>
  <c r="N156" i="1"/>
  <c r="E153" i="1"/>
  <c r="BH143" i="1"/>
  <c r="D159" i="1"/>
  <c r="K145" i="1"/>
  <c r="K141" i="1" s="1"/>
  <c r="U145" i="1"/>
  <c r="U141" i="1" s="1"/>
  <c r="W153" i="1"/>
  <c r="P83" i="1"/>
  <c r="I156" i="1"/>
  <c r="K135" i="1"/>
  <c r="B182" i="1"/>
  <c r="N135" i="1"/>
  <c r="R154" i="1"/>
  <c r="R189" i="1" s="1"/>
  <c r="H136" i="1"/>
  <c r="H164" i="1" s="1"/>
  <c r="C156" i="1"/>
  <c r="L87" i="1"/>
  <c r="BH160" i="1"/>
  <c r="BI160" i="1" s="1"/>
  <c r="AJ83" i="1"/>
  <c r="BT155" i="1"/>
  <c r="BM24" i="1"/>
  <c r="BP156" i="1"/>
  <c r="BQ156" i="1" s="1"/>
  <c r="BT19" i="1"/>
  <c r="C128" i="1"/>
  <c r="BN32" i="1"/>
  <c r="J181" i="1"/>
  <c r="O180" i="1"/>
  <c r="BQ32" i="1"/>
  <c r="F127" i="1"/>
  <c r="BC57" i="1"/>
  <c r="AO57" i="1"/>
  <c r="BR129" i="1"/>
  <c r="BF141" i="1"/>
  <c r="AW84" i="1"/>
  <c r="BJ32" i="1"/>
  <c r="BJ36" i="1" s="1"/>
  <c r="BT31" i="1"/>
  <c r="W181" i="1"/>
  <c r="BN35" i="1"/>
  <c r="BQ42" i="1"/>
  <c r="BP83" i="1"/>
  <c r="BI46" i="1"/>
  <c r="BP164" i="1"/>
  <c r="BQ164" i="1" s="1"/>
  <c r="BT142" i="1"/>
  <c r="BM55" i="1"/>
  <c r="AX33" i="1"/>
  <c r="I132" i="1"/>
  <c r="BO33" i="1"/>
  <c r="AQ24" i="1"/>
  <c r="BH135" i="1"/>
  <c r="BI135" i="1" s="1"/>
  <c r="AY61" i="1"/>
  <c r="BB55" i="1"/>
  <c r="M89" i="1"/>
  <c r="AM61" i="1"/>
  <c r="Q182" i="1"/>
  <c r="Q88" i="1"/>
  <c r="AS45" i="1"/>
  <c r="BR163" i="1"/>
  <c r="BF145" i="1"/>
  <c r="BG145" i="1" s="1"/>
  <c r="BF173" i="1"/>
  <c r="BG173" i="1" s="1"/>
  <c r="BP33" i="1"/>
  <c r="AT24" i="1"/>
  <c r="BD42" i="1"/>
  <c r="BO57" i="1"/>
  <c r="BN46" i="1"/>
  <c r="BJ55" i="1"/>
  <c r="AZ25" i="1"/>
  <c r="BD145" i="1"/>
  <c r="BE145" i="1" s="1"/>
  <c r="AQ83" i="1"/>
  <c r="BD159" i="1"/>
  <c r="BE159" i="1" s="1"/>
  <c r="AP145" i="1"/>
  <c r="AQ145" i="1" s="1"/>
  <c r="BF35" i="1"/>
  <c r="BR152" i="1"/>
  <c r="BS152" i="1" s="1"/>
  <c r="BR135" i="1"/>
  <c r="BS135" i="1" s="1"/>
  <c r="BD141" i="1"/>
  <c r="BN84" i="1"/>
  <c r="AP162" i="1"/>
  <c r="AQ162" i="1" s="1"/>
  <c r="BN163" i="1"/>
  <c r="AT57" i="1"/>
  <c r="R136" i="1"/>
  <c r="R164" i="1" s="1"/>
  <c r="BP155" i="1"/>
  <c r="BC31" i="1"/>
  <c r="J180" i="1"/>
  <c r="BA83" i="1"/>
  <c r="AN84" i="1"/>
  <c r="BP61" i="1"/>
  <c r="BT159" i="1"/>
  <c r="BU159" i="1" s="1"/>
  <c r="AP129" i="1"/>
  <c r="AT137" i="1"/>
  <c r="AU137" i="1" s="1"/>
  <c r="AU33" i="1"/>
  <c r="BH157" i="1"/>
  <c r="BI157" i="1" s="1"/>
  <c r="AV31" i="1"/>
  <c r="AV24" i="1"/>
  <c r="AT157" i="1"/>
  <c r="AU157" i="1" s="1"/>
  <c r="AV45" i="1"/>
  <c r="BW30" i="1"/>
  <c r="AS32" i="1"/>
  <c r="AP136" i="1"/>
  <c r="AQ136" i="1" s="1"/>
  <c r="AN163" i="1"/>
  <c r="BM33" i="1"/>
  <c r="BI56" i="1"/>
  <c r="BP19" i="1"/>
  <c r="BT30" i="1"/>
  <c r="P77" i="1"/>
  <c r="AT143" i="1"/>
  <c r="BP150" i="1"/>
  <c r="AU30" i="1"/>
  <c r="BF46" i="1"/>
  <c r="BC84" i="1"/>
  <c r="BW18" i="1"/>
  <c r="BH34" i="1"/>
  <c r="BB32" i="1"/>
  <c r="T88" i="1"/>
  <c r="BT84" i="1"/>
  <c r="AT142" i="1"/>
  <c r="BW57" i="1"/>
  <c r="BK49" i="1"/>
  <c r="C87" i="1"/>
  <c r="BE24" i="1"/>
  <c r="BF32" i="1"/>
  <c r="S161" i="1"/>
  <c r="P157" i="1"/>
  <c r="T129" i="1"/>
  <c r="BP55" i="1"/>
  <c r="U156" i="1"/>
  <c r="C181" i="1"/>
  <c r="K128" i="1"/>
  <c r="E173" i="1"/>
  <c r="AW25" i="1"/>
  <c r="AP55" i="1"/>
  <c r="B141" i="1"/>
  <c r="V83" i="1"/>
  <c r="J147" i="1"/>
  <c r="AU55" i="1"/>
  <c r="C142" i="1"/>
  <c r="P160" i="1"/>
  <c r="BI25" i="1"/>
  <c r="BV169" i="1"/>
  <c r="M153" i="1"/>
  <c r="BJ61" i="1"/>
  <c r="BQ18" i="1"/>
  <c r="BO46" i="1"/>
  <c r="U165" i="1"/>
  <c r="BH84" i="1"/>
  <c r="BU34" i="1"/>
  <c r="L182" i="1"/>
  <c r="Q147" i="1"/>
  <c r="K142" i="1"/>
  <c r="M135" i="1"/>
  <c r="C161" i="1"/>
  <c r="P153" i="1"/>
  <c r="O170" i="1"/>
  <c r="J153" i="1"/>
  <c r="Q134" i="1"/>
  <c r="V88" i="1"/>
  <c r="H128" i="1"/>
  <c r="L160" i="1"/>
  <c r="BD55" i="1"/>
  <c r="O136" i="1"/>
  <c r="O164" i="1" s="1"/>
  <c r="H84" i="1"/>
  <c r="BC49" i="1"/>
  <c r="H153" i="1"/>
  <c r="AN143" i="1"/>
  <c r="P154" i="1"/>
  <c r="P189" i="1" s="1"/>
  <c r="AV30" i="1"/>
  <c r="BH161" i="1"/>
  <c r="BI161" i="1" s="1"/>
  <c r="W163" i="1"/>
  <c r="BV132" i="1"/>
  <c r="BW132" i="1" s="1"/>
  <c r="BV24" i="1"/>
  <c r="L169" i="1"/>
  <c r="BR137" i="1"/>
  <c r="BS137" i="1" s="1"/>
  <c r="BD152" i="1"/>
  <c r="BE152" i="1" s="1"/>
  <c r="BN161" i="1"/>
  <c r="BO161" i="1" s="1"/>
  <c r="BD137" i="1"/>
  <c r="BE137" i="1" s="1"/>
  <c r="BH18" i="1"/>
  <c r="BF19" i="1"/>
  <c r="BP174" i="1"/>
  <c r="BQ174" i="1" s="1"/>
  <c r="BR162" i="1"/>
  <c r="BS162" i="1" s="1"/>
  <c r="BR161" i="1"/>
  <c r="BS161" i="1" s="1"/>
  <c r="BR164" i="1"/>
  <c r="BS164" i="1" s="1"/>
  <c r="BD136" i="1"/>
  <c r="BE136" i="1" s="1"/>
  <c r="BF161" i="1"/>
  <c r="BG161" i="1" s="1"/>
  <c r="BF174" i="1"/>
  <c r="BG174" i="1" s="1"/>
  <c r="BW61" i="1"/>
  <c r="AR56" i="1"/>
  <c r="AP19" i="1"/>
  <c r="BF154" i="1"/>
  <c r="BF159" i="1"/>
  <c r="BF142" i="1"/>
  <c r="BN134" i="1"/>
  <c r="BO134" i="1" s="1"/>
  <c r="BN147" i="1"/>
  <c r="BO147" i="1" s="1"/>
  <c r="AW18" i="1"/>
  <c r="BK24" i="1"/>
  <c r="AQ25" i="1"/>
  <c r="BT128" i="1"/>
  <c r="BU128" i="1" s="1"/>
  <c r="AN150" i="1"/>
  <c r="BR32" i="1"/>
  <c r="AZ30" i="1"/>
  <c r="BT34" i="1"/>
  <c r="BR134" i="1"/>
  <c r="BS134" i="1" s="1"/>
  <c r="BR145" i="1"/>
  <c r="BS145" i="1" s="1"/>
  <c r="BR165" i="1"/>
  <c r="BS165" i="1" s="1"/>
  <c r="BF134" i="1"/>
  <c r="BG134" i="1" s="1"/>
  <c r="BN152" i="1"/>
  <c r="BO152" i="1" s="1"/>
  <c r="BN156" i="1"/>
  <c r="BO156" i="1" s="1"/>
  <c r="BN132" i="1"/>
  <c r="BO132" i="1" s="1"/>
  <c r="BR174" i="1"/>
  <c r="BS174" i="1" s="1"/>
  <c r="AT170" i="1"/>
  <c r="AN135" i="1"/>
  <c r="AO135" i="1" s="1"/>
  <c r="BT152" i="1"/>
  <c r="BU152" i="1" s="1"/>
  <c r="BD46" i="1"/>
  <c r="BK55" i="1"/>
  <c r="L89" i="1"/>
  <c r="AU49" i="1"/>
  <c r="BT134" i="1"/>
  <c r="BH33" i="1"/>
  <c r="BH56" i="1"/>
  <c r="AQ30" i="1"/>
  <c r="AW34" i="1"/>
  <c r="G161" i="1"/>
  <c r="M152" i="1"/>
  <c r="BP154" i="1"/>
  <c r="BT137" i="1"/>
  <c r="BU137" i="1" s="1"/>
  <c r="AP127" i="1"/>
  <c r="BF165" i="1"/>
  <c r="BG165" i="1" s="1"/>
  <c r="BB56" i="1"/>
  <c r="BU45" i="1"/>
  <c r="BH23" i="1"/>
  <c r="BG30" i="1"/>
  <c r="AV33" i="1"/>
  <c r="BN128" i="1"/>
  <c r="BO128" i="1" s="1"/>
  <c r="BT135" i="1"/>
  <c r="BU135" i="1" s="1"/>
  <c r="BC83" i="1"/>
  <c r="AN155" i="1"/>
  <c r="BE23" i="1"/>
  <c r="AO32" i="1"/>
  <c r="BG33" i="1"/>
  <c r="T89" i="1"/>
  <c r="AX25" i="1"/>
  <c r="BK19" i="1"/>
  <c r="AV57" i="1"/>
  <c r="AP34" i="1"/>
  <c r="BS56" i="1"/>
  <c r="BG24" i="1"/>
  <c r="U143" i="1"/>
  <c r="BP84" i="1"/>
  <c r="BT162" i="1"/>
  <c r="BU162" i="1" s="1"/>
  <c r="AP155" i="1"/>
  <c r="BB31" i="1"/>
  <c r="BC46" i="1"/>
  <c r="BA49" i="1"/>
  <c r="BB19" i="1"/>
  <c r="BT164" i="1"/>
  <c r="BU164" i="1" s="1"/>
  <c r="AP128" i="1"/>
  <c r="AQ128" i="1" s="1"/>
  <c r="AU84" i="1"/>
  <c r="AI23" i="1"/>
  <c r="BB57" i="1"/>
  <c r="BT42" i="1"/>
  <c r="BV128" i="1"/>
  <c r="BW128" i="1" s="1"/>
  <c r="AU31" i="1"/>
  <c r="AT154" i="1"/>
  <c r="AT174" i="1"/>
  <c r="AU174" i="1" s="1"/>
  <c r="AO23" i="1"/>
  <c r="BE61" i="1"/>
  <c r="BG34" i="1"/>
  <c r="AX34" i="1"/>
  <c r="D146" i="1"/>
  <c r="AT141" i="1"/>
  <c r="AN147" i="1"/>
  <c r="AO147" i="1" s="1"/>
  <c r="AZ49" i="1"/>
  <c r="BD56" i="1"/>
  <c r="BE32" i="1"/>
  <c r="BA42" i="1"/>
  <c r="BA204" i="1" s="1"/>
  <c r="AP25" i="1"/>
  <c r="AW24" i="1"/>
  <c r="BM35" i="1"/>
  <c r="BE33" i="1"/>
  <c r="BA33" i="1"/>
  <c r="BH30" i="1"/>
  <c r="BH170" i="1"/>
  <c r="J143" i="1"/>
  <c r="M128" i="1"/>
  <c r="J89" i="1"/>
  <c r="BH55" i="1"/>
  <c r="F161" i="1"/>
  <c r="BH147" i="1"/>
  <c r="BI147" i="1" s="1"/>
  <c r="BF33" i="1"/>
  <c r="BV137" i="1"/>
  <c r="BW137" i="1" s="1"/>
  <c r="E142" i="1"/>
  <c r="W129" i="1"/>
  <c r="BV56" i="1"/>
  <c r="BV34" i="1"/>
  <c r="BT18" i="1"/>
  <c r="K150" i="1"/>
  <c r="L174" i="1"/>
  <c r="BF57" i="1"/>
  <c r="R84" i="1"/>
  <c r="BA34" i="1"/>
  <c r="AP30" i="1"/>
  <c r="L135" i="1"/>
  <c r="K154" i="1"/>
  <c r="K189" i="1" s="1"/>
  <c r="R153" i="1"/>
  <c r="G88" i="1"/>
  <c r="C160" i="1"/>
  <c r="BP46" i="1"/>
  <c r="E182" i="1"/>
  <c r="K157" i="1"/>
  <c r="V159" i="1"/>
  <c r="U180" i="1"/>
  <c r="R150" i="1"/>
  <c r="T127" i="1"/>
  <c r="D165" i="1"/>
  <c r="E89" i="1"/>
  <c r="I136" i="1"/>
  <c r="I164" i="1" s="1"/>
  <c r="S174" i="1"/>
  <c r="S159" i="1"/>
  <c r="N87" i="1"/>
  <c r="B87" i="1"/>
  <c r="BO31" i="1"/>
  <c r="AI33" i="1"/>
  <c r="B142" i="1"/>
  <c r="L161" i="1"/>
  <c r="BN33" i="1"/>
  <c r="S88" i="1"/>
  <c r="F132" i="1"/>
  <c r="BI42" i="1"/>
  <c r="C155" i="1"/>
  <c r="C190" i="1" s="1"/>
  <c r="R132" i="1"/>
  <c r="N169" i="1"/>
  <c r="Q160" i="1"/>
  <c r="T83" i="1"/>
  <c r="D141" i="1"/>
  <c r="AM56" i="1"/>
  <c r="BJ83" i="1"/>
  <c r="BR18" i="1"/>
  <c r="AZ24" i="1"/>
  <c r="AP84" i="1"/>
  <c r="BR56" i="1"/>
  <c r="BP134" i="1"/>
  <c r="BW25" i="1"/>
  <c r="AP143" i="1"/>
  <c r="P88" i="1"/>
  <c r="B137" i="1"/>
  <c r="BA23" i="1"/>
  <c r="BE35" i="1"/>
  <c r="T152" i="1"/>
  <c r="BR156" i="1"/>
  <c r="BS156" i="1" s="1"/>
  <c r="BF169" i="1"/>
  <c r="BF83" i="1"/>
  <c r="BV19" i="1"/>
  <c r="BT165" i="1"/>
  <c r="BU165" i="1" s="1"/>
  <c r="AT162" i="1"/>
  <c r="AU162" i="1" s="1"/>
  <c r="AT134" i="1"/>
  <c r="AU134" i="1" s="1"/>
  <c r="AM83" i="1"/>
  <c r="AN24" i="1"/>
  <c r="BP141" i="1"/>
  <c r="E157" i="1"/>
  <c r="BR34" i="1"/>
  <c r="BR132" i="1"/>
  <c r="BS132" i="1" s="1"/>
  <c r="AO19" i="1"/>
  <c r="BF160" i="1"/>
  <c r="BG160" i="1" s="1"/>
  <c r="BF170" i="1"/>
  <c r="BF171" i="1" s="1"/>
  <c r="BG219" i="1" s="1"/>
  <c r="BF135" i="1"/>
  <c r="BG135" i="1" s="1"/>
  <c r="BF84" i="1"/>
  <c r="BF155" i="1"/>
  <c r="BF153" i="1"/>
  <c r="BG153" i="1" s="1"/>
  <c r="AP141" i="1"/>
  <c r="AR24" i="1"/>
  <c r="BN57" i="1"/>
  <c r="BQ23" i="1"/>
  <c r="AW61" i="1"/>
  <c r="U89" i="1"/>
  <c r="T145" i="1"/>
  <c r="T141" i="1" s="1"/>
  <c r="BF143" i="1"/>
  <c r="AT160" i="1"/>
  <c r="AU160" i="1" s="1"/>
  <c r="AI56" i="1"/>
  <c r="AX31" i="1"/>
  <c r="BK42" i="1"/>
  <c r="BK43" i="1" s="1"/>
  <c r="AV49" i="1"/>
  <c r="AP165" i="1"/>
  <c r="AQ165" i="1" s="1"/>
  <c r="AP134" i="1"/>
  <c r="AQ134" i="1" s="1"/>
  <c r="AN160" i="1"/>
  <c r="AO160" i="1" s="1"/>
  <c r="BH57" i="1"/>
  <c r="BM19" i="1"/>
  <c r="BB61" i="1"/>
  <c r="BP170" i="1"/>
  <c r="BT153" i="1"/>
  <c r="BU153" i="1" s="1"/>
  <c r="BT83" i="1"/>
  <c r="AP173" i="1"/>
  <c r="AQ173" i="1" s="1"/>
  <c r="BG19" i="1"/>
  <c r="AY45" i="1"/>
  <c r="R77" i="1"/>
  <c r="AW19" i="1"/>
  <c r="BM57" i="1"/>
  <c r="BU35" i="1"/>
  <c r="T173" i="1"/>
  <c r="BT174" i="1"/>
  <c r="BU174" i="1" s="1"/>
  <c r="BT161" i="1"/>
  <c r="BU161" i="1" s="1"/>
  <c r="AS61" i="1"/>
  <c r="BE42" i="1"/>
  <c r="BA56" i="1"/>
  <c r="M136" i="1"/>
  <c r="M164" i="1" s="1"/>
  <c r="AN159" i="1"/>
  <c r="AO159" i="1" s="1"/>
  <c r="AN127" i="1"/>
  <c r="AO127" i="1" s="1"/>
  <c r="BC45" i="1"/>
  <c r="BD61" i="1"/>
  <c r="AZ35" i="1"/>
  <c r="AT155" i="1"/>
  <c r="AT164" i="1"/>
  <c r="AU164" i="1" s="1"/>
  <c r="AU83" i="1"/>
  <c r="BW46" i="1"/>
  <c r="BD35" i="1"/>
  <c r="AP152" i="1"/>
  <c r="AQ152" i="1" s="1"/>
  <c r="BT169" i="1"/>
  <c r="AN57" i="1"/>
  <c r="BR25" i="1"/>
  <c r="C77" i="1"/>
  <c r="AT145" i="1"/>
  <c r="AU145" i="1" s="1"/>
  <c r="BS18" i="1"/>
  <c r="AT135" i="1"/>
  <c r="AU135" i="1" s="1"/>
  <c r="AN157" i="1"/>
  <c r="AO157" i="1" s="1"/>
  <c r="AT61" i="1"/>
  <c r="BO45" i="1"/>
  <c r="BP32" i="1"/>
  <c r="BQ25" i="1"/>
  <c r="BU31" i="1"/>
  <c r="AV23" i="1"/>
  <c r="D150" i="1"/>
  <c r="Q137" i="1"/>
  <c r="R137" i="1"/>
  <c r="P87" i="1"/>
  <c r="BT23" i="1"/>
  <c r="AT34" i="1"/>
  <c r="D156" i="1"/>
  <c r="M173" i="1"/>
  <c r="BG23" i="1"/>
  <c r="W83" i="1"/>
  <c r="BR24" i="1"/>
  <c r="E146" i="1"/>
  <c r="AO45" i="1"/>
  <c r="O147" i="1"/>
  <c r="T136" i="1"/>
  <c r="T164" i="1" s="1"/>
  <c r="M150" i="1"/>
  <c r="J127" i="1"/>
  <c r="E132" i="1"/>
  <c r="O83" i="1"/>
  <c r="C83" i="1"/>
  <c r="W147" i="1"/>
  <c r="BE18" i="1"/>
  <c r="P146" i="1"/>
  <c r="C84" i="1"/>
  <c r="S137" i="1"/>
  <c r="H137" i="1"/>
  <c r="BH137" i="1"/>
  <c r="BI137" i="1" s="1"/>
  <c r="B74" i="1"/>
  <c r="BW35" i="1"/>
  <c r="E170" i="1"/>
  <c r="E171" i="1" s="1"/>
  <c r="F219" i="1" s="1"/>
  <c r="V147" i="1"/>
  <c r="S181" i="1"/>
  <c r="N136" i="1"/>
  <c r="N164" i="1" s="1"/>
  <c r="R173" i="1"/>
  <c r="H89" i="1"/>
  <c r="H135" i="1"/>
  <c r="E128" i="1"/>
  <c r="D181" i="1"/>
  <c r="F128" i="1"/>
  <c r="AN169" i="1"/>
  <c r="BV61" i="1"/>
  <c r="AX42" i="1"/>
  <c r="AV34" i="1"/>
  <c r="AR55" i="1"/>
  <c r="AO55" i="1"/>
  <c r="J150" i="1"/>
  <c r="Q84" i="1"/>
  <c r="BT127" i="1"/>
  <c r="BU127" i="1" s="1"/>
  <c r="AN152" i="1"/>
  <c r="AO152" i="1" s="1"/>
  <c r="BP18" i="1"/>
  <c r="BC18" i="1"/>
  <c r="AV25" i="1"/>
  <c r="AN56" i="1"/>
  <c r="AS24" i="1"/>
  <c r="U159" i="1"/>
  <c r="BO32" i="1"/>
  <c r="AT127" i="1"/>
  <c r="AU127" i="1" s="1"/>
  <c r="BP147" i="1"/>
  <c r="BQ147" i="1" s="1"/>
  <c r="BW19" i="1"/>
  <c r="BV42" i="1"/>
  <c r="BV204" i="1" s="1"/>
  <c r="AQ23" i="1"/>
  <c r="AV32" i="1"/>
  <c r="R159" i="1"/>
  <c r="AZ31" i="1"/>
  <c r="BP127" i="1"/>
  <c r="BQ127" i="1" s="1"/>
  <c r="AP161" i="1"/>
  <c r="AQ161" i="1" s="1"/>
  <c r="AP159" i="1"/>
  <c r="AQ159" i="1" s="1"/>
  <c r="BS31" i="1"/>
  <c r="AS57" i="1"/>
  <c r="BG57" i="1"/>
  <c r="J160" i="1"/>
  <c r="T143" i="1"/>
  <c r="BI34" i="1"/>
  <c r="AZ23" i="1"/>
  <c r="AS35" i="1"/>
  <c r="AY18" i="1"/>
  <c r="AZ57" i="1"/>
  <c r="W146" i="1"/>
  <c r="L88" i="1"/>
  <c r="K134" i="1"/>
  <c r="H150" i="1"/>
  <c r="BF18" i="1"/>
  <c r="S129" i="1"/>
  <c r="U132" i="1"/>
  <c r="B128" i="1"/>
  <c r="Q127" i="1"/>
  <c r="F165" i="1"/>
  <c r="BV45" i="1"/>
  <c r="P169" i="1"/>
  <c r="P171" i="1" s="1"/>
  <c r="Q219" i="1" s="1"/>
  <c r="J169" i="1"/>
  <c r="BQ46" i="1"/>
  <c r="BD32" i="1"/>
  <c r="J174" i="1"/>
  <c r="C163" i="1"/>
  <c r="C193" i="1" s="1"/>
  <c r="M159" i="1"/>
  <c r="H152" i="1"/>
  <c r="K170" i="1"/>
  <c r="S83" i="1"/>
  <c r="D154" i="1"/>
  <c r="D189" i="1" s="1"/>
  <c r="C152" i="1"/>
  <c r="BQ57" i="1"/>
  <c r="AT56" i="1"/>
  <c r="AQ33" i="1"/>
  <c r="O153" i="1"/>
  <c r="BO55" i="1"/>
  <c r="AZ61" i="1"/>
  <c r="AM57" i="1"/>
  <c r="Q146" i="1"/>
  <c r="V132" i="1"/>
  <c r="BH45" i="1"/>
  <c r="BG49" i="1"/>
  <c r="BR31" i="1"/>
  <c r="W157" i="1"/>
  <c r="N180" i="1"/>
  <c r="AN141" i="1"/>
  <c r="BD49" i="1"/>
  <c r="BA35" i="1"/>
  <c r="AP49" i="1"/>
  <c r="BM56" i="1"/>
  <c r="O88" i="1"/>
  <c r="BI19" i="1"/>
  <c r="K129" i="1"/>
  <c r="AX19" i="1"/>
  <c r="W180" i="1"/>
  <c r="D89" i="1"/>
  <c r="J182" i="1"/>
  <c r="Q159" i="1"/>
  <c r="V89" i="1"/>
  <c r="C180" i="1"/>
  <c r="T165" i="1"/>
  <c r="U163" i="1"/>
  <c r="U193" i="1" s="1"/>
  <c r="W135" i="1"/>
  <c r="U161" i="1"/>
  <c r="BV136" i="1"/>
  <c r="BW136" i="1" s="1"/>
  <c r="H163" i="1"/>
  <c r="H193" i="1" s="1"/>
  <c r="O132" i="1"/>
  <c r="V128" i="1"/>
  <c r="U173" i="1"/>
  <c r="AI83" i="1"/>
  <c r="C137" i="1"/>
  <c r="T163" i="1"/>
  <c r="T193" i="1" s="1"/>
  <c r="I147" i="1"/>
  <c r="I154" i="1"/>
  <c r="I189" i="1" s="1"/>
  <c r="AN55" i="1"/>
  <c r="D152" i="1"/>
  <c r="W143" i="1"/>
  <c r="W144" i="1" s="1"/>
  <c r="L146" i="1"/>
  <c r="T159" i="1"/>
  <c r="M146" i="1"/>
  <c r="U147" i="1"/>
  <c r="D135" i="1"/>
  <c r="Q83" i="1"/>
  <c r="BH128" i="1"/>
  <c r="BI128" i="1" s="1"/>
  <c r="M129" i="1"/>
  <c r="J161" i="1"/>
  <c r="BH152" i="1"/>
  <c r="Q156" i="1"/>
  <c r="H129" i="1"/>
  <c r="BN34" i="1"/>
  <c r="L143" i="1"/>
  <c r="V152" i="1"/>
  <c r="E160" i="1"/>
  <c r="V182" i="1"/>
  <c r="AO42" i="1"/>
  <c r="U137" i="1"/>
  <c r="F137" i="1"/>
  <c r="BI35" i="1"/>
  <c r="L83" i="1"/>
  <c r="M88" i="1"/>
  <c r="BM31" i="1"/>
  <c r="V145" i="1"/>
  <c r="V141" i="1" s="1"/>
  <c r="O152" i="1"/>
  <c r="AY55" i="1"/>
  <c r="W152" i="1"/>
  <c r="G143" i="1"/>
  <c r="BM49" i="1"/>
  <c r="BJ46" i="1"/>
  <c r="BJ262" i="1" s="1"/>
  <c r="BG18" i="1"/>
  <c r="BG241" i="1" s="1"/>
  <c r="BF31" i="1"/>
  <c r="AV35" i="1"/>
  <c r="G136" i="1"/>
  <c r="G164" i="1" s="1"/>
  <c r="BU84" i="1"/>
  <c r="BQ30" i="1"/>
  <c r="AP35" i="1"/>
  <c r="BT55" i="1"/>
  <c r="BR61" i="1"/>
  <c r="AP137" i="1"/>
  <c r="AQ137" i="1" s="1"/>
  <c r="BC33" i="1"/>
  <c r="AX45" i="1"/>
  <c r="BT49" i="1"/>
  <c r="AY19" i="1"/>
  <c r="BH32" i="1"/>
  <c r="O134" i="1"/>
  <c r="AQ32" i="1"/>
  <c r="AM84" i="1"/>
  <c r="AP23" i="1"/>
  <c r="BQ33" i="1"/>
  <c r="AR45" i="1"/>
  <c r="J87" i="1"/>
  <c r="M127" i="1"/>
  <c r="W154" i="1"/>
  <c r="E156" i="1"/>
  <c r="BF34" i="1"/>
  <c r="D163" i="1"/>
  <c r="D193" i="1" s="1"/>
  <c r="U157" i="1"/>
  <c r="F152" i="1"/>
  <c r="B161" i="1"/>
  <c r="K169" i="1"/>
  <c r="AX46" i="1"/>
  <c r="F146" i="1"/>
  <c r="BS42" i="1"/>
  <c r="BW45" i="1"/>
  <c r="BB33" i="1"/>
  <c r="AW30" i="1"/>
  <c r="M77" i="1"/>
  <c r="T153" i="1"/>
  <c r="BE49" i="1"/>
  <c r="J145" i="1"/>
  <c r="J141" i="1" s="1"/>
  <c r="I135" i="1"/>
  <c r="T128" i="1"/>
  <c r="AP42" i="1"/>
  <c r="BD33" i="1"/>
  <c r="D153" i="1"/>
  <c r="U135" i="1"/>
  <c r="F169" i="1"/>
  <c r="P128" i="1"/>
  <c r="BK32" i="1"/>
  <c r="O150" i="1"/>
  <c r="AX18" i="1"/>
  <c r="AT23" i="1"/>
  <c r="F83" i="1"/>
  <c r="O160" i="1"/>
  <c r="N145" i="1"/>
  <c r="N141" i="1" s="1"/>
  <c r="BI24" i="1"/>
  <c r="AY56" i="1"/>
  <c r="F180" i="1"/>
  <c r="O87" i="1"/>
  <c r="U154" i="1"/>
  <c r="U189" i="1" s="1"/>
  <c r="S150" i="1"/>
  <c r="BA45" i="1"/>
  <c r="BB45" i="1"/>
  <c r="BN24" i="1"/>
  <c r="K83" i="1"/>
  <c r="O174" i="1"/>
  <c r="AU35" i="1"/>
  <c r="M137" i="1"/>
  <c r="B155" i="1"/>
  <c r="B190" i="1" s="1"/>
  <c r="B150" i="1"/>
  <c r="S180" i="1"/>
  <c r="F89" i="1"/>
  <c r="H127" i="1"/>
  <c r="N150" i="1"/>
  <c r="BT45" i="1"/>
  <c r="O135" i="1"/>
  <c r="D147" i="1"/>
  <c r="T160" i="1"/>
  <c r="P143" i="1"/>
  <c r="L157" i="1"/>
  <c r="BV55" i="1"/>
  <c r="O155" i="1"/>
  <c r="O190" i="1" s="1"/>
  <c r="M132" i="1"/>
  <c r="BH145" i="1"/>
  <c r="BI145" i="1" s="1"/>
  <c r="F77" i="1"/>
  <c r="N161" i="1"/>
  <c r="G145" i="1"/>
  <c r="G141" i="1" s="1"/>
  <c r="K163" i="1"/>
  <c r="K193" i="1" s="1"/>
  <c r="F154" i="1"/>
  <c r="F189" i="1" s="1"/>
  <c r="S143" i="1"/>
  <c r="R174" i="1"/>
  <c r="BB49" i="1"/>
  <c r="H182" i="1"/>
  <c r="Q89" i="1"/>
  <c r="S153" i="1"/>
  <c r="AR19" i="1"/>
  <c r="Q136" i="1"/>
  <c r="Q164" i="1" s="1"/>
  <c r="F150" i="1"/>
  <c r="N142" i="1"/>
  <c r="K182" i="1"/>
  <c r="C182" i="1"/>
  <c r="C136" i="1"/>
  <c r="C164" i="1" s="1"/>
  <c r="V142" i="1"/>
  <c r="AS23" i="1"/>
  <c r="S127" i="1"/>
  <c r="I157" i="1"/>
  <c r="AO30" i="1"/>
  <c r="M169" i="1"/>
  <c r="U160" i="1"/>
  <c r="W170" i="1"/>
  <c r="W174" i="1"/>
  <c r="J135" i="1"/>
  <c r="P142" i="1"/>
  <c r="E181" i="1"/>
  <c r="BV150" i="1"/>
  <c r="L127" i="1"/>
  <c r="J146" i="1"/>
  <c r="T150" i="1"/>
  <c r="V181" i="1"/>
  <c r="BQ61" i="1"/>
  <c r="BF45" i="1"/>
  <c r="BA31" i="1"/>
  <c r="AX32" i="1"/>
  <c r="AT32" i="1"/>
  <c r="AQ18" i="1"/>
  <c r="BA24" i="1"/>
  <c r="AS33" i="1"/>
  <c r="BO19" i="1"/>
  <c r="AW56" i="1"/>
  <c r="AO33" i="1"/>
  <c r="BK30" i="1"/>
  <c r="AU56" i="1"/>
  <c r="AN83" i="1"/>
  <c r="BG25" i="1"/>
  <c r="AQ19" i="1"/>
  <c r="BI23" i="1"/>
  <c r="AI24" i="1"/>
  <c r="AN162" i="1"/>
  <c r="AO162" i="1" s="1"/>
  <c r="AN173" i="1"/>
  <c r="AO173" i="1" s="1"/>
  <c r="AX30" i="1"/>
  <c r="BB34" i="1"/>
  <c r="BN49" i="1"/>
  <c r="BS32" i="1"/>
  <c r="BU55" i="1"/>
  <c r="AN30" i="1"/>
  <c r="AV18" i="1"/>
  <c r="L153" i="1"/>
  <c r="O163" i="1"/>
  <c r="O193" i="1" s="1"/>
  <c r="Q145" i="1"/>
  <c r="Q141" i="1" s="1"/>
  <c r="BV162" i="1"/>
  <c r="BW162" i="1" s="1"/>
  <c r="Q174" i="1"/>
  <c r="W128" i="1"/>
  <c r="BP42" i="1"/>
  <c r="AV55" i="1"/>
  <c r="N155" i="1"/>
  <c r="N190" i="1" s="1"/>
  <c r="O84" i="1"/>
  <c r="L170" i="1"/>
  <c r="AO24" i="1"/>
  <c r="BI61" i="1"/>
  <c r="K77" i="1"/>
  <c r="Q161" i="1"/>
  <c r="AI42" i="1"/>
  <c r="BE34" i="1"/>
  <c r="BK56" i="1"/>
  <c r="AQ57" i="1"/>
  <c r="BE45" i="1"/>
  <c r="O157" i="1"/>
  <c r="P129" i="1"/>
  <c r="BH174" i="1"/>
  <c r="BI174" i="1" s="1"/>
  <c r="N173" i="1"/>
  <c r="AZ18" i="1"/>
  <c r="AO18" i="1"/>
  <c r="AQ56" i="1"/>
  <c r="G157" i="1"/>
  <c r="E161" i="1"/>
  <c r="I142" i="1"/>
  <c r="BV129" i="1"/>
  <c r="AP18" i="1"/>
  <c r="AT35" i="1"/>
  <c r="AN33" i="1"/>
  <c r="BA32" i="1"/>
  <c r="N77" i="1"/>
  <c r="AU24" i="1"/>
  <c r="BG45" i="1"/>
  <c r="BQ34" i="1"/>
  <c r="AP32" i="1"/>
  <c r="BR45" i="1"/>
  <c r="D88" i="1"/>
  <c r="F156" i="1"/>
  <c r="T84" i="1"/>
  <c r="BU19" i="1"/>
  <c r="F170" i="1"/>
  <c r="V137" i="1"/>
  <c r="M143" i="1"/>
  <c r="U83" i="1"/>
  <c r="H154" i="1"/>
  <c r="H189" i="1" s="1"/>
  <c r="BS46" i="1"/>
  <c r="B77" i="1"/>
  <c r="G84" i="1"/>
  <c r="BH142" i="1"/>
  <c r="Q154" i="1"/>
  <c r="Q189" i="1" s="1"/>
  <c r="H88" i="1"/>
  <c r="R181" i="1"/>
  <c r="Q169" i="1"/>
  <c r="B159" i="1"/>
  <c r="F145" i="1"/>
  <c r="F141" i="1" s="1"/>
  <c r="L134" i="1"/>
  <c r="J173" i="1"/>
  <c r="BV154" i="1"/>
  <c r="F163" i="1"/>
  <c r="F193" i="1" s="1"/>
  <c r="D129" i="1"/>
  <c r="BH132" i="1"/>
  <c r="BI132" i="1" s="1"/>
  <c r="B135" i="1"/>
  <c r="E150" i="1"/>
  <c r="BK46" i="1"/>
  <c r="AR49" i="1"/>
  <c r="N147" i="1"/>
  <c r="E87" i="1"/>
  <c r="O143" i="1"/>
  <c r="P159" i="1"/>
  <c r="N159" i="1"/>
  <c r="R88" i="1"/>
  <c r="W169" i="1"/>
  <c r="P156" i="1"/>
  <c r="N127" i="1"/>
  <c r="B146" i="1"/>
  <c r="U170" i="1"/>
  <c r="E155" i="1"/>
  <c r="E190" i="1" s="1"/>
  <c r="R142" i="1"/>
  <c r="I146" i="1"/>
  <c r="I150" i="1"/>
  <c r="AZ45" i="1"/>
  <c r="S128" i="1"/>
  <c r="G152" i="1"/>
  <c r="BN61" i="1"/>
  <c r="Q150" i="1"/>
  <c r="W156" i="1"/>
  <c r="U88" i="1"/>
  <c r="C135" i="1"/>
  <c r="C147" i="1"/>
  <c r="K147" i="1"/>
  <c r="BV164" i="1"/>
  <c r="BW164" i="1" s="1"/>
  <c r="C89" i="1"/>
  <c r="I88" i="1"/>
  <c r="BR19" i="1"/>
  <c r="S134" i="1"/>
  <c r="AQ49" i="1"/>
  <c r="L156" i="1"/>
  <c r="AN164" i="1"/>
  <c r="AO164" i="1" s="1"/>
  <c r="BS55" i="1"/>
  <c r="BS61" i="1"/>
  <c r="AN46" i="1"/>
  <c r="BO35" i="1"/>
  <c r="H83" i="1"/>
  <c r="S89" i="1"/>
  <c r="BB23" i="1"/>
  <c r="AX23" i="1"/>
  <c r="BF30" i="1"/>
  <c r="AO25" i="1"/>
  <c r="AZ56" i="1"/>
  <c r="AQ55" i="1"/>
  <c r="BK35" i="1"/>
  <c r="BR35" i="1"/>
  <c r="AU32" i="1"/>
  <c r="AN128" i="1"/>
  <c r="AO128" i="1" s="1"/>
  <c r="BR30" i="1"/>
  <c r="AZ19" i="1"/>
  <c r="AZ20" i="1" s="1"/>
  <c r="BM61" i="1"/>
  <c r="R147" i="1"/>
  <c r="BB42" i="1"/>
  <c r="AW35" i="1"/>
  <c r="BS34" i="1"/>
  <c r="BV57" i="1"/>
  <c r="B157" i="1"/>
  <c r="T135" i="1"/>
  <c r="C157" i="1"/>
  <c r="J142" i="1"/>
  <c r="D180" i="1"/>
  <c r="BV30" i="1"/>
  <c r="AN19" i="1"/>
  <c r="BF25" i="1"/>
  <c r="F174" i="1"/>
  <c r="L129" i="1"/>
  <c r="BH42" i="1"/>
  <c r="BH204" i="1" s="1"/>
  <c r="BV33" i="1"/>
  <c r="U153" i="1"/>
  <c r="D169" i="1"/>
  <c r="N83" i="1"/>
  <c r="I129" i="1"/>
  <c r="BN42" i="1"/>
  <c r="BN43" i="1" s="1"/>
  <c r="BK33" i="1"/>
  <c r="L84" i="1"/>
  <c r="AP57" i="1"/>
  <c r="AU57" i="1"/>
  <c r="AY30" i="1"/>
  <c r="I145" i="1"/>
  <c r="I141" i="1" s="1"/>
  <c r="P150" i="1"/>
  <c r="AS55" i="1"/>
  <c r="BA46" i="1"/>
  <c r="BM46" i="1"/>
  <c r="AO31" i="1"/>
  <c r="BC56" i="1"/>
  <c r="AZ46" i="1"/>
  <c r="AZ262" i="1" s="1"/>
  <c r="N143" i="1"/>
  <c r="P147" i="1"/>
  <c r="V136" i="1"/>
  <c r="V164" i="1" s="1"/>
  <c r="G181" i="1"/>
  <c r="BS45" i="1"/>
  <c r="AQ46" i="1"/>
  <c r="AQ34" i="1"/>
  <c r="AY23" i="1"/>
  <c r="BV173" i="1"/>
  <c r="BW173" i="1" s="1"/>
  <c r="W173" i="1"/>
  <c r="R156" i="1"/>
  <c r="AV42" i="1"/>
  <c r="AV204" i="1" s="1"/>
  <c r="BN18" i="1"/>
  <c r="BN262" i="1" s="1"/>
  <c r="BC25" i="1"/>
  <c r="BP23" i="1"/>
  <c r="AR57" i="1"/>
  <c r="BH25" i="1"/>
  <c r="N89" i="1"/>
  <c r="U150" i="1"/>
  <c r="H87" i="1"/>
  <c r="BM42" i="1"/>
  <c r="F134" i="1"/>
  <c r="BC35" i="1"/>
  <c r="R83" i="1"/>
  <c r="D137" i="1"/>
  <c r="C159" i="1"/>
  <c r="N181" i="1"/>
  <c r="W87" i="1"/>
  <c r="W132" i="1"/>
  <c r="T147" i="1"/>
  <c r="Q170" i="1"/>
  <c r="G170" i="1"/>
  <c r="I134" i="1"/>
  <c r="BE55" i="1"/>
  <c r="G174" i="1"/>
  <c r="AT33" i="1"/>
  <c r="P152" i="1"/>
  <c r="D87" i="1"/>
  <c r="BJ42" i="1"/>
  <c r="M87" i="1"/>
  <c r="F135" i="1"/>
  <c r="C170" i="1"/>
  <c r="I89" i="1"/>
  <c r="W155" i="1"/>
  <c r="W160" i="1"/>
  <c r="N157" i="1"/>
  <c r="D134" i="1"/>
  <c r="BJ56" i="1"/>
  <c r="H155" i="1"/>
  <c r="H190" i="1" s="1"/>
  <c r="BD24" i="1"/>
  <c r="N165" i="1"/>
  <c r="C146" i="1"/>
  <c r="BV156" i="1"/>
  <c r="BW156" i="1" s="1"/>
  <c r="K153" i="1"/>
  <c r="B73" i="1"/>
  <c r="B75" i="1" s="1"/>
  <c r="K160" i="1"/>
  <c r="BI49" i="1"/>
  <c r="F143" i="1"/>
  <c r="B134" i="1"/>
  <c r="BH154" i="1"/>
  <c r="BH189" i="1" s="1"/>
  <c r="BI189" i="1" s="1"/>
  <c r="T77" i="1"/>
  <c r="N88" i="1"/>
  <c r="O127" i="1"/>
  <c r="BU33" i="1"/>
  <c r="S77" i="1"/>
  <c r="S146" i="1"/>
  <c r="E84" i="1"/>
  <c r="L142" i="1"/>
  <c r="P174" i="1"/>
  <c r="R135" i="1"/>
  <c r="R165" i="1"/>
  <c r="BV153" i="1"/>
  <c r="BW153" i="1" s="1"/>
  <c r="V165" i="1"/>
  <c r="BT56" i="1"/>
  <c r="B147" i="1"/>
  <c r="BU30" i="1"/>
  <c r="K165" i="1"/>
  <c r="E159" i="1"/>
  <c r="E147" i="1"/>
  <c r="J137" i="1"/>
  <c r="R89" i="1"/>
  <c r="AX55" i="1"/>
  <c r="AX61" i="1"/>
  <c r="AP33" i="1"/>
  <c r="BT32" i="1"/>
  <c r="AR23" i="1"/>
  <c r="AV56" i="1"/>
  <c r="B181" i="1"/>
  <c r="I143" i="1"/>
  <c r="AW55" i="1"/>
  <c r="F142" i="1"/>
  <c r="C141" i="1"/>
  <c r="I155" i="1"/>
  <c r="I190" i="1" s="1"/>
  <c r="BM34" i="1"/>
  <c r="B127" i="1"/>
  <c r="BU23" i="1"/>
  <c r="BR42" i="1"/>
  <c r="BO42" i="1"/>
  <c r="R127" i="1"/>
  <c r="U77" i="1"/>
  <c r="J156" i="1"/>
  <c r="M83" i="1"/>
  <c r="D136" i="1"/>
  <c r="D164" i="1" s="1"/>
  <c r="BP24" i="1"/>
  <c r="BD23" i="1"/>
  <c r="AW49" i="1"/>
  <c r="AN31" i="1"/>
  <c r="V154" i="1"/>
  <c r="V189" i="1" s="1"/>
  <c r="M154" i="1"/>
  <c r="M189" i="1" s="1"/>
  <c r="AW31" i="1"/>
  <c r="AI55" i="1"/>
  <c r="BU18" i="1"/>
  <c r="AU46" i="1"/>
  <c r="B160" i="1"/>
  <c r="O129" i="1"/>
  <c r="L132" i="1"/>
  <c r="D142" i="1"/>
  <c r="BV157" i="1"/>
  <c r="BW157" i="1" s="1"/>
  <c r="B132" i="1"/>
  <c r="U129" i="1"/>
  <c r="G160" i="1"/>
  <c r="M147" i="1"/>
  <c r="BT24" i="1"/>
  <c r="N84" i="1"/>
  <c r="AP46" i="1"/>
  <c r="P135" i="1"/>
  <c r="W165" i="1"/>
  <c r="T161" i="1"/>
  <c r="I161" i="1"/>
  <c r="W150" i="1"/>
  <c r="X212" i="1" s="1"/>
  <c r="BH19" i="1"/>
  <c r="D83" i="1"/>
  <c r="N174" i="1"/>
  <c r="S155" i="1"/>
  <c r="S190" i="1" s="1"/>
  <c r="N182" i="1"/>
  <c r="M182" i="1"/>
  <c r="AW57" i="1"/>
  <c r="BV83" i="1"/>
  <c r="W136" i="1"/>
  <c r="W164" i="1" s="1"/>
  <c r="BW49" i="1"/>
  <c r="G165" i="1"/>
  <c r="L150" i="1"/>
  <c r="AK83" i="1"/>
  <c r="G137" i="1"/>
  <c r="P180" i="1"/>
  <c r="AX56" i="1"/>
  <c r="T180" i="1"/>
  <c r="C150" i="1"/>
  <c r="V174" i="1"/>
  <c r="D161" i="1"/>
  <c r="BC32" i="1"/>
  <c r="G182" i="1"/>
  <c r="BV170" i="1"/>
  <c r="V173" i="1"/>
  <c r="J170" i="1"/>
  <c r="M160" i="1"/>
  <c r="BG55" i="1"/>
  <c r="G132" i="1"/>
  <c r="B145" i="1"/>
  <c r="N128" i="1"/>
  <c r="W88" i="1"/>
  <c r="W84" i="1"/>
  <c r="W159" i="1"/>
  <c r="BV147" i="1"/>
  <c r="BW147" i="1" s="1"/>
  <c r="L173" i="1"/>
  <c r="B153" i="1"/>
  <c r="G129" i="1"/>
  <c r="F136" i="1"/>
  <c r="F164" i="1" s="1"/>
  <c r="U146" i="1"/>
  <c r="L180" i="1"/>
  <c r="L128" i="1"/>
  <c r="M145" i="1"/>
  <c r="M141" i="1" s="1"/>
  <c r="W134" i="1"/>
  <c r="AS19" i="1"/>
  <c r="BH134" i="1"/>
  <c r="E137" i="1"/>
  <c r="W77" i="1"/>
  <c r="L154" i="1"/>
  <c r="L189" i="1" s="1"/>
  <c r="M156" i="1"/>
  <c r="V153" i="1"/>
  <c r="S132" i="1"/>
  <c r="BV46" i="1"/>
  <c r="V143" i="1"/>
  <c r="N132" i="1"/>
  <c r="S152" i="1"/>
  <c r="H143" i="1"/>
  <c r="T87" i="1"/>
  <c r="O159" i="1"/>
  <c r="BV23" i="1"/>
  <c r="H77" i="1"/>
  <c r="T157" i="1"/>
  <c r="S165" i="1"/>
  <c r="Q155" i="1"/>
  <c r="Q190" i="1" s="1"/>
  <c r="AX49" i="1"/>
  <c r="V77" i="1"/>
  <c r="E145" i="1"/>
  <c r="E141" i="1" s="1"/>
  <c r="O89" i="1"/>
  <c r="I169" i="1"/>
  <c r="D77" i="1"/>
  <c r="V134" i="1"/>
  <c r="BE31" i="1"/>
  <c r="L137" i="1"/>
  <c r="G142" i="1"/>
  <c r="K84" i="1"/>
  <c r="S145" i="1"/>
  <c r="S141" i="1" s="1"/>
  <c r="BB35" i="1"/>
  <c r="BH164" i="1"/>
  <c r="BI164" i="1" s="1"/>
  <c r="Q129" i="1"/>
  <c r="P182" i="1"/>
  <c r="E165" i="1"/>
  <c r="P132" i="1"/>
  <c r="AS25" i="1"/>
  <c r="BN31" i="1"/>
  <c r="AT45" i="1"/>
  <c r="BF49" i="1"/>
  <c r="AT19" i="1"/>
  <c r="S182" i="1"/>
  <c r="C165" i="1"/>
  <c r="B143" i="1"/>
  <c r="BQ49" i="1"/>
  <c r="H180" i="1"/>
  <c r="BN56" i="1"/>
  <c r="AW46" i="1"/>
  <c r="BR57" i="1"/>
  <c r="AX57" i="1"/>
  <c r="BJ57" i="1"/>
  <c r="BO25" i="1"/>
  <c r="S163" i="1"/>
  <c r="S193" i="1" s="1"/>
  <c r="E77" i="1"/>
  <c r="BV159" i="1"/>
  <c r="BW159" i="1" s="1"/>
  <c r="G150" i="1"/>
  <c r="V127" i="1"/>
  <c r="AI45" i="1"/>
  <c r="BI31" i="1"/>
  <c r="AW23" i="1"/>
  <c r="F160" i="1"/>
  <c r="D74" i="1"/>
  <c r="C74" i="1"/>
  <c r="R160" i="1"/>
  <c r="Q152" i="1"/>
  <c r="AI57" i="1"/>
  <c r="BC23" i="1"/>
  <c r="BV174" i="1"/>
  <c r="BW174" i="1" s="1"/>
  <c r="J84" i="1"/>
  <c r="O161" i="1"/>
  <c r="BV152" i="1"/>
  <c r="BW152" i="1" s="1"/>
  <c r="BJ45" i="1"/>
  <c r="BT57" i="1"/>
  <c r="BH46" i="1"/>
  <c r="BP45" i="1"/>
  <c r="V87" i="1"/>
  <c r="K159" i="1"/>
  <c r="M180" i="1"/>
  <c r="BV141" i="1"/>
  <c r="J88" i="1"/>
  <c r="BF42" i="1"/>
  <c r="BV134" i="1"/>
  <c r="BW134" i="1" s="1"/>
  <c r="G134" i="1"/>
  <c r="R146" i="1"/>
  <c r="M170" i="1"/>
  <c r="K87" i="1"/>
  <c r="BQ31" i="1"/>
  <c r="U181" i="1"/>
  <c r="S160" i="1"/>
  <c r="N146" i="1"/>
  <c r="F129" i="1"/>
  <c r="BF23" i="1"/>
  <c r="U127" i="1"/>
  <c r="I152" i="1"/>
  <c r="C73" i="1"/>
  <c r="C75" i="1" s="1"/>
  <c r="C76" i="1" s="1"/>
  <c r="C79" i="1" s="1"/>
  <c r="V135" i="1"/>
  <c r="BB30" i="1"/>
  <c r="O173" i="1"/>
  <c r="AW45" i="1"/>
  <c r="BN45" i="1"/>
  <c r="P145" i="1"/>
  <c r="P141" i="1" s="1"/>
  <c r="H145" i="1"/>
  <c r="H141" i="1" s="1"/>
  <c r="R129" i="1"/>
  <c r="O154" i="1"/>
  <c r="O189" i="1" s="1"/>
  <c r="Q157" i="1"/>
  <c r="D73" i="1"/>
  <c r="T132" i="1"/>
  <c r="BV18" i="1"/>
  <c r="BH127" i="1"/>
  <c r="G147" i="1"/>
  <c r="Q87" i="1"/>
  <c r="U87" i="1"/>
  <c r="O77" i="1"/>
  <c r="B88" i="1"/>
  <c r="P161" i="1"/>
  <c r="E134" i="1"/>
  <c r="AV46" i="1"/>
  <c r="D170" i="1"/>
  <c r="E152" i="1"/>
  <c r="J154" i="1"/>
  <c r="J189" i="1" s="1"/>
  <c r="BG31" i="1"/>
  <c r="BV161" i="1"/>
  <c r="BW161" i="1" s="1"/>
  <c r="F84" i="1"/>
  <c r="V146" i="1"/>
  <c r="S170" i="1"/>
  <c r="U152" i="1"/>
  <c r="BO18" i="1"/>
  <c r="BO241" i="1" s="1"/>
  <c r="I173" i="1"/>
  <c r="J152" i="1"/>
  <c r="W89" i="1"/>
  <c r="H181" i="1"/>
  <c r="I84" i="1"/>
  <c r="I127" i="1"/>
  <c r="BH129" i="1"/>
  <c r="M84" i="1"/>
  <c r="T134" i="1"/>
  <c r="BF56" i="1"/>
  <c r="G83" i="1"/>
  <c r="AV19" i="1"/>
  <c r="AI32" i="1"/>
  <c r="C153" i="1"/>
  <c r="G153" i="1"/>
  <c r="D173" i="1"/>
  <c r="H165" i="1"/>
  <c r="L152" i="1"/>
  <c r="L165" i="1"/>
  <c r="AN32" i="1"/>
  <c r="S154" i="1"/>
  <c r="S189" i="1" s="1"/>
  <c r="C169" i="1"/>
  <c r="E88" i="1"/>
  <c r="U84" i="1"/>
  <c r="N154" i="1"/>
  <c r="N189" i="1" s="1"/>
  <c r="BS24" i="1"/>
  <c r="BV165" i="1"/>
  <c r="BW165" i="1" s="1"/>
  <c r="B129" i="1"/>
  <c r="U128" i="1"/>
  <c r="BS30" i="1"/>
  <c r="U155" i="1"/>
  <c r="U190" i="1" s="1"/>
  <c r="Q77" i="1"/>
  <c r="K180" i="1"/>
  <c r="AN42" i="1"/>
  <c r="V150" i="1"/>
  <c r="B136" i="1"/>
  <c r="B164" i="1" s="1"/>
  <c r="S135" i="1"/>
  <c r="S169" i="1"/>
  <c r="S171" i="1" s="1"/>
  <c r="O182" i="1"/>
  <c r="V84" i="1"/>
  <c r="R143" i="1"/>
  <c r="BU49" i="1"/>
  <c r="BW33" i="1"/>
  <c r="G180" i="1"/>
  <c r="D143" i="1"/>
  <c r="B170" i="1"/>
  <c r="AX35" i="1"/>
  <c r="Q153" i="1"/>
  <c r="BG61" i="1"/>
  <c r="BV163" i="1"/>
  <c r="J165" i="1"/>
  <c r="BC61" i="1"/>
  <c r="AR30" i="1"/>
  <c r="AY33" i="1"/>
  <c r="BR49" i="1"/>
  <c r="AU19" i="1"/>
  <c r="BI55" i="1"/>
  <c r="BP34" i="1"/>
  <c r="R128" i="1"/>
  <c r="J159" i="1"/>
  <c r="BH150" i="1"/>
  <c r="BI150" i="1" s="1"/>
  <c r="BJ212" i="1" s="1"/>
  <c r="T156" i="1"/>
  <c r="C145" i="1"/>
  <c r="K152" i="1"/>
  <c r="BV142" i="1"/>
  <c r="U134" i="1"/>
  <c r="BW42" i="1"/>
  <c r="BO56" i="1"/>
  <c r="AI61" i="1"/>
  <c r="BG32" i="1"/>
  <c r="V156" i="1"/>
  <c r="S136" i="1"/>
  <c r="S164" i="1" s="1"/>
  <c r="T137" i="1"/>
  <c r="BV84" i="1"/>
  <c r="BQ35" i="1"/>
  <c r="BG35" i="1"/>
  <c r="BI30" i="1"/>
  <c r="AW32" i="1"/>
  <c r="AR35" i="1"/>
  <c r="BF24" i="1"/>
  <c r="R169" i="1"/>
  <c r="V129" i="1"/>
  <c r="AP24" i="1"/>
  <c r="F157" i="1"/>
  <c r="J157" i="1"/>
  <c r="BV135" i="1"/>
  <c r="BW135" i="1" s="1"/>
  <c r="K137" i="1"/>
  <c r="AZ34" i="1"/>
  <c r="AP61" i="1"/>
  <c r="BI57" i="1"/>
  <c r="BH31" i="1"/>
  <c r="BU61" i="1"/>
  <c r="BS49" i="1"/>
  <c r="Q132" i="1"/>
  <c r="K89" i="1"/>
  <c r="D155" i="1"/>
  <c r="D190" i="1" s="1"/>
  <c r="G159" i="1"/>
  <c r="AQ45" i="1"/>
  <c r="Q165" i="1"/>
  <c r="BS33" i="1"/>
  <c r="BV127" i="1"/>
  <c r="BW127" i="1" s="1"/>
  <c r="B180" i="1"/>
  <c r="BG46" i="1"/>
  <c r="J83" i="1"/>
  <c r="BH141" i="1"/>
  <c r="BS25" i="1"/>
  <c r="M165" i="1"/>
  <c r="U136" i="1"/>
  <c r="U164" i="1" s="1"/>
  <c r="O156" i="1"/>
  <c r="I163" i="1"/>
  <c r="I193" i="1" s="1"/>
  <c r="T181" i="1"/>
  <c r="B154" i="1"/>
  <c r="B189" i="1" s="1"/>
  <c r="K136" i="1"/>
  <c r="K164" i="1" s="1"/>
  <c r="BC34" i="1"/>
  <c r="M134" i="1"/>
  <c r="C154" i="1"/>
  <c r="C189" i="1" s="1"/>
  <c r="N163" i="1"/>
  <c r="N193" i="1" s="1"/>
  <c r="BK25" i="1"/>
  <c r="BV145" i="1"/>
  <c r="BW145" i="1" s="1"/>
  <c r="H142" i="1"/>
  <c r="K146" i="1"/>
  <c r="AU34" i="1"/>
  <c r="BH159" i="1"/>
  <c r="D157" i="1"/>
  <c r="V163" i="1"/>
  <c r="V193" i="1" s="1"/>
  <c r="Q135" i="1"/>
  <c r="R157" i="1"/>
  <c r="BJ84" i="1"/>
  <c r="M161" i="1"/>
  <c r="B173" i="1"/>
  <c r="M163" i="1"/>
  <c r="M193" i="1" s="1"/>
  <c r="R170" i="1"/>
  <c r="BJ19" i="1"/>
  <c r="BJ20" i="1" s="1"/>
  <c r="BJ26" i="1" s="1"/>
  <c r="H132" i="1"/>
  <c r="S147" i="1"/>
  <c r="AU45" i="1"/>
  <c r="E180" i="1"/>
  <c r="M142" i="1"/>
  <c r="T155" i="1"/>
  <c r="T190" i="1" s="1"/>
  <c r="AZ55" i="1"/>
  <c r="C143" i="1"/>
  <c r="C173" i="1"/>
  <c r="R152" i="1"/>
  <c r="BU32" i="1"/>
  <c r="L181" i="1"/>
  <c r="Q142" i="1"/>
  <c r="I182" i="1"/>
  <c r="BD30" i="1"/>
  <c r="BH162" i="1"/>
  <c r="BI162" i="1" s="1"/>
  <c r="G128" i="1"/>
  <c r="C132" i="1"/>
  <c r="O137" i="1"/>
  <c r="N160" i="1"/>
  <c r="P89" i="1"/>
  <c r="S142" i="1"/>
  <c r="F153" i="1"/>
  <c r="BO34" i="1"/>
  <c r="W137" i="1"/>
  <c r="T170" i="1"/>
  <c r="T171" i="1" s="1"/>
  <c r="Q181" i="1"/>
  <c r="V180" i="1"/>
  <c r="P84" i="1"/>
  <c r="S157" i="1"/>
  <c r="O142" i="1"/>
  <c r="BS57" i="1"/>
  <c r="BV155" i="1"/>
  <c r="BV190" i="1" s="1"/>
  <c r="BW190" i="1" s="1"/>
  <c r="AS31" i="1"/>
  <c r="H160" i="1"/>
  <c r="R182" i="1"/>
  <c r="H173" i="1"/>
  <c r="U142" i="1"/>
  <c r="F87" i="1"/>
  <c r="BP30" i="1"/>
  <c r="BV143" i="1"/>
  <c r="E143" i="1"/>
  <c r="BH156" i="1"/>
  <c r="BI156" i="1" s="1"/>
  <c r="G146" i="1"/>
  <c r="P136" i="1"/>
  <c r="P164" i="1" s="1"/>
  <c r="BS241" i="1"/>
  <c r="AN241" i="1"/>
  <c r="AN108" i="1"/>
  <c r="AN109" i="1" s="1"/>
  <c r="BF204" i="1"/>
  <c r="R171" i="1"/>
  <c r="BI159" i="1"/>
  <c r="BC204" i="1"/>
  <c r="AY204" i="1"/>
  <c r="O183" i="1"/>
  <c r="AT204" i="1"/>
  <c r="AN204" i="1"/>
  <c r="AN43" i="1"/>
  <c r="AN263" i="1"/>
  <c r="AU241" i="1"/>
  <c r="BE204" i="1"/>
  <c r="BE263" i="1"/>
  <c r="AW204" i="1"/>
  <c r="AI241" i="1"/>
  <c r="AI195" i="1"/>
  <c r="BI241" i="1"/>
  <c r="BA241" i="1"/>
  <c r="BE241" i="1"/>
  <c r="AU204" i="1"/>
  <c r="AU263" i="1"/>
  <c r="BD241" i="1"/>
  <c r="BI204" i="1"/>
  <c r="BW204" i="1"/>
  <c r="BW263" i="1"/>
  <c r="AB216" i="1"/>
  <c r="DB73" i="1"/>
  <c r="DB75" i="1" s="1"/>
  <c r="DA75" i="1"/>
  <c r="I97" i="3"/>
  <c r="AO86" i="3"/>
  <c r="BP152" i="1" l="1"/>
  <c r="BQ152" i="1" s="1"/>
  <c r="BQ262" i="1"/>
  <c r="BS263" i="1"/>
  <c r="AP262" i="1"/>
  <c r="AR144" i="1"/>
  <c r="BD20" i="1"/>
  <c r="BH20" i="1"/>
  <c r="M212" i="1"/>
  <c r="D130" i="1"/>
  <c r="D64" i="1" s="1"/>
  <c r="AP241" i="1"/>
  <c r="AO108" i="1"/>
  <c r="AO109" i="1" s="1"/>
  <c r="AZ241" i="1"/>
  <c r="K183" i="1"/>
  <c r="AQ241" i="1"/>
  <c r="BP204" i="1"/>
  <c r="AI204" i="1"/>
  <c r="AI43" i="1"/>
  <c r="AI213" i="1"/>
  <c r="AI211" i="1" s="1"/>
  <c r="R183" i="1"/>
  <c r="AV241" i="1"/>
  <c r="AX142" i="1"/>
  <c r="AX127" i="1"/>
  <c r="AY127" i="1" s="1"/>
  <c r="AZ154" i="1"/>
  <c r="AX150" i="1"/>
  <c r="AY150" i="1" s="1"/>
  <c r="AZ147" i="1"/>
  <c r="BA147" i="1" s="1"/>
  <c r="AX163" i="1"/>
  <c r="AX173" i="1"/>
  <c r="AY173" i="1" s="1"/>
  <c r="AX174" i="1"/>
  <c r="AY174" i="1" s="1"/>
  <c r="AX134" i="1"/>
  <c r="AX141" i="1"/>
  <c r="AX169" i="1"/>
  <c r="BF212" i="1"/>
  <c r="BN171" i="1"/>
  <c r="BO219" i="1" s="1"/>
  <c r="AX153" i="1"/>
  <c r="AY153" i="1" s="1"/>
  <c r="AX170" i="1"/>
  <c r="AN189" i="1"/>
  <c r="AO189" i="1" s="1"/>
  <c r="AX152" i="1"/>
  <c r="AY152" i="1" s="1"/>
  <c r="BE20" i="1"/>
  <c r="BE262" i="1"/>
  <c r="AX145" i="1"/>
  <c r="AY145" i="1" s="1"/>
  <c r="AX143" i="1"/>
  <c r="BI83" i="1"/>
  <c r="AX137" i="1"/>
  <c r="AY137" i="1" s="1"/>
  <c r="AX162" i="1"/>
  <c r="AY162" i="1" s="1"/>
  <c r="AX156" i="1"/>
  <c r="AY156" i="1" s="1"/>
  <c r="AX159" i="1"/>
  <c r="AY159" i="1" s="1"/>
  <c r="AX132" i="1"/>
  <c r="AY132" i="1" s="1"/>
  <c r="AX128" i="1"/>
  <c r="AY128" i="1" s="1"/>
  <c r="BI84" i="1"/>
  <c r="AX154" i="1"/>
  <c r="BW20" i="1"/>
  <c r="H130" i="1"/>
  <c r="D166" i="1"/>
  <c r="I171" i="1"/>
  <c r="M171" i="1"/>
  <c r="N219" i="1" s="1"/>
  <c r="AV262" i="1"/>
  <c r="AV20" i="1"/>
  <c r="AU20" i="1"/>
  <c r="D185" i="1"/>
  <c r="G171" i="1"/>
  <c r="AX204" i="1"/>
  <c r="AP20" i="1"/>
  <c r="AN20" i="1"/>
  <c r="V212" i="1"/>
  <c r="BB204" i="1"/>
  <c r="I144" i="1"/>
  <c r="BP241" i="1"/>
  <c r="BP20" i="1"/>
  <c r="BC263" i="1"/>
  <c r="AY263" i="1"/>
  <c r="AO204" i="1"/>
  <c r="BP263" i="1"/>
  <c r="AY241" i="1"/>
  <c r="BC241" i="1"/>
  <c r="BW241" i="1"/>
  <c r="BZ108" i="1"/>
  <c r="BZ109" i="1" s="1"/>
  <c r="AW241" i="1"/>
  <c r="AW20" i="1"/>
  <c r="BJ263" i="1"/>
  <c r="BJ204" i="1"/>
  <c r="AW263" i="1"/>
  <c r="BQ20" i="1"/>
  <c r="BO204" i="1"/>
  <c r="Q130" i="1"/>
  <c r="AY108" i="1"/>
  <c r="AY109" i="1" s="1"/>
  <c r="BH241" i="1"/>
  <c r="B76" i="1"/>
  <c r="AX165" i="1"/>
  <c r="AY165" i="1" s="1"/>
  <c r="BH171" i="1"/>
  <c r="BI219" i="1" s="1"/>
  <c r="BJ38" i="1"/>
  <c r="BD262" i="1"/>
  <c r="BP262" i="1"/>
  <c r="BI20" i="1"/>
  <c r="AR20" i="1"/>
  <c r="BM263" i="1"/>
  <c r="R138" i="1"/>
  <c r="AS20" i="1"/>
  <c r="AW262" i="1"/>
  <c r="BH262" i="1"/>
  <c r="M183" i="1"/>
  <c r="G138" i="1"/>
  <c r="B117" i="1"/>
  <c r="C171" i="1"/>
  <c r="B130" i="1"/>
  <c r="W212" i="1"/>
  <c r="B171" i="1"/>
  <c r="C219" i="1" s="1"/>
  <c r="Q158" i="1"/>
  <c r="K158" i="1"/>
  <c r="B183" i="1"/>
  <c r="M166" i="1"/>
  <c r="M195" i="1" s="1"/>
  <c r="M194" i="1" s="1"/>
  <c r="I183" i="1"/>
  <c r="AS262" i="1"/>
  <c r="S212" i="1"/>
  <c r="O212" i="1"/>
  <c r="AU262" i="1"/>
  <c r="L183" i="1"/>
  <c r="BR204" i="1"/>
  <c r="BU241" i="1"/>
  <c r="BW108" i="1"/>
  <c r="BW109" i="1" s="1"/>
  <c r="BT241" i="1"/>
  <c r="R166" i="1"/>
  <c r="AX263" i="1"/>
  <c r="AS108" i="1"/>
  <c r="AS109" i="1" s="1"/>
  <c r="AW108" i="1"/>
  <c r="AW109" i="1" s="1"/>
  <c r="BS20" i="1"/>
  <c r="BA108" i="1"/>
  <c r="BA109" i="1" s="1"/>
  <c r="AX241" i="1"/>
  <c r="AS241" i="1"/>
  <c r="U144" i="1"/>
  <c r="AY20" i="1"/>
  <c r="AZ108" i="1"/>
  <c r="AZ109" i="1" s="1"/>
  <c r="P183" i="1"/>
  <c r="W183" i="1"/>
  <c r="AP204" i="1"/>
  <c r="AP263" i="1"/>
  <c r="AX108" i="1"/>
  <c r="AX109" i="1" s="1"/>
  <c r="BU204" i="1"/>
  <c r="BU263" i="1"/>
  <c r="AR241" i="1"/>
  <c r="AU108" i="1"/>
  <c r="AU109" i="1" s="1"/>
  <c r="E138" i="1"/>
  <c r="AS263" i="1"/>
  <c r="AS204" i="1"/>
  <c r="BT262" i="1"/>
  <c r="B118" i="1"/>
  <c r="BD130" i="1"/>
  <c r="BD102" i="1" s="1"/>
  <c r="AT171" i="1"/>
  <c r="AU219" i="1" s="1"/>
  <c r="AZ190" i="1"/>
  <c r="BA190" i="1" s="1"/>
  <c r="AP189" i="1"/>
  <c r="AQ189" i="1" s="1"/>
  <c r="AP190" i="1"/>
  <c r="AQ190" i="1" s="1"/>
  <c r="BB136" i="1"/>
  <c r="BC136" i="1" s="1"/>
  <c r="AX157" i="1"/>
  <c r="AY157" i="1" s="1"/>
  <c r="AO83" i="1"/>
  <c r="AX161" i="1"/>
  <c r="AY161" i="1" s="1"/>
  <c r="BB132" i="1"/>
  <c r="BC132" i="1" s="1"/>
  <c r="AX147" i="1"/>
  <c r="AY147" i="1" s="1"/>
  <c r="AP193" i="1"/>
  <c r="AQ193" i="1" s="1"/>
  <c r="V171" i="1"/>
  <c r="W219" i="1" s="1"/>
  <c r="AO262" i="1"/>
  <c r="AR171" i="1"/>
  <c r="AS219" i="1" s="1"/>
  <c r="T144" i="1"/>
  <c r="T43" i="1" s="1"/>
  <c r="AR262" i="1"/>
  <c r="BC20" i="1"/>
  <c r="AT262" i="1"/>
  <c r="K144" i="1"/>
  <c r="BT20" i="1"/>
  <c r="BB155" i="1"/>
  <c r="BB150" i="1"/>
  <c r="BB159" i="1"/>
  <c r="BC159" i="1" s="1"/>
  <c r="BB147" i="1"/>
  <c r="BC147" i="1" s="1"/>
  <c r="BB165" i="1"/>
  <c r="BC165" i="1" s="1"/>
  <c r="BO84" i="1"/>
  <c r="BB160" i="1"/>
  <c r="BC160" i="1" s="1"/>
  <c r="BB156" i="1"/>
  <c r="BC156" i="1" s="1"/>
  <c r="BB161" i="1"/>
  <c r="BC161" i="1" s="1"/>
  <c r="BO83" i="1"/>
  <c r="BB173" i="1"/>
  <c r="BC173" i="1" s="1"/>
  <c r="AX136" i="1"/>
  <c r="AY136" i="1" s="1"/>
  <c r="BB169" i="1"/>
  <c r="N171" i="1"/>
  <c r="O219" i="1" s="1"/>
  <c r="BR263" i="1"/>
  <c r="BB137" i="1"/>
  <c r="BC137" i="1" s="1"/>
  <c r="BB127" i="1"/>
  <c r="BC127" i="1" s="1"/>
  <c r="BF190" i="1"/>
  <c r="BG190" i="1" s="1"/>
  <c r="AX155" i="1"/>
  <c r="BB142" i="1"/>
  <c r="BB141" i="1"/>
  <c r="BB157" i="1"/>
  <c r="BC157" i="1" s="1"/>
  <c r="AX160" i="1"/>
  <c r="AY160" i="1" s="1"/>
  <c r="AX83" i="1"/>
  <c r="AX135" i="1"/>
  <c r="AY135" i="1" s="1"/>
  <c r="BB152" i="1"/>
  <c r="BC152" i="1" s="1"/>
  <c r="BB134" i="1"/>
  <c r="BC134" i="1" s="1"/>
  <c r="BB145" i="1"/>
  <c r="BC145" i="1" s="1"/>
  <c r="AX129" i="1"/>
  <c r="E212" i="1"/>
  <c r="BB143" i="1"/>
  <c r="BB170" i="1"/>
  <c r="BB153" i="1"/>
  <c r="BC153" i="1" s="1"/>
  <c r="AX84" i="1"/>
  <c r="AX164" i="1"/>
  <c r="AY164" i="1" s="1"/>
  <c r="F171" i="1"/>
  <c r="S130" i="1"/>
  <c r="BB171" i="1"/>
  <c r="BC219" i="1" s="1"/>
  <c r="BV171" i="1"/>
  <c r="BW219" i="1" s="1"/>
  <c r="BV189" i="1"/>
  <c r="BW189" i="1" s="1"/>
  <c r="AO138" i="1"/>
  <c r="AN138" i="1"/>
  <c r="BR138" i="1"/>
  <c r="BT190" i="1"/>
  <c r="BU190" i="1" s="1"/>
  <c r="AT138" i="1"/>
  <c r="BG212" i="1"/>
  <c r="BE212" i="1"/>
  <c r="AY212" i="1"/>
  <c r="AZ212" i="1"/>
  <c r="BF130" i="1"/>
  <c r="BF102" i="1" s="1"/>
  <c r="BW150" i="1"/>
  <c r="BX212" i="1" s="1"/>
  <c r="BP189" i="1"/>
  <c r="BQ189" i="1" s="1"/>
  <c r="BI134" i="1"/>
  <c r="BI138" i="1" s="1"/>
  <c r="BH138" i="1"/>
  <c r="AU212" i="1"/>
  <c r="AX193" i="1"/>
  <c r="AY193" i="1" s="1"/>
  <c r="BA212" i="1"/>
  <c r="BT189" i="1"/>
  <c r="BU189" i="1" s="1"/>
  <c r="BT193" i="1"/>
  <c r="BU193" i="1" s="1"/>
  <c r="BV212" i="1"/>
  <c r="BI152" i="1"/>
  <c r="BH144" i="1"/>
  <c r="AX190" i="1"/>
  <c r="AY190" i="1" s="1"/>
  <c r="BU212" i="1"/>
  <c r="AR190" i="1"/>
  <c r="AS190" i="1" s="1"/>
  <c r="AT212" i="1"/>
  <c r="AR193" i="1"/>
  <c r="AS193" i="1" s="1"/>
  <c r="BA138" i="1"/>
  <c r="BD193" i="1"/>
  <c r="BE193" i="1" s="1"/>
  <c r="BD189" i="1"/>
  <c r="BE189" i="1" s="1"/>
  <c r="BN144" i="1"/>
  <c r="BO144" i="1" s="1"/>
  <c r="BT212" i="1"/>
  <c r="AZ144" i="1"/>
  <c r="BT130" i="1"/>
  <c r="BT102" i="1" s="1"/>
  <c r="AT108" i="1"/>
  <c r="AT109" i="1" s="1"/>
  <c r="AQ263" i="1"/>
  <c r="BR189" i="1"/>
  <c r="BS189" i="1" s="1"/>
  <c r="AV135" i="1"/>
  <c r="AW135" i="1" s="1"/>
  <c r="AV143" i="1"/>
  <c r="BN190" i="1"/>
  <c r="BO190" i="1" s="1"/>
  <c r="AV142" i="1"/>
  <c r="AV155" i="1"/>
  <c r="AV190" i="1" s="1"/>
  <c r="AW190" i="1" s="1"/>
  <c r="AV173" i="1"/>
  <c r="AW173" i="1" s="1"/>
  <c r="AV152" i="1"/>
  <c r="AW152" i="1" s="1"/>
  <c r="AV160" i="1"/>
  <c r="AW160" i="1" s="1"/>
  <c r="BE36" i="1"/>
  <c r="E130" i="1"/>
  <c r="O144" i="1"/>
  <c r="AI36" i="1"/>
  <c r="F183" i="1"/>
  <c r="V166" i="1"/>
  <c r="V195" i="1" s="1"/>
  <c r="V194" i="1" s="1"/>
  <c r="F166" i="1"/>
  <c r="BN36" i="1"/>
  <c r="AV159" i="1"/>
  <c r="AW159" i="1" s="1"/>
  <c r="H144" i="1"/>
  <c r="BU262" i="1"/>
  <c r="AV157" i="1"/>
  <c r="AW157" i="1" s="1"/>
  <c r="AV127" i="1"/>
  <c r="AW127" i="1" s="1"/>
  <c r="AZ163" i="1"/>
  <c r="AR157" i="1"/>
  <c r="AS157" i="1" s="1"/>
  <c r="AP171" i="1"/>
  <c r="AQ219" i="1" s="1"/>
  <c r="BR158" i="1"/>
  <c r="BD190" i="1"/>
  <c r="BE190" i="1" s="1"/>
  <c r="AV134" i="1"/>
  <c r="AW134" i="1" s="1"/>
  <c r="BC36" i="1"/>
  <c r="BA20" i="1"/>
  <c r="AV174" i="1"/>
  <c r="AW174" i="1" s="1"/>
  <c r="BM108" i="1"/>
  <c r="BM109" i="1" s="1"/>
  <c r="AV153" i="1"/>
  <c r="AW153" i="1" s="1"/>
  <c r="BI263" i="1"/>
  <c r="AV128" i="1"/>
  <c r="AW128" i="1" s="1"/>
  <c r="AI47" i="1"/>
  <c r="AV129" i="1"/>
  <c r="AV132" i="1"/>
  <c r="AW132" i="1" s="1"/>
  <c r="AV170" i="1"/>
  <c r="AV169" i="1"/>
  <c r="AV171" i="1" s="1"/>
  <c r="AW219" i="1" s="1"/>
  <c r="J138" i="1"/>
  <c r="AV84" i="1"/>
  <c r="BF144" i="1"/>
  <c r="BG144" i="1" s="1"/>
  <c r="BI262" i="1"/>
  <c r="BD263" i="1"/>
  <c r="BN193" i="1"/>
  <c r="BO193" i="1" s="1"/>
  <c r="AV163" i="1"/>
  <c r="AV193" i="1" s="1"/>
  <c r="AW193" i="1" s="1"/>
  <c r="AN193" i="1"/>
  <c r="AO193" i="1" s="1"/>
  <c r="BF262" i="1"/>
  <c r="AV162" i="1"/>
  <c r="AW162" i="1" s="1"/>
  <c r="C144" i="1"/>
  <c r="BS108" i="1"/>
  <c r="BS109" i="1" s="1"/>
  <c r="BO138" i="1"/>
  <c r="M158" i="1"/>
  <c r="BG36" i="1"/>
  <c r="AN190" i="1"/>
  <c r="AO190" i="1" s="1"/>
  <c r="AV150" i="1"/>
  <c r="AW150" i="1" s="1"/>
  <c r="BT263" i="1"/>
  <c r="AV156" i="1"/>
  <c r="AW156" i="1" s="1"/>
  <c r="C166" i="1"/>
  <c r="E183" i="1"/>
  <c r="T130" i="1"/>
  <c r="B144" i="1"/>
  <c r="L166" i="1"/>
  <c r="AV145" i="1"/>
  <c r="AW145" i="1" s="1"/>
  <c r="H183" i="1"/>
  <c r="U130" i="1"/>
  <c r="AV161" i="1"/>
  <c r="AW161" i="1" s="1"/>
  <c r="AV141" i="1"/>
  <c r="AV154" i="1"/>
  <c r="AV189" i="1" s="1"/>
  <c r="AW189" i="1" s="1"/>
  <c r="BW262" i="1"/>
  <c r="AV137" i="1"/>
  <c r="AW137" i="1" s="1"/>
  <c r="AV164" i="1"/>
  <c r="AW164" i="1" s="1"/>
  <c r="N212" i="1"/>
  <c r="J130" i="1"/>
  <c r="F130" i="1"/>
  <c r="AN171" i="1"/>
  <c r="AO219" i="1" s="1"/>
  <c r="K212" i="1"/>
  <c r="AV136" i="1"/>
  <c r="AW136" i="1" s="1"/>
  <c r="AV165" i="1"/>
  <c r="AW165" i="1" s="1"/>
  <c r="H212" i="1"/>
  <c r="BH108" i="1"/>
  <c r="BH109" i="1" s="1"/>
  <c r="AM58" i="1"/>
  <c r="N183" i="1"/>
  <c r="AX20" i="1"/>
  <c r="C183" i="1"/>
  <c r="V130" i="1"/>
  <c r="V144" i="1"/>
  <c r="AX262" i="1"/>
  <c r="T158" i="1"/>
  <c r="I138" i="1"/>
  <c r="U138" i="1"/>
  <c r="N144" i="1"/>
  <c r="S183" i="1"/>
  <c r="L158" i="1"/>
  <c r="G144" i="1"/>
  <c r="S144" i="1"/>
  <c r="BQ36" i="1"/>
  <c r="AQ20" i="1"/>
  <c r="Q144" i="1"/>
  <c r="Q43" i="1" s="1"/>
  <c r="L171" i="1"/>
  <c r="AP108" i="1"/>
  <c r="AP109" i="1" s="1"/>
  <c r="BU20" i="1"/>
  <c r="BS262" i="1"/>
  <c r="Q171" i="1"/>
  <c r="R219" i="1" s="1"/>
  <c r="B166" i="1"/>
  <c r="F144" i="1"/>
  <c r="F148" i="1" s="1"/>
  <c r="L138" i="1"/>
  <c r="F212" i="1"/>
  <c r="BK262" i="1"/>
  <c r="P166" i="1"/>
  <c r="U171" i="1"/>
  <c r="V219" i="1" s="1"/>
  <c r="J212" i="1"/>
  <c r="Q212" i="1"/>
  <c r="C138" i="1"/>
  <c r="S138" i="1"/>
  <c r="S47" i="1" s="1"/>
  <c r="AN262" i="1"/>
  <c r="AV83" i="1"/>
  <c r="AV147" i="1"/>
  <c r="AW147" i="1" s="1"/>
  <c r="T138" i="1"/>
  <c r="BV36" i="1"/>
  <c r="BA262" i="1"/>
  <c r="BM47" i="1"/>
  <c r="AO36" i="1"/>
  <c r="AQ262" i="1"/>
  <c r="F138" i="1"/>
  <c r="AT36" i="1"/>
  <c r="L144" i="1"/>
  <c r="E166" i="1"/>
  <c r="AN36" i="1"/>
  <c r="AW36" i="1"/>
  <c r="D144" i="1"/>
  <c r="D43" i="1" s="1"/>
  <c r="P138" i="1"/>
  <c r="M144" i="1"/>
  <c r="W138" i="1"/>
  <c r="BV262" i="1"/>
  <c r="AR212" i="1"/>
  <c r="BO36" i="1"/>
  <c r="Q166" i="1"/>
  <c r="B158" i="1"/>
  <c r="BT36" i="1"/>
  <c r="BT37" i="1" s="1"/>
  <c r="P158" i="1"/>
  <c r="E158" i="1"/>
  <c r="BM36" i="1"/>
  <c r="BO262" i="1"/>
  <c r="O166" i="1"/>
  <c r="O195" i="1" s="1"/>
  <c r="O194" i="1" s="1"/>
  <c r="N166" i="1"/>
  <c r="N195" i="1" s="1"/>
  <c r="BG20" i="1"/>
  <c r="BI36" i="1"/>
  <c r="B138" i="1"/>
  <c r="T166" i="1"/>
  <c r="M130" i="1"/>
  <c r="O130" i="1"/>
  <c r="O64" i="1" s="1"/>
  <c r="AY36" i="1"/>
  <c r="AY37" i="1" s="1"/>
  <c r="AI189" i="1"/>
  <c r="BB20" i="1"/>
  <c r="BP130" i="1"/>
  <c r="BP102" i="1" s="1"/>
  <c r="BP106" i="1" s="1"/>
  <c r="AR189" i="1"/>
  <c r="AS189" i="1" s="1"/>
  <c r="AT20" i="1"/>
  <c r="O158" i="1"/>
  <c r="AR36" i="1"/>
  <c r="T183" i="1"/>
  <c r="K171" i="1"/>
  <c r="L219" i="1" s="1"/>
  <c r="BH36" i="1"/>
  <c r="BH37" i="1" s="1"/>
  <c r="BF189" i="1"/>
  <c r="BG189" i="1" s="1"/>
  <c r="I166" i="1"/>
  <c r="H138" i="1"/>
  <c r="AI20" i="1"/>
  <c r="N68" i="1" s="1"/>
  <c r="I212" i="1"/>
  <c r="V138" i="1"/>
  <c r="M138" i="1"/>
  <c r="Q183" i="1"/>
  <c r="BP108" i="1"/>
  <c r="BP109" i="1" s="1"/>
  <c r="BP113" i="1" s="1"/>
  <c r="AQ36" i="1"/>
  <c r="U166" i="1"/>
  <c r="G166" i="1"/>
  <c r="BO263" i="1"/>
  <c r="BM262" i="1"/>
  <c r="BR108" i="1"/>
  <c r="BR109" i="1" s="1"/>
  <c r="BR114" i="1" s="1"/>
  <c r="BS36" i="1"/>
  <c r="D212" i="1"/>
  <c r="AP36" i="1"/>
  <c r="AP37" i="1" s="1"/>
  <c r="BA36" i="1"/>
  <c r="BA37" i="1" s="1"/>
  <c r="V183" i="1"/>
  <c r="O138" i="1"/>
  <c r="BP36" i="1"/>
  <c r="C212" i="1"/>
  <c r="H158" i="1"/>
  <c r="H192" i="1" s="1"/>
  <c r="AZ263" i="1"/>
  <c r="BQ241" i="1"/>
  <c r="AO20" i="1"/>
  <c r="AO22" i="1" s="1"/>
  <c r="BF36" i="1"/>
  <c r="AZ36" i="1"/>
  <c r="AZ37" i="1" s="1"/>
  <c r="BO20" i="1"/>
  <c r="BI108" i="1"/>
  <c r="BI109" i="1" s="1"/>
  <c r="AU36" i="1"/>
  <c r="AU37" i="1" s="1"/>
  <c r="H166" i="1"/>
  <c r="H195" i="1" s="1"/>
  <c r="H194" i="1" s="1"/>
  <c r="BK36" i="1"/>
  <c r="BK204" i="1"/>
  <c r="Q138" i="1"/>
  <c r="I130" i="1"/>
  <c r="I64" i="1" s="1"/>
  <c r="P144" i="1"/>
  <c r="K166" i="1"/>
  <c r="BU36" i="1"/>
  <c r="AS36" i="1"/>
  <c r="AS37" i="1" s="1"/>
  <c r="V158" i="1"/>
  <c r="AT193" i="1"/>
  <c r="AU193" i="1" s="1"/>
  <c r="L130" i="1"/>
  <c r="R130" i="1"/>
  <c r="AX36" i="1"/>
  <c r="K138" i="1"/>
  <c r="BT108" i="1"/>
  <c r="BT109" i="1" s="1"/>
  <c r="BT114" i="1" s="1"/>
  <c r="AT263" i="1"/>
  <c r="BN108" i="1"/>
  <c r="BN109" i="1" s="1"/>
  <c r="BU108" i="1"/>
  <c r="BU109" i="1" s="1"/>
  <c r="BH130" i="1"/>
  <c r="BV20" i="1"/>
  <c r="CA198" i="1" s="1"/>
  <c r="J166" i="1"/>
  <c r="J195" i="1" s="1"/>
  <c r="J194" i="1" s="1"/>
  <c r="BJ27" i="1"/>
  <c r="AZ130" i="1"/>
  <c r="AZ102" i="1" s="1"/>
  <c r="AZ105" i="1" s="1"/>
  <c r="BH166" i="1"/>
  <c r="BH195" i="1" s="1"/>
  <c r="BW138" i="1"/>
  <c r="BX216" i="1" s="1"/>
  <c r="C78" i="1"/>
  <c r="BG138" i="1"/>
  <c r="BV108" i="1"/>
  <c r="BV109" i="1" s="1"/>
  <c r="BV112" i="1" s="1"/>
  <c r="BI127" i="1"/>
  <c r="BD158" i="1"/>
  <c r="BD192" i="1" s="1"/>
  <c r="BN138" i="1"/>
  <c r="BN259" i="1" s="1"/>
  <c r="BV144" i="1"/>
  <c r="BW43" i="1" s="1"/>
  <c r="BV241" i="1"/>
  <c r="AU138" i="1"/>
  <c r="BV166" i="1"/>
  <c r="BV195" i="1" s="1"/>
  <c r="BG108" i="1"/>
  <c r="BG109" i="1" s="1"/>
  <c r="BG112" i="1" s="1"/>
  <c r="BR190" i="1"/>
  <c r="BS190" i="1" s="1"/>
  <c r="BK241" i="1"/>
  <c r="AP166" i="1"/>
  <c r="AP195" i="1" s="1"/>
  <c r="AN130" i="1"/>
  <c r="BG159" i="1"/>
  <c r="BF166" i="1"/>
  <c r="BF195" i="1" s="1"/>
  <c r="BH158" i="1"/>
  <c r="BO108" i="1"/>
  <c r="BO109" i="1" s="1"/>
  <c r="BO112" i="1" s="1"/>
  <c r="BV193" i="1"/>
  <c r="BW193" i="1" s="1"/>
  <c r="BN189" i="1"/>
  <c r="BO189" i="1" s="1"/>
  <c r="BK20" i="1"/>
  <c r="BL22" i="1" s="1"/>
  <c r="L212" i="1"/>
  <c r="AN158" i="1"/>
  <c r="AN192" i="1" s="1"/>
  <c r="BM20" i="1"/>
  <c r="AT130" i="1"/>
  <c r="AI193" i="1"/>
  <c r="AI194" i="1" s="1"/>
  <c r="BV130" i="1"/>
  <c r="BV102" i="1" s="1"/>
  <c r="BV106" i="1" s="1"/>
  <c r="BN166" i="1"/>
  <c r="BN195" i="1" s="1"/>
  <c r="BK47" i="1"/>
  <c r="BJ37" i="1"/>
  <c r="BN263" i="1"/>
  <c r="BM204" i="1"/>
  <c r="BQ263" i="1"/>
  <c r="BR20" i="1"/>
  <c r="BB263" i="1"/>
  <c r="BD204" i="1"/>
  <c r="AO241" i="1"/>
  <c r="BN241" i="1"/>
  <c r="BT204" i="1"/>
  <c r="BB36" i="1"/>
  <c r="BR36" i="1"/>
  <c r="BR37" i="1" s="1"/>
  <c r="C118" i="1"/>
  <c r="T212" i="1"/>
  <c r="D183" i="1"/>
  <c r="BD144" i="1"/>
  <c r="BA152" i="1"/>
  <c r="AZ158" i="1"/>
  <c r="AZ192" i="1" s="1"/>
  <c r="C130" i="1"/>
  <c r="K130" i="1"/>
  <c r="H171" i="1"/>
  <c r="I219" i="1" s="1"/>
  <c r="AQ204" i="1"/>
  <c r="BL108" i="1"/>
  <c r="BL109" i="1" s="1"/>
  <c r="BB190" i="1"/>
  <c r="BC190" i="1" s="1"/>
  <c r="BB108" i="1"/>
  <c r="BB109" i="1" s="1"/>
  <c r="BB114" i="1" s="1"/>
  <c r="D219" i="1"/>
  <c r="BS204" i="1"/>
  <c r="BP144" i="1"/>
  <c r="BF193" i="1"/>
  <c r="BG193" i="1" s="1"/>
  <c r="AT166" i="1"/>
  <c r="AT195" i="1" s="1"/>
  <c r="F158" i="1"/>
  <c r="F192" i="1" s="1"/>
  <c r="F191" i="1" s="1"/>
  <c r="BF158" i="1"/>
  <c r="AT241" i="1"/>
  <c r="BN20" i="1"/>
  <c r="U212" i="1"/>
  <c r="BR262" i="1"/>
  <c r="AX171" i="1"/>
  <c r="AY219" i="1" s="1"/>
  <c r="BD166" i="1"/>
  <c r="BD195" i="1" s="1"/>
  <c r="BP166" i="1"/>
  <c r="BP195" i="1" s="1"/>
  <c r="BD108" i="1"/>
  <c r="BD109" i="1" s="1"/>
  <c r="AI192" i="1"/>
  <c r="AI196" i="1" s="1"/>
  <c r="N138" i="1"/>
  <c r="R212" i="1"/>
  <c r="BT166" i="1"/>
  <c r="BT195" i="1" s="1"/>
  <c r="BG263" i="1"/>
  <c r="BN204" i="1"/>
  <c r="BM43" i="1"/>
  <c r="BQ204" i="1"/>
  <c r="BR241" i="1"/>
  <c r="S166" i="1"/>
  <c r="S195" i="1" s="1"/>
  <c r="S194" i="1" s="1"/>
  <c r="BK263" i="1"/>
  <c r="BC108" i="1"/>
  <c r="BC109" i="1" s="1"/>
  <c r="AQ108" i="1"/>
  <c r="AQ109" i="1" s="1"/>
  <c r="AQ113" i="1" s="1"/>
  <c r="BH263" i="1"/>
  <c r="BF241" i="1"/>
  <c r="AR108" i="1"/>
  <c r="AR109" i="1" s="1"/>
  <c r="AR114" i="1" s="1"/>
  <c r="BQ108" i="1"/>
  <c r="BQ109" i="1" s="1"/>
  <c r="BQ112" i="1" s="1"/>
  <c r="J158" i="1"/>
  <c r="AR138" i="1"/>
  <c r="AT190" i="1"/>
  <c r="AU190" i="1" s="1"/>
  <c r="AP144" i="1"/>
  <c r="AQ43" i="1" s="1"/>
  <c r="U183" i="1"/>
  <c r="AQ127" i="1"/>
  <c r="AP130" i="1"/>
  <c r="BW36" i="1"/>
  <c r="BW37" i="1" s="1"/>
  <c r="BP190" i="1"/>
  <c r="BQ190" i="1" s="1"/>
  <c r="O171" i="1"/>
  <c r="BH190" i="1"/>
  <c r="BI190" i="1" s="1"/>
  <c r="R144" i="1"/>
  <c r="AX144" i="1"/>
  <c r="AY43" i="1" s="1"/>
  <c r="BP193" i="1"/>
  <c r="BQ193" i="1" s="1"/>
  <c r="BH193" i="1"/>
  <c r="BI193" i="1" s="1"/>
  <c r="BH212" i="1"/>
  <c r="BT144" i="1"/>
  <c r="AS138" i="1"/>
  <c r="G130" i="1"/>
  <c r="G185" i="1" s="1"/>
  <c r="AP138" i="1"/>
  <c r="N158" i="1"/>
  <c r="N192" i="1" s="1"/>
  <c r="N191" i="1" s="1"/>
  <c r="AT158" i="1"/>
  <c r="AT192" i="1" s="1"/>
  <c r="S158" i="1"/>
  <c r="E144" i="1"/>
  <c r="D158" i="1"/>
  <c r="D192" i="1" s="1"/>
  <c r="D191" i="1" s="1"/>
  <c r="AO150" i="1"/>
  <c r="AN212" i="1"/>
  <c r="AV36" i="1"/>
  <c r="AQ138" i="1"/>
  <c r="BO150" i="1"/>
  <c r="BP212" i="1" s="1"/>
  <c r="BN212" i="1"/>
  <c r="BA263" i="1"/>
  <c r="AV108" i="1"/>
  <c r="AV109" i="1" s="1"/>
  <c r="AV112" i="1" s="1"/>
  <c r="BN158" i="1"/>
  <c r="BN192" i="1" s="1"/>
  <c r="AR166" i="1"/>
  <c r="AR195" i="1" s="1"/>
  <c r="D75" i="1"/>
  <c r="J171" i="1"/>
  <c r="BV138" i="1"/>
  <c r="AL108" i="1"/>
  <c r="AL109" i="1" s="1"/>
  <c r="AL114" i="1" s="1"/>
  <c r="BY108" i="1"/>
  <c r="BY109" i="1" s="1"/>
  <c r="BV263" i="1"/>
  <c r="BF138" i="1"/>
  <c r="BM213" i="1"/>
  <c r="BM211" i="1" s="1"/>
  <c r="AR263" i="1"/>
  <c r="BB193" i="1"/>
  <c r="BC193" i="1" s="1"/>
  <c r="BR166" i="1"/>
  <c r="BR195" i="1" s="1"/>
  <c r="BJ108" i="1"/>
  <c r="BJ109" i="1" s="1"/>
  <c r="AV263" i="1"/>
  <c r="BK213" i="1"/>
  <c r="BK211" i="1" s="1"/>
  <c r="BB262" i="1"/>
  <c r="BF263" i="1"/>
  <c r="BF20" i="1"/>
  <c r="BX108" i="1"/>
  <c r="BX109" i="1" s="1"/>
  <c r="BX112" i="1" s="1"/>
  <c r="BT158" i="1"/>
  <c r="BT192" i="1" s="1"/>
  <c r="BD138" i="1"/>
  <c r="G183" i="1"/>
  <c r="AS212" i="1"/>
  <c r="D171" i="1"/>
  <c r="E219" i="1" s="1"/>
  <c r="N130" i="1"/>
  <c r="BQ134" i="1"/>
  <c r="BQ138" i="1" s="1"/>
  <c r="BP138" i="1"/>
  <c r="BC262" i="1"/>
  <c r="BU134" i="1"/>
  <c r="BU138" i="1" s="1"/>
  <c r="BT138" i="1"/>
  <c r="AY262" i="1"/>
  <c r="C117" i="1"/>
  <c r="BS138" i="1"/>
  <c r="BD171" i="1"/>
  <c r="AR130" i="1"/>
  <c r="AS127" i="1"/>
  <c r="BB189" i="1"/>
  <c r="BC189" i="1" s="1"/>
  <c r="BE108" i="1"/>
  <c r="BE109" i="1" s="1"/>
  <c r="BE114" i="1" s="1"/>
  <c r="BV158" i="1"/>
  <c r="BV192" i="1" s="1"/>
  <c r="J144" i="1"/>
  <c r="P130" i="1"/>
  <c r="BS212" i="1"/>
  <c r="BF108" i="1"/>
  <c r="BF109" i="1" s="1"/>
  <c r="BF114" i="1" s="1"/>
  <c r="BD36" i="1"/>
  <c r="BD37" i="1" s="1"/>
  <c r="BQ150" i="1"/>
  <c r="BR212" i="1" s="1"/>
  <c r="BE138" i="1"/>
  <c r="BE216" i="1" s="1"/>
  <c r="AT189" i="1"/>
  <c r="AU189" i="1" s="1"/>
  <c r="BR130" i="1"/>
  <c r="BR102" i="1" s="1"/>
  <c r="BN130" i="1"/>
  <c r="BN102" i="1" s="1"/>
  <c r="BN106" i="1" s="1"/>
  <c r="AN144" i="1"/>
  <c r="AQ212" i="1"/>
  <c r="BK108" i="1"/>
  <c r="BK109" i="1" s="1"/>
  <c r="BK114" i="1" s="1"/>
  <c r="R158" i="1"/>
  <c r="AN166" i="1"/>
  <c r="AN195" i="1" s="1"/>
  <c r="AO263" i="1"/>
  <c r="G158" i="1"/>
  <c r="G192" i="1" s="1"/>
  <c r="BP158" i="1"/>
  <c r="BP192" i="1" s="1"/>
  <c r="AP158" i="1"/>
  <c r="AZ138" i="1"/>
  <c r="BG262" i="1"/>
  <c r="U158" i="1"/>
  <c r="U192" i="1" s="1"/>
  <c r="U191" i="1" s="1"/>
  <c r="I158" i="1"/>
  <c r="I192" i="1" s="1"/>
  <c r="I191" i="1" s="1"/>
  <c r="D138" i="1"/>
  <c r="G212" i="1"/>
  <c r="P212" i="1"/>
  <c r="C158" i="1"/>
  <c r="BT171" i="1"/>
  <c r="AT144" i="1"/>
  <c r="BR193" i="1"/>
  <c r="BS193" i="1" s="1"/>
  <c r="J183" i="1"/>
  <c r="BR171" i="1"/>
  <c r="BR144" i="1"/>
  <c r="BP171" i="1"/>
  <c r="AZ171" i="1"/>
  <c r="T219" i="1"/>
  <c r="U219" i="1"/>
  <c r="S219" i="1"/>
  <c r="AN112" i="1"/>
  <c r="AN113" i="1"/>
  <c r="AN114" i="1"/>
  <c r="AO112" i="1"/>
  <c r="AO114" i="1"/>
  <c r="AO113" i="1"/>
  <c r="BH21" i="1"/>
  <c r="BD26" i="1"/>
  <c r="AR148" i="1"/>
  <c r="AS144" i="1"/>
  <c r="AS43" i="1"/>
  <c r="BL21" i="1"/>
  <c r="BH26" i="1"/>
  <c r="W148" i="1"/>
  <c r="X213" i="1" s="1"/>
  <c r="X211" i="1" s="1"/>
  <c r="W43" i="1"/>
  <c r="AZ26" i="1"/>
  <c r="BD21" i="1"/>
  <c r="BI212" i="1"/>
  <c r="C97" i="1"/>
  <c r="C95" i="1"/>
  <c r="C96" i="1"/>
  <c r="B99" i="1"/>
  <c r="AE152" i="1"/>
  <c r="AC134" i="1"/>
  <c r="BW212" i="1" l="1"/>
  <c r="S43" i="1"/>
  <c r="S148" i="1"/>
  <c r="L64" i="1"/>
  <c r="L185" i="1"/>
  <c r="AM203" i="1"/>
  <c r="AM205" i="1" s="1"/>
  <c r="AM62" i="1"/>
  <c r="AM76" i="1"/>
  <c r="AM79" i="1" s="1"/>
  <c r="BF22" i="1"/>
  <c r="AZ166" i="1"/>
  <c r="AZ195" i="1" s="1"/>
  <c r="Q207" i="1"/>
  <c r="B167" i="1"/>
  <c r="AM129" i="1"/>
  <c r="AM130" i="1" s="1"/>
  <c r="AM217" i="1" s="1"/>
  <c r="AM215" i="1" s="1"/>
  <c r="C178" i="1"/>
  <c r="C119" i="1" s="1"/>
  <c r="AX37" i="1"/>
  <c r="BH167" i="1"/>
  <c r="BB37" i="1"/>
  <c r="AY134" i="1"/>
  <c r="AY138" i="1" s="1"/>
  <c r="AX138" i="1"/>
  <c r="AV37" i="1"/>
  <c r="J178" i="1"/>
  <c r="J119" i="1" s="1"/>
  <c r="AZ189" i="1"/>
  <c r="AX212" i="1"/>
  <c r="AX130" i="1"/>
  <c r="AX102" i="1" s="1"/>
  <c r="AX104" i="1" s="1"/>
  <c r="AO259" i="1"/>
  <c r="AU259" i="1"/>
  <c r="AP194" i="1"/>
  <c r="AN139" i="1"/>
  <c r="BC150" i="1"/>
  <c r="AZ148" i="1"/>
  <c r="AR194" i="1"/>
  <c r="BG43" i="1"/>
  <c r="AW212" i="1"/>
  <c r="AX158" i="1"/>
  <c r="AX192" i="1" s="1"/>
  <c r="AX166" i="1"/>
  <c r="AX195" i="1" s="1"/>
  <c r="AX194" i="1" s="1"/>
  <c r="BT191" i="1"/>
  <c r="BR259" i="1"/>
  <c r="BB212" i="1"/>
  <c r="BB138" i="1"/>
  <c r="BB216" i="1" s="1"/>
  <c r="BC138" i="1"/>
  <c r="AX189" i="1"/>
  <c r="K206" i="1"/>
  <c r="BB166" i="1"/>
  <c r="BB195" i="1" s="1"/>
  <c r="H219" i="1"/>
  <c r="H64" i="1"/>
  <c r="H185" i="1"/>
  <c r="K43" i="1"/>
  <c r="K148" i="1"/>
  <c r="D195" i="1"/>
  <c r="B185" i="1"/>
  <c r="B64" i="1"/>
  <c r="AJ22" i="1"/>
  <c r="AM21" i="1"/>
  <c r="AL235" i="1"/>
  <c r="AI26" i="1"/>
  <c r="AZ22" i="1"/>
  <c r="BB235" i="1"/>
  <c r="AY26" i="1"/>
  <c r="BC21" i="1"/>
  <c r="G167" i="1"/>
  <c r="Q64" i="1"/>
  <c r="S258" i="1"/>
  <c r="U43" i="1"/>
  <c r="U148" i="1"/>
  <c r="G47" i="1"/>
  <c r="G178" i="1"/>
  <c r="G119" i="1" s="1"/>
  <c r="BT21" i="1"/>
  <c r="BQ22" i="1"/>
  <c r="BP26" i="1"/>
  <c r="BP21" i="1"/>
  <c r="BP37" i="1"/>
  <c r="R47" i="1"/>
  <c r="R139" i="1"/>
  <c r="R65" i="1" s="1"/>
  <c r="R259" i="1"/>
  <c r="R261" i="1" s="1"/>
  <c r="R178" i="1"/>
  <c r="R119" i="1" s="1"/>
  <c r="R216" i="1"/>
  <c r="J219" i="1"/>
  <c r="I258" i="1"/>
  <c r="AN235" i="1"/>
  <c r="AP235" i="1"/>
  <c r="AR21" i="1"/>
  <c r="AN198" i="1"/>
  <c r="AN26" i="1"/>
  <c r="AN21" i="1"/>
  <c r="O68" i="1"/>
  <c r="AN22" i="1"/>
  <c r="I216" i="1"/>
  <c r="S178" i="1"/>
  <c r="S119" i="1" s="1"/>
  <c r="BJ22" i="1"/>
  <c r="BI26" i="1"/>
  <c r="BI198" i="1"/>
  <c r="T258" i="1"/>
  <c r="R258" i="1"/>
  <c r="T47" i="1"/>
  <c r="T139" i="1"/>
  <c r="T65" i="1" s="1"/>
  <c r="T259" i="1"/>
  <c r="T261" i="1" s="1"/>
  <c r="T178" i="1"/>
  <c r="T119" i="1" s="1"/>
  <c r="T216" i="1"/>
  <c r="P43" i="1"/>
  <c r="P148" i="1"/>
  <c r="N148" i="1"/>
  <c r="N43" i="1"/>
  <c r="BK22" i="1"/>
  <c r="BN235" i="1"/>
  <c r="K47" i="1"/>
  <c r="M148" i="1"/>
  <c r="M43" i="1"/>
  <c r="AW26" i="1"/>
  <c r="AZ235" i="1"/>
  <c r="AW37" i="1"/>
  <c r="AW198" i="1"/>
  <c r="BA21" i="1"/>
  <c r="AX22" i="1"/>
  <c r="BZ114" i="1"/>
  <c r="BZ113" i="1"/>
  <c r="BZ112" i="1"/>
  <c r="BM37" i="1"/>
  <c r="V192" i="1"/>
  <c r="L195" i="1"/>
  <c r="L194" i="1" s="1"/>
  <c r="M207" i="1"/>
  <c r="O47" i="1"/>
  <c r="O259" i="1"/>
  <c r="O261" i="1" s="1"/>
  <c r="BA26" i="1"/>
  <c r="BE21" i="1"/>
  <c r="BA198" i="1"/>
  <c r="V217" i="1"/>
  <c r="V258" i="1"/>
  <c r="V64" i="1"/>
  <c r="V185" i="1"/>
  <c r="D207" i="1"/>
  <c r="C195" i="1"/>
  <c r="L259" i="1"/>
  <c r="L261" i="1" s="1"/>
  <c r="BX22" i="1"/>
  <c r="BZ254" i="1"/>
  <c r="CB198" i="1"/>
  <c r="BX198" i="1"/>
  <c r="X68" i="1"/>
  <c r="BW26" i="1"/>
  <c r="CA21" i="1"/>
  <c r="BZ235" i="1"/>
  <c r="BE22" i="1"/>
  <c r="BI22" i="1"/>
  <c r="Q192" i="1"/>
  <c r="BI21" i="1"/>
  <c r="BE26" i="1"/>
  <c r="BQ26" i="1"/>
  <c r="AS26" i="1"/>
  <c r="AW21" i="1"/>
  <c r="AP26" i="1"/>
  <c r="AP21" i="1"/>
  <c r="AX113" i="1"/>
  <c r="K192" i="1"/>
  <c r="I43" i="1"/>
  <c r="I148" i="1"/>
  <c r="AW114" i="1"/>
  <c r="AW113" i="1"/>
  <c r="AW112" i="1"/>
  <c r="BW113" i="1"/>
  <c r="BW114" i="1"/>
  <c r="BW112" i="1"/>
  <c r="Q185" i="1"/>
  <c r="AY112" i="1"/>
  <c r="AY113" i="1"/>
  <c r="AY114" i="1"/>
  <c r="AU112" i="1"/>
  <c r="AU114" i="1"/>
  <c r="AU113" i="1"/>
  <c r="BE37" i="1"/>
  <c r="AZ198" i="1"/>
  <c r="E185" i="1"/>
  <c r="AT26" i="1"/>
  <c r="AW235" i="1"/>
  <c r="AU22" i="1"/>
  <c r="B258" i="1"/>
  <c r="BJ44" i="1"/>
  <c r="BJ48" i="1" s="1"/>
  <c r="BJ39" i="1"/>
  <c r="BJ242" i="1"/>
  <c r="BJ243" i="1" s="1"/>
  <c r="O148" i="1"/>
  <c r="O43" i="1"/>
  <c r="AV26" i="1"/>
  <c r="AW22" i="1"/>
  <c r="AZ21" i="1"/>
  <c r="AR26" i="1"/>
  <c r="AU235" i="1"/>
  <c r="AS22" i="1"/>
  <c r="AV21" i="1"/>
  <c r="AU26" i="1"/>
  <c r="AV22" i="1"/>
  <c r="AY21" i="1"/>
  <c r="AI37" i="1"/>
  <c r="BC37" i="1"/>
  <c r="BA114" i="1"/>
  <c r="BA112" i="1"/>
  <c r="BA113" i="1"/>
  <c r="B79" i="1"/>
  <c r="C80" i="1" s="1"/>
  <c r="B78" i="1"/>
  <c r="AS112" i="1"/>
  <c r="AS114" i="1"/>
  <c r="AS113" i="1"/>
  <c r="AZ112" i="1"/>
  <c r="AZ113" i="1"/>
  <c r="AZ114" i="1"/>
  <c r="B148" i="1"/>
  <c r="B43" i="1"/>
  <c r="BS112" i="1"/>
  <c r="BS113" i="1"/>
  <c r="BS114" i="1"/>
  <c r="AP113" i="1"/>
  <c r="AP114" i="1"/>
  <c r="AP112" i="1"/>
  <c r="BX114" i="1"/>
  <c r="BR113" i="1"/>
  <c r="BH102" i="1"/>
  <c r="BH258" i="1"/>
  <c r="AX112" i="1"/>
  <c r="AX114" i="1"/>
  <c r="U207" i="1"/>
  <c r="BF37" i="1"/>
  <c r="V68" i="1"/>
  <c r="BO43" i="1"/>
  <c r="BB130" i="1"/>
  <c r="BB102" i="1" s="1"/>
  <c r="BB104" i="1" s="1"/>
  <c r="AT178" i="1"/>
  <c r="BA144" i="1"/>
  <c r="BA148" i="1" s="1"/>
  <c r="BF148" i="1"/>
  <c r="BD194" i="1"/>
  <c r="O216" i="1"/>
  <c r="AN194" i="1"/>
  <c r="BA259" i="1"/>
  <c r="D258" i="1"/>
  <c r="AV212" i="1"/>
  <c r="BR178" i="1"/>
  <c r="BS47" i="1" s="1"/>
  <c r="U217" i="1"/>
  <c r="U64" i="1"/>
  <c r="BI37" i="1"/>
  <c r="M64" i="1"/>
  <c r="M217" i="1"/>
  <c r="M185" i="1"/>
  <c r="C47" i="1"/>
  <c r="H258" i="1"/>
  <c r="U185" i="1"/>
  <c r="BF258" i="1"/>
  <c r="BI113" i="1"/>
  <c r="BI114" i="1"/>
  <c r="BI112" i="1"/>
  <c r="V148" i="1"/>
  <c r="V43" i="1"/>
  <c r="AY198" i="1"/>
  <c r="Q258" i="1"/>
  <c r="BO235" i="1"/>
  <c r="BM26" i="1"/>
  <c r="BM22" i="1"/>
  <c r="J64" i="1"/>
  <c r="J217" i="1"/>
  <c r="J185" i="1"/>
  <c r="BV21" i="1"/>
  <c r="BS22" i="1"/>
  <c r="BR198" i="1"/>
  <c r="BG26" i="1"/>
  <c r="G216" i="1"/>
  <c r="G259" i="1"/>
  <c r="G261" i="1" s="1"/>
  <c r="S259" i="1"/>
  <c r="S261" i="1" s="1"/>
  <c r="S216" i="1"/>
  <c r="BJ198" i="1"/>
  <c r="BL254" i="1"/>
  <c r="T195" i="1"/>
  <c r="T194" i="1" s="1"/>
  <c r="BQ37" i="1"/>
  <c r="AO21" i="1"/>
  <c r="AO198" i="1"/>
  <c r="AP22" i="1"/>
  <c r="BX254" i="1"/>
  <c r="BU26" i="1"/>
  <c r="BY21" i="1"/>
  <c r="BU198" i="1"/>
  <c r="BV22" i="1"/>
  <c r="BY198" i="1"/>
  <c r="I178" i="1"/>
  <c r="I119" i="1" s="1"/>
  <c r="AQ114" i="1"/>
  <c r="AQ112" i="1"/>
  <c r="W68" i="1"/>
  <c r="BW21" i="1"/>
  <c r="BS26" i="1"/>
  <c r="BT22" i="1"/>
  <c r="BV235" i="1"/>
  <c r="BL113" i="1"/>
  <c r="BL112" i="1"/>
  <c r="BL114" i="1"/>
  <c r="F185" i="1"/>
  <c r="F64" i="1"/>
  <c r="F217" i="1"/>
  <c r="BD198" i="1"/>
  <c r="E139" i="1"/>
  <c r="E65" i="1" s="1"/>
  <c r="E47" i="1"/>
  <c r="E178" i="1"/>
  <c r="E119" i="1" s="1"/>
  <c r="P167" i="1"/>
  <c r="P195" i="1"/>
  <c r="P194" i="1" s="1"/>
  <c r="I195" i="1"/>
  <c r="BC198" i="1"/>
  <c r="BG21" i="1"/>
  <c r="BC26" i="1"/>
  <c r="BD22" i="1"/>
  <c r="S68" i="1"/>
  <c r="F195" i="1"/>
  <c r="F194" i="1" s="1"/>
  <c r="G207" i="1"/>
  <c r="J258" i="1"/>
  <c r="AN37" i="1"/>
  <c r="T206" i="1"/>
  <c r="S167" i="1"/>
  <c r="S175" i="1" s="1"/>
  <c r="H207" i="1"/>
  <c r="G195" i="1"/>
  <c r="G194" i="1" s="1"/>
  <c r="L43" i="1"/>
  <c r="L148" i="1"/>
  <c r="E64" i="1"/>
  <c r="B47" i="1"/>
  <c r="C216" i="1"/>
  <c r="B178" i="1"/>
  <c r="B119" i="1" s="1"/>
  <c r="B121" i="1" s="1"/>
  <c r="B124" i="1" s="1"/>
  <c r="B139" i="1"/>
  <c r="B65" i="1" s="1"/>
  <c r="M206" i="1"/>
  <c r="L192" i="1"/>
  <c r="L167" i="1"/>
  <c r="G219" i="1"/>
  <c r="F258" i="1"/>
  <c r="BT26" i="1"/>
  <c r="BX21" i="1"/>
  <c r="BU22" i="1"/>
  <c r="N207" i="1"/>
  <c r="C167" i="1"/>
  <c r="BE198" i="1"/>
  <c r="O192" i="1"/>
  <c r="O167" i="1"/>
  <c r="M259" i="1"/>
  <c r="M261" i="1" s="1"/>
  <c r="M47" i="1"/>
  <c r="M178" i="1"/>
  <c r="M119" i="1" s="1"/>
  <c r="M216" i="1"/>
  <c r="BS37" i="1"/>
  <c r="V178" i="1"/>
  <c r="V119" i="1" s="1"/>
  <c r="V139" i="1"/>
  <c r="V65" i="1" s="1"/>
  <c r="V216" i="1"/>
  <c r="V259" i="1"/>
  <c r="V261" i="1" s="1"/>
  <c r="V47" i="1"/>
  <c r="T148" i="1"/>
  <c r="R195" i="1"/>
  <c r="R194" i="1" s="1"/>
  <c r="BS21" i="1"/>
  <c r="L207" i="1"/>
  <c r="K195" i="1"/>
  <c r="K194" i="1" s="1"/>
  <c r="BR22" i="1"/>
  <c r="BQ198" i="1"/>
  <c r="BU21" i="1"/>
  <c r="M219" i="1"/>
  <c r="L258" i="1"/>
  <c r="BN37" i="1"/>
  <c r="E167" i="1"/>
  <c r="E192" i="1"/>
  <c r="AR37" i="1"/>
  <c r="AV235" i="1"/>
  <c r="AT22" i="1"/>
  <c r="C148" i="1"/>
  <c r="C43" i="1"/>
  <c r="L178" i="1"/>
  <c r="L119" i="1" s="1"/>
  <c r="F259" i="1"/>
  <c r="F261" i="1" s="1"/>
  <c r="F47" i="1"/>
  <c r="BH148" i="1"/>
  <c r="BI144" i="1"/>
  <c r="S185" i="1"/>
  <c r="S64" i="1"/>
  <c r="BH178" i="1"/>
  <c r="BA22" i="1"/>
  <c r="BI43" i="1"/>
  <c r="Q47" i="1"/>
  <c r="Q139" i="1"/>
  <c r="Q65" i="1" s="1"/>
  <c r="Q68" i="1"/>
  <c r="AX235" i="1"/>
  <c r="BJ259" i="1"/>
  <c r="BI216" i="1"/>
  <c r="BJ216" i="1"/>
  <c r="BI259" i="1"/>
  <c r="AQ37" i="1"/>
  <c r="BF26" i="1"/>
  <c r="AV130" i="1"/>
  <c r="AV102" i="1" s="1"/>
  <c r="BA43" i="1"/>
  <c r="BG148" i="1"/>
  <c r="BH43" i="1"/>
  <c r="BD105" i="1"/>
  <c r="BD104" i="1"/>
  <c r="BD106" i="1"/>
  <c r="BP43" i="1"/>
  <c r="BO148" i="1"/>
  <c r="BT106" i="1"/>
  <c r="BT105" i="1"/>
  <c r="BT104" i="1"/>
  <c r="BF105" i="1"/>
  <c r="BF106" i="1"/>
  <c r="BF104" i="1"/>
  <c r="BO37" i="1"/>
  <c r="V167" i="1"/>
  <c r="K178" i="1"/>
  <c r="K119" i="1" s="1"/>
  <c r="T185" i="1"/>
  <c r="BP105" i="1"/>
  <c r="BB144" i="1"/>
  <c r="BC43" i="1" s="1"/>
  <c r="BB158" i="1"/>
  <c r="BB192" i="1" s="1"/>
  <c r="BH259" i="1"/>
  <c r="BR192" i="1"/>
  <c r="M258" i="1"/>
  <c r="U206" i="1"/>
  <c r="O217" i="1"/>
  <c r="O185" i="1"/>
  <c r="C259" i="1"/>
  <c r="C261" i="1" s="1"/>
  <c r="BT194" i="1"/>
  <c r="AR158" i="1"/>
  <c r="AR192" i="1" s="1"/>
  <c r="AV166" i="1"/>
  <c r="AV195" i="1" s="1"/>
  <c r="AV194" i="1" s="1"/>
  <c r="AV158" i="1"/>
  <c r="AV192" i="1" s="1"/>
  <c r="Q148" i="1"/>
  <c r="Q256" i="1" s="1"/>
  <c r="O178" i="1"/>
  <c r="O119" i="1" s="1"/>
  <c r="AP178" i="1"/>
  <c r="AP119" i="1" s="1"/>
  <c r="S254" i="1"/>
  <c r="BN191" i="1"/>
  <c r="AN259" i="1"/>
  <c r="AN216" i="1"/>
  <c r="AO216" i="1"/>
  <c r="BT112" i="1"/>
  <c r="BW235" i="1"/>
  <c r="BF194" i="1"/>
  <c r="AT113" i="1"/>
  <c r="AT114" i="1"/>
  <c r="AT112" i="1"/>
  <c r="J47" i="1"/>
  <c r="BJ112" i="1"/>
  <c r="BJ113" i="1"/>
  <c r="BJ114" i="1"/>
  <c r="BC112" i="1"/>
  <c r="BC114" i="1"/>
  <c r="BC113" i="1"/>
  <c r="AN191" i="1"/>
  <c r="AX106" i="1"/>
  <c r="AX105" i="1"/>
  <c r="AV191" i="1"/>
  <c r="BD191" i="1"/>
  <c r="T64" i="1"/>
  <c r="T217" i="1"/>
  <c r="AW138" i="1"/>
  <c r="P206" i="1"/>
  <c r="E217" i="1"/>
  <c r="BG198" i="1"/>
  <c r="BD235" i="1"/>
  <c r="AZ193" i="1"/>
  <c r="BA193" i="1" s="1"/>
  <c r="AT37" i="1"/>
  <c r="I259" i="1"/>
  <c r="I261" i="1" s="1"/>
  <c r="I217" i="1"/>
  <c r="BK37" i="1"/>
  <c r="BU37" i="1"/>
  <c r="L139" i="1"/>
  <c r="L65" i="1" s="1"/>
  <c r="BN148" i="1"/>
  <c r="BN213" i="1" s="1"/>
  <c r="BN211" i="1" s="1"/>
  <c r="F43" i="1"/>
  <c r="BN22" i="1"/>
  <c r="BN194" i="1"/>
  <c r="L47" i="1"/>
  <c r="BU235" i="1"/>
  <c r="I47" i="1"/>
  <c r="C139" i="1"/>
  <c r="C65" i="1" s="1"/>
  <c r="K217" i="1"/>
  <c r="AV144" i="1"/>
  <c r="BN178" i="1"/>
  <c r="BO47" i="1" s="1"/>
  <c r="AV138" i="1"/>
  <c r="AW259" i="1" s="1"/>
  <c r="AN178" i="1"/>
  <c r="AN119" i="1" s="1"/>
  <c r="C120" i="1"/>
  <c r="C123" i="1" s="1"/>
  <c r="P139" i="1"/>
  <c r="P65" i="1" s="1"/>
  <c r="I185" i="1"/>
  <c r="S206" i="1"/>
  <c r="D148" i="1"/>
  <c r="G258" i="1"/>
  <c r="AX139" i="1"/>
  <c r="U258" i="1"/>
  <c r="P259" i="1"/>
  <c r="P261" i="1" s="1"/>
  <c r="P178" i="1"/>
  <c r="P119" i="1" s="1"/>
  <c r="P216" i="1"/>
  <c r="P47" i="1"/>
  <c r="F216" i="1"/>
  <c r="F139" i="1"/>
  <c r="F65" i="1" s="1"/>
  <c r="F178" i="1"/>
  <c r="F119" i="1" s="1"/>
  <c r="BU113" i="1"/>
  <c r="BU112" i="1"/>
  <c r="AQ22" i="1"/>
  <c r="AP198" i="1"/>
  <c r="AT21" i="1"/>
  <c r="AS235" i="1"/>
  <c r="H178" i="1"/>
  <c r="H119" i="1" s="1"/>
  <c r="H216" i="1"/>
  <c r="H259" i="1"/>
  <c r="H261" i="1" s="1"/>
  <c r="H47" i="1"/>
  <c r="H139" i="1"/>
  <c r="H65" i="1" s="1"/>
  <c r="H148" i="1"/>
  <c r="H43" i="1"/>
  <c r="BV26" i="1"/>
  <c r="BZ21" i="1"/>
  <c r="BZ198" i="1"/>
  <c r="BW22" i="1"/>
  <c r="BN113" i="1"/>
  <c r="BN114" i="1"/>
  <c r="BN112" i="1"/>
  <c r="K167" i="1"/>
  <c r="L206" i="1"/>
  <c r="B195" i="1"/>
  <c r="B194" i="1" s="1"/>
  <c r="C207" i="1"/>
  <c r="M192" i="1"/>
  <c r="M167" i="1"/>
  <c r="AQ198" i="1"/>
  <c r="AQ26" i="1"/>
  <c r="AU21" i="1"/>
  <c r="AR22" i="1"/>
  <c r="AQ21" i="1"/>
  <c r="AT235" i="1"/>
  <c r="P68" i="1"/>
  <c r="BC22" i="1"/>
  <c r="I207" i="1"/>
  <c r="R207" i="1"/>
  <c r="BR21" i="1"/>
  <c r="BD114" i="1"/>
  <c r="BD113" i="1"/>
  <c r="BD112" i="1"/>
  <c r="W47" i="1"/>
  <c r="X259" i="1"/>
  <c r="X261" i="1" s="1"/>
  <c r="X216" i="1"/>
  <c r="W259" i="1"/>
  <c r="W261" i="1" s="1"/>
  <c r="W216" i="1"/>
  <c r="BG37" i="1"/>
  <c r="U139" i="1"/>
  <c r="U65" i="1" s="1"/>
  <c r="U259" i="1"/>
  <c r="U261" i="1" s="1"/>
  <c r="U178" i="1"/>
  <c r="U119" i="1" s="1"/>
  <c r="U216" i="1"/>
  <c r="U47" i="1"/>
  <c r="G148" i="1"/>
  <c r="G43" i="1"/>
  <c r="BM114" i="1"/>
  <c r="BM112" i="1"/>
  <c r="BM113" i="1"/>
  <c r="S139" i="1"/>
  <c r="S217" i="1"/>
  <c r="BH139" i="1"/>
  <c r="BA235" i="1"/>
  <c r="AX26" i="1"/>
  <c r="BB21" i="1"/>
  <c r="AX198" i="1"/>
  <c r="AY22" i="1"/>
  <c r="T192" i="1"/>
  <c r="T167" i="1"/>
  <c r="AT198" i="1"/>
  <c r="AX21" i="1"/>
  <c r="R217" i="1"/>
  <c r="R64" i="1"/>
  <c r="R185" i="1"/>
  <c r="L216" i="1"/>
  <c r="AY235" i="1"/>
  <c r="AV198" i="1"/>
  <c r="J216" i="1"/>
  <c r="J139" i="1"/>
  <c r="J65" i="1" s="1"/>
  <c r="J259" i="1"/>
  <c r="J261" i="1" s="1"/>
  <c r="P207" i="1"/>
  <c r="BH113" i="1"/>
  <c r="BH112" i="1"/>
  <c r="BH114" i="1"/>
  <c r="AR198" i="1"/>
  <c r="Q259" i="1"/>
  <c r="Q261" i="1" s="1"/>
  <c r="Q178" i="1"/>
  <c r="Q119" i="1" s="1"/>
  <c r="Q216" i="1"/>
  <c r="AU198" i="1"/>
  <c r="E207" i="1"/>
  <c r="E195" i="1"/>
  <c r="E194" i="1" s="1"/>
  <c r="F207" i="1"/>
  <c r="BV37" i="1"/>
  <c r="BY114" i="1"/>
  <c r="BY112" i="1"/>
  <c r="BY113" i="1"/>
  <c r="BU114" i="1"/>
  <c r="BV148" i="1"/>
  <c r="BX259" i="1"/>
  <c r="AT194" i="1"/>
  <c r="BN104" i="1"/>
  <c r="BW144" i="1"/>
  <c r="BX43" i="1" s="1"/>
  <c r="AT196" i="1"/>
  <c r="BK198" i="1"/>
  <c r="BH22" i="1"/>
  <c r="BQ235" i="1"/>
  <c r="BT113" i="1"/>
  <c r="BP104" i="1"/>
  <c r="BP112" i="1"/>
  <c r="AV114" i="1"/>
  <c r="BH198" i="1"/>
  <c r="U195" i="1"/>
  <c r="BM235" i="1"/>
  <c r="BJ235" i="1"/>
  <c r="BA216" i="1"/>
  <c r="BF216" i="1"/>
  <c r="Q195" i="1"/>
  <c r="Q194" i="1" s="1"/>
  <c r="Q167" i="1"/>
  <c r="BW198" i="1"/>
  <c r="AL254" i="1"/>
  <c r="BI235" i="1"/>
  <c r="BP114" i="1"/>
  <c r="B192" i="1"/>
  <c r="BF21" i="1"/>
  <c r="N167" i="1"/>
  <c r="BF178" i="1"/>
  <c r="M139" i="1"/>
  <c r="M65" i="1" s="1"/>
  <c r="R206" i="1"/>
  <c r="N139" i="1"/>
  <c r="N65" i="1" s="1"/>
  <c r="AS21" i="1"/>
  <c r="R192" i="1"/>
  <c r="BB22" i="1"/>
  <c r="K216" i="1"/>
  <c r="U68" i="1"/>
  <c r="BM21" i="1"/>
  <c r="BV114" i="1"/>
  <c r="AO235" i="1"/>
  <c r="BS235" i="1"/>
  <c r="BK21" i="1"/>
  <c r="BM198" i="1"/>
  <c r="R68" i="1"/>
  <c r="BO216" i="1"/>
  <c r="I139" i="1"/>
  <c r="I65" i="1" s="1"/>
  <c r="AZ104" i="1"/>
  <c r="BO26" i="1"/>
  <c r="BL198" i="1"/>
  <c r="BP235" i="1"/>
  <c r="AZ106" i="1"/>
  <c r="AV113" i="1"/>
  <c r="BR235" i="1"/>
  <c r="BT198" i="1"/>
  <c r="BJ254" i="1"/>
  <c r="AZ216" i="1"/>
  <c r="BE235" i="1"/>
  <c r="R167" i="1"/>
  <c r="Q217" i="1"/>
  <c r="BB26" i="1"/>
  <c r="N47" i="1"/>
  <c r="V207" i="1"/>
  <c r="O139" i="1"/>
  <c r="O65" i="1" s="1"/>
  <c r="BO21" i="1"/>
  <c r="AP139" i="1"/>
  <c r="AU216" i="1"/>
  <c r="F167" i="1"/>
  <c r="F175" i="1" s="1"/>
  <c r="G206" i="1"/>
  <c r="BC235" i="1"/>
  <c r="C206" i="1"/>
  <c r="BB198" i="1"/>
  <c r="N206" i="1"/>
  <c r="AS198" i="1"/>
  <c r="BT235" i="1"/>
  <c r="BP22" i="1"/>
  <c r="BH235" i="1"/>
  <c r="AO37" i="1"/>
  <c r="BG113" i="1"/>
  <c r="N259" i="1"/>
  <c r="N261" i="1" s="1"/>
  <c r="O207" i="1"/>
  <c r="BF235" i="1"/>
  <c r="AO26" i="1"/>
  <c r="H167" i="1"/>
  <c r="BR112" i="1"/>
  <c r="K259" i="1"/>
  <c r="K261" i="1" s="1"/>
  <c r="BK26" i="1"/>
  <c r="BQ114" i="1"/>
  <c r="BL235" i="1"/>
  <c r="BV113" i="1"/>
  <c r="BP198" i="1"/>
  <c r="G139" i="1"/>
  <c r="G65" i="1" s="1"/>
  <c r="BR26" i="1"/>
  <c r="BR38" i="1" s="1"/>
  <c r="BQ21" i="1"/>
  <c r="AT167" i="1"/>
  <c r="AN102" i="1"/>
  <c r="AN105" i="1" s="1"/>
  <c r="BO212" i="1"/>
  <c r="U167" i="1"/>
  <c r="P192" i="1"/>
  <c r="BG235" i="1"/>
  <c r="Q206" i="1"/>
  <c r="BG22" i="1"/>
  <c r="J192" i="1"/>
  <c r="J191" i="1" s="1"/>
  <c r="BS198" i="1"/>
  <c r="AR235" i="1"/>
  <c r="AQ235" i="1"/>
  <c r="T68" i="1"/>
  <c r="BJ21" i="1"/>
  <c r="BF198" i="1"/>
  <c r="BV198" i="1"/>
  <c r="BK235" i="1"/>
  <c r="BQ113" i="1"/>
  <c r="H206" i="1"/>
  <c r="AN258" i="1"/>
  <c r="BH194" i="1"/>
  <c r="J167" i="1"/>
  <c r="BP196" i="1"/>
  <c r="BP199" i="1" s="1"/>
  <c r="BH216" i="1"/>
  <c r="J207" i="1"/>
  <c r="BX113" i="1"/>
  <c r="BV104" i="1"/>
  <c r="BG114" i="1"/>
  <c r="BB112" i="1"/>
  <c r="AQ216" i="1"/>
  <c r="BN216" i="1"/>
  <c r="BY235" i="1"/>
  <c r="BK113" i="1"/>
  <c r="BX235" i="1"/>
  <c r="BB113" i="1"/>
  <c r="BF259" i="1"/>
  <c r="AN196" i="1"/>
  <c r="BO259" i="1"/>
  <c r="AQ259" i="1"/>
  <c r="BF139" i="1"/>
  <c r="BP191" i="1"/>
  <c r="K207" i="1"/>
  <c r="AR113" i="1"/>
  <c r="BK112" i="1"/>
  <c r="BG259" i="1"/>
  <c r="BV167" i="1"/>
  <c r="BG216" i="1"/>
  <c r="BW259" i="1"/>
  <c r="D47" i="1"/>
  <c r="D139" i="1"/>
  <c r="D65" i="1" s="1"/>
  <c r="D178" i="1"/>
  <c r="D119" i="1" s="1"/>
  <c r="D216" i="1"/>
  <c r="D259" i="1"/>
  <c r="D261" i="1" s="1"/>
  <c r="BE259" i="1"/>
  <c r="BD178" i="1"/>
  <c r="AS216" i="1"/>
  <c r="AS259" i="1"/>
  <c r="J206" i="1"/>
  <c r="AT216" i="1"/>
  <c r="AU144" i="1"/>
  <c r="AT148" i="1"/>
  <c r="AU43" i="1"/>
  <c r="AT102" i="1"/>
  <c r="AT258" i="1"/>
  <c r="BN105" i="1"/>
  <c r="BE112" i="1"/>
  <c r="BN26" i="1"/>
  <c r="AL112" i="1"/>
  <c r="AN167" i="1"/>
  <c r="S207" i="1"/>
  <c r="BV194" i="1"/>
  <c r="AI191" i="1"/>
  <c r="N216" i="1"/>
  <c r="V206" i="1"/>
  <c r="T207" i="1"/>
  <c r="BH192" i="1"/>
  <c r="BH196" i="1" s="1"/>
  <c r="BO114" i="1"/>
  <c r="AT139" i="1"/>
  <c r="BA219" i="1"/>
  <c r="AZ258" i="1"/>
  <c r="BU219" i="1"/>
  <c r="BT258" i="1"/>
  <c r="BR105" i="1"/>
  <c r="BR104" i="1"/>
  <c r="BR106" i="1"/>
  <c r="BT216" i="1"/>
  <c r="BT178" i="1"/>
  <c r="BT139" i="1"/>
  <c r="BT259" i="1"/>
  <c r="N185" i="1"/>
  <c r="N217" i="1"/>
  <c r="N64" i="1"/>
  <c r="AP102" i="1"/>
  <c r="AP258" i="1"/>
  <c r="C258" i="1"/>
  <c r="BQ259" i="1"/>
  <c r="BQ216" i="1"/>
  <c r="H217" i="1"/>
  <c r="BS216" i="1"/>
  <c r="BS259" i="1"/>
  <c r="E43" i="1"/>
  <c r="E148" i="1"/>
  <c r="K64" i="1"/>
  <c r="K185" i="1"/>
  <c r="BT196" i="1"/>
  <c r="G217" i="1"/>
  <c r="BN167" i="1"/>
  <c r="AO43" i="1"/>
  <c r="AN148" i="1"/>
  <c r="AO144" i="1"/>
  <c r="BE113" i="1"/>
  <c r="AL113" i="1"/>
  <c r="N178" i="1"/>
  <c r="N119" i="1" s="1"/>
  <c r="C217" i="1"/>
  <c r="BD167" i="1"/>
  <c r="L217" i="1"/>
  <c r="AT191" i="1"/>
  <c r="F254" i="1"/>
  <c r="BN198" i="1"/>
  <c r="BF113" i="1"/>
  <c r="BT167" i="1"/>
  <c r="BO113" i="1"/>
  <c r="BV105" i="1"/>
  <c r="BD139" i="1"/>
  <c r="BQ219" i="1"/>
  <c r="BP258" i="1"/>
  <c r="D206" i="1"/>
  <c r="C192" i="1"/>
  <c r="C191" i="1" s="1"/>
  <c r="AZ139" i="1"/>
  <c r="AZ178" i="1"/>
  <c r="BU216" i="1"/>
  <c r="BU259" i="1"/>
  <c r="AP212" i="1"/>
  <c r="AO212" i="1"/>
  <c r="BR216" i="1"/>
  <c r="BD148" i="1"/>
  <c r="BD256" i="1" s="1"/>
  <c r="BE43" i="1"/>
  <c r="BE144" i="1"/>
  <c r="D117" i="1"/>
  <c r="D76" i="1"/>
  <c r="BQ144" i="1"/>
  <c r="BP148" i="1"/>
  <c r="BP254" i="1" s="1"/>
  <c r="P219" i="1"/>
  <c r="O258" i="1"/>
  <c r="E206" i="1"/>
  <c r="E216" i="1"/>
  <c r="BV216" i="1"/>
  <c r="BV259" i="1"/>
  <c r="F206" i="1"/>
  <c r="F256" i="1"/>
  <c r="BN21" i="1"/>
  <c r="BW216" i="1"/>
  <c r="BV139" i="1"/>
  <c r="BO198" i="1"/>
  <c r="BF112" i="1"/>
  <c r="I206" i="1"/>
  <c r="K139" i="1"/>
  <c r="K65" i="1" s="1"/>
  <c r="K258" i="1"/>
  <c r="BP167" i="1"/>
  <c r="BS144" i="1"/>
  <c r="BR148" i="1"/>
  <c r="AP192" i="1"/>
  <c r="AP167" i="1"/>
  <c r="P64" i="1"/>
  <c r="P217" i="1"/>
  <c r="P258" i="1"/>
  <c r="P185" i="1"/>
  <c r="AR258" i="1"/>
  <c r="AR102" i="1"/>
  <c r="AP216" i="1"/>
  <c r="AP259" i="1"/>
  <c r="AY144" i="1"/>
  <c r="AX148" i="1"/>
  <c r="BP194" i="1"/>
  <c r="BN139" i="1"/>
  <c r="BR139" i="1"/>
  <c r="N258" i="1"/>
  <c r="O206" i="1"/>
  <c r="BR167" i="1"/>
  <c r="BE219" i="1"/>
  <c r="BD258" i="1"/>
  <c r="G64" i="1"/>
  <c r="AR112" i="1"/>
  <c r="D118" i="1"/>
  <c r="AR259" i="1"/>
  <c r="AR178" i="1"/>
  <c r="AS47" i="1" s="1"/>
  <c r="AR139" i="1"/>
  <c r="AR216" i="1"/>
  <c r="BQ43" i="1"/>
  <c r="BU43" i="1"/>
  <c r="BU144" i="1"/>
  <c r="BT148" i="1"/>
  <c r="BT254" i="1" s="1"/>
  <c r="C64" i="1"/>
  <c r="D217" i="1"/>
  <c r="BD196" i="1"/>
  <c r="BN196" i="1"/>
  <c r="BN199" i="1" s="1"/>
  <c r="BO22" i="1"/>
  <c r="I167" i="1"/>
  <c r="BV258" i="1"/>
  <c r="BV178" i="1"/>
  <c r="BV119" i="1" s="1"/>
  <c r="S192" i="1"/>
  <c r="S196" i="1" s="1"/>
  <c r="S256" i="1"/>
  <c r="AX167" i="1"/>
  <c r="D167" i="1"/>
  <c r="BS219" i="1"/>
  <c r="BR258" i="1"/>
  <c r="BQ212" i="1"/>
  <c r="J43" i="1"/>
  <c r="J148" i="1"/>
  <c r="J256" i="1" s="1"/>
  <c r="BP178" i="1"/>
  <c r="BP216" i="1"/>
  <c r="BP139" i="1"/>
  <c r="BP259" i="1"/>
  <c r="BR194" i="1"/>
  <c r="BN258" i="1"/>
  <c r="K219" i="1"/>
  <c r="AY216" i="1"/>
  <c r="R148" i="1"/>
  <c r="R43" i="1"/>
  <c r="AQ144" i="1"/>
  <c r="AP148" i="1"/>
  <c r="BF192" i="1"/>
  <c r="BF167" i="1"/>
  <c r="AT259" i="1"/>
  <c r="C185" i="1"/>
  <c r="BS43" i="1"/>
  <c r="AZ38" i="1"/>
  <c r="AZ27" i="1"/>
  <c r="BD28" i="1"/>
  <c r="G191" i="1"/>
  <c r="BV196" i="1"/>
  <c r="BV191" i="1"/>
  <c r="N194" i="1"/>
  <c r="N196" i="1"/>
  <c r="AT43" i="1"/>
  <c r="AS148" i="1"/>
  <c r="BN28" i="1"/>
  <c r="BN27" i="1"/>
  <c r="BN38" i="1"/>
  <c r="BH38" i="1"/>
  <c r="BH27" i="1"/>
  <c r="BL28" i="1"/>
  <c r="H191" i="1"/>
  <c r="H196" i="1"/>
  <c r="BD27" i="1"/>
  <c r="BD38" i="1"/>
  <c r="BH28" i="1"/>
  <c r="BF38" i="1"/>
  <c r="BJ28" i="1"/>
  <c r="BF27" i="1"/>
  <c r="BG29" i="1"/>
  <c r="V254" i="1"/>
  <c r="V256" i="1"/>
  <c r="T254" i="1"/>
  <c r="AX27" i="1"/>
  <c r="AX38" i="1"/>
  <c r="AY29" i="1"/>
  <c r="BS27" i="1"/>
  <c r="BU38" i="1"/>
  <c r="BU27" i="1"/>
  <c r="BY28" i="1"/>
  <c r="U194" i="1"/>
  <c r="U196" i="1"/>
  <c r="BP38" i="1"/>
  <c r="BP28" i="1"/>
  <c r="BP27" i="1"/>
  <c r="B97" i="1"/>
  <c r="B95" i="1"/>
  <c r="B96" i="1"/>
  <c r="AZ256" i="1" l="1"/>
  <c r="AP27" i="1"/>
  <c r="AP38" i="1"/>
  <c r="BT29" i="1"/>
  <c r="BS38" i="1"/>
  <c r="O213" i="1"/>
  <c r="O211" i="1" s="1"/>
  <c r="BQ29" i="1"/>
  <c r="Q208" i="1"/>
  <c r="Q209" i="1" s="1"/>
  <c r="C121" i="1"/>
  <c r="C124" i="1" s="1"/>
  <c r="AX178" i="1"/>
  <c r="AX258" i="1"/>
  <c r="AZ259" i="1"/>
  <c r="AZ196" i="1"/>
  <c r="AZ167" i="1"/>
  <c r="BD259" i="1"/>
  <c r="AM96" i="1"/>
  <c r="AM95" i="1"/>
  <c r="AM97" i="1"/>
  <c r="BB194" i="1"/>
  <c r="AX254" i="1"/>
  <c r="AY38" i="1"/>
  <c r="AY27" i="1"/>
  <c r="U254" i="1"/>
  <c r="U256" i="1"/>
  <c r="BG27" i="1"/>
  <c r="T69" i="1"/>
  <c r="P254" i="1"/>
  <c r="AN38" i="1"/>
  <c r="AN27" i="1"/>
  <c r="AN29" i="1"/>
  <c r="BA28" i="1"/>
  <c r="BX28" i="1"/>
  <c r="BU29" i="1"/>
  <c r="P213" i="1"/>
  <c r="P211" i="1" s="1"/>
  <c r="AT28" i="1"/>
  <c r="BW28" i="1"/>
  <c r="N254" i="1"/>
  <c r="AM139" i="1"/>
  <c r="AM65" i="1" s="1"/>
  <c r="AM64" i="1"/>
  <c r="BR119" i="1"/>
  <c r="BR120" i="1" s="1"/>
  <c r="AM102" i="1"/>
  <c r="AM105" i="1" s="1"/>
  <c r="BD216" i="1"/>
  <c r="AZ29" i="1"/>
  <c r="V213" i="1"/>
  <c r="V211" i="1" s="1"/>
  <c r="BH29" i="1"/>
  <c r="BG38" i="1"/>
  <c r="BI29" i="1"/>
  <c r="P256" i="1"/>
  <c r="AN28" i="1"/>
  <c r="K191" i="1"/>
  <c r="AW38" i="1"/>
  <c r="AW27" i="1"/>
  <c r="O191" i="1"/>
  <c r="O196" i="1"/>
  <c r="I196" i="1"/>
  <c r="I199" i="1" s="1"/>
  <c r="I200" i="1" s="1"/>
  <c r="I194" i="1"/>
  <c r="BT27" i="1"/>
  <c r="BT38" i="1"/>
  <c r="AP28" i="1"/>
  <c r="L175" i="1"/>
  <c r="N256" i="1"/>
  <c r="BT28" i="1"/>
  <c r="AX196" i="1"/>
  <c r="AZ175" i="1"/>
  <c r="AZ254" i="1"/>
  <c r="N175" i="1"/>
  <c r="AY259" i="1"/>
  <c r="R175" i="1"/>
  <c r="R176" i="1" s="1"/>
  <c r="K256" i="1"/>
  <c r="G208" i="1"/>
  <c r="G209" i="1" s="1"/>
  <c r="K208" i="1"/>
  <c r="K209" i="1" s="1"/>
  <c r="G175" i="1"/>
  <c r="D194" i="1"/>
  <c r="D196" i="1"/>
  <c r="K254" i="1"/>
  <c r="R215" i="1"/>
  <c r="W213" i="1"/>
  <c r="W211" i="1" s="1"/>
  <c r="S215" i="1"/>
  <c r="BB27" i="1"/>
  <c r="BB38" i="1"/>
  <c r="BF28" i="1"/>
  <c r="BM27" i="1"/>
  <c r="BM29" i="1"/>
  <c r="BM38" i="1"/>
  <c r="G196" i="1"/>
  <c r="L254" i="1"/>
  <c r="L256" i="1"/>
  <c r="L213" i="1"/>
  <c r="L211" i="1" s="1"/>
  <c r="E191" i="1"/>
  <c r="E196" i="1"/>
  <c r="BJ29" i="1"/>
  <c r="BI27" i="1"/>
  <c r="BI38" i="1"/>
  <c r="BM28" i="1"/>
  <c r="C175" i="1"/>
  <c r="G213" i="1"/>
  <c r="G211" i="1" s="1"/>
  <c r="G254" i="1"/>
  <c r="AO38" i="1"/>
  <c r="AO28" i="1"/>
  <c r="AO27" i="1"/>
  <c r="R191" i="1"/>
  <c r="R69" i="1"/>
  <c r="B191" i="1"/>
  <c r="BW148" i="1"/>
  <c r="BX213" i="1" s="1"/>
  <c r="BX211" i="1" s="1"/>
  <c r="Q191" i="1"/>
  <c r="Q196" i="1"/>
  <c r="P191" i="1"/>
  <c r="V191" i="1"/>
  <c r="V196" i="1"/>
  <c r="N213" i="1"/>
  <c r="N211" i="1" s="1"/>
  <c r="M254" i="1"/>
  <c r="M256" i="1"/>
  <c r="U175" i="1"/>
  <c r="U176" i="1" s="1"/>
  <c r="V69" i="1"/>
  <c r="BR28" i="1"/>
  <c r="C194" i="1"/>
  <c r="T196" i="1"/>
  <c r="T191" i="1"/>
  <c r="BA27" i="1"/>
  <c r="BA38" i="1"/>
  <c r="AS27" i="1"/>
  <c r="AS38" i="1"/>
  <c r="AT29" i="1"/>
  <c r="AW28" i="1"/>
  <c r="B120" i="1"/>
  <c r="B123" i="1" s="1"/>
  <c r="AR38" i="1"/>
  <c r="AS29" i="1"/>
  <c r="AV28" i="1"/>
  <c r="AR27" i="1"/>
  <c r="I254" i="1"/>
  <c r="BE29" i="1"/>
  <c r="AT38" i="1"/>
  <c r="AT27" i="1"/>
  <c r="AU29" i="1"/>
  <c r="AR28" i="1"/>
  <c r="BV254" i="1"/>
  <c r="BV256" i="1"/>
  <c r="K196" i="1"/>
  <c r="BV175" i="1"/>
  <c r="AV27" i="1"/>
  <c r="AW29" i="1"/>
  <c r="AV38" i="1"/>
  <c r="AZ28" i="1"/>
  <c r="BB28" i="1"/>
  <c r="N208" i="1"/>
  <c r="N209" i="1" s="1"/>
  <c r="AZ191" i="1"/>
  <c r="BA189" i="1"/>
  <c r="BC212" i="1"/>
  <c r="BD212" i="1"/>
  <c r="BA213" i="1"/>
  <c r="BA211" i="1" s="1"/>
  <c r="AX191" i="1"/>
  <c r="AY189" i="1"/>
  <c r="BC259" i="1"/>
  <c r="BC216" i="1"/>
  <c r="BB178" i="1"/>
  <c r="BB259" i="1"/>
  <c r="BB196" i="1"/>
  <c r="AU47" i="1"/>
  <c r="T215" i="1"/>
  <c r="BB29" i="1"/>
  <c r="AP29" i="1"/>
  <c r="BB43" i="1"/>
  <c r="O254" i="1"/>
  <c r="BB139" i="1"/>
  <c r="BF175" i="1"/>
  <c r="BH104" i="1"/>
  <c r="AV258" i="1"/>
  <c r="AT119" i="1"/>
  <c r="I215" i="1"/>
  <c r="I175" i="1"/>
  <c r="I176" i="1" s="1"/>
  <c r="BH106" i="1"/>
  <c r="BP29" i="1"/>
  <c r="D208" i="1"/>
  <c r="D209" i="1" s="1"/>
  <c r="BB105" i="1"/>
  <c r="BB106" i="1"/>
  <c r="BF254" i="1"/>
  <c r="BB258" i="1"/>
  <c r="BH105" i="1"/>
  <c r="O256" i="1"/>
  <c r="F208" i="1"/>
  <c r="F209" i="1" s="1"/>
  <c r="B175" i="1"/>
  <c r="AJ29" i="1"/>
  <c r="AI27" i="1"/>
  <c r="AM28" i="1"/>
  <c r="AI38" i="1"/>
  <c r="N69" i="1"/>
  <c r="BA29" i="1"/>
  <c r="BE28" i="1"/>
  <c r="BE27" i="1"/>
  <c r="BE38" i="1"/>
  <c r="BF29" i="1"/>
  <c r="BI28" i="1"/>
  <c r="BJ51" i="1"/>
  <c r="BJ50" i="1"/>
  <c r="I256" i="1"/>
  <c r="BQ28" i="1"/>
  <c r="BN29" i="1"/>
  <c r="M213" i="1"/>
  <c r="M211" i="1" s="1"/>
  <c r="AV29" i="1"/>
  <c r="AU38" i="1"/>
  <c r="AY28" i="1"/>
  <c r="AU27" i="1"/>
  <c r="Q69" i="1"/>
  <c r="BW27" i="1"/>
  <c r="BX29" i="1"/>
  <c r="X69" i="1"/>
  <c r="CA28" i="1"/>
  <c r="BW38" i="1"/>
  <c r="BQ38" i="1"/>
  <c r="BQ27" i="1"/>
  <c r="U213" i="1"/>
  <c r="U211" i="1" s="1"/>
  <c r="V208" i="1"/>
  <c r="V209" i="1" s="1"/>
  <c r="BK28" i="1"/>
  <c r="H208" i="1"/>
  <c r="H209" i="1" s="1"/>
  <c r="E175" i="1"/>
  <c r="E176" i="1" s="1"/>
  <c r="C215" i="1"/>
  <c r="M215" i="1"/>
  <c r="P196" i="1"/>
  <c r="BF256" i="1"/>
  <c r="T208" i="1"/>
  <c r="T209" i="1" s="1"/>
  <c r="T256" i="1"/>
  <c r="T175" i="1"/>
  <c r="T176" i="1" s="1"/>
  <c r="G215" i="1"/>
  <c r="BI47" i="1"/>
  <c r="BH119" i="1"/>
  <c r="BH254" i="1"/>
  <c r="BH256" i="1"/>
  <c r="P175" i="1"/>
  <c r="R196" i="1"/>
  <c r="BC28" i="1"/>
  <c r="M208" i="1"/>
  <c r="M209" i="1" s="1"/>
  <c r="BS29" i="1"/>
  <c r="F196" i="1"/>
  <c r="BU28" i="1"/>
  <c r="V215" i="1"/>
  <c r="BH175" i="1"/>
  <c r="BH176" i="1" s="1"/>
  <c r="BC38" i="1"/>
  <c r="BD29" i="1"/>
  <c r="BC27" i="1"/>
  <c r="S69" i="1"/>
  <c r="BG28" i="1"/>
  <c r="L191" i="1"/>
  <c r="L196" i="1"/>
  <c r="O175" i="1"/>
  <c r="T213" i="1"/>
  <c r="T211" i="1" s="1"/>
  <c r="C213" i="1"/>
  <c r="C211" i="1" s="1"/>
  <c r="BJ43" i="1"/>
  <c r="BI148" i="1"/>
  <c r="AV105" i="1"/>
  <c r="AV104" i="1"/>
  <c r="AV106" i="1"/>
  <c r="AT213" i="1"/>
  <c r="AT211" i="1" s="1"/>
  <c r="BH213" i="1"/>
  <c r="BH211" i="1" s="1"/>
  <c r="BG213" i="1"/>
  <c r="BG211" i="1" s="1"/>
  <c r="BT199" i="1"/>
  <c r="BX199" i="1"/>
  <c r="AR191" i="1"/>
  <c r="BR191" i="1"/>
  <c r="BC144" i="1"/>
  <c r="BD43" i="1" s="1"/>
  <c r="AR167" i="1"/>
  <c r="AR175" i="1" s="1"/>
  <c r="AR176" i="1" s="1"/>
  <c r="U208" i="1"/>
  <c r="U209" i="1" s="1"/>
  <c r="U223" i="1" s="1"/>
  <c r="O215" i="1"/>
  <c r="Q175" i="1"/>
  <c r="F176" i="1"/>
  <c r="C208" i="1"/>
  <c r="C209" i="1" s="1"/>
  <c r="E215" i="1"/>
  <c r="AV139" i="1"/>
  <c r="AV216" i="1"/>
  <c r="AW216" i="1"/>
  <c r="M175" i="1"/>
  <c r="M176" i="1" s="1"/>
  <c r="K175" i="1"/>
  <c r="AR254" i="1"/>
  <c r="I213" i="1"/>
  <c r="I211" i="1" s="1"/>
  <c r="M191" i="1"/>
  <c r="V175" i="1"/>
  <c r="V176" i="1" s="1"/>
  <c r="P176" i="1"/>
  <c r="P69" i="1"/>
  <c r="Q213" i="1"/>
  <c r="Q211" i="1" s="1"/>
  <c r="BV38" i="1"/>
  <c r="BV27" i="1"/>
  <c r="BW29" i="1"/>
  <c r="AQ29" i="1"/>
  <c r="L176" i="1"/>
  <c r="AN121" i="1"/>
  <c r="BO213" i="1"/>
  <c r="BO211" i="1" s="1"/>
  <c r="AP120" i="1"/>
  <c r="H254" i="1"/>
  <c r="D213" i="1"/>
  <c r="D211" i="1" s="1"/>
  <c r="AR196" i="1"/>
  <c r="BB148" i="1"/>
  <c r="BB213" i="1" s="1"/>
  <c r="BB211" i="1" s="1"/>
  <c r="BB167" i="1"/>
  <c r="BB191" i="1"/>
  <c r="BR196" i="1"/>
  <c r="Q254" i="1"/>
  <c r="BN254" i="1"/>
  <c r="AV167" i="1"/>
  <c r="D175" i="1"/>
  <c r="BB256" i="1"/>
  <c r="AQ47" i="1"/>
  <c r="L208" i="1"/>
  <c r="L209" i="1" s="1"/>
  <c r="AR256" i="1"/>
  <c r="M196" i="1"/>
  <c r="H213" i="1"/>
  <c r="H211" i="1" s="1"/>
  <c r="B196" i="1"/>
  <c r="BV28" i="1"/>
  <c r="H175" i="1"/>
  <c r="H176" i="1" s="1"/>
  <c r="AQ38" i="1"/>
  <c r="AR29" i="1"/>
  <c r="AQ28" i="1"/>
  <c r="BZ28" i="1"/>
  <c r="P208" i="1"/>
  <c r="P209" i="1" s="1"/>
  <c r="BV29" i="1"/>
  <c r="AP121" i="1"/>
  <c r="AV196" i="1"/>
  <c r="AZ199" i="1" s="1"/>
  <c r="H256" i="1"/>
  <c r="AN120" i="1"/>
  <c r="K215" i="1"/>
  <c r="S176" i="1"/>
  <c r="S65" i="1"/>
  <c r="AZ194" i="1"/>
  <c r="Q215" i="1"/>
  <c r="AX216" i="1"/>
  <c r="BN256" i="1"/>
  <c r="U215" i="1"/>
  <c r="AX259" i="1"/>
  <c r="D120" i="1"/>
  <c r="D123" i="1" s="1"/>
  <c r="AO47" i="1"/>
  <c r="BN119" i="1"/>
  <c r="BO29" i="1"/>
  <c r="S208" i="1"/>
  <c r="S209" i="1" s="1"/>
  <c r="AV148" i="1"/>
  <c r="AW43" i="1"/>
  <c r="AW144" i="1"/>
  <c r="H215" i="1"/>
  <c r="BN175" i="1"/>
  <c r="L215" i="1"/>
  <c r="J215" i="1"/>
  <c r="I208" i="1"/>
  <c r="I209" i="1" s="1"/>
  <c r="P215" i="1"/>
  <c r="AV259" i="1"/>
  <c r="AV178" i="1"/>
  <c r="E208" i="1"/>
  <c r="E209" i="1" s="1"/>
  <c r="G256" i="1"/>
  <c r="O208" i="1"/>
  <c r="O209" i="1" s="1"/>
  <c r="AQ27" i="1"/>
  <c r="AU28" i="1"/>
  <c r="F215" i="1"/>
  <c r="R208" i="1"/>
  <c r="R209" i="1" s="1"/>
  <c r="AX28" i="1"/>
  <c r="AO29" i="1"/>
  <c r="O69" i="1"/>
  <c r="AX29" i="1"/>
  <c r="AN104" i="1"/>
  <c r="AN106" i="1"/>
  <c r="BK38" i="1"/>
  <c r="BT175" i="1"/>
  <c r="BT176" i="1" s="1"/>
  <c r="J208" i="1"/>
  <c r="J209" i="1" s="1"/>
  <c r="BF119" i="1"/>
  <c r="BG47" i="1"/>
  <c r="BS28" i="1"/>
  <c r="BK27" i="1"/>
  <c r="AS28" i="1"/>
  <c r="BC29" i="1"/>
  <c r="BK29" i="1"/>
  <c r="J196" i="1"/>
  <c r="R213" i="1"/>
  <c r="R211" i="1" s="1"/>
  <c r="BO28" i="1"/>
  <c r="BO38" i="1"/>
  <c r="BR27" i="1"/>
  <c r="U69" i="1"/>
  <c r="G176" i="1"/>
  <c r="BL29" i="1"/>
  <c r="BO27" i="1"/>
  <c r="BR29" i="1"/>
  <c r="N176" i="1"/>
  <c r="BL199" i="1"/>
  <c r="BH199" i="1"/>
  <c r="G223" i="1"/>
  <c r="AM106" i="1"/>
  <c r="N215" i="1"/>
  <c r="N220" i="1" s="1"/>
  <c r="N221" i="1" s="1"/>
  <c r="S191" i="1"/>
  <c r="BH191" i="1"/>
  <c r="AZ176" i="1"/>
  <c r="BD199" i="1"/>
  <c r="BR121" i="1"/>
  <c r="AX175" i="1"/>
  <c r="AX176" i="1" s="1"/>
  <c r="BP256" i="1"/>
  <c r="AY47" i="1"/>
  <c r="AX119" i="1"/>
  <c r="AR106" i="1"/>
  <c r="AR105" i="1"/>
  <c r="AR104" i="1"/>
  <c r="C196" i="1"/>
  <c r="AP254" i="1"/>
  <c r="AP256" i="1"/>
  <c r="BQ148" i="1"/>
  <c r="BR43" i="1"/>
  <c r="AR43" i="1"/>
  <c r="AQ148" i="1"/>
  <c r="AR213" i="1" s="1"/>
  <c r="AR211" i="1" s="1"/>
  <c r="D215" i="1"/>
  <c r="E254" i="1"/>
  <c r="E256" i="1"/>
  <c r="F213" i="1"/>
  <c r="F211" i="1" s="1"/>
  <c r="AU148" i="1"/>
  <c r="AV43" i="1"/>
  <c r="BW47" i="1"/>
  <c r="AM104" i="1"/>
  <c r="AN175" i="1"/>
  <c r="AN176" i="1" s="1"/>
  <c r="BE47" i="1"/>
  <c r="BD119" i="1"/>
  <c r="J254" i="1"/>
  <c r="BV43" i="1"/>
  <c r="BU148" i="1"/>
  <c r="AP196" i="1"/>
  <c r="AP191" i="1"/>
  <c r="J175" i="1"/>
  <c r="J176" i="1" s="1"/>
  <c r="BD175" i="1"/>
  <c r="BD176" i="1" s="1"/>
  <c r="K213" i="1"/>
  <c r="K211" i="1" s="1"/>
  <c r="R254" i="1"/>
  <c r="R256" i="1"/>
  <c r="S213" i="1"/>
  <c r="S211" i="1" s="1"/>
  <c r="AZ43" i="1"/>
  <c r="AY148" i="1"/>
  <c r="AX256" i="1"/>
  <c r="BT256" i="1"/>
  <c r="AT105" i="1"/>
  <c r="AT106" i="1"/>
  <c r="AT104" i="1"/>
  <c r="BR254" i="1"/>
  <c r="BR256" i="1"/>
  <c r="BT43" i="1"/>
  <c r="BS148" i="1"/>
  <c r="BT213" i="1" s="1"/>
  <c r="BT211" i="1" s="1"/>
  <c r="BP175" i="1"/>
  <c r="BP176" i="1" s="1"/>
  <c r="D79" i="1"/>
  <c r="D78" i="1"/>
  <c r="AP105" i="1"/>
  <c r="AP106" i="1"/>
  <c r="AP104" i="1"/>
  <c r="BD254" i="1"/>
  <c r="BR175" i="1"/>
  <c r="BR176" i="1" s="1"/>
  <c r="BE148" i="1"/>
  <c r="BF43" i="1"/>
  <c r="AZ119" i="1"/>
  <c r="BA47" i="1"/>
  <c r="J213" i="1"/>
  <c r="J211" i="1" s="1"/>
  <c r="BF196" i="1"/>
  <c r="BF191" i="1"/>
  <c r="AP43" i="1"/>
  <c r="AO148" i="1"/>
  <c r="AP213" i="1" s="1"/>
  <c r="AP211" i="1" s="1"/>
  <c r="AN256" i="1"/>
  <c r="AN254" i="1"/>
  <c r="AN213" i="1"/>
  <c r="AN211" i="1" s="1"/>
  <c r="BT119" i="1"/>
  <c r="BU47" i="1"/>
  <c r="AT256" i="1"/>
  <c r="AT254" i="1"/>
  <c r="BP213" i="1"/>
  <c r="BP211" i="1" s="1"/>
  <c r="BP119" i="1"/>
  <c r="BQ47" i="1"/>
  <c r="D121" i="1"/>
  <c r="D124" i="1" s="1"/>
  <c r="AP175" i="1"/>
  <c r="AP176" i="1" s="1"/>
  <c r="E213" i="1"/>
  <c r="E211" i="1" s="1"/>
  <c r="AT175" i="1"/>
  <c r="AT176" i="1" s="1"/>
  <c r="B254" i="1"/>
  <c r="B176" i="1"/>
  <c r="P199" i="1"/>
  <c r="P200" i="1" s="1"/>
  <c r="BC242" i="1"/>
  <c r="BC243" i="1" s="1"/>
  <c r="BC39" i="1"/>
  <c r="BD41" i="1"/>
  <c r="BG40" i="1"/>
  <c r="BF236" i="1"/>
  <c r="BC44" i="1"/>
  <c r="BF122" i="1"/>
  <c r="S70" i="1"/>
  <c r="BQ44" i="1"/>
  <c r="BQ39" i="1"/>
  <c r="BQ242" i="1"/>
  <c r="BQ243" i="1" s="1"/>
  <c r="BQ260" i="1"/>
  <c r="BQ261" i="1" s="1"/>
  <c r="BT236" i="1"/>
  <c r="BT122" i="1"/>
  <c r="BU40" i="1"/>
  <c r="BR41" i="1"/>
  <c r="BV121" i="1"/>
  <c r="BV120" i="1"/>
  <c r="BZ199" i="1"/>
  <c r="BJ58" i="1"/>
  <c r="BJ244" i="1"/>
  <c r="BJ52" i="1"/>
  <c r="BJ255" i="1" s="1"/>
  <c r="BU41" i="1"/>
  <c r="BT44" i="1"/>
  <c r="BT48" i="1" s="1"/>
  <c r="BT51" i="1" s="1"/>
  <c r="BT242" i="1"/>
  <c r="BT243" i="1" s="1"/>
  <c r="BT260" i="1"/>
  <c r="BT261" i="1" s="1"/>
  <c r="BX40" i="1"/>
  <c r="BT39" i="1"/>
  <c r="BS39" i="1"/>
  <c r="BS260" i="1"/>
  <c r="BS261" i="1" s="1"/>
  <c r="BS242" i="1"/>
  <c r="BS243" i="1" s="1"/>
  <c r="BT41" i="1"/>
  <c r="BS44" i="1"/>
  <c r="AN40" i="1"/>
  <c r="AN260" i="1"/>
  <c r="AN261" i="1" s="1"/>
  <c r="AN242" i="1"/>
  <c r="AN243" i="1" s="1"/>
  <c r="AN44" i="1"/>
  <c r="AN41" i="1"/>
  <c r="AN39" i="1"/>
  <c r="AN122" i="1"/>
  <c r="AN236" i="1"/>
  <c r="BN39" i="1"/>
  <c r="BN40" i="1"/>
  <c r="BN44" i="1"/>
  <c r="BN48" i="1" s="1"/>
  <c r="BN50" i="1" s="1"/>
  <c r="BR40" i="1"/>
  <c r="BN242" i="1"/>
  <c r="BN243" i="1" s="1"/>
  <c r="AZ242" i="1"/>
  <c r="AZ243" i="1" s="1"/>
  <c r="AZ44" i="1"/>
  <c r="AZ48" i="1" s="1"/>
  <c r="AZ39" i="1"/>
  <c r="AZ260" i="1"/>
  <c r="AZ261" i="1" s="1"/>
  <c r="M220" i="1"/>
  <c r="M221" i="1" s="1"/>
  <c r="BU44" i="1"/>
  <c r="BU242" i="1"/>
  <c r="BU243" i="1" s="1"/>
  <c r="BU39" i="1"/>
  <c r="BY40" i="1"/>
  <c r="BU260" i="1"/>
  <c r="BU261" i="1" s="1"/>
  <c r="BP44" i="1"/>
  <c r="BP48" i="1" s="1"/>
  <c r="BS122" i="1"/>
  <c r="BQ41" i="1"/>
  <c r="BS236" i="1"/>
  <c r="BT40" i="1"/>
  <c r="BP242" i="1"/>
  <c r="BP243" i="1" s="1"/>
  <c r="BP39" i="1"/>
  <c r="BP40" i="1"/>
  <c r="BJ40" i="1"/>
  <c r="BF39" i="1"/>
  <c r="BF44" i="1"/>
  <c r="BF48" i="1" s="1"/>
  <c r="BF242" i="1"/>
  <c r="BF243" i="1" s="1"/>
  <c r="BG41" i="1"/>
  <c r="AW44" i="1"/>
  <c r="AW242" i="1"/>
  <c r="AW243" i="1" s="1"/>
  <c r="AW39" i="1"/>
  <c r="AX41" i="1"/>
  <c r="AZ236" i="1"/>
  <c r="AZ122" i="1"/>
  <c r="AS213" i="1"/>
  <c r="AS211" i="1" s="1"/>
  <c r="AY44" i="1"/>
  <c r="AY39" i="1"/>
  <c r="AY242" i="1"/>
  <c r="AY243" i="1" s="1"/>
  <c r="AY260" i="1"/>
  <c r="AZ41" i="1"/>
  <c r="BH242" i="1"/>
  <c r="BH243" i="1" s="1"/>
  <c r="BH44" i="1"/>
  <c r="BH48" i="1" s="1"/>
  <c r="BL40" i="1"/>
  <c r="BH39" i="1"/>
  <c r="BH260" i="1"/>
  <c r="BH261" i="1" s="1"/>
  <c r="O199" i="1"/>
  <c r="O200" i="1" s="1"/>
  <c r="BG39" i="1"/>
  <c r="BG242" i="1"/>
  <c r="BG243" i="1" s="1"/>
  <c r="BH41" i="1"/>
  <c r="BG260" i="1"/>
  <c r="BG261" i="1" s="1"/>
  <c r="BG44" i="1"/>
  <c r="AP44" i="1"/>
  <c r="AP48" i="1" s="1"/>
  <c r="AP242" i="1"/>
  <c r="AP243" i="1" s="1"/>
  <c r="AP40" i="1"/>
  <c r="AP39" i="1"/>
  <c r="BD40" i="1"/>
  <c r="BD39" i="1"/>
  <c r="BD44" i="1"/>
  <c r="BD48" i="1" s="1"/>
  <c r="BD242" i="1"/>
  <c r="BD243" i="1" s="1"/>
  <c r="BH40" i="1"/>
  <c r="AX260" i="1"/>
  <c r="AX39" i="1"/>
  <c r="AY41" i="1"/>
  <c r="AX242" i="1"/>
  <c r="AX243" i="1" s="1"/>
  <c r="AX44" i="1"/>
  <c r="AX48" i="1" s="1"/>
  <c r="AX51" i="1" s="1"/>
  <c r="BR242" i="1"/>
  <c r="BR243" i="1" s="1"/>
  <c r="BR44" i="1"/>
  <c r="BR48" i="1" s="1"/>
  <c r="BU122" i="1"/>
  <c r="BR39" i="1"/>
  <c r="BS41" i="1"/>
  <c r="BR51" i="1"/>
  <c r="BR50" i="1"/>
  <c r="AC135" i="1"/>
  <c r="AC138" i="1" s="1"/>
  <c r="AC259" i="1" s="1"/>
  <c r="BF176" i="1" l="1"/>
  <c r="AX199" i="1"/>
  <c r="AT120" i="1"/>
  <c r="AT121" i="1"/>
  <c r="BB199" i="1"/>
  <c r="E199" i="1"/>
  <c r="E200" i="1" s="1"/>
  <c r="T220" i="1"/>
  <c r="T221" i="1" s="1"/>
  <c r="BV176" i="1"/>
  <c r="G220" i="1"/>
  <c r="G221" i="1" s="1"/>
  <c r="N223" i="1"/>
  <c r="T223" i="1"/>
  <c r="T199" i="1"/>
  <c r="T200" i="1" s="1"/>
  <c r="G199" i="1"/>
  <c r="G200" i="1" s="1"/>
  <c r="BC260" i="1"/>
  <c r="BC261" i="1" s="1"/>
  <c r="BW122" i="1"/>
  <c r="BM242" i="1"/>
  <c r="BM243" i="1" s="1"/>
  <c r="BM44" i="1"/>
  <c r="BM39" i="1"/>
  <c r="BP122" i="1"/>
  <c r="BQ40" i="1"/>
  <c r="BM260" i="1"/>
  <c r="BM261" i="1" s="1"/>
  <c r="BP236" i="1"/>
  <c r="BM41" i="1"/>
  <c r="BO236" i="1"/>
  <c r="BO122" i="1"/>
  <c r="BN41" i="1"/>
  <c r="BW40" i="1"/>
  <c r="AO41" i="1"/>
  <c r="AP122" i="1"/>
  <c r="O70" i="1"/>
  <c r="AO236" i="1"/>
  <c r="AP236" i="1"/>
  <c r="AO122" i="1"/>
  <c r="AR40" i="1"/>
  <c r="BN260" i="1"/>
  <c r="BN261" i="1" s="1"/>
  <c r="BQ236" i="1"/>
  <c r="BO41" i="1"/>
  <c r="BQ122" i="1"/>
  <c r="BA41" i="1"/>
  <c r="BC122" i="1"/>
  <c r="BC236" i="1"/>
  <c r="AR39" i="1"/>
  <c r="AR242" i="1"/>
  <c r="AR243" i="1" s="1"/>
  <c r="AR44" i="1"/>
  <c r="AR48" i="1" s="1"/>
  <c r="AU236" i="1"/>
  <c r="AV40" i="1"/>
  <c r="AU122" i="1"/>
  <c r="C254" i="1"/>
  <c r="C176" i="1"/>
  <c r="BI242" i="1"/>
  <c r="BI243" i="1" s="1"/>
  <c r="BI260" i="1"/>
  <c r="BI261" i="1" s="1"/>
  <c r="BM40" i="1"/>
  <c r="BI44" i="1"/>
  <c r="BJ41" i="1"/>
  <c r="BI39" i="1"/>
  <c r="BL122" i="1"/>
  <c r="BL236" i="1"/>
  <c r="BJ260" i="1"/>
  <c r="BJ261" i="1" s="1"/>
  <c r="BP260" i="1"/>
  <c r="BP261" i="1" s="1"/>
  <c r="BI236" i="1"/>
  <c r="BI122" i="1"/>
  <c r="BW213" i="1"/>
  <c r="BW211" i="1" s="1"/>
  <c r="BA40" i="1"/>
  <c r="AW260" i="1"/>
  <c r="AW261" i="1" s="1"/>
  <c r="BB236" i="1"/>
  <c r="BB122" i="1"/>
  <c r="R70" i="1"/>
  <c r="AY261" i="1"/>
  <c r="BI41" i="1"/>
  <c r="BJ236" i="1"/>
  <c r="T70" i="1"/>
  <c r="BJ122" i="1"/>
  <c r="AT40" i="1"/>
  <c r="AP260" i="1"/>
  <c r="AP261" i="1" s="1"/>
  <c r="AO44" i="1"/>
  <c r="AO260" i="1"/>
  <c r="AO261" i="1" s="1"/>
  <c r="AO40" i="1"/>
  <c r="AS40" i="1"/>
  <c r="AO39" i="1"/>
  <c r="AP41" i="1"/>
  <c r="AO242" i="1"/>
  <c r="AO243" i="1" s="1"/>
  <c r="BA260" i="1"/>
  <c r="BA261" i="1" s="1"/>
  <c r="BA44" i="1"/>
  <c r="BA39" i="1"/>
  <c r="BA242" i="1"/>
  <c r="BA243" i="1" s="1"/>
  <c r="BB41" i="1"/>
  <c r="AS41" i="1"/>
  <c r="AS242" i="1"/>
  <c r="AS243" i="1" s="1"/>
  <c r="AS44" i="1"/>
  <c r="AW40" i="1"/>
  <c r="AT41" i="1"/>
  <c r="AS260" i="1"/>
  <c r="AS261" i="1" s="1"/>
  <c r="AS39" i="1"/>
  <c r="BA236" i="1"/>
  <c r="BA122" i="1"/>
  <c r="BB40" i="1"/>
  <c r="AT242" i="1"/>
  <c r="AT243" i="1" s="1"/>
  <c r="AT39" i="1"/>
  <c r="AT44" i="1"/>
  <c r="AT48" i="1" s="1"/>
  <c r="AT260" i="1"/>
  <c r="AT261" i="1" s="1"/>
  <c r="AX40" i="1"/>
  <c r="U199" i="1"/>
  <c r="U200" i="1" s="1"/>
  <c r="AW41" i="1"/>
  <c r="AY122" i="1"/>
  <c r="AV44" i="1"/>
  <c r="AV48" i="1" s="1"/>
  <c r="AV51" i="1" s="1"/>
  <c r="AZ40" i="1"/>
  <c r="AV39" i="1"/>
  <c r="AV242" i="1"/>
  <c r="AV243" i="1" s="1"/>
  <c r="AY236" i="1"/>
  <c r="H199" i="1"/>
  <c r="H200" i="1" s="1"/>
  <c r="V199" i="1"/>
  <c r="V200" i="1" s="1"/>
  <c r="BB44" i="1"/>
  <c r="BB48" i="1" s="1"/>
  <c r="BF40" i="1"/>
  <c r="BB242" i="1"/>
  <c r="BB243" i="1" s="1"/>
  <c r="BB260" i="1"/>
  <c r="BB39" i="1"/>
  <c r="BC47" i="1"/>
  <c r="BB119" i="1"/>
  <c r="BF260" i="1"/>
  <c r="BF261" i="1" s="1"/>
  <c r="L199" i="1"/>
  <c r="L200" i="1" s="1"/>
  <c r="Q199" i="1"/>
  <c r="Q200" i="1" s="1"/>
  <c r="BX41" i="1"/>
  <c r="X70" i="1"/>
  <c r="BW39" i="1"/>
  <c r="BX260" i="1"/>
  <c r="BX261" i="1" s="1"/>
  <c r="BW242" i="1"/>
  <c r="BW243" i="1" s="1"/>
  <c r="BZ122" i="1"/>
  <c r="CA40" i="1"/>
  <c r="BZ236" i="1"/>
  <c r="BW44" i="1"/>
  <c r="BH121" i="1"/>
  <c r="BL260" i="1"/>
  <c r="BL261" i="1" s="1"/>
  <c r="U70" i="1"/>
  <c r="BO40" i="1"/>
  <c r="BM122" i="1"/>
  <c r="BN122" i="1"/>
  <c r="BM236" i="1"/>
  <c r="BK41" i="1"/>
  <c r="BN236" i="1"/>
  <c r="BK39" i="1"/>
  <c r="BK242" i="1"/>
  <c r="BK243" i="1" s="1"/>
  <c r="BK44" i="1"/>
  <c r="BL41" i="1"/>
  <c r="BK260" i="1"/>
  <c r="BK261" i="1" s="1"/>
  <c r="AI39" i="1"/>
  <c r="AM40" i="1"/>
  <c r="AI44" i="1"/>
  <c r="AL122" i="1"/>
  <c r="N70" i="1"/>
  <c r="AL236" i="1"/>
  <c r="AI242" i="1"/>
  <c r="AI243" i="1" s="1"/>
  <c r="AJ41" i="1"/>
  <c r="BO39" i="1"/>
  <c r="BO260" i="1"/>
  <c r="BO261" i="1" s="1"/>
  <c r="BR122" i="1"/>
  <c r="BR123" i="1" s="1"/>
  <c r="BO44" i="1"/>
  <c r="BO242" i="1"/>
  <c r="BO243" i="1" s="1"/>
  <c r="BS40" i="1"/>
  <c r="BR236" i="1"/>
  <c r="BP41" i="1"/>
  <c r="V70" i="1"/>
  <c r="BC40" i="1"/>
  <c r="BV44" i="1"/>
  <c r="BZ40" i="1"/>
  <c r="BV242" i="1"/>
  <c r="BV243" i="1" s="1"/>
  <c r="BW41" i="1"/>
  <c r="BV260" i="1"/>
  <c r="BV261" i="1" s="1"/>
  <c r="BY122" i="1"/>
  <c r="BY236" i="1"/>
  <c r="BK236" i="1"/>
  <c r="BK122" i="1"/>
  <c r="C223" i="1"/>
  <c r="C220" i="1"/>
  <c r="C221" i="1" s="1"/>
  <c r="BK40" i="1"/>
  <c r="V220" i="1"/>
  <c r="V221" i="1" s="1"/>
  <c r="L220" i="1"/>
  <c r="L221" i="1" s="1"/>
  <c r="I220" i="1"/>
  <c r="I221" i="1" s="1"/>
  <c r="BH122" i="1"/>
  <c r="BE39" i="1"/>
  <c r="BE44" i="1"/>
  <c r="BH236" i="1"/>
  <c r="BE260" i="1"/>
  <c r="BE261" i="1" s="1"/>
  <c r="BE242" i="1"/>
  <c r="BE243" i="1" s="1"/>
  <c r="BI40" i="1"/>
  <c r="BF41" i="1"/>
  <c r="BE41" i="1"/>
  <c r="BG236" i="1"/>
  <c r="BD260" i="1"/>
  <c r="BD261" i="1" s="1"/>
  <c r="BG122" i="1"/>
  <c r="BD122" i="1"/>
  <c r="BD236" i="1"/>
  <c r="AV236" i="1"/>
  <c r="AV122" i="1"/>
  <c r="BR260" i="1"/>
  <c r="BR261" i="1" s="1"/>
  <c r="AW236" i="1"/>
  <c r="AW122" i="1"/>
  <c r="Q70" i="1"/>
  <c r="AU260" i="1"/>
  <c r="AU261" i="1" s="1"/>
  <c r="BE236" i="1"/>
  <c r="BE122" i="1"/>
  <c r="BC41" i="1"/>
  <c r="BE40" i="1"/>
  <c r="V223" i="1"/>
  <c r="AU41" i="1"/>
  <c r="AV260" i="1"/>
  <c r="R199" i="1"/>
  <c r="R200" i="1" s="1"/>
  <c r="AU242" i="1"/>
  <c r="AU243" i="1" s="1"/>
  <c r="AU39" i="1"/>
  <c r="AU44" i="1"/>
  <c r="AX122" i="1"/>
  <c r="AY40" i="1"/>
  <c r="AV41" i="1"/>
  <c r="AX236" i="1"/>
  <c r="M223" i="1"/>
  <c r="F223" i="1"/>
  <c r="F199" i="1"/>
  <c r="F200" i="1" s="1"/>
  <c r="BX122" i="1"/>
  <c r="BV41" i="1"/>
  <c r="BX236" i="1"/>
  <c r="BW260" i="1"/>
  <c r="BW261" i="1" s="1"/>
  <c r="BH120" i="1"/>
  <c r="BV39" i="1"/>
  <c r="BJ213" i="1"/>
  <c r="BJ211" i="1" s="1"/>
  <c r="BI213" i="1"/>
  <c r="BI211" i="1" s="1"/>
  <c r="BC148" i="1"/>
  <c r="U220" i="1"/>
  <c r="U221" i="1" s="1"/>
  <c r="D223" i="1"/>
  <c r="Q176" i="1"/>
  <c r="O176" i="1"/>
  <c r="S199" i="1"/>
  <c r="S200" i="1" s="1"/>
  <c r="BV199" i="1"/>
  <c r="BW236" i="1"/>
  <c r="AR260" i="1"/>
  <c r="AR261" i="1" s="1"/>
  <c r="BV122" i="1"/>
  <c r="BV236" i="1"/>
  <c r="AQ122" i="1"/>
  <c r="AQ236" i="1"/>
  <c r="N199" i="1"/>
  <c r="N200" i="1" s="1"/>
  <c r="Q223" i="1"/>
  <c r="AQ39" i="1"/>
  <c r="AT122" i="1"/>
  <c r="AT236" i="1"/>
  <c r="AQ242" i="1"/>
  <c r="AQ243" i="1" s="1"/>
  <c r="AU40" i="1"/>
  <c r="AQ40" i="1"/>
  <c r="AQ44" i="1"/>
  <c r="P70" i="1"/>
  <c r="AR41" i="1"/>
  <c r="AQ260" i="1"/>
  <c r="AQ261" i="1" s="1"/>
  <c r="AS122" i="1"/>
  <c r="AQ41" i="1"/>
  <c r="BC213" i="1"/>
  <c r="BC211" i="1" s="1"/>
  <c r="AN124" i="1"/>
  <c r="AR199" i="1"/>
  <c r="K176" i="1"/>
  <c r="BD213" i="1"/>
  <c r="BD211" i="1" s="1"/>
  <c r="R223" i="1"/>
  <c r="AV175" i="1"/>
  <c r="AV176" i="1" s="1"/>
  <c r="BR199" i="1"/>
  <c r="BB175" i="1"/>
  <c r="BB176" i="1" s="1"/>
  <c r="C199" i="1"/>
  <c r="C200" i="1" s="1"/>
  <c r="H220" i="1"/>
  <c r="H221" i="1" s="1"/>
  <c r="D220" i="1"/>
  <c r="D221" i="1" s="1"/>
  <c r="F220" i="1"/>
  <c r="F221" i="1" s="1"/>
  <c r="AV213" i="1"/>
  <c r="AV211" i="1" s="1"/>
  <c r="O220" i="1"/>
  <c r="O221" i="1" s="1"/>
  <c r="AV119" i="1"/>
  <c r="AW47" i="1"/>
  <c r="AV254" i="1"/>
  <c r="AV256" i="1"/>
  <c r="K220" i="1"/>
  <c r="K221" i="1" s="1"/>
  <c r="S223" i="1"/>
  <c r="BN176" i="1"/>
  <c r="E220" i="1"/>
  <c r="E221" i="1" s="1"/>
  <c r="D176" i="1"/>
  <c r="L223" i="1"/>
  <c r="AW148" i="1"/>
  <c r="AX43" i="1"/>
  <c r="I223" i="1"/>
  <c r="D254" i="1"/>
  <c r="M199" i="1"/>
  <c r="M200" i="1" s="1"/>
  <c r="H223" i="1"/>
  <c r="AS236" i="1"/>
  <c r="AR122" i="1"/>
  <c r="AR236" i="1"/>
  <c r="P223" i="1"/>
  <c r="BV40" i="1"/>
  <c r="BB254" i="1"/>
  <c r="AV199" i="1"/>
  <c r="Q220" i="1"/>
  <c r="Q221" i="1" s="1"/>
  <c r="O223" i="1"/>
  <c r="BN121" i="1"/>
  <c r="BN120" i="1"/>
  <c r="J199" i="1"/>
  <c r="J200" i="1" s="1"/>
  <c r="P220" i="1"/>
  <c r="P221" i="1" s="1"/>
  <c r="K199" i="1"/>
  <c r="K200" i="1" s="1"/>
  <c r="AX261" i="1"/>
  <c r="BF121" i="1"/>
  <c r="BF124" i="1" s="1"/>
  <c r="BF120" i="1"/>
  <c r="BF123" i="1"/>
  <c r="S220" i="1"/>
  <c r="S221" i="1" s="1"/>
  <c r="R220" i="1"/>
  <c r="R221" i="1" s="1"/>
  <c r="J223" i="1"/>
  <c r="D199" i="1"/>
  <c r="D200" i="1" s="1"/>
  <c r="AO213" i="1"/>
  <c r="AO211" i="1" s="1"/>
  <c r="AX121" i="1"/>
  <c r="AX120" i="1"/>
  <c r="AP199" i="1"/>
  <c r="AT199" i="1"/>
  <c r="K223" i="1"/>
  <c r="BQ213" i="1"/>
  <c r="BQ211" i="1" s="1"/>
  <c r="BR213" i="1"/>
  <c r="BR211" i="1" s="1"/>
  <c r="J220" i="1"/>
  <c r="J221" i="1" s="1"/>
  <c r="AQ213" i="1"/>
  <c r="AQ211" i="1" s="1"/>
  <c r="AZ121" i="1"/>
  <c r="AZ124" i="1" s="1"/>
  <c r="AZ120" i="1"/>
  <c r="AZ123" i="1" s="1"/>
  <c r="BJ199" i="1"/>
  <c r="BF199" i="1"/>
  <c r="BF213" i="1"/>
  <c r="BF211" i="1" s="1"/>
  <c r="BE213" i="1"/>
  <c r="BE211" i="1" s="1"/>
  <c r="BN51" i="1"/>
  <c r="BP120" i="1"/>
  <c r="BP123" i="1" s="1"/>
  <c r="BP121" i="1"/>
  <c r="BT121" i="1"/>
  <c r="BT124" i="1" s="1"/>
  <c r="BT120" i="1"/>
  <c r="BT123" i="1" s="1"/>
  <c r="AZ213" i="1"/>
  <c r="AZ211" i="1" s="1"/>
  <c r="AY213" i="1"/>
  <c r="AY211" i="1" s="1"/>
  <c r="E223" i="1"/>
  <c r="D97" i="1"/>
  <c r="C99" i="1"/>
  <c r="D80" i="1"/>
  <c r="D95" i="1"/>
  <c r="D96" i="1"/>
  <c r="BD121" i="1"/>
  <c r="BD120" i="1"/>
  <c r="BS213" i="1"/>
  <c r="BS211" i="1" s="1"/>
  <c r="BU213" i="1"/>
  <c r="BU211" i="1" s="1"/>
  <c r="BV213" i="1"/>
  <c r="BV211" i="1" s="1"/>
  <c r="AU213" i="1"/>
  <c r="AU211" i="1" s="1"/>
  <c r="BT50" i="1"/>
  <c r="AN123" i="1"/>
  <c r="AO48" i="1"/>
  <c r="AP51" i="1"/>
  <c r="AP50" i="1"/>
  <c r="BP50" i="1"/>
  <c r="BP51" i="1"/>
  <c r="BT53" i="1" s="1"/>
  <c r="BQ48" i="1"/>
  <c r="BT65" i="1"/>
  <c r="BG48" i="1"/>
  <c r="AS48" i="1"/>
  <c r="BU48" i="1"/>
  <c r="BD50" i="1"/>
  <c r="BD51" i="1"/>
  <c r="AN65" i="1"/>
  <c r="AP65" i="1"/>
  <c r="AN48" i="1"/>
  <c r="AX50" i="1"/>
  <c r="BA48" i="1"/>
  <c r="AY48" i="1"/>
  <c r="AZ51" i="1"/>
  <c r="AZ50" i="1"/>
  <c r="BF50" i="1"/>
  <c r="BF51" i="1"/>
  <c r="BC48" i="1"/>
  <c r="AT51" i="1"/>
  <c r="AT50" i="1"/>
  <c r="AW48" i="1"/>
  <c r="AZ65" i="1"/>
  <c r="BS48" i="1"/>
  <c r="BH51" i="1"/>
  <c r="BH50" i="1"/>
  <c r="BM48" i="1"/>
  <c r="BJ203" i="1"/>
  <c r="BJ205" i="1" s="1"/>
  <c r="BJ76" i="1"/>
  <c r="BJ62" i="1"/>
  <c r="BR52" i="1"/>
  <c r="BR255" i="1" s="1"/>
  <c r="BR244" i="1"/>
  <c r="BR58" i="1"/>
  <c r="BX53" i="1"/>
  <c r="BT52" i="1"/>
  <c r="BT255" i="1" s="1"/>
  <c r="BT244" i="1"/>
  <c r="BT58" i="1"/>
  <c r="AV52" i="1"/>
  <c r="AV255" i="1" s="1"/>
  <c r="AV244" i="1"/>
  <c r="AV58" i="1"/>
  <c r="AX58" i="1"/>
  <c r="AX244" i="1"/>
  <c r="AX52" i="1"/>
  <c r="AX255" i="1" s="1"/>
  <c r="AC216" i="1"/>
  <c r="CA236" i="1"/>
  <c r="CB236" i="1"/>
  <c r="BU236" i="1"/>
  <c r="BB261" i="1" l="1"/>
  <c r="BP124" i="1"/>
  <c r="BB51" i="1"/>
  <c r="BB50" i="1"/>
  <c r="AP123" i="1"/>
  <c r="AV50" i="1"/>
  <c r="AP124" i="1"/>
  <c r="BJ65" i="1"/>
  <c r="BI48" i="1"/>
  <c r="BL124" i="1"/>
  <c r="BL123" i="1"/>
  <c r="BJ123" i="1"/>
  <c r="BJ124" i="1"/>
  <c r="BD65" i="1"/>
  <c r="AR50" i="1"/>
  <c r="AR51" i="1"/>
  <c r="AV53" i="1" s="1"/>
  <c r="BB65" i="1"/>
  <c r="BN244" i="1"/>
  <c r="BR53" i="1"/>
  <c r="BN58" i="1"/>
  <c r="BN53" i="1"/>
  <c r="BN52" i="1"/>
  <c r="BN255" i="1" s="1"/>
  <c r="BB120" i="1"/>
  <c r="BB123" i="1" s="1"/>
  <c r="BB121" i="1"/>
  <c r="BB124" i="1" s="1"/>
  <c r="BN123" i="1"/>
  <c r="AV261" i="1"/>
  <c r="BR124" i="1"/>
  <c r="AX124" i="1"/>
  <c r="AX123" i="1"/>
  <c r="BD124" i="1"/>
  <c r="BH124" i="1"/>
  <c r="BD123" i="1"/>
  <c r="BN124" i="1"/>
  <c r="AI48" i="1"/>
  <c r="AL65" i="1"/>
  <c r="BZ123" i="1"/>
  <c r="BZ124" i="1"/>
  <c r="AV65" i="1"/>
  <c r="BX65" i="1"/>
  <c r="BL65" i="1"/>
  <c r="BW48" i="1"/>
  <c r="BZ65" i="1"/>
  <c r="BE48" i="1"/>
  <c r="BH65" i="1"/>
  <c r="BO48" i="1"/>
  <c r="BR65" i="1"/>
  <c r="BF65" i="1"/>
  <c r="BV48" i="1"/>
  <c r="BY65" i="1"/>
  <c r="BV65" i="1"/>
  <c r="BK48" i="1"/>
  <c r="BN65" i="1"/>
  <c r="AU48" i="1"/>
  <c r="AX65" i="1"/>
  <c r="AL124" i="1"/>
  <c r="AL123" i="1"/>
  <c r="BP65" i="1"/>
  <c r="AT124" i="1"/>
  <c r="BH123" i="1"/>
  <c r="BX123" i="1"/>
  <c r="BX124" i="1"/>
  <c r="AT123" i="1"/>
  <c r="BV123" i="1"/>
  <c r="BV124" i="1"/>
  <c r="AQ48" i="1"/>
  <c r="AR65" i="1"/>
  <c r="AT65" i="1"/>
  <c r="AV121" i="1"/>
  <c r="AV124" i="1" s="1"/>
  <c r="AV120" i="1"/>
  <c r="AV123" i="1" s="1"/>
  <c r="AX213" i="1"/>
  <c r="AX211" i="1" s="1"/>
  <c r="AW213" i="1"/>
  <c r="AW211" i="1" s="1"/>
  <c r="AW50" i="1"/>
  <c r="AW51" i="1"/>
  <c r="AZ52" i="1"/>
  <c r="AZ255" i="1" s="1"/>
  <c r="AZ244" i="1"/>
  <c r="AZ58" i="1"/>
  <c r="BD53" i="1"/>
  <c r="BS50" i="1"/>
  <c r="BS51" i="1"/>
  <c r="BL53" i="1"/>
  <c r="BH244" i="1"/>
  <c r="BH52" i="1"/>
  <c r="BH255" i="1" s="1"/>
  <c r="BH58" i="1"/>
  <c r="AN50" i="1"/>
  <c r="AN51" i="1"/>
  <c r="BC51" i="1"/>
  <c r="BC50" i="1"/>
  <c r="AR58" i="1"/>
  <c r="AR244" i="1"/>
  <c r="AP53" i="1"/>
  <c r="AP52" i="1"/>
  <c r="AP255" i="1" s="1"/>
  <c r="AP244" i="1"/>
  <c r="AT53" i="1"/>
  <c r="AP58" i="1"/>
  <c r="BG50" i="1"/>
  <c r="BG51" i="1"/>
  <c r="BM50" i="1"/>
  <c r="BM51" i="1"/>
  <c r="AT244" i="1"/>
  <c r="AT52" i="1"/>
  <c r="AT255" i="1" s="1"/>
  <c r="AT58" i="1"/>
  <c r="AS50" i="1"/>
  <c r="AS51" i="1"/>
  <c r="BA50" i="1"/>
  <c r="BA51" i="1"/>
  <c r="BA54" i="1" s="1"/>
  <c r="BD58" i="1"/>
  <c r="BH53" i="1"/>
  <c r="BD52" i="1"/>
  <c r="BD255" i="1" s="1"/>
  <c r="BD244" i="1"/>
  <c r="BU51" i="1"/>
  <c r="BU50" i="1"/>
  <c r="BE50" i="1"/>
  <c r="BE51" i="1"/>
  <c r="BE54" i="1" s="1"/>
  <c r="BO51" i="1"/>
  <c r="BO50" i="1"/>
  <c r="BW51" i="1"/>
  <c r="BW50" i="1"/>
  <c r="BI51" i="1"/>
  <c r="BI50" i="1"/>
  <c r="BQ50" i="1"/>
  <c r="BQ51" i="1"/>
  <c r="AY50" i="1"/>
  <c r="AY51" i="1"/>
  <c r="AX53" i="1"/>
  <c r="AZ53" i="1"/>
  <c r="BF58" i="1"/>
  <c r="BF244" i="1"/>
  <c r="BF52" i="1"/>
  <c r="BF255" i="1" s="1"/>
  <c r="BJ53" i="1"/>
  <c r="AQ51" i="1"/>
  <c r="AQ50" i="1"/>
  <c r="BP58" i="1"/>
  <c r="BP53" i="1"/>
  <c r="BP244" i="1"/>
  <c r="BP52" i="1"/>
  <c r="BP255" i="1" s="1"/>
  <c r="AO50" i="1"/>
  <c r="AO51" i="1"/>
  <c r="BR62" i="1"/>
  <c r="BR203" i="1"/>
  <c r="BR205" i="1" s="1"/>
  <c r="BR76" i="1"/>
  <c r="BN62" i="1"/>
  <c r="BN76" i="1"/>
  <c r="BN203" i="1"/>
  <c r="BN205" i="1" s="1"/>
  <c r="AV203" i="1"/>
  <c r="AV205" i="1" s="1"/>
  <c r="AV62" i="1"/>
  <c r="AV76" i="1"/>
  <c r="BT203" i="1"/>
  <c r="BT205" i="1" s="1"/>
  <c r="BT62" i="1"/>
  <c r="BT76" i="1"/>
  <c r="AX62" i="1"/>
  <c r="AX76" i="1"/>
  <c r="AX203" i="1"/>
  <c r="AX205" i="1" s="1"/>
  <c r="AD134" i="1"/>
  <c r="W69" i="1"/>
  <c r="AR52" i="1" l="1"/>
  <c r="AR255" i="1" s="1"/>
  <c r="AI51" i="1"/>
  <c r="AI50" i="1"/>
  <c r="AU51" i="1"/>
  <c r="AU54" i="1" s="1"/>
  <c r="AU50" i="1"/>
  <c r="BV50" i="1"/>
  <c r="BV51" i="1"/>
  <c r="BK50" i="1"/>
  <c r="BK51" i="1"/>
  <c r="BB53" i="1"/>
  <c r="BB58" i="1"/>
  <c r="BB244" i="1"/>
  <c r="BB52" i="1"/>
  <c r="BB255" i="1" s="1"/>
  <c r="BF53" i="1"/>
  <c r="BQ54" i="1"/>
  <c r="AU237" i="1"/>
  <c r="BG237" i="1"/>
  <c r="BC237" i="1"/>
  <c r="AW237" i="1"/>
  <c r="AR76" i="1"/>
  <c r="AR62" i="1"/>
  <c r="AR203" i="1"/>
  <c r="AR205" i="1" s="1"/>
  <c r="BS53" i="1"/>
  <c r="BO58" i="1"/>
  <c r="BP54" i="1"/>
  <c r="BO244" i="1"/>
  <c r="BO52" i="1"/>
  <c r="BO255" i="1" s="1"/>
  <c r="BO54" i="1"/>
  <c r="BQ237" i="1"/>
  <c r="BR237" i="1"/>
  <c r="AZ54" i="1"/>
  <c r="AY244" i="1"/>
  <c r="AY58" i="1"/>
  <c r="AY52" i="1"/>
  <c r="AY255" i="1" s="1"/>
  <c r="AY54" i="1"/>
  <c r="BC53" i="1"/>
  <c r="BA237" i="1"/>
  <c r="BB237" i="1"/>
  <c r="BM237" i="1"/>
  <c r="BL54" i="1"/>
  <c r="BK58" i="1"/>
  <c r="BK52" i="1"/>
  <c r="BK255" i="1" s="1"/>
  <c r="BK54" i="1"/>
  <c r="BK244" i="1"/>
  <c r="BO53" i="1"/>
  <c r="BN237" i="1"/>
  <c r="BS244" i="1"/>
  <c r="BS52" i="1"/>
  <c r="BS255" i="1" s="1"/>
  <c r="BS58" i="1"/>
  <c r="BS54" i="1"/>
  <c r="BT54" i="1"/>
  <c r="BV237" i="1"/>
  <c r="AS54" i="1"/>
  <c r="AS244" i="1"/>
  <c r="AT54" i="1"/>
  <c r="AW53" i="1"/>
  <c r="AS58" i="1"/>
  <c r="AS52" i="1"/>
  <c r="AS255" i="1" s="1"/>
  <c r="AV237" i="1"/>
  <c r="AT203" i="1"/>
  <c r="AT205" i="1" s="1"/>
  <c r="AT76" i="1"/>
  <c r="AT62" i="1"/>
  <c r="BY53" i="1"/>
  <c r="BU244" i="1"/>
  <c r="BU52" i="1"/>
  <c r="BU255" i="1" s="1"/>
  <c r="BV54" i="1"/>
  <c r="BU58" i="1"/>
  <c r="BU54" i="1"/>
  <c r="BM52" i="1"/>
  <c r="BM255" i="1" s="1"/>
  <c r="BQ53" i="1"/>
  <c r="BM54" i="1"/>
  <c r="BM58" i="1"/>
  <c r="BM244" i="1"/>
  <c r="BN54" i="1"/>
  <c r="BP237" i="1"/>
  <c r="BO237" i="1"/>
  <c r="AP203" i="1"/>
  <c r="AP205" i="1" s="1"/>
  <c r="AP76" i="1"/>
  <c r="AP62" i="1"/>
  <c r="AQ53" i="1"/>
  <c r="AR54" i="1"/>
  <c r="AQ244" i="1"/>
  <c r="AQ58" i="1"/>
  <c r="AQ52" i="1"/>
  <c r="AQ255" i="1" s="1"/>
  <c r="AQ54" i="1"/>
  <c r="AU53" i="1"/>
  <c r="AT237" i="1"/>
  <c r="AS237" i="1"/>
  <c r="BQ244" i="1"/>
  <c r="BQ52" i="1"/>
  <c r="BQ255" i="1" s="1"/>
  <c r="BQ58" i="1"/>
  <c r="BU53" i="1"/>
  <c r="BR54" i="1"/>
  <c r="BS237" i="1"/>
  <c r="BT237" i="1"/>
  <c r="BC244" i="1"/>
  <c r="BC54" i="1"/>
  <c r="BC52" i="1"/>
  <c r="BC255" i="1" s="1"/>
  <c r="BE237" i="1"/>
  <c r="BG53" i="1"/>
  <c r="BF237" i="1"/>
  <c r="BC58" i="1"/>
  <c r="BD54" i="1"/>
  <c r="AM53" i="1"/>
  <c r="AI58" i="1"/>
  <c r="AL237" i="1"/>
  <c r="AJ54" i="1"/>
  <c r="AI244" i="1"/>
  <c r="AI52" i="1"/>
  <c r="AO52" i="1"/>
  <c r="AO255" i="1" s="1"/>
  <c r="AO53" i="1"/>
  <c r="AO244" i="1"/>
  <c r="AP54" i="1"/>
  <c r="AS53" i="1"/>
  <c r="AO58" i="1"/>
  <c r="AR237" i="1"/>
  <c r="BF203" i="1"/>
  <c r="BF205" i="1" s="1"/>
  <c r="BF76" i="1"/>
  <c r="BF62" i="1"/>
  <c r="BI54" i="1"/>
  <c r="BJ54" i="1"/>
  <c r="BI52" i="1"/>
  <c r="BI255" i="1" s="1"/>
  <c r="BI244" i="1"/>
  <c r="BI58" i="1"/>
  <c r="BM53" i="1"/>
  <c r="BL237" i="1"/>
  <c r="BH62" i="1"/>
  <c r="BH76" i="1"/>
  <c r="BH203" i="1"/>
  <c r="BH205" i="1" s="1"/>
  <c r="AW58" i="1"/>
  <c r="AW244" i="1"/>
  <c r="AW52" i="1"/>
  <c r="AW255" i="1" s="1"/>
  <c r="BA53" i="1"/>
  <c r="AY237" i="1"/>
  <c r="AX54" i="1"/>
  <c r="AW54" i="1"/>
  <c r="AZ237" i="1"/>
  <c r="AU52" i="1"/>
  <c r="AU255" i="1" s="1"/>
  <c r="AY53" i="1"/>
  <c r="AU244" i="1"/>
  <c r="AU58" i="1"/>
  <c r="AV54" i="1"/>
  <c r="AX237" i="1"/>
  <c r="BD203" i="1"/>
  <c r="BD205" i="1" s="1"/>
  <c r="BD62" i="1"/>
  <c r="BD76" i="1"/>
  <c r="BG52" i="1"/>
  <c r="BG255" i="1" s="1"/>
  <c r="BG54" i="1"/>
  <c r="BI237" i="1"/>
  <c r="BH54" i="1"/>
  <c r="BG244" i="1"/>
  <c r="BJ237" i="1"/>
  <c r="BK53" i="1"/>
  <c r="BG58" i="1"/>
  <c r="BP62" i="1"/>
  <c r="BP76" i="1"/>
  <c r="BP203" i="1"/>
  <c r="BP205" i="1" s="1"/>
  <c r="BE58" i="1"/>
  <c r="BE52" i="1"/>
  <c r="BE255" i="1" s="1"/>
  <c r="BE244" i="1"/>
  <c r="BF54" i="1"/>
  <c r="BH237" i="1"/>
  <c r="BI53" i="1"/>
  <c r="AZ203" i="1"/>
  <c r="AZ205" i="1" s="1"/>
  <c r="AZ76" i="1"/>
  <c r="AZ62" i="1"/>
  <c r="AO237" i="1"/>
  <c r="AN54" i="1"/>
  <c r="AN58" i="1"/>
  <c r="AN52" i="1"/>
  <c r="AN255" i="1" s="1"/>
  <c r="AP237" i="1"/>
  <c r="AR53" i="1"/>
  <c r="AN244" i="1"/>
  <c r="AO54" i="1"/>
  <c r="AN237" i="1"/>
  <c r="AQ237" i="1"/>
  <c r="AN53" i="1"/>
  <c r="BW53" i="1"/>
  <c r="X71" i="1"/>
  <c r="CA53" i="1"/>
  <c r="BW58" i="1"/>
  <c r="BW52" i="1"/>
  <c r="BW255" i="1" s="1"/>
  <c r="BZ237" i="1"/>
  <c r="BW244" i="1"/>
  <c r="BX54" i="1"/>
  <c r="BA244" i="1"/>
  <c r="BA52" i="1"/>
  <c r="BA255" i="1" s="1"/>
  <c r="BA58" i="1"/>
  <c r="BE53" i="1"/>
  <c r="BB54" i="1"/>
  <c r="BD237" i="1"/>
  <c r="W70" i="1"/>
  <c r="BX237" i="1" l="1"/>
  <c r="BW237" i="1"/>
  <c r="BK237" i="1"/>
  <c r="BV244" i="1"/>
  <c r="BV52" i="1"/>
  <c r="BV255" i="1" s="1"/>
  <c r="BV58" i="1"/>
  <c r="BZ53" i="1"/>
  <c r="BY237" i="1"/>
  <c r="BV53" i="1"/>
  <c r="BW54" i="1"/>
  <c r="BB203" i="1"/>
  <c r="BB205" i="1" s="1"/>
  <c r="BB62" i="1"/>
  <c r="BB76" i="1"/>
  <c r="BI62" i="1"/>
  <c r="BI203" i="1"/>
  <c r="BI205" i="1" s="1"/>
  <c r="BL64" i="1"/>
  <c r="BI76" i="1"/>
  <c r="BI129" i="1"/>
  <c r="BI130" i="1" s="1"/>
  <c r="BM76" i="1"/>
  <c r="BM129" i="1"/>
  <c r="BM130" i="1" s="1"/>
  <c r="BM203" i="1"/>
  <c r="BM205" i="1" s="1"/>
  <c r="BM62" i="1"/>
  <c r="BP64" i="1"/>
  <c r="BC129" i="1"/>
  <c r="BC130" i="1" s="1"/>
  <c r="BC62" i="1"/>
  <c r="BF64" i="1"/>
  <c r="BC76" i="1"/>
  <c r="BC203" i="1"/>
  <c r="BC205" i="1" s="1"/>
  <c r="S71" i="1"/>
  <c r="BS203" i="1"/>
  <c r="BS205" i="1" s="1"/>
  <c r="BS62" i="1"/>
  <c r="BS76" i="1"/>
  <c r="BS129" i="1"/>
  <c r="BS130" i="1" s="1"/>
  <c r="BW129" i="1"/>
  <c r="BW130" i="1" s="1"/>
  <c r="BW76" i="1"/>
  <c r="BZ79" i="1" s="1"/>
  <c r="BV99" i="1" s="1"/>
  <c r="BW203" i="1"/>
  <c r="BW205" i="1" s="1"/>
  <c r="BW62" i="1"/>
  <c r="BZ64" i="1"/>
  <c r="BE129" i="1"/>
  <c r="BE130" i="1" s="1"/>
  <c r="BE203" i="1"/>
  <c r="BE205" i="1" s="1"/>
  <c r="BE76" i="1"/>
  <c r="BE62" i="1"/>
  <c r="BH64" i="1"/>
  <c r="BO203" i="1"/>
  <c r="BO205" i="1" s="1"/>
  <c r="BO62" i="1"/>
  <c r="BO129" i="1"/>
  <c r="BO130" i="1" s="1"/>
  <c r="BO76" i="1"/>
  <c r="V71" i="1"/>
  <c r="BR64" i="1"/>
  <c r="BQ129" i="1"/>
  <c r="BQ130" i="1" s="1"/>
  <c r="BQ203" i="1"/>
  <c r="BQ205" i="1" s="1"/>
  <c r="BQ76" i="1"/>
  <c r="BQ62" i="1"/>
  <c r="BT64" i="1"/>
  <c r="AP64" i="1"/>
  <c r="AN203" i="1"/>
  <c r="AN205" i="1" s="1"/>
  <c r="AN62" i="1"/>
  <c r="AN76" i="1"/>
  <c r="AN64" i="1"/>
  <c r="AN217" i="1"/>
  <c r="AN215" i="1" s="1"/>
  <c r="O71" i="1"/>
  <c r="AS76" i="1"/>
  <c r="AS129" i="1"/>
  <c r="AS130" i="1" s="1"/>
  <c r="AS203" i="1"/>
  <c r="AS205" i="1" s="1"/>
  <c r="AS62" i="1"/>
  <c r="AV64" i="1"/>
  <c r="AY203" i="1"/>
  <c r="AY205" i="1" s="1"/>
  <c r="AY62" i="1"/>
  <c r="AY129" i="1"/>
  <c r="AY130" i="1" s="1"/>
  <c r="AY76" i="1"/>
  <c r="BB64" i="1"/>
  <c r="R71" i="1"/>
  <c r="BG203" i="1"/>
  <c r="BG205" i="1" s="1"/>
  <c r="T71" i="1"/>
  <c r="BG62" i="1"/>
  <c r="BG129" i="1"/>
  <c r="BG130" i="1" s="1"/>
  <c r="BJ64" i="1"/>
  <c r="BG76" i="1"/>
  <c r="AW129" i="1"/>
  <c r="AW130" i="1" s="1"/>
  <c r="AW62" i="1"/>
  <c r="AW203" i="1"/>
  <c r="AW205" i="1" s="1"/>
  <c r="AW76" i="1"/>
  <c r="AZ64" i="1"/>
  <c r="AO76" i="1"/>
  <c r="AO203" i="1"/>
  <c r="AO205" i="1" s="1"/>
  <c r="AO62" i="1"/>
  <c r="AO129" i="1"/>
  <c r="AO130" i="1" s="1"/>
  <c r="AR64" i="1"/>
  <c r="AQ129" i="1"/>
  <c r="AQ130" i="1" s="1"/>
  <c r="AQ203" i="1"/>
  <c r="AQ205" i="1" s="1"/>
  <c r="AQ76" i="1"/>
  <c r="AQ62" i="1"/>
  <c r="P71" i="1"/>
  <c r="AT64" i="1"/>
  <c r="BA62" i="1"/>
  <c r="BA203" i="1"/>
  <c r="BA205" i="1" s="1"/>
  <c r="BA129" i="1"/>
  <c r="BA130" i="1" s="1"/>
  <c r="BA76" i="1"/>
  <c r="BD64" i="1"/>
  <c r="AU62" i="1"/>
  <c r="AU76" i="1"/>
  <c r="AU203" i="1"/>
  <c r="AU205" i="1" s="1"/>
  <c r="AU129" i="1"/>
  <c r="AU130" i="1" s="1"/>
  <c r="AX64" i="1"/>
  <c r="Q71" i="1"/>
  <c r="AI76" i="1"/>
  <c r="AL79" i="1" s="1"/>
  <c r="N71" i="1"/>
  <c r="AI62" i="1"/>
  <c r="AI203" i="1"/>
  <c r="AI205" i="1" s="1"/>
  <c r="AI209" i="1" s="1"/>
  <c r="AI223" i="1" s="1"/>
  <c r="AL64" i="1"/>
  <c r="AI217" i="1"/>
  <c r="AI215" i="1" s="1"/>
  <c r="BU62" i="1"/>
  <c r="BU203" i="1"/>
  <c r="BU205" i="1" s="1"/>
  <c r="BU76" i="1"/>
  <c r="BU129" i="1"/>
  <c r="BU130" i="1" s="1"/>
  <c r="BK76" i="1"/>
  <c r="BK62" i="1"/>
  <c r="BK203" i="1"/>
  <c r="BK205" i="1" s="1"/>
  <c r="BK129" i="1"/>
  <c r="BK130" i="1" s="1"/>
  <c r="BN64" i="1"/>
  <c r="U71" i="1"/>
  <c r="AD135" i="1"/>
  <c r="AD138" i="1" s="1"/>
  <c r="AD259" i="1" s="1"/>
  <c r="AR119" i="1"/>
  <c r="W71" i="1"/>
  <c r="BV203" i="1" l="1"/>
  <c r="BV205" i="1" s="1"/>
  <c r="BV62" i="1"/>
  <c r="BV76" i="1"/>
  <c r="BY64" i="1"/>
  <c r="BV64" i="1"/>
  <c r="BX64" i="1"/>
  <c r="AI220" i="1"/>
  <c r="AI221" i="1" s="1"/>
  <c r="BZ97" i="1"/>
  <c r="BZ96" i="1"/>
  <c r="CC100" i="1" s="1"/>
  <c r="BY79" i="1"/>
  <c r="BY97" i="1" s="1"/>
  <c r="BL79" i="1"/>
  <c r="BT79" i="1"/>
  <c r="BP99" i="1" s="1"/>
  <c r="AV79" i="1"/>
  <c r="AR79" i="1"/>
  <c r="AV80" i="1" s="1"/>
  <c r="BZ95" i="1"/>
  <c r="BD79" i="1"/>
  <c r="BD96" i="1" s="1"/>
  <c r="BC79" i="1"/>
  <c r="BP79" i="1"/>
  <c r="BO79" i="1"/>
  <c r="BR79" i="1"/>
  <c r="BQ79" i="1"/>
  <c r="AZ79" i="1"/>
  <c r="AY79" i="1"/>
  <c r="BB79" i="1"/>
  <c r="BA79" i="1"/>
  <c r="AQ79" i="1"/>
  <c r="AO79" i="1"/>
  <c r="AN79" i="1"/>
  <c r="AP79" i="1"/>
  <c r="BF79" i="1"/>
  <c r="BB99" i="1" s="1"/>
  <c r="BE79" i="1"/>
  <c r="AU79" i="1"/>
  <c r="CD80" i="1"/>
  <c r="BN79" i="1"/>
  <c r="BM79" i="1"/>
  <c r="AT79" i="1"/>
  <c r="AP99" i="1" s="1"/>
  <c r="AS79" i="1"/>
  <c r="BU79" i="1"/>
  <c r="BS79" i="1"/>
  <c r="BJ79" i="1"/>
  <c r="BF99" i="1" s="1"/>
  <c r="BI79" i="1"/>
  <c r="BK79" i="1"/>
  <c r="AX79" i="1"/>
  <c r="AX96" i="1" s="1"/>
  <c r="BH79" i="1"/>
  <c r="BG79" i="1"/>
  <c r="AW79" i="1"/>
  <c r="AV217" i="1"/>
  <c r="AV215" i="1" s="1"/>
  <c r="AU102" i="1"/>
  <c r="AU217" i="1"/>
  <c r="AU215" i="1" s="1"/>
  <c r="AU64" i="1"/>
  <c r="AU139" i="1"/>
  <c r="AU65" i="1" s="1"/>
  <c r="BC64" i="1"/>
  <c r="BD217" i="1"/>
  <c r="BD215" i="1" s="1"/>
  <c r="BC139" i="1"/>
  <c r="BC65" i="1" s="1"/>
  <c r="BC217" i="1"/>
  <c r="BC215" i="1" s="1"/>
  <c r="BC102" i="1"/>
  <c r="AQ139" i="1"/>
  <c r="AQ65" i="1" s="1"/>
  <c r="AQ217" i="1"/>
  <c r="AQ215" i="1" s="1"/>
  <c r="AQ102" i="1"/>
  <c r="AQ64" i="1"/>
  <c r="AR217" i="1"/>
  <c r="AR215" i="1" s="1"/>
  <c r="BU139" i="1"/>
  <c r="BU65" i="1" s="1"/>
  <c r="BU64" i="1"/>
  <c r="BU102" i="1"/>
  <c r="BU217" i="1"/>
  <c r="BU215" i="1" s="1"/>
  <c r="AO139" i="1"/>
  <c r="AO65" i="1" s="1"/>
  <c r="AO64" i="1"/>
  <c r="AO102" i="1"/>
  <c r="AO217" i="1"/>
  <c r="AO215" i="1" s="1"/>
  <c r="AP217" i="1"/>
  <c r="AP215" i="1" s="1"/>
  <c r="AT217" i="1"/>
  <c r="AT215" i="1" s="1"/>
  <c r="AS64" i="1"/>
  <c r="AS217" i="1"/>
  <c r="AS215" i="1" s="1"/>
  <c r="AS102" i="1"/>
  <c r="AS139" i="1"/>
  <c r="AS65" i="1" s="1"/>
  <c r="BE139" i="1"/>
  <c r="BE65" i="1" s="1"/>
  <c r="BE217" i="1"/>
  <c r="BE215" i="1" s="1"/>
  <c r="BE64" i="1"/>
  <c r="BF217" i="1"/>
  <c r="BF215" i="1" s="1"/>
  <c r="BE102" i="1"/>
  <c r="AW139" i="1"/>
  <c r="AW65" i="1" s="1"/>
  <c r="AW217" i="1"/>
  <c r="AW215" i="1" s="1"/>
  <c r="AW102" i="1"/>
  <c r="AW64" i="1"/>
  <c r="AX217" i="1"/>
  <c r="AX215" i="1" s="1"/>
  <c r="BA102" i="1"/>
  <c r="BA217" i="1"/>
  <c r="BA215" i="1" s="1"/>
  <c r="BA139" i="1"/>
  <c r="BA65" i="1" s="1"/>
  <c r="BA64" i="1"/>
  <c r="BB217" i="1"/>
  <c r="BB215" i="1" s="1"/>
  <c r="BL217" i="1"/>
  <c r="BL215" i="1" s="1"/>
  <c r="BK102" i="1"/>
  <c r="BK64" i="1"/>
  <c r="BK217" i="1"/>
  <c r="BK215" i="1" s="1"/>
  <c r="BK139" i="1"/>
  <c r="BK65" i="1" s="1"/>
  <c r="BI102" i="1"/>
  <c r="BI217" i="1"/>
  <c r="BI215" i="1" s="1"/>
  <c r="BI64" i="1"/>
  <c r="BJ217" i="1"/>
  <c r="BJ215" i="1" s="1"/>
  <c r="BI139" i="1"/>
  <c r="BI65" i="1" s="1"/>
  <c r="BV217" i="1"/>
  <c r="BV215" i="1" s="1"/>
  <c r="BH217" i="1"/>
  <c r="BH215" i="1" s="1"/>
  <c r="BG64" i="1"/>
  <c r="BG217" i="1"/>
  <c r="BG215" i="1" s="1"/>
  <c r="BG102" i="1"/>
  <c r="BG139" i="1"/>
  <c r="BG65" i="1" s="1"/>
  <c r="BN217" i="1"/>
  <c r="BN215" i="1" s="1"/>
  <c r="BM102" i="1"/>
  <c r="BM217" i="1"/>
  <c r="BM215" i="1" s="1"/>
  <c r="BM64" i="1"/>
  <c r="BM139" i="1"/>
  <c r="BM65" i="1" s="1"/>
  <c r="AL95" i="1"/>
  <c r="AL96" i="1"/>
  <c r="AL97" i="1"/>
  <c r="BO64" i="1"/>
  <c r="BO139" i="1"/>
  <c r="BO65" i="1" s="1"/>
  <c r="BP217" i="1"/>
  <c r="BP215" i="1" s="1"/>
  <c r="BO102" i="1"/>
  <c r="BO217" i="1"/>
  <c r="BO215" i="1" s="1"/>
  <c r="BX217" i="1"/>
  <c r="BX215" i="1" s="1"/>
  <c r="BW64" i="1"/>
  <c r="BW139" i="1"/>
  <c r="BW65" i="1" s="1"/>
  <c r="BW102" i="1"/>
  <c r="BW217" i="1"/>
  <c r="BW215" i="1" s="1"/>
  <c r="BQ102" i="1"/>
  <c r="BQ139" i="1"/>
  <c r="BQ65" i="1" s="1"/>
  <c r="BQ217" i="1"/>
  <c r="BQ215" i="1" s="1"/>
  <c r="BQ64" i="1"/>
  <c r="BR217" i="1"/>
  <c r="BR215" i="1" s="1"/>
  <c r="AY102" i="1"/>
  <c r="AY139" i="1"/>
  <c r="AY65" i="1" s="1"/>
  <c r="AY217" i="1"/>
  <c r="AY215" i="1" s="1"/>
  <c r="AY64" i="1"/>
  <c r="AZ217" i="1"/>
  <c r="AZ215" i="1" s="1"/>
  <c r="BS139" i="1"/>
  <c r="BS65" i="1" s="1"/>
  <c r="BS217" i="1"/>
  <c r="BS215" i="1" s="1"/>
  <c r="BS64" i="1"/>
  <c r="BT217" i="1"/>
  <c r="BT215" i="1" s="1"/>
  <c r="BS102" i="1"/>
  <c r="AD216" i="1"/>
  <c r="AR120" i="1"/>
  <c r="AR123" i="1" s="1"/>
  <c r="AR121" i="1"/>
  <c r="AR124" i="1" s="1"/>
  <c r="CA237" i="1"/>
  <c r="CB237" i="1"/>
  <c r="W203" i="1"/>
  <c r="W205" i="1" s="1"/>
  <c r="BU237" i="1"/>
  <c r="BV79" i="1" l="1"/>
  <c r="BZ80" i="1" s="1"/>
  <c r="BX79" i="1"/>
  <c r="CB80" i="1" s="1"/>
  <c r="BW79" i="1"/>
  <c r="BY95" i="1"/>
  <c r="BY96" i="1"/>
  <c r="AN99" i="1"/>
  <c r="BT96" i="1"/>
  <c r="AT96" i="1"/>
  <c r="AR99" i="1"/>
  <c r="BP96" i="1"/>
  <c r="BT95" i="1"/>
  <c r="BT97" i="1"/>
  <c r="AV97" i="1"/>
  <c r="BT80" i="1"/>
  <c r="BL95" i="1"/>
  <c r="BL97" i="1"/>
  <c r="BH99" i="1"/>
  <c r="BL96" i="1"/>
  <c r="CC80" i="1"/>
  <c r="CB100" i="1"/>
  <c r="BV80" i="1"/>
  <c r="BV95" i="1"/>
  <c r="BU99" i="1"/>
  <c r="BF96" i="1"/>
  <c r="BF95" i="1"/>
  <c r="AR97" i="1"/>
  <c r="BF97" i="1"/>
  <c r="AR95" i="1"/>
  <c r="AR96" i="1"/>
  <c r="BX96" i="1"/>
  <c r="AT99" i="1"/>
  <c r="BV97" i="1"/>
  <c r="BV96" i="1"/>
  <c r="AX97" i="1"/>
  <c r="BR99" i="1"/>
  <c r="AV95" i="1"/>
  <c r="AV96" i="1"/>
  <c r="BB80" i="1"/>
  <c r="BW95" i="1"/>
  <c r="CA80" i="1"/>
  <c r="BS99" i="1"/>
  <c r="BW97" i="1"/>
  <c r="BW96" i="1"/>
  <c r="BJ96" i="1"/>
  <c r="AW96" i="1"/>
  <c r="BA80" i="1"/>
  <c r="AW97" i="1"/>
  <c r="AW95" i="1"/>
  <c r="AS99" i="1"/>
  <c r="AU97" i="1"/>
  <c r="AU96" i="1"/>
  <c r="AU95" i="1"/>
  <c r="AQ99" i="1"/>
  <c r="AY80" i="1"/>
  <c r="BR96" i="1"/>
  <c r="BN99" i="1"/>
  <c r="BR95" i="1"/>
  <c r="BR97" i="1"/>
  <c r="BX95" i="1"/>
  <c r="BC99" i="1"/>
  <c r="BG97" i="1"/>
  <c r="BG95" i="1"/>
  <c r="BG96" i="1"/>
  <c r="BK80" i="1"/>
  <c r="BE96" i="1"/>
  <c r="BE97" i="1"/>
  <c r="BI80" i="1"/>
  <c r="BA99" i="1"/>
  <c r="BE95" i="1"/>
  <c r="BO96" i="1"/>
  <c r="BO97" i="1"/>
  <c r="BK99" i="1"/>
  <c r="BS80" i="1"/>
  <c r="BO95" i="1"/>
  <c r="BD80" i="1"/>
  <c r="AZ95" i="1"/>
  <c r="AZ97" i="1"/>
  <c r="AV99" i="1"/>
  <c r="AZ96" i="1"/>
  <c r="BH97" i="1"/>
  <c r="BH96" i="1"/>
  <c r="BD99" i="1"/>
  <c r="BH95" i="1"/>
  <c r="BL80" i="1"/>
  <c r="BJ80" i="1"/>
  <c r="BL99" i="1"/>
  <c r="BP97" i="1"/>
  <c r="BP95" i="1"/>
  <c r="AY96" i="1"/>
  <c r="AY97" i="1"/>
  <c r="AU99" i="1"/>
  <c r="BC80" i="1"/>
  <c r="AY95" i="1"/>
  <c r="BR80" i="1"/>
  <c r="BJ99" i="1"/>
  <c r="BN95" i="1"/>
  <c r="BN97" i="1"/>
  <c r="BN96" i="1"/>
  <c r="BX97" i="1"/>
  <c r="AP96" i="1"/>
  <c r="AT80" i="1"/>
  <c r="AP97" i="1"/>
  <c r="AL99" i="1"/>
  <c r="AP95" i="1"/>
  <c r="BC97" i="1"/>
  <c r="AY99" i="1"/>
  <c r="BG80" i="1"/>
  <c r="BC95" i="1"/>
  <c r="BC96" i="1"/>
  <c r="BW80" i="1"/>
  <c r="BS97" i="1"/>
  <c r="BO99" i="1"/>
  <c r="BS96" i="1"/>
  <c r="BS95" i="1"/>
  <c r="AR80" i="1"/>
  <c r="AN96" i="1"/>
  <c r="AN97" i="1"/>
  <c r="AN95" i="1"/>
  <c r="BD97" i="1"/>
  <c r="AZ99" i="1"/>
  <c r="BD95" i="1"/>
  <c r="BH80" i="1"/>
  <c r="BI99" i="1"/>
  <c r="BM95" i="1"/>
  <c r="BM96" i="1"/>
  <c r="BM97" i="1"/>
  <c r="BQ80" i="1"/>
  <c r="BQ95" i="1"/>
  <c r="BU80" i="1"/>
  <c r="BQ97" i="1"/>
  <c r="BQ96" i="1"/>
  <c r="BM99" i="1"/>
  <c r="AX95" i="1"/>
  <c r="BU95" i="1"/>
  <c r="BU96" i="1"/>
  <c r="BY80" i="1"/>
  <c r="BQ99" i="1"/>
  <c r="BU97" i="1"/>
  <c r="AS80" i="1"/>
  <c r="AO96" i="1"/>
  <c r="AO95" i="1"/>
  <c r="AO97" i="1"/>
  <c r="BJ95" i="1"/>
  <c r="BX80" i="1"/>
  <c r="AQ96" i="1"/>
  <c r="AQ97" i="1"/>
  <c r="AQ95" i="1"/>
  <c r="AU80" i="1"/>
  <c r="AM99" i="1"/>
  <c r="AQ80" i="1"/>
  <c r="AZ80" i="1"/>
  <c r="BN80" i="1"/>
  <c r="BG99" i="1"/>
  <c r="BO80" i="1"/>
  <c r="BK96" i="1"/>
  <c r="BK95" i="1"/>
  <c r="BK97" i="1"/>
  <c r="AS97" i="1"/>
  <c r="AS96" i="1"/>
  <c r="AO99" i="1"/>
  <c r="AS95" i="1"/>
  <c r="AW80" i="1"/>
  <c r="BA96" i="1"/>
  <c r="BA97" i="1"/>
  <c r="AW99" i="1"/>
  <c r="BE80" i="1"/>
  <c r="BA95" i="1"/>
  <c r="AP80" i="1"/>
  <c r="BJ97" i="1"/>
  <c r="AX80" i="1"/>
  <c r="BT99" i="1"/>
  <c r="BI97" i="1"/>
  <c r="BI96" i="1"/>
  <c r="BM80" i="1"/>
  <c r="BI95" i="1"/>
  <c r="BE99" i="1"/>
  <c r="AT95" i="1"/>
  <c r="AT97" i="1"/>
  <c r="BF80" i="1"/>
  <c r="AX99" i="1"/>
  <c r="BB97" i="1"/>
  <c r="BB96" i="1"/>
  <c r="BB95" i="1"/>
  <c r="BP80" i="1"/>
  <c r="BE106" i="1"/>
  <c r="BE104" i="1"/>
  <c r="BE105" i="1"/>
  <c r="BG105" i="1"/>
  <c r="BG106" i="1"/>
  <c r="BG104" i="1"/>
  <c r="BU106" i="1"/>
  <c r="BU104" i="1"/>
  <c r="BU105" i="1"/>
  <c r="BO105" i="1"/>
  <c r="BO104" i="1"/>
  <c r="BO106" i="1"/>
  <c r="AO106" i="1"/>
  <c r="AO104" i="1"/>
  <c r="AO105" i="1"/>
  <c r="AS106" i="1"/>
  <c r="AS105" i="1"/>
  <c r="AS104" i="1"/>
  <c r="BW106" i="1"/>
  <c r="BW104" i="1"/>
  <c r="BW105" i="1"/>
  <c r="BC105" i="1"/>
  <c r="BC104" i="1"/>
  <c r="BC106" i="1"/>
  <c r="BK105" i="1"/>
  <c r="BK106" i="1"/>
  <c r="BK104" i="1"/>
  <c r="BI106" i="1"/>
  <c r="BI105" i="1"/>
  <c r="BI104" i="1"/>
  <c r="BQ104" i="1"/>
  <c r="BQ106" i="1"/>
  <c r="BQ105" i="1"/>
  <c r="AY106" i="1"/>
  <c r="AY104" i="1"/>
  <c r="AY105" i="1"/>
  <c r="AW105" i="1"/>
  <c r="AW104" i="1"/>
  <c r="AW106" i="1"/>
  <c r="BS104" i="1"/>
  <c r="BS105" i="1"/>
  <c r="BS106" i="1"/>
  <c r="BA105" i="1"/>
  <c r="BA106" i="1"/>
  <c r="BA104" i="1"/>
  <c r="AQ105" i="1"/>
  <c r="AQ104" i="1"/>
  <c r="AQ106" i="1"/>
  <c r="AU105" i="1"/>
  <c r="AU106" i="1"/>
  <c r="AU104" i="1"/>
  <c r="BM106" i="1"/>
  <c r="BM104" i="1"/>
  <c r="BM105" i="1"/>
  <c r="AE134" i="1"/>
  <c r="CA99" i="1"/>
  <c r="BI100" i="1" l="1"/>
  <c r="AY100" i="1"/>
  <c r="CA100" i="1"/>
  <c r="BD100" i="1"/>
  <c r="BT100" i="1"/>
  <c r="BW100" i="1"/>
  <c r="BU100" i="1"/>
  <c r="BL100" i="1"/>
  <c r="BO100" i="1"/>
  <c r="BE100" i="1"/>
  <c r="AR100" i="1"/>
  <c r="AZ100" i="1"/>
  <c r="BY100" i="1"/>
  <c r="BZ100" i="1"/>
  <c r="BR100" i="1"/>
  <c r="BK100" i="1"/>
  <c r="BM100" i="1"/>
  <c r="BV100" i="1"/>
  <c r="AV100" i="1"/>
  <c r="AU100" i="1"/>
  <c r="BH100" i="1"/>
  <c r="BJ100" i="1"/>
  <c r="AX100" i="1"/>
  <c r="BC100" i="1"/>
  <c r="BX100" i="1"/>
  <c r="AT100" i="1"/>
  <c r="AW100" i="1"/>
  <c r="BB100" i="1"/>
  <c r="BA100" i="1"/>
  <c r="BF100" i="1"/>
  <c r="BG100" i="1"/>
  <c r="BS100" i="1"/>
  <c r="BP100" i="1"/>
  <c r="AP100" i="1"/>
  <c r="AQ100" i="1"/>
  <c r="BN100" i="1"/>
  <c r="AS100" i="1"/>
  <c r="AO100" i="1"/>
  <c r="BQ100" i="1"/>
  <c r="CF99" i="1"/>
  <c r="AE135" i="1" l="1"/>
  <c r="AE138" i="1" s="1"/>
  <c r="AE259" i="1" s="1"/>
  <c r="AE216" i="1" l="1"/>
  <c r="W130" i="1"/>
  <c r="W64" i="1" l="1"/>
  <c r="X217" i="1"/>
  <c r="X215" i="1" s="1"/>
  <c r="W217" i="1"/>
  <c r="W215" i="1" s="1"/>
  <c r="W139" i="1"/>
  <c r="W65" i="1" s="1"/>
  <c r="W185" i="1"/>
  <c r="W190" i="1" l="1"/>
  <c r="W193" i="1" l="1"/>
  <c r="W166" i="1"/>
  <c r="X207" i="1" s="1"/>
  <c r="W195" i="1" l="1"/>
  <c r="W194" i="1" s="1"/>
  <c r="W207" i="1"/>
  <c r="W158" i="1"/>
  <c r="X206" i="1" s="1"/>
  <c r="X208" i="1" s="1"/>
  <c r="X209" i="1" s="1"/>
  <c r="X223" i="1" s="1"/>
  <c r="W189" i="1"/>
  <c r="W192" i="1" l="1"/>
  <c r="W167" i="1"/>
  <c r="W206" i="1"/>
  <c r="W208" i="1" s="1"/>
  <c r="W209" i="1" s="1"/>
  <c r="W191" i="1" l="1"/>
  <c r="W196" i="1"/>
  <c r="W220" i="1"/>
  <c r="W223" i="1"/>
  <c r="W199" i="1" l="1"/>
  <c r="W200" i="1" s="1"/>
  <c r="X199" i="1"/>
  <c r="X200" i="1" s="1"/>
  <c r="W171" i="1" l="1"/>
  <c r="X219" i="1" l="1"/>
  <c r="X220" i="1" s="1"/>
  <c r="X221" i="1" s="1"/>
  <c r="W256" i="1"/>
  <c r="W258" i="1"/>
  <c r="W254" i="1"/>
  <c r="W178" i="1"/>
  <c r="W119" i="1" s="1"/>
  <c r="W175" i="1"/>
  <c r="W221" i="1"/>
  <c r="W176" i="1" l="1"/>
  <c r="AK189" i="1" l="1"/>
  <c r="AK154" i="1" s="1"/>
  <c r="C112" i="2"/>
  <c r="C111" i="2"/>
  <c r="C113" i="2"/>
  <c r="B84" i="1" l="1"/>
  <c r="B83" i="1"/>
  <c r="AM154" i="1"/>
  <c r="AO154" i="1" l="1"/>
  <c r="AQ154" i="1" l="1"/>
  <c r="AS154" i="1" l="1"/>
  <c r="AU154" i="1" l="1"/>
  <c r="AW154" i="1" l="1"/>
  <c r="AY154" i="1" l="1"/>
  <c r="BA154" i="1" l="1"/>
  <c r="BC154" i="1" l="1"/>
  <c r="BE154" i="1" l="1"/>
  <c r="BG154" i="1" l="1"/>
  <c r="BI154" i="1" l="1"/>
  <c r="BK154" i="1" l="1"/>
  <c r="BM154" i="1" l="1"/>
  <c r="BO154" i="1" l="1"/>
  <c r="BQ154" i="1" l="1"/>
  <c r="BS154" i="1" l="1"/>
  <c r="BU154" i="1" l="1"/>
  <c r="BW154" i="1" l="1"/>
  <c r="BY154" i="1" l="1"/>
  <c r="AK155" i="1" l="1"/>
  <c r="AK158" i="1" s="1"/>
  <c r="AL206" i="1" l="1"/>
  <c r="AK206" i="1"/>
  <c r="AK192" i="1"/>
  <c r="AM155" i="1"/>
  <c r="AM158" i="1" s="1"/>
  <c r="AM192" i="1" l="1"/>
  <c r="AM191" i="1" s="1"/>
  <c r="AN206" i="1"/>
  <c r="AM206" i="1"/>
  <c r="AJ191" i="1"/>
  <c r="AK191" i="1"/>
  <c r="AO155" i="1" l="1"/>
  <c r="AO158" i="1" s="1"/>
  <c r="AP206" i="1" l="1"/>
  <c r="AO192" i="1"/>
  <c r="AO191" i="1" s="1"/>
  <c r="AO206" i="1"/>
  <c r="AQ155" i="1" l="1"/>
  <c r="AQ158" i="1" s="1"/>
  <c r="AQ192" i="1" l="1"/>
  <c r="AQ191" i="1" s="1"/>
  <c r="AR206" i="1"/>
  <c r="AQ206" i="1"/>
  <c r="AS155" i="1" l="1"/>
  <c r="AS158" i="1" s="1"/>
  <c r="AT206" i="1" l="1"/>
  <c r="AS192" i="1"/>
  <c r="AS191" i="1" s="1"/>
  <c r="AS206" i="1"/>
  <c r="AU155" i="1" l="1"/>
  <c r="AU158" i="1" s="1"/>
  <c r="AU192" i="1" l="1"/>
  <c r="AU191" i="1" s="1"/>
  <c r="AV206" i="1"/>
  <c r="AU206" i="1"/>
  <c r="AW155" i="1" l="1"/>
  <c r="AW158" i="1" s="1"/>
  <c r="AW192" i="1" l="1"/>
  <c r="AW191" i="1" s="1"/>
  <c r="AX206" i="1"/>
  <c r="AW206" i="1"/>
  <c r="AY155" i="1" l="1"/>
  <c r="AY158" i="1" s="1"/>
  <c r="AY192" i="1" l="1"/>
  <c r="AY191" i="1" s="1"/>
  <c r="AZ206" i="1"/>
  <c r="AY206" i="1"/>
  <c r="BA155" i="1" l="1"/>
  <c r="BA158" i="1" s="1"/>
  <c r="BB206" i="1" l="1"/>
  <c r="BA192" i="1"/>
  <c r="BA191" i="1" s="1"/>
  <c r="BA206" i="1"/>
  <c r="BC155" i="1" l="1"/>
  <c r="BC158" i="1" s="1"/>
  <c r="BD206" i="1" l="1"/>
  <c r="BC192" i="1"/>
  <c r="BC191" i="1" s="1"/>
  <c r="BC206" i="1"/>
  <c r="BE155" i="1" l="1"/>
  <c r="BE158" i="1" s="1"/>
  <c r="BF206" i="1" l="1"/>
  <c r="BE192" i="1"/>
  <c r="BE191" i="1" s="1"/>
  <c r="BE206" i="1"/>
  <c r="BG155" i="1" l="1"/>
  <c r="BG158" i="1" s="1"/>
  <c r="BG192" i="1" l="1"/>
  <c r="BG191" i="1" s="1"/>
  <c r="BH206" i="1"/>
  <c r="BG206" i="1"/>
  <c r="BI155" i="1" l="1"/>
  <c r="BI158" i="1" s="1"/>
  <c r="BJ206" i="1" l="1"/>
  <c r="BI192" i="1"/>
  <c r="BI191" i="1" s="1"/>
  <c r="BI206" i="1"/>
  <c r="BK155" i="1" l="1"/>
  <c r="BK158" i="1" s="1"/>
  <c r="BL206" i="1" l="1"/>
  <c r="BK192" i="1"/>
  <c r="BK191" i="1" s="1"/>
  <c r="BK206" i="1"/>
  <c r="BM155" i="1" l="1"/>
  <c r="BM158" i="1" s="1"/>
  <c r="BM192" i="1" l="1"/>
  <c r="BM191" i="1" s="1"/>
  <c r="BN206" i="1"/>
  <c r="BM206" i="1"/>
  <c r="BO155" i="1" l="1"/>
  <c r="BO158" i="1" s="1"/>
  <c r="BO192" i="1" l="1"/>
  <c r="BO191" i="1" s="1"/>
  <c r="BP206" i="1"/>
  <c r="BO206" i="1"/>
  <c r="BQ155" i="1" l="1"/>
  <c r="BQ158" i="1" s="1"/>
  <c r="BR206" i="1" l="1"/>
  <c r="BQ192" i="1"/>
  <c r="BQ191" i="1" s="1"/>
  <c r="BQ206" i="1"/>
  <c r="BS155" i="1" l="1"/>
  <c r="BS158" i="1" s="1"/>
  <c r="BT206" i="1" l="1"/>
  <c r="BS192" i="1"/>
  <c r="BS191" i="1" s="1"/>
  <c r="BS206" i="1"/>
  <c r="BU155" i="1" l="1"/>
  <c r="BU158" i="1" s="1"/>
  <c r="BU192" i="1" l="1"/>
  <c r="BU191" i="1" s="1"/>
  <c r="BV206" i="1"/>
  <c r="BU206" i="1"/>
  <c r="BW155" i="1" l="1"/>
  <c r="BW158" i="1" s="1"/>
  <c r="BW192" i="1" l="1"/>
  <c r="BW191" i="1" s="1"/>
  <c r="BX206" i="1"/>
  <c r="BW206" i="1"/>
  <c r="BY155" i="1" l="1"/>
  <c r="BY158" i="1" s="1"/>
  <c r="BZ206" i="1" l="1"/>
  <c r="BY192" i="1"/>
  <c r="BY191" i="1" s="1"/>
  <c r="BY206" i="1"/>
  <c r="AK193" i="1" l="1"/>
  <c r="AK163" i="1" s="1"/>
  <c r="AK166" i="1" s="1"/>
  <c r="AK167" i="1" l="1"/>
  <c r="AK195" i="1"/>
  <c r="AL207" i="1"/>
  <c r="AL208" i="1" s="1"/>
  <c r="AL209" i="1" s="1"/>
  <c r="AL223" i="1" s="1"/>
  <c r="AK207" i="1"/>
  <c r="AK208" i="1" s="1"/>
  <c r="AK209" i="1" s="1"/>
  <c r="AM163" i="1"/>
  <c r="AM166" i="1" s="1"/>
  <c r="AK223" i="1" l="1"/>
  <c r="AK220" i="1"/>
  <c r="AK170" i="1" s="1"/>
  <c r="AK171" i="1" s="1"/>
  <c r="AK175" i="1" s="1"/>
  <c r="AK176" i="1" s="1"/>
  <c r="AN207" i="1"/>
  <c r="AN208" i="1" s="1"/>
  <c r="AN209" i="1" s="1"/>
  <c r="AN223" i="1" s="1"/>
  <c r="AM195" i="1"/>
  <c r="AM194" i="1" s="1"/>
  <c r="AM207" i="1"/>
  <c r="AM208" i="1" s="1"/>
  <c r="AM209" i="1" s="1"/>
  <c r="AM167" i="1"/>
  <c r="AJ194" i="1"/>
  <c r="AJ196" i="1"/>
  <c r="AN199" i="1" s="1"/>
  <c r="AK194" i="1"/>
  <c r="AK196" i="1"/>
  <c r="AO163" i="1"/>
  <c r="AO166" i="1" s="1"/>
  <c r="AM196" i="1" l="1"/>
  <c r="AO195" i="1"/>
  <c r="AO194" i="1" s="1"/>
  <c r="AP207" i="1"/>
  <c r="AP208" i="1" s="1"/>
  <c r="AP209" i="1" s="1"/>
  <c r="AP223" i="1" s="1"/>
  <c r="AO207" i="1"/>
  <c r="AO208" i="1" s="1"/>
  <c r="AO209" i="1" s="1"/>
  <c r="AM223" i="1"/>
  <c r="AM220" i="1"/>
  <c r="AO167" i="1"/>
  <c r="AL219" i="1" l="1"/>
  <c r="AL220" i="1" s="1"/>
  <c r="AL221" i="1" s="1"/>
  <c r="AK221" i="1"/>
  <c r="AO196" i="1"/>
  <c r="AO199" i="1" s="1"/>
  <c r="AO223" i="1"/>
  <c r="AO220" i="1"/>
  <c r="AQ163" i="1"/>
  <c r="AQ166" i="1" s="1"/>
  <c r="AK178" i="1"/>
  <c r="AL47" i="1" s="1"/>
  <c r="AM170" i="1"/>
  <c r="AM171" i="1" s="1"/>
  <c r="AM175" i="1" s="1"/>
  <c r="AN219" i="1" l="1"/>
  <c r="AN220" i="1" s="1"/>
  <c r="AN221" i="1" s="1"/>
  <c r="AM258" i="1"/>
  <c r="AM256" i="1"/>
  <c r="AM254" i="1"/>
  <c r="AQ195" i="1"/>
  <c r="AQ194" i="1" s="1"/>
  <c r="AR207" i="1"/>
  <c r="AR208" i="1" s="1"/>
  <c r="AR209" i="1" s="1"/>
  <c r="AR223" i="1" s="1"/>
  <c r="AQ207" i="1"/>
  <c r="AQ208" i="1" s="1"/>
  <c r="AQ209" i="1" s="1"/>
  <c r="AM221" i="1"/>
  <c r="AQ167" i="1"/>
  <c r="AO170" i="1"/>
  <c r="AO171" i="1" s="1"/>
  <c r="AM178" i="1"/>
  <c r="AO256" i="1" l="1"/>
  <c r="AO258" i="1"/>
  <c r="AO254" i="1"/>
  <c r="AM119" i="1"/>
  <c r="AM120" i="1" s="1"/>
  <c r="AM123" i="1" s="1"/>
  <c r="AN47" i="1"/>
  <c r="AQ196" i="1"/>
  <c r="AQ199" i="1" s="1"/>
  <c r="AQ223" i="1"/>
  <c r="AQ220" i="1"/>
  <c r="AP219" i="1"/>
  <c r="AP220" i="1" s="1"/>
  <c r="AP221" i="1" s="1"/>
  <c r="AO221" i="1"/>
  <c r="AS163" i="1"/>
  <c r="AS166" i="1" s="1"/>
  <c r="AO178" i="1"/>
  <c r="AO175" i="1"/>
  <c r="AM176" i="1"/>
  <c r="AM121" i="1" l="1"/>
  <c r="AM124" i="1" s="1"/>
  <c r="AO119" i="1"/>
  <c r="AO121" i="1" s="1"/>
  <c r="AO124" i="1" s="1"/>
  <c r="AP47" i="1"/>
  <c r="AS195" i="1"/>
  <c r="AS194" i="1" s="1"/>
  <c r="AT207" i="1"/>
  <c r="AT208" i="1" s="1"/>
  <c r="AT209" i="1" s="1"/>
  <c r="AT223" i="1" s="1"/>
  <c r="AS207" i="1"/>
  <c r="AS208" i="1" s="1"/>
  <c r="AS209" i="1" s="1"/>
  <c r="AO176" i="1"/>
  <c r="AS167" i="1"/>
  <c r="AQ170" i="1"/>
  <c r="AQ171" i="1" s="1"/>
  <c r="AQ256" i="1" l="1"/>
  <c r="AQ258" i="1"/>
  <c r="AQ254" i="1"/>
  <c r="AO120" i="1"/>
  <c r="AO123" i="1" s="1"/>
  <c r="AS196" i="1"/>
  <c r="AS199" i="1" s="1"/>
  <c r="AS223" i="1"/>
  <c r="AS220" i="1"/>
  <c r="AR219" i="1"/>
  <c r="AR220" i="1" s="1"/>
  <c r="AR221" i="1" s="1"/>
  <c r="AQ221" i="1"/>
  <c r="AQ175" i="1"/>
  <c r="AQ178" i="1"/>
  <c r="AU163" i="1"/>
  <c r="AU166" i="1" s="1"/>
  <c r="AQ119" i="1" l="1"/>
  <c r="AQ120" i="1" s="1"/>
  <c r="AQ123" i="1" s="1"/>
  <c r="AR47" i="1"/>
  <c r="AU195" i="1"/>
  <c r="AU194" i="1" s="1"/>
  <c r="AV207" i="1"/>
  <c r="AV208" i="1" s="1"/>
  <c r="AV209" i="1" s="1"/>
  <c r="AV223" i="1" s="1"/>
  <c r="AU207" i="1"/>
  <c r="AU208" i="1" s="1"/>
  <c r="AU209" i="1" s="1"/>
  <c r="AU167" i="1"/>
  <c r="AS170" i="1"/>
  <c r="AS171" i="1" s="1"/>
  <c r="AQ176" i="1"/>
  <c r="AS258" i="1" l="1"/>
  <c r="AS256" i="1"/>
  <c r="AS254" i="1"/>
  <c r="AQ121" i="1"/>
  <c r="AQ124" i="1" s="1"/>
  <c r="AU196" i="1"/>
  <c r="AU199" i="1" s="1"/>
  <c r="AU223" i="1"/>
  <c r="AU220" i="1"/>
  <c r="AT219" i="1"/>
  <c r="AT220" i="1" s="1"/>
  <c r="AT221" i="1" s="1"/>
  <c r="AS221" i="1"/>
  <c r="AS178" i="1"/>
  <c r="AS175" i="1"/>
  <c r="AW163" i="1"/>
  <c r="AW166" i="1" s="1"/>
  <c r="AS119" i="1" l="1"/>
  <c r="AS120" i="1" s="1"/>
  <c r="AS123" i="1" s="1"/>
  <c r="AT47" i="1"/>
  <c r="AW195" i="1"/>
  <c r="AW196" i="1" s="1"/>
  <c r="AW199" i="1" s="1"/>
  <c r="AX207" i="1"/>
  <c r="AX208" i="1" s="1"/>
  <c r="AX209" i="1" s="1"/>
  <c r="AX223" i="1" s="1"/>
  <c r="AW207" i="1"/>
  <c r="AW208" i="1" s="1"/>
  <c r="AW209" i="1" s="1"/>
  <c r="AU170" i="1"/>
  <c r="AU171" i="1" s="1"/>
  <c r="AS176" i="1"/>
  <c r="AW167" i="1"/>
  <c r="AU258" i="1" l="1"/>
  <c r="AU256" i="1"/>
  <c r="AU254" i="1"/>
  <c r="AS121" i="1"/>
  <c r="AS124" i="1" s="1"/>
  <c r="AW194" i="1"/>
  <c r="AW223" i="1"/>
  <c r="AW220" i="1"/>
  <c r="AV219" i="1"/>
  <c r="AV220" i="1" s="1"/>
  <c r="AV221" i="1" s="1"/>
  <c r="AU221" i="1"/>
  <c r="AU178" i="1"/>
  <c r="AU175" i="1"/>
  <c r="AY163" i="1"/>
  <c r="AY166" i="1" s="1"/>
  <c r="AU119" i="1" l="1"/>
  <c r="AU121" i="1" s="1"/>
  <c r="AU124" i="1" s="1"/>
  <c r="AV47" i="1"/>
  <c r="AY195" i="1"/>
  <c r="AY194" i="1" s="1"/>
  <c r="AZ207" i="1"/>
  <c r="AZ208" i="1" s="1"/>
  <c r="AZ209" i="1" s="1"/>
  <c r="AZ223" i="1" s="1"/>
  <c r="AY207" i="1"/>
  <c r="AY208" i="1" s="1"/>
  <c r="AY209" i="1" s="1"/>
  <c r="AW170" i="1"/>
  <c r="AW171" i="1" s="1"/>
  <c r="AY167" i="1"/>
  <c r="AU176" i="1"/>
  <c r="AW256" i="1" l="1"/>
  <c r="AW258" i="1"/>
  <c r="AW254" i="1"/>
  <c r="AU120" i="1"/>
  <c r="AU123" i="1" s="1"/>
  <c r="AY196" i="1"/>
  <c r="AY199" i="1" s="1"/>
  <c r="AY223" i="1"/>
  <c r="AY220" i="1"/>
  <c r="AX219" i="1"/>
  <c r="AX220" i="1" s="1"/>
  <c r="AX221" i="1" s="1"/>
  <c r="AW221" i="1"/>
  <c r="BA163" i="1"/>
  <c r="BA166" i="1" s="1"/>
  <c r="AW175" i="1"/>
  <c r="AW178" i="1"/>
  <c r="AW119" i="1" l="1"/>
  <c r="AW121" i="1" s="1"/>
  <c r="AW124" i="1" s="1"/>
  <c r="AX47" i="1"/>
  <c r="BB207" i="1"/>
  <c r="BB208" i="1" s="1"/>
  <c r="BB209" i="1" s="1"/>
  <c r="BB223" i="1" s="1"/>
  <c r="BA195" i="1"/>
  <c r="BA194" i="1" s="1"/>
  <c r="BA207" i="1"/>
  <c r="BA208" i="1" s="1"/>
  <c r="BA209" i="1" s="1"/>
  <c r="AW176" i="1"/>
  <c r="BA167" i="1"/>
  <c r="AY170" i="1"/>
  <c r="AY171" i="1" s="1"/>
  <c r="AY256" i="1" l="1"/>
  <c r="AY258" i="1"/>
  <c r="AY254" i="1"/>
  <c r="AW120" i="1"/>
  <c r="AW123" i="1" s="1"/>
  <c r="BA196" i="1"/>
  <c r="BA199" i="1" s="1"/>
  <c r="BA223" i="1"/>
  <c r="BA220" i="1"/>
  <c r="AZ219" i="1"/>
  <c r="AZ220" i="1" s="1"/>
  <c r="AZ221" i="1" s="1"/>
  <c r="AY221" i="1"/>
  <c r="AY175" i="1"/>
  <c r="AY178" i="1"/>
  <c r="BC163" i="1"/>
  <c r="BC166" i="1" s="1"/>
  <c r="AY119" i="1" l="1"/>
  <c r="AY121" i="1" s="1"/>
  <c r="AY124" i="1" s="1"/>
  <c r="AZ47" i="1"/>
  <c r="BC195" i="1"/>
  <c r="BC194" i="1" s="1"/>
  <c r="BD207" i="1"/>
  <c r="BD208" i="1" s="1"/>
  <c r="BD209" i="1" s="1"/>
  <c r="BD223" i="1" s="1"/>
  <c r="BC207" i="1"/>
  <c r="BC208" i="1" s="1"/>
  <c r="BC209" i="1" s="1"/>
  <c r="AY176" i="1"/>
  <c r="BC167" i="1"/>
  <c r="BA170" i="1"/>
  <c r="BA171" i="1" s="1"/>
  <c r="BA258" i="1" l="1"/>
  <c r="BA256" i="1"/>
  <c r="BA254" i="1"/>
  <c r="AY120" i="1"/>
  <c r="AY123" i="1" s="1"/>
  <c r="BC196" i="1"/>
  <c r="BC199" i="1" s="1"/>
  <c r="BC223" i="1"/>
  <c r="BC220" i="1"/>
  <c r="BB219" i="1"/>
  <c r="BB220" i="1" s="1"/>
  <c r="BB221" i="1" s="1"/>
  <c r="BA221" i="1"/>
  <c r="BE163" i="1"/>
  <c r="BE166" i="1" s="1"/>
  <c r="BA178" i="1"/>
  <c r="BA175" i="1"/>
  <c r="BA119" i="1" l="1"/>
  <c r="BA120" i="1" s="1"/>
  <c r="BA123" i="1" s="1"/>
  <c r="BB47" i="1"/>
  <c r="BE195" i="1"/>
  <c r="BE194" i="1" s="1"/>
  <c r="BF207" i="1"/>
  <c r="BF208" i="1" s="1"/>
  <c r="BF209" i="1" s="1"/>
  <c r="BF223" i="1" s="1"/>
  <c r="BE207" i="1"/>
  <c r="BE208" i="1" s="1"/>
  <c r="BE209" i="1" s="1"/>
  <c r="BC170" i="1"/>
  <c r="BC171" i="1" s="1"/>
  <c r="BA176" i="1"/>
  <c r="BE167" i="1"/>
  <c r="BC258" i="1" l="1"/>
  <c r="BC256" i="1"/>
  <c r="BC254" i="1"/>
  <c r="BA121" i="1"/>
  <c r="BA124" i="1" s="1"/>
  <c r="BE196" i="1"/>
  <c r="BE199" i="1" s="1"/>
  <c r="BE223" i="1"/>
  <c r="BE220" i="1"/>
  <c r="BD219" i="1"/>
  <c r="BD220" i="1" s="1"/>
  <c r="BD221" i="1" s="1"/>
  <c r="BC221" i="1"/>
  <c r="BG163" i="1"/>
  <c r="BG166" i="1" s="1"/>
  <c r="BC175" i="1"/>
  <c r="BC178" i="1"/>
  <c r="BC119" i="1" l="1"/>
  <c r="BC120" i="1" s="1"/>
  <c r="BC123" i="1" s="1"/>
  <c r="BD47" i="1"/>
  <c r="BG195" i="1"/>
  <c r="BG196" i="1" s="1"/>
  <c r="BG199" i="1" s="1"/>
  <c r="BH207" i="1"/>
  <c r="BH208" i="1" s="1"/>
  <c r="BH209" i="1" s="1"/>
  <c r="BH223" i="1" s="1"/>
  <c r="BG207" i="1"/>
  <c r="BG208" i="1" s="1"/>
  <c r="BG209" i="1" s="1"/>
  <c r="BC176" i="1"/>
  <c r="BE170" i="1"/>
  <c r="BE171" i="1" s="1"/>
  <c r="BG167" i="1"/>
  <c r="BE256" i="1" l="1"/>
  <c r="BE258" i="1"/>
  <c r="BE254" i="1"/>
  <c r="BC121" i="1"/>
  <c r="BC124" i="1" s="1"/>
  <c r="BG194" i="1"/>
  <c r="BG223" i="1"/>
  <c r="BG220" i="1"/>
  <c r="BF219" i="1"/>
  <c r="BF220" i="1" s="1"/>
  <c r="BF221" i="1" s="1"/>
  <c r="BE221" i="1"/>
  <c r="BE178" i="1"/>
  <c r="BE175" i="1"/>
  <c r="BI163" i="1"/>
  <c r="BI166" i="1" s="1"/>
  <c r="BE119" i="1" l="1"/>
  <c r="BE120" i="1" s="1"/>
  <c r="BE123" i="1" s="1"/>
  <c r="BF47" i="1"/>
  <c r="BI195" i="1"/>
  <c r="BI194" i="1" s="1"/>
  <c r="BJ207" i="1"/>
  <c r="BJ208" i="1" s="1"/>
  <c r="BJ209" i="1" s="1"/>
  <c r="BJ223" i="1" s="1"/>
  <c r="BI207" i="1"/>
  <c r="BI208" i="1" s="1"/>
  <c r="BI209" i="1" s="1"/>
  <c r="BE176" i="1"/>
  <c r="BG170" i="1"/>
  <c r="BG171" i="1" s="1"/>
  <c r="BI167" i="1"/>
  <c r="BG256" i="1" l="1"/>
  <c r="BG258" i="1"/>
  <c r="BG254" i="1"/>
  <c r="BE121" i="1"/>
  <c r="BE124" i="1" s="1"/>
  <c r="BI196" i="1"/>
  <c r="BI199" i="1" s="1"/>
  <c r="BI223" i="1"/>
  <c r="BI220" i="1"/>
  <c r="BH219" i="1"/>
  <c r="BH220" i="1" s="1"/>
  <c r="BH221" i="1" s="1"/>
  <c r="BG221" i="1"/>
  <c r="BG175" i="1"/>
  <c r="BG178" i="1"/>
  <c r="BK163" i="1"/>
  <c r="BK166" i="1" s="1"/>
  <c r="BG119" i="1" l="1"/>
  <c r="BG120" i="1" s="1"/>
  <c r="BG123" i="1" s="1"/>
  <c r="BH47" i="1"/>
  <c r="BL207" i="1"/>
  <c r="BL208" i="1" s="1"/>
  <c r="BL209" i="1" s="1"/>
  <c r="BL223" i="1" s="1"/>
  <c r="BK195" i="1"/>
  <c r="BK194" i="1" s="1"/>
  <c r="BK207" i="1"/>
  <c r="BK208" i="1" s="1"/>
  <c r="BK209" i="1" s="1"/>
  <c r="BK167" i="1"/>
  <c r="BG176" i="1"/>
  <c r="BI170" i="1"/>
  <c r="BI171" i="1" s="1"/>
  <c r="BI258" i="1" l="1"/>
  <c r="BI256" i="1"/>
  <c r="BI254" i="1"/>
  <c r="BG121" i="1"/>
  <c r="BG124" i="1" s="1"/>
  <c r="BK196" i="1"/>
  <c r="BK199" i="1" s="1"/>
  <c r="BK223" i="1"/>
  <c r="BK220" i="1"/>
  <c r="BJ219" i="1"/>
  <c r="BJ220" i="1" s="1"/>
  <c r="BJ221" i="1" s="1"/>
  <c r="BI221" i="1"/>
  <c r="BI178" i="1"/>
  <c r="BI175" i="1"/>
  <c r="BM163" i="1"/>
  <c r="BM166" i="1" s="1"/>
  <c r="BI119" i="1" l="1"/>
  <c r="BI121" i="1" s="1"/>
  <c r="BI124" i="1" s="1"/>
  <c r="BJ47" i="1"/>
  <c r="BM195" i="1"/>
  <c r="BM194" i="1" s="1"/>
  <c r="BN207" i="1"/>
  <c r="BN208" i="1" s="1"/>
  <c r="BN209" i="1" s="1"/>
  <c r="BN223" i="1" s="1"/>
  <c r="BM207" i="1"/>
  <c r="BM208" i="1" s="1"/>
  <c r="BM209" i="1" s="1"/>
  <c r="BM167" i="1"/>
  <c r="BI176" i="1"/>
  <c r="BK170" i="1"/>
  <c r="BK171" i="1" s="1"/>
  <c r="BK258" i="1" l="1"/>
  <c r="BK256" i="1"/>
  <c r="BK254" i="1"/>
  <c r="BI120" i="1"/>
  <c r="BI123" i="1" s="1"/>
  <c r="BM196" i="1"/>
  <c r="BM199" i="1" s="1"/>
  <c r="BM223" i="1"/>
  <c r="BM220" i="1"/>
  <c r="BL219" i="1"/>
  <c r="BL220" i="1" s="1"/>
  <c r="BL221" i="1" s="1"/>
  <c r="BK221" i="1"/>
  <c r="BK178" i="1"/>
  <c r="BK175" i="1"/>
  <c r="BO163" i="1"/>
  <c r="BO166" i="1" s="1"/>
  <c r="BK119" i="1" l="1"/>
  <c r="BK121" i="1" s="1"/>
  <c r="BK124" i="1" s="1"/>
  <c r="BL47" i="1"/>
  <c r="BO195" i="1"/>
  <c r="BO194" i="1" s="1"/>
  <c r="BP207" i="1"/>
  <c r="BP208" i="1" s="1"/>
  <c r="BP209" i="1" s="1"/>
  <c r="BP223" i="1" s="1"/>
  <c r="BO207" i="1"/>
  <c r="BO208" i="1" s="1"/>
  <c r="BO209" i="1" s="1"/>
  <c r="BM170" i="1"/>
  <c r="BM171" i="1" s="1"/>
  <c r="BK176" i="1"/>
  <c r="BO167" i="1"/>
  <c r="BM256" i="1" l="1"/>
  <c r="BM258" i="1"/>
  <c r="BM254" i="1"/>
  <c r="BK120" i="1"/>
  <c r="BK123" i="1" s="1"/>
  <c r="BO196" i="1"/>
  <c r="BO199" i="1" s="1"/>
  <c r="BO223" i="1"/>
  <c r="BO220" i="1"/>
  <c r="BN219" i="1"/>
  <c r="BN220" i="1" s="1"/>
  <c r="BN221" i="1" s="1"/>
  <c r="BM221" i="1"/>
  <c r="BM175" i="1"/>
  <c r="BM178" i="1"/>
  <c r="BQ163" i="1"/>
  <c r="BQ166" i="1" s="1"/>
  <c r="BM119" i="1" l="1"/>
  <c r="BM120" i="1" s="1"/>
  <c r="BM123" i="1" s="1"/>
  <c r="BN47" i="1"/>
  <c r="BQ195" i="1"/>
  <c r="BQ194" i="1" s="1"/>
  <c r="BR207" i="1"/>
  <c r="BR208" i="1" s="1"/>
  <c r="BR209" i="1" s="1"/>
  <c r="BR223" i="1" s="1"/>
  <c r="BQ207" i="1"/>
  <c r="BQ208" i="1" s="1"/>
  <c r="BQ209" i="1" s="1"/>
  <c r="BO170" i="1"/>
  <c r="BO171" i="1" s="1"/>
  <c r="BQ167" i="1"/>
  <c r="BM176" i="1"/>
  <c r="BO256" i="1" l="1"/>
  <c r="BO258" i="1"/>
  <c r="BO254" i="1"/>
  <c r="BM121" i="1"/>
  <c r="BM124" i="1" s="1"/>
  <c r="BQ196" i="1"/>
  <c r="BQ199" i="1" s="1"/>
  <c r="BQ223" i="1"/>
  <c r="BQ220" i="1"/>
  <c r="BP219" i="1"/>
  <c r="BP220" i="1" s="1"/>
  <c r="BP221" i="1" s="1"/>
  <c r="BO221" i="1"/>
  <c r="BS163" i="1"/>
  <c r="BS166" i="1" s="1"/>
  <c r="BO175" i="1"/>
  <c r="BO178" i="1"/>
  <c r="BO119" i="1" l="1"/>
  <c r="BO120" i="1" s="1"/>
  <c r="BO123" i="1" s="1"/>
  <c r="BP47" i="1"/>
  <c r="BS195" i="1"/>
  <c r="BS194" i="1" s="1"/>
  <c r="BT207" i="1"/>
  <c r="BT208" i="1" s="1"/>
  <c r="BT209" i="1" s="1"/>
  <c r="BT223" i="1" s="1"/>
  <c r="BS207" i="1"/>
  <c r="BS208" i="1" s="1"/>
  <c r="BS209" i="1" s="1"/>
  <c r="BO176" i="1"/>
  <c r="BS167" i="1"/>
  <c r="BQ170" i="1"/>
  <c r="BQ171" i="1" s="1"/>
  <c r="BQ258" i="1" l="1"/>
  <c r="BQ256" i="1"/>
  <c r="BQ254" i="1"/>
  <c r="BO121" i="1"/>
  <c r="BO124" i="1" s="1"/>
  <c r="BS196" i="1"/>
  <c r="BS199" i="1" s="1"/>
  <c r="BS223" i="1"/>
  <c r="BS220" i="1"/>
  <c r="BR219" i="1"/>
  <c r="BR220" i="1" s="1"/>
  <c r="BR221" i="1" s="1"/>
  <c r="BQ221" i="1"/>
  <c r="BQ175" i="1"/>
  <c r="BQ178" i="1"/>
  <c r="BU163" i="1"/>
  <c r="BU166" i="1" s="1"/>
  <c r="BQ119" i="1" l="1"/>
  <c r="BQ120" i="1" s="1"/>
  <c r="BQ123" i="1" s="1"/>
  <c r="BR47" i="1"/>
  <c r="BU195" i="1"/>
  <c r="BU194" i="1" s="1"/>
  <c r="BV207" i="1"/>
  <c r="BV208" i="1" s="1"/>
  <c r="BV209" i="1" s="1"/>
  <c r="BV223" i="1" s="1"/>
  <c r="BU207" i="1"/>
  <c r="BU208" i="1" s="1"/>
  <c r="BU209" i="1" s="1"/>
  <c r="BS170" i="1"/>
  <c r="BS171" i="1" s="1"/>
  <c r="BQ176" i="1"/>
  <c r="BU167" i="1"/>
  <c r="BS258" i="1" l="1"/>
  <c r="BS256" i="1"/>
  <c r="BS254" i="1"/>
  <c r="BQ121" i="1"/>
  <c r="BQ124" i="1" s="1"/>
  <c r="BU196" i="1"/>
  <c r="BU199" i="1" s="1"/>
  <c r="BU223" i="1"/>
  <c r="BU220" i="1"/>
  <c r="BT219" i="1"/>
  <c r="BT220" i="1" s="1"/>
  <c r="BT221" i="1" s="1"/>
  <c r="BS221" i="1"/>
  <c r="BS175" i="1"/>
  <c r="BS178" i="1"/>
  <c r="BW163" i="1"/>
  <c r="BW166" i="1" s="1"/>
  <c r="BS119" i="1" l="1"/>
  <c r="BS121" i="1" s="1"/>
  <c r="BS124" i="1" s="1"/>
  <c r="BT47" i="1"/>
  <c r="BW195" i="1"/>
  <c r="BW194" i="1" s="1"/>
  <c r="BX207" i="1"/>
  <c r="BX208" i="1" s="1"/>
  <c r="BX209" i="1" s="1"/>
  <c r="BX223" i="1" s="1"/>
  <c r="BW207" i="1"/>
  <c r="BW208" i="1" s="1"/>
  <c r="BW209" i="1" s="1"/>
  <c r="BW167" i="1"/>
  <c r="BS176" i="1"/>
  <c r="BU170" i="1"/>
  <c r="BU171" i="1" s="1"/>
  <c r="BU256" i="1" l="1"/>
  <c r="BU258" i="1"/>
  <c r="BU254" i="1"/>
  <c r="BS120" i="1"/>
  <c r="BS123" i="1" s="1"/>
  <c r="BW196" i="1"/>
  <c r="BW199" i="1" s="1"/>
  <c r="BW223" i="1"/>
  <c r="BW220" i="1"/>
  <c r="BV219" i="1"/>
  <c r="BV220" i="1" s="1"/>
  <c r="BV221" i="1" s="1"/>
  <c r="BU221" i="1"/>
  <c r="BU175" i="1"/>
  <c r="BU178" i="1"/>
  <c r="BY163" i="1"/>
  <c r="BY166" i="1" s="1"/>
  <c r="BU119" i="1" l="1"/>
  <c r="BU121" i="1" s="1"/>
  <c r="BU124" i="1" s="1"/>
  <c r="BV47" i="1"/>
  <c r="BZ207" i="1"/>
  <c r="BZ208" i="1" s="1"/>
  <c r="BZ209" i="1" s="1"/>
  <c r="BZ223" i="1" s="1"/>
  <c r="BY195" i="1"/>
  <c r="BY194" i="1" s="1"/>
  <c r="BY207" i="1"/>
  <c r="BY208" i="1" s="1"/>
  <c r="BY209" i="1" s="1"/>
  <c r="BW170" i="1"/>
  <c r="BW171" i="1" s="1"/>
  <c r="BY167" i="1"/>
  <c r="BU176" i="1"/>
  <c r="BW256" i="1" l="1"/>
  <c r="BW258" i="1"/>
  <c r="BW254" i="1"/>
  <c r="BU120" i="1"/>
  <c r="BU123" i="1" s="1"/>
  <c r="BY196" i="1"/>
  <c r="BY199" i="1" s="1"/>
  <c r="BY223" i="1"/>
  <c r="BY220" i="1"/>
  <c r="BX219" i="1"/>
  <c r="BX220" i="1" s="1"/>
  <c r="BX221" i="1" s="1"/>
  <c r="BW221" i="1"/>
  <c r="BW175" i="1"/>
  <c r="BW178" i="1"/>
  <c r="BW119" i="1" l="1"/>
  <c r="BW121" i="1" s="1"/>
  <c r="BW124" i="1" s="1"/>
  <c r="BX47" i="1"/>
  <c r="BW176" i="1"/>
  <c r="BY170" i="1"/>
  <c r="BY171" i="1" s="1"/>
  <c r="BY258" i="1" l="1"/>
  <c r="BY256" i="1"/>
  <c r="BY254" i="1"/>
  <c r="BW120" i="1"/>
  <c r="BW123" i="1" s="1"/>
  <c r="BZ219" i="1"/>
  <c r="BZ220" i="1" s="1"/>
  <c r="BZ221" i="1" s="1"/>
  <c r="BY221" i="1"/>
  <c r="BY178" i="1"/>
  <c r="BY175" i="1"/>
  <c r="BY119" i="1" l="1"/>
  <c r="BY120" i="1" s="1"/>
  <c r="BY123" i="1" s="1"/>
  <c r="BZ47" i="1"/>
  <c r="BY176" i="1"/>
  <c r="CC155" i="1"/>
  <c r="CC154" i="1"/>
  <c r="CA154" i="1"/>
  <c r="CA163" i="1"/>
  <c r="CA166" i="1" s="1"/>
  <c r="CA155" i="1"/>
  <c r="BY121" i="1" l="1"/>
  <c r="BY124" i="1" s="1"/>
  <c r="CA158" i="1"/>
  <c r="CA192" i="1" s="1"/>
  <c r="CA191" i="1" s="1"/>
  <c r="CB207" i="1"/>
  <c r="CA195" i="1"/>
  <c r="CA194" i="1" s="1"/>
  <c r="CA207" i="1"/>
  <c r="CC163" i="1"/>
  <c r="CC166" i="1" s="1"/>
  <c r="CC158" i="1"/>
  <c r="CA167" i="1" l="1"/>
  <c r="CA206" i="1"/>
  <c r="CA208" i="1" s="1"/>
  <c r="CA209" i="1" s="1"/>
  <c r="CA223" i="1" s="1"/>
  <c r="CB206" i="1"/>
  <c r="CB208" i="1" s="1"/>
  <c r="CB209" i="1" s="1"/>
  <c r="CB223" i="1" s="1"/>
  <c r="CA196" i="1"/>
  <c r="CD206" i="1"/>
  <c r="CC192" i="1"/>
  <c r="CC191" i="1" s="1"/>
  <c r="CC206" i="1"/>
  <c r="CC195" i="1"/>
  <c r="CC194" i="1" s="1"/>
  <c r="CD207" i="1"/>
  <c r="CC207" i="1"/>
  <c r="CC167" i="1"/>
  <c r="CA199" i="1" l="1"/>
  <c r="CE199" i="1"/>
  <c r="CC208" i="1"/>
  <c r="CC209" i="1" s="1"/>
  <c r="CC223" i="1" s="1"/>
  <c r="CD208" i="1"/>
  <c r="CD209" i="1" s="1"/>
  <c r="CD223" i="1" s="1"/>
  <c r="CA220" i="1"/>
  <c r="CA170" i="1" s="1"/>
  <c r="CA171" i="1" s="1"/>
  <c r="CC196" i="1"/>
  <c r="CA258" i="1" l="1"/>
  <c r="CA256" i="1"/>
  <c r="CA254" i="1"/>
  <c r="CC199" i="1"/>
  <c r="CG199" i="1"/>
  <c r="CC220" i="1"/>
  <c r="CC170" i="1" s="1"/>
  <c r="CC171" i="1" s="1"/>
  <c r="CB219" i="1"/>
  <c r="CB220" i="1" s="1"/>
  <c r="CB221" i="1" s="1"/>
  <c r="CA221" i="1"/>
  <c r="CA178" i="1"/>
  <c r="CA175" i="1"/>
  <c r="CC256" i="1" l="1"/>
  <c r="CC258" i="1"/>
  <c r="CC254" i="1"/>
  <c r="CA119" i="1"/>
  <c r="CA120" i="1" s="1"/>
  <c r="CA123" i="1" s="1"/>
  <c r="CB47" i="1"/>
  <c r="CD219" i="1"/>
  <c r="CD220" i="1" s="1"/>
  <c r="CD221" i="1" s="1"/>
  <c r="CC221" i="1"/>
  <c r="CC175" i="1"/>
  <c r="CC178" i="1"/>
  <c r="CA176" i="1"/>
  <c r="CA121" i="1" l="1"/>
  <c r="CA124" i="1" s="1"/>
  <c r="CC119" i="1"/>
  <c r="CC120" i="1" s="1"/>
  <c r="CC123" i="1" s="1"/>
  <c r="CD47" i="1"/>
  <c r="CC176" i="1"/>
  <c r="CC121" i="1" l="1"/>
  <c r="CC124" i="1" s="1"/>
  <c r="CE99" i="1"/>
  <c r="CD99" i="1"/>
  <c r="CC99" i="1"/>
  <c r="CB99" i="1"/>
  <c r="CI155" i="1" l="1"/>
  <c r="CI163" i="1"/>
  <c r="CI166" i="1" s="1"/>
  <c r="CI154" i="1"/>
  <c r="CJ207" i="1" l="1"/>
  <c r="CI158" i="1"/>
  <c r="CI207" i="1"/>
  <c r="CJ206" i="1" l="1"/>
  <c r="CJ208" i="1" s="1"/>
  <c r="CJ209" i="1" s="1"/>
  <c r="CJ223" i="1" s="1"/>
  <c r="CI167" i="1"/>
  <c r="CI206" i="1"/>
  <c r="CI208" i="1" s="1"/>
  <c r="CI209" i="1" s="1"/>
  <c r="CI223" i="1" s="1"/>
  <c r="CI196" i="1" l="1"/>
  <c r="CI199" i="1" s="1"/>
  <c r="CI220" i="1"/>
  <c r="CI170" i="1" s="1"/>
  <c r="CI171" i="1" s="1"/>
  <c r="CI258" i="1" l="1"/>
  <c r="CI256" i="1"/>
  <c r="CI254" i="1"/>
  <c r="CI221" i="1"/>
  <c r="CJ219" i="1"/>
  <c r="CJ220" i="1" s="1"/>
  <c r="CI178" i="1"/>
  <c r="CI175" i="1"/>
  <c r="CI119" i="1" l="1"/>
  <c r="CI121" i="1" s="1"/>
  <c r="CI124" i="1" s="1"/>
  <c r="CJ47" i="1"/>
  <c r="CJ221" i="1"/>
  <c r="CI176" i="1"/>
  <c r="CI120" i="1" l="1"/>
  <c r="CI123" i="1" s="1"/>
  <c r="CJ178" i="1"/>
  <c r="CK47" i="1" s="1"/>
  <c r="CJ119" i="1" l="1"/>
  <c r="CN47" i="1"/>
  <c r="CO47" i="1" s="1"/>
  <c r="CP47" i="1" s="1"/>
  <c r="CR47" i="1" s="1"/>
  <c r="CS47" i="1" s="1"/>
  <c r="CT47" i="1" s="1"/>
  <c r="CU47" i="1" s="1"/>
  <c r="CV47" i="1" s="1"/>
  <c r="CW47" i="1" s="1"/>
  <c r="CX47" i="1" s="1"/>
  <c r="CY47" i="1" s="1"/>
  <c r="CZ47" i="1" s="1"/>
  <c r="DA47" i="1" s="1"/>
  <c r="DB47" i="1" s="1"/>
  <c r="CJ121" i="1" l="1"/>
  <c r="CJ124" i="1" s="1"/>
  <c r="CJ120" i="1"/>
  <c r="CJ123" i="1" s="1"/>
  <c r="CK241" i="1" l="1"/>
  <c r="CK263" i="1"/>
  <c r="CK262" i="1"/>
  <c r="CK154" i="1" l="1"/>
  <c r="CK163" i="1"/>
  <c r="CK155" i="1"/>
  <c r="CK162" i="1"/>
  <c r="CK235" i="1"/>
  <c r="CK156" i="1"/>
  <c r="CK166" i="1" l="1"/>
  <c r="CK207" i="1" s="1"/>
  <c r="CK158" i="1"/>
  <c r="CK206" i="1" s="1"/>
  <c r="CK208" i="1" l="1"/>
  <c r="CK167" i="1"/>
  <c r="CK260" i="1"/>
  <c r="CK261" i="1" s="1"/>
  <c r="CK242" i="1"/>
  <c r="CK243" i="1" s="1"/>
  <c r="CK236" i="1"/>
  <c r="CK255" i="1" l="1"/>
  <c r="CK237" i="1"/>
  <c r="CK244" i="1"/>
  <c r="CK203" i="1" l="1"/>
  <c r="CK205" i="1" s="1"/>
  <c r="CK209" i="1" s="1"/>
  <c r="CK129" i="1"/>
  <c r="CK130" i="1" l="1"/>
  <c r="CK64" i="1" l="1"/>
  <c r="CK102" i="1"/>
  <c r="CG99" i="1"/>
  <c r="CK217" i="1"/>
  <c r="CK215" i="1" s="1"/>
  <c r="CK139" i="1"/>
  <c r="CK65" i="1" s="1"/>
  <c r="CK105" i="1" l="1"/>
  <c r="CK104" i="1"/>
  <c r="CK106" i="1"/>
  <c r="CK148" i="1" l="1"/>
  <c r="CK213" i="1" s="1"/>
  <c r="CK211" i="1" s="1"/>
  <c r="CL204" i="1" l="1"/>
  <c r="CK223" i="1"/>
  <c r="CK220" i="1"/>
  <c r="CK170" i="1" l="1"/>
  <c r="CK171" i="1" s="1"/>
  <c r="CK221" i="1" s="1"/>
  <c r="CK256" i="1" l="1"/>
  <c r="CK258" i="1"/>
  <c r="CL219" i="1"/>
  <c r="CK254" i="1"/>
  <c r="CK178" i="1"/>
  <c r="CK175" i="1"/>
  <c r="CK176" i="1" s="1"/>
  <c r="CK119" i="1" l="1"/>
  <c r="CK120" i="1" s="1"/>
  <c r="CK123" i="1" s="1"/>
  <c r="CL47" i="1"/>
  <c r="CK121" i="1" l="1"/>
  <c r="CK124" i="1" s="1"/>
  <c r="CM42" i="1" l="1"/>
  <c r="CL213" i="1"/>
  <c r="CL211" i="1" s="1"/>
  <c r="CM142" i="1" l="1"/>
  <c r="CM144" i="1" s="1"/>
  <c r="CM204" i="1"/>
  <c r="CN42" i="1" l="1"/>
  <c r="CM148" i="1"/>
  <c r="CN204" i="1" l="1"/>
  <c r="CN142" i="1"/>
  <c r="CM213" i="1"/>
  <c r="CM211" i="1" s="1"/>
  <c r="CN144" i="1" l="1"/>
  <c r="AB141" i="1"/>
  <c r="CO42" i="1" l="1"/>
  <c r="CN148" i="1"/>
  <c r="CO142" i="1" l="1"/>
  <c r="CO204" i="1"/>
  <c r="CN213" i="1"/>
  <c r="CN211" i="1" s="1"/>
  <c r="CO144" i="1" l="1"/>
  <c r="CP42" i="1" l="1"/>
  <c r="CO148" i="1"/>
  <c r="AC141" i="1"/>
  <c r="CP142" i="1" l="1"/>
  <c r="AB42" i="1"/>
  <c r="CP204" i="1"/>
  <c r="CO213" i="1"/>
  <c r="CO211" i="1" s="1"/>
  <c r="CP144" i="1" l="1"/>
  <c r="AB142" i="1"/>
  <c r="AB144" i="1" s="1"/>
  <c r="AB204" i="1"/>
  <c r="AB148" i="1" l="1"/>
  <c r="AB213" i="1" s="1"/>
  <c r="AB211" i="1" s="1"/>
  <c r="AB43" i="1"/>
  <c r="CQ42" i="1"/>
  <c r="CP148" i="1"/>
  <c r="CQ142" i="1" l="1"/>
  <c r="CQ204" i="1"/>
  <c r="CP213" i="1"/>
  <c r="CP211" i="1" s="1"/>
  <c r="AD141" i="1"/>
  <c r="CQ144" i="1" l="1"/>
  <c r="CR42" i="1" l="1"/>
  <c r="CQ148" i="1"/>
  <c r="CR142" i="1" l="1"/>
  <c r="CR204" i="1"/>
  <c r="CQ213" i="1"/>
  <c r="CQ211" i="1" s="1"/>
  <c r="CR144" i="1" l="1"/>
  <c r="AE141" i="1"/>
  <c r="CS42" i="1" l="1"/>
  <c r="CR148" i="1"/>
  <c r="CS142" i="1" l="1"/>
  <c r="CS204" i="1"/>
  <c r="CR213" i="1"/>
  <c r="CR211" i="1" s="1"/>
  <c r="CS144" i="1" l="1"/>
  <c r="CT42" i="1" l="1"/>
  <c r="CS148" i="1"/>
  <c r="CT142" i="1" l="1"/>
  <c r="AC42" i="1"/>
  <c r="CT204" i="1"/>
  <c r="CS213" i="1"/>
  <c r="CS211" i="1" s="1"/>
  <c r="CT144" i="1" l="1"/>
  <c r="AC142" i="1"/>
  <c r="AC144" i="1" s="1"/>
  <c r="AC204" i="1"/>
  <c r="CT148" i="1" l="1"/>
  <c r="CU42" i="1"/>
  <c r="AC148" i="1"/>
  <c r="AC213" i="1" s="1"/>
  <c r="AC211" i="1" s="1"/>
  <c r="AC43" i="1"/>
  <c r="CT213" i="1" l="1"/>
  <c r="CT211" i="1" s="1"/>
  <c r="CU142" i="1"/>
  <c r="CU204" i="1"/>
  <c r="CU144" i="1" l="1"/>
  <c r="CV42" i="1" l="1"/>
  <c r="CU148" i="1"/>
  <c r="CV142" i="1" l="1"/>
  <c r="CV204" i="1"/>
  <c r="CU213" i="1"/>
  <c r="CU211" i="1" s="1"/>
  <c r="CV144" i="1" l="1"/>
  <c r="CW42" i="1" l="1"/>
  <c r="CV148" i="1"/>
  <c r="CW142" i="1" l="1"/>
  <c r="CW204" i="1"/>
  <c r="CV213" i="1"/>
  <c r="CV211" i="1" s="1"/>
  <c r="CW144" i="1" l="1"/>
  <c r="CW148" i="1" l="1"/>
  <c r="CX42" i="1"/>
  <c r="CW213" i="1" l="1"/>
  <c r="CW211" i="1" s="1"/>
  <c r="CX142" i="1"/>
  <c r="AD42" i="1"/>
  <c r="CX204" i="1"/>
  <c r="CX144" i="1" l="1"/>
  <c r="AD142" i="1"/>
  <c r="AD144" i="1" s="1"/>
  <c r="AD204" i="1"/>
  <c r="AD148" i="1" l="1"/>
  <c r="AD213" i="1" s="1"/>
  <c r="AD211" i="1" s="1"/>
  <c r="AD43" i="1"/>
  <c r="CX148" i="1"/>
  <c r="CY42" i="1"/>
  <c r="CX213" i="1" l="1"/>
  <c r="CX211" i="1" s="1"/>
  <c r="CY142" i="1"/>
  <c r="CY204" i="1"/>
  <c r="CY144" i="1" l="1"/>
  <c r="CY148" i="1" l="1"/>
  <c r="CZ42" i="1"/>
  <c r="CY213" i="1" l="1"/>
  <c r="CY211" i="1" s="1"/>
  <c r="CZ142" i="1"/>
  <c r="CZ204" i="1"/>
  <c r="CZ144" i="1" l="1"/>
  <c r="DA42" i="1" l="1"/>
  <c r="CZ148" i="1"/>
  <c r="DA142" i="1" l="1"/>
  <c r="DA204" i="1"/>
  <c r="CZ213" i="1"/>
  <c r="CZ211" i="1" s="1"/>
  <c r="DA144" i="1" l="1"/>
  <c r="DA148" i="1" l="1"/>
  <c r="DB42" i="1"/>
  <c r="DA213" i="1" l="1"/>
  <c r="DA211" i="1" s="1"/>
  <c r="DB142" i="1"/>
  <c r="AE42" i="1"/>
  <c r="DB204" i="1"/>
  <c r="DB144" i="1" l="1"/>
  <c r="DB148" i="1" s="1"/>
  <c r="DB213" i="1" s="1"/>
  <c r="DB211" i="1" s="1"/>
  <c r="AE142" i="1"/>
  <c r="AE144" i="1" s="1"/>
  <c r="AE204" i="1"/>
  <c r="AE148" i="1" l="1"/>
  <c r="AE213" i="1" s="1"/>
  <c r="AE211" i="1" s="1"/>
  <c r="AE43" i="1"/>
  <c r="CL263" i="1" l="1"/>
  <c r="CL241" i="1"/>
  <c r="CL262" i="1"/>
  <c r="AA5" i="1"/>
  <c r="CL235" i="1" l="1"/>
  <c r="CL122" i="1" l="1"/>
  <c r="CL260" i="1" l="1"/>
  <c r="CL261" i="1" s="1"/>
  <c r="CL242" i="1"/>
  <c r="CL243" i="1" s="1"/>
  <c r="CL236" i="1"/>
  <c r="CL206" i="1"/>
  <c r="CL207" i="1"/>
  <c r="CL208" i="1" l="1"/>
  <c r="CL255" i="1" l="1"/>
  <c r="CL237" i="1"/>
  <c r="CL244" i="1"/>
  <c r="CL203" i="1" l="1"/>
  <c r="CL205" i="1" s="1"/>
  <c r="CL209" i="1" s="1"/>
  <c r="CL223" i="1" s="1"/>
  <c r="CL64" i="1" l="1"/>
  <c r="CL102" i="1" l="1"/>
  <c r="CL104" i="1" s="1"/>
  <c r="CL95" i="1"/>
  <c r="CL97" i="1"/>
  <c r="CN97" i="1" s="1"/>
  <c r="CO97" i="1" s="1"/>
  <c r="CP97" i="1" s="1"/>
  <c r="CQ97" i="1" s="1"/>
  <c r="CR97" i="1" s="1"/>
  <c r="CS97" i="1" s="1"/>
  <c r="CT97" i="1" s="1"/>
  <c r="CU97" i="1" s="1"/>
  <c r="CV97" i="1" s="1"/>
  <c r="CW97" i="1" s="1"/>
  <c r="CX97" i="1" s="1"/>
  <c r="CY97" i="1" s="1"/>
  <c r="CZ97" i="1" s="1"/>
  <c r="DA97" i="1" s="1"/>
  <c r="DB97" i="1" s="1"/>
  <c r="CL96" i="1"/>
  <c r="CH99" i="1"/>
  <c r="CL65" i="1"/>
  <c r="CL217" i="1"/>
  <c r="CL215" i="1" s="1"/>
  <c r="CL220" i="1" s="1"/>
  <c r="CL106" i="1" l="1"/>
  <c r="CM106" i="1" s="1"/>
  <c r="CN106" i="1" s="1"/>
  <c r="CO106" i="1" s="1"/>
  <c r="CP106" i="1" s="1"/>
  <c r="CQ106" i="1" s="1"/>
  <c r="CR106" i="1" s="1"/>
  <c r="CS106" i="1" s="1"/>
  <c r="CT106" i="1" s="1"/>
  <c r="CU106" i="1" s="1"/>
  <c r="CV106" i="1" s="1"/>
  <c r="CW106" i="1" s="1"/>
  <c r="CX106" i="1" s="1"/>
  <c r="CY106" i="1" s="1"/>
  <c r="CZ106" i="1" s="1"/>
  <c r="DA106" i="1" s="1"/>
  <c r="DB106" i="1" s="1"/>
  <c r="CL105" i="1"/>
  <c r="CM105" i="1" s="1"/>
  <c r="CN105" i="1" s="1"/>
  <c r="CO105" i="1" s="1"/>
  <c r="CP105" i="1" s="1"/>
  <c r="CQ105" i="1" s="1"/>
  <c r="CR105" i="1" s="1"/>
  <c r="CS105" i="1" s="1"/>
  <c r="CT105" i="1" s="1"/>
  <c r="CU105" i="1" s="1"/>
  <c r="CV105" i="1" s="1"/>
  <c r="CW105" i="1" s="1"/>
  <c r="CX105" i="1" s="1"/>
  <c r="CY105" i="1" s="1"/>
  <c r="CZ105" i="1" s="1"/>
  <c r="DA105" i="1" s="1"/>
  <c r="DB105" i="1" s="1"/>
  <c r="CL100" i="1"/>
  <c r="CM96" i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DB96" i="1" s="1"/>
  <c r="CL256" i="1" l="1"/>
  <c r="CL258" i="1"/>
  <c r="CM219" i="1"/>
  <c r="CL119" i="1"/>
  <c r="CL254" i="1"/>
  <c r="CL221" i="1"/>
  <c r="AB219" i="1"/>
  <c r="CL121" i="1" l="1"/>
  <c r="CL124" i="1" s="1"/>
  <c r="CL120" i="1"/>
  <c r="CL123" i="1" s="1"/>
  <c r="CM46" i="1"/>
  <c r="CM4" i="1" l="1"/>
  <c r="CM18" i="1" s="1"/>
  <c r="CM262" i="1" l="1"/>
  <c r="CM263" i="1"/>
  <c r="CM241" i="1"/>
  <c r="CM108" i="1"/>
  <c r="CM109" i="1" s="1"/>
  <c r="CM112" i="1" s="1"/>
  <c r="CM20" i="1"/>
  <c r="CN4" i="1"/>
  <c r="CM21" i="1" l="1"/>
  <c r="CO4" i="1"/>
  <c r="CN18" i="1"/>
  <c r="CM163" i="1"/>
  <c r="CM156" i="1"/>
  <c r="CM162" i="1"/>
  <c r="CM36" i="1"/>
  <c r="CM33" i="1" s="1"/>
  <c r="CM155" i="1"/>
  <c r="CM22" i="1"/>
  <c r="CM154" i="1"/>
  <c r="CM235" i="1"/>
  <c r="CM26" i="1"/>
  <c r="CM25" i="1" s="1"/>
  <c r="CN263" i="1" l="1"/>
  <c r="CN241" i="1"/>
  <c r="CN20" i="1"/>
  <c r="CN108" i="1"/>
  <c r="CN109" i="1" s="1"/>
  <c r="CN112" i="1" s="1"/>
  <c r="CM28" i="1"/>
  <c r="CM29" i="1"/>
  <c r="CM38" i="1"/>
  <c r="CM158" i="1"/>
  <c r="CM166" i="1"/>
  <c r="CO18" i="1"/>
  <c r="CP4" i="1"/>
  <c r="CP18" i="1" s="1"/>
  <c r="AB4" i="1" l="1"/>
  <c r="AB7" i="1" s="1"/>
  <c r="CN21" i="1"/>
  <c r="CO263" i="1"/>
  <c r="CO241" i="1"/>
  <c r="CO20" i="1"/>
  <c r="CO235" i="1" s="1"/>
  <c r="CO108" i="1"/>
  <c r="CO109" i="1" s="1"/>
  <c r="CO112" i="1" s="1"/>
  <c r="CN162" i="1"/>
  <c r="CN163" i="1"/>
  <c r="CN155" i="1"/>
  <c r="CN154" i="1"/>
  <c r="CN36" i="1"/>
  <c r="CN33" i="1" s="1"/>
  <c r="CN22" i="1"/>
  <c r="CN156" i="1"/>
  <c r="CN26" i="1"/>
  <c r="CN235" i="1"/>
  <c r="CM207" i="1"/>
  <c r="CM39" i="1"/>
  <c r="CM260" i="1"/>
  <c r="CM261" i="1" s="1"/>
  <c r="CM236" i="1"/>
  <c r="CM41" i="1"/>
  <c r="CM40" i="1"/>
  <c r="CM242" i="1"/>
  <c r="CM243" i="1" s="1"/>
  <c r="CM44" i="1"/>
  <c r="CM122" i="1"/>
  <c r="CP108" i="1"/>
  <c r="CP109" i="1" s="1"/>
  <c r="CP112" i="1" s="1"/>
  <c r="CM206" i="1"/>
  <c r="CM167" i="1"/>
  <c r="CQ4" i="1"/>
  <c r="CN158" i="1" l="1"/>
  <c r="CN166" i="1"/>
  <c r="CN207" i="1" s="1"/>
  <c r="CO21" i="1"/>
  <c r="CN29" i="1"/>
  <c r="CN28" i="1"/>
  <c r="CN38" i="1"/>
  <c r="CM48" i="1"/>
  <c r="CN25" i="1"/>
  <c r="CQ18" i="1"/>
  <c r="CR4" i="1"/>
  <c r="CO22" i="1"/>
  <c r="CO163" i="1"/>
  <c r="CO162" i="1"/>
  <c r="CO36" i="1"/>
  <c r="CO33" i="1" s="1"/>
  <c r="CO156" i="1"/>
  <c r="CO155" i="1"/>
  <c r="CO26" i="1"/>
  <c r="CO25" i="1" s="1"/>
  <c r="CO154" i="1"/>
  <c r="CP263" i="1"/>
  <c r="CP241" i="1"/>
  <c r="CP20" i="1"/>
  <c r="AB18" i="1"/>
  <c r="CM208" i="1"/>
  <c r="CN167" i="1" l="1"/>
  <c r="CN206" i="1"/>
  <c r="CO166" i="1"/>
  <c r="CO207" i="1" s="1"/>
  <c r="CN208" i="1"/>
  <c r="CP21" i="1"/>
  <c r="CP235" i="1"/>
  <c r="CQ263" i="1"/>
  <c r="CQ241" i="1"/>
  <c r="CQ20" i="1"/>
  <c r="CN242" i="1"/>
  <c r="CN243" i="1" s="1"/>
  <c r="CN39" i="1"/>
  <c r="CN40" i="1"/>
  <c r="CN41" i="1"/>
  <c r="CN260" i="1"/>
  <c r="CN261" i="1" s="1"/>
  <c r="CN44" i="1"/>
  <c r="CN122" i="1"/>
  <c r="CN236" i="1"/>
  <c r="CM49" i="1"/>
  <c r="CM51" i="1" s="1"/>
  <c r="CQ108" i="1"/>
  <c r="CQ109" i="1" s="1"/>
  <c r="CQ112" i="1" s="1"/>
  <c r="AB5" i="1"/>
  <c r="AB263" i="1"/>
  <c r="AB20" i="1"/>
  <c r="CO158" i="1"/>
  <c r="CS4" i="1"/>
  <c r="CR18" i="1"/>
  <c r="CR108" i="1" s="1"/>
  <c r="CR109" i="1" s="1"/>
  <c r="CR112" i="1" s="1"/>
  <c r="CP155" i="1"/>
  <c r="AB155" i="1" s="1"/>
  <c r="AB190" i="1" s="1"/>
  <c r="CP36" i="1"/>
  <c r="CP33" i="1" s="1"/>
  <c r="AB33" i="1" s="1"/>
  <c r="AB36" i="1" s="1"/>
  <c r="CP162" i="1"/>
  <c r="CP163" i="1"/>
  <c r="AB163" i="1" s="1"/>
  <c r="AB193" i="1" s="1"/>
  <c r="CP22" i="1"/>
  <c r="CP154" i="1"/>
  <c r="CP156" i="1"/>
  <c r="AB156" i="1" s="1"/>
  <c r="CP26" i="1"/>
  <c r="CP25" i="1" s="1"/>
  <c r="AB25" i="1" s="1"/>
  <c r="CO28" i="1"/>
  <c r="CO29" i="1"/>
  <c r="CO38" i="1"/>
  <c r="CO122" i="1" s="1"/>
  <c r="CQ21" i="1" l="1"/>
  <c r="CQ235" i="1"/>
  <c r="AB37" i="1"/>
  <c r="CR241" i="1"/>
  <c r="CR263" i="1"/>
  <c r="CR20" i="1"/>
  <c r="CR235" i="1" s="1"/>
  <c r="CQ162" i="1"/>
  <c r="CQ36" i="1"/>
  <c r="CQ33" i="1" s="1"/>
  <c r="CQ154" i="1"/>
  <c r="CQ155" i="1"/>
  <c r="CQ156" i="1"/>
  <c r="CQ22" i="1"/>
  <c r="CQ163" i="1"/>
  <c r="CQ26" i="1"/>
  <c r="CS18" i="1"/>
  <c r="CT4" i="1"/>
  <c r="CT18" i="1" s="1"/>
  <c r="CP158" i="1"/>
  <c r="CP206" i="1" s="1"/>
  <c r="AB154" i="1"/>
  <c r="CO167" i="1"/>
  <c r="CO206" i="1"/>
  <c r="CO208" i="1" s="1"/>
  <c r="CM244" i="1"/>
  <c r="CM54" i="1"/>
  <c r="CM237" i="1"/>
  <c r="CM53" i="1"/>
  <c r="CM52" i="1"/>
  <c r="CM255" i="1" s="1"/>
  <c r="CM58" i="1"/>
  <c r="CP166" i="1"/>
  <c r="AB162" i="1"/>
  <c r="AB166" i="1" s="1"/>
  <c r="AB108" i="1"/>
  <c r="AB68" i="1"/>
  <c r="AB198" i="1"/>
  <c r="AB21" i="1"/>
  <c r="AB26" i="1"/>
  <c r="CO260" i="1"/>
  <c r="CO261" i="1" s="1"/>
  <c r="CO242" i="1"/>
  <c r="CO243" i="1" s="1"/>
  <c r="CO41" i="1"/>
  <c r="CO39" i="1"/>
  <c r="CO44" i="1"/>
  <c r="CO40" i="1"/>
  <c r="CP29" i="1"/>
  <c r="CP28" i="1"/>
  <c r="CP38" i="1"/>
  <c r="CP122" i="1" s="1"/>
  <c r="CO236" i="1"/>
  <c r="AC4" i="1" l="1"/>
  <c r="AC7" i="1" s="1"/>
  <c r="CR21" i="1"/>
  <c r="CS263" i="1"/>
  <c r="CS241" i="1"/>
  <c r="CS20" i="1"/>
  <c r="CS235" i="1" s="1"/>
  <c r="CS108" i="1"/>
  <c r="CS109" i="1" s="1"/>
  <c r="CS112" i="1" s="1"/>
  <c r="CP41" i="1"/>
  <c r="CP40" i="1"/>
  <c r="CP260" i="1"/>
  <c r="CP261" i="1" s="1"/>
  <c r="CP242" i="1"/>
  <c r="CP243" i="1" s="1"/>
  <c r="CP39" i="1"/>
  <c r="CP44" i="1"/>
  <c r="CP236" i="1"/>
  <c r="CQ166" i="1"/>
  <c r="CQ207" i="1" s="1"/>
  <c r="CQ29" i="1"/>
  <c r="CQ28" i="1"/>
  <c r="CQ38" i="1"/>
  <c r="CQ122" i="1" s="1"/>
  <c r="AB207" i="1"/>
  <c r="AB195" i="1"/>
  <c r="AB194" i="1" s="1"/>
  <c r="CP167" i="1"/>
  <c r="CQ158" i="1"/>
  <c r="CR22" i="1"/>
  <c r="CR154" i="1"/>
  <c r="CR155" i="1"/>
  <c r="CR163" i="1"/>
  <c r="CR162" i="1"/>
  <c r="CR156" i="1"/>
  <c r="CR36" i="1"/>
  <c r="CR33" i="1" s="1"/>
  <c r="CR26" i="1"/>
  <c r="CR25" i="1" s="1"/>
  <c r="CP207" i="1"/>
  <c r="CP208" i="1" s="1"/>
  <c r="AB158" i="1"/>
  <c r="AB189" i="1"/>
  <c r="AB69" i="1"/>
  <c r="AB28" i="1"/>
  <c r="AB27" i="1"/>
  <c r="AB38" i="1"/>
  <c r="CM203" i="1"/>
  <c r="CM205" i="1" s="1"/>
  <c r="CM209" i="1" s="1"/>
  <c r="CM223" i="1" s="1"/>
  <c r="CM129" i="1"/>
  <c r="CM76" i="1"/>
  <c r="CU4" i="1"/>
  <c r="AC18" i="1"/>
  <c r="CQ25" i="1"/>
  <c r="CR158" i="1" l="1"/>
  <c r="CR166" i="1"/>
  <c r="CS21" i="1"/>
  <c r="AC263" i="1"/>
  <c r="AC5" i="1"/>
  <c r="AC20" i="1"/>
  <c r="CR28" i="1"/>
  <c r="CR29" i="1"/>
  <c r="CR38" i="1"/>
  <c r="CR122" i="1" s="1"/>
  <c r="CV4" i="1"/>
  <c r="CU18" i="1"/>
  <c r="CU108" i="1" s="1"/>
  <c r="CU109" i="1" s="1"/>
  <c r="CU112" i="1" s="1"/>
  <c r="AB206" i="1"/>
  <c r="AB208" i="1" s="1"/>
  <c r="AB167" i="1"/>
  <c r="AB192" i="1"/>
  <c r="CQ242" i="1"/>
  <c r="CQ243" i="1" s="1"/>
  <c r="CQ41" i="1"/>
  <c r="CQ39" i="1"/>
  <c r="CQ260" i="1"/>
  <c r="CQ261" i="1" s="1"/>
  <c r="CQ40" i="1"/>
  <c r="CQ44" i="1"/>
  <c r="CQ236" i="1"/>
  <c r="AB39" i="1"/>
  <c r="AB70" i="1"/>
  <c r="AB260" i="1"/>
  <c r="AB261" i="1" s="1"/>
  <c r="AB44" i="1"/>
  <c r="AB40" i="1"/>
  <c r="AB122" i="1"/>
  <c r="CS154" i="1"/>
  <c r="CS162" i="1"/>
  <c r="CS22" i="1"/>
  <c r="CS36" i="1"/>
  <c r="CS33" i="1" s="1"/>
  <c r="CS155" i="1"/>
  <c r="CS26" i="1"/>
  <c r="CS25" i="1" s="1"/>
  <c r="CS156" i="1"/>
  <c r="CS163" i="1"/>
  <c r="CQ167" i="1"/>
  <c r="CT241" i="1"/>
  <c r="CT263" i="1"/>
  <c r="CT20" i="1"/>
  <c r="CM130" i="1"/>
  <c r="CQ206" i="1"/>
  <c r="CQ208" i="1" s="1"/>
  <c r="CM79" i="1"/>
  <c r="CT108" i="1"/>
  <c r="CT109" i="1" s="1"/>
  <c r="CT112" i="1" s="1"/>
  <c r="CR207" i="1" l="1"/>
  <c r="CR167" i="1"/>
  <c r="CR206" i="1"/>
  <c r="CR208" i="1" s="1"/>
  <c r="CS166" i="1"/>
  <c r="CT21" i="1"/>
  <c r="CR260" i="1"/>
  <c r="CR261" i="1" s="1"/>
  <c r="CR242" i="1"/>
  <c r="CR243" i="1" s="1"/>
  <c r="CR39" i="1"/>
  <c r="CR40" i="1"/>
  <c r="CR41" i="1"/>
  <c r="CR44" i="1"/>
  <c r="AB196" i="1"/>
  <c r="AB199" i="1" s="1"/>
  <c r="AB200" i="1" s="1"/>
  <c r="AB191" i="1"/>
  <c r="CM89" i="1"/>
  <c r="CM88" i="1"/>
  <c r="CI99" i="1"/>
  <c r="CM80" i="1"/>
  <c r="CM95" i="1"/>
  <c r="CT155" i="1"/>
  <c r="AC155" i="1" s="1"/>
  <c r="AC190" i="1" s="1"/>
  <c r="CT162" i="1"/>
  <c r="CT156" i="1"/>
  <c r="AC156" i="1" s="1"/>
  <c r="CT163" i="1"/>
  <c r="AC163" i="1" s="1"/>
  <c r="AC193" i="1" s="1"/>
  <c r="CT22" i="1"/>
  <c r="CT36" i="1"/>
  <c r="CT33" i="1" s="1"/>
  <c r="AC33" i="1" s="1"/>
  <c r="AC36" i="1" s="1"/>
  <c r="AC37" i="1" s="1"/>
  <c r="CT154" i="1"/>
  <c r="CT26" i="1"/>
  <c r="CT25" i="1" s="1"/>
  <c r="AC25" i="1" s="1"/>
  <c r="AC26" i="1" s="1"/>
  <c r="AC108" i="1"/>
  <c r="AC198" i="1"/>
  <c r="AC21" i="1"/>
  <c r="AC68" i="1"/>
  <c r="CR236" i="1"/>
  <c r="CU263" i="1"/>
  <c r="CU241" i="1"/>
  <c r="CU20" i="1"/>
  <c r="CT235" i="1"/>
  <c r="CS158" i="1"/>
  <c r="CM139" i="1"/>
  <c r="CM65" i="1" s="1"/>
  <c r="CM102" i="1"/>
  <c r="CM104" i="1" s="1"/>
  <c r="CM217" i="1"/>
  <c r="CM215" i="1" s="1"/>
  <c r="CM220" i="1" s="1"/>
  <c r="CM64" i="1"/>
  <c r="CS29" i="1"/>
  <c r="CS28" i="1"/>
  <c r="CS38" i="1"/>
  <c r="CV18" i="1"/>
  <c r="CW4" i="1"/>
  <c r="CS207" i="1" l="1"/>
  <c r="CU21" i="1"/>
  <c r="CU235" i="1"/>
  <c r="AC27" i="1"/>
  <c r="AC69" i="1"/>
  <c r="AC38" i="1"/>
  <c r="AC28" i="1"/>
  <c r="AC162" i="1"/>
  <c r="AC166" i="1" s="1"/>
  <c r="CT166" i="1"/>
  <c r="CV241" i="1"/>
  <c r="CV263" i="1"/>
  <c r="CV20" i="1"/>
  <c r="CV108" i="1"/>
  <c r="CV109" i="1" s="1"/>
  <c r="CV112" i="1" s="1"/>
  <c r="AC154" i="1"/>
  <c r="CT158" i="1"/>
  <c r="CX4" i="1"/>
  <c r="CX18" i="1" s="1"/>
  <c r="CW18" i="1"/>
  <c r="CW108" i="1" s="1"/>
  <c r="CW109" i="1" s="1"/>
  <c r="CW112" i="1" s="1"/>
  <c r="CM170" i="1"/>
  <c r="CM171" i="1" s="1"/>
  <c r="CM221" i="1" s="1"/>
  <c r="CS242" i="1"/>
  <c r="CS243" i="1" s="1"/>
  <c r="CS260" i="1"/>
  <c r="CS261" i="1" s="1"/>
  <c r="CS39" i="1"/>
  <c r="CS41" i="1"/>
  <c r="CS40" i="1"/>
  <c r="CS44" i="1"/>
  <c r="CS236" i="1"/>
  <c r="CS122" i="1"/>
  <c r="CM117" i="1"/>
  <c r="CM91" i="1"/>
  <c r="CS167" i="1"/>
  <c r="CS206" i="1"/>
  <c r="CS208" i="1" s="1"/>
  <c r="CU36" i="1"/>
  <c r="CU33" i="1" s="1"/>
  <c r="CU154" i="1"/>
  <c r="CU162" i="1"/>
  <c r="CU22" i="1"/>
  <c r="CU155" i="1"/>
  <c r="CU163" i="1"/>
  <c r="CU156" i="1"/>
  <c r="CU26" i="1"/>
  <c r="CT29" i="1"/>
  <c r="CT28" i="1"/>
  <c r="CT38" i="1"/>
  <c r="CM118" i="1"/>
  <c r="CM92" i="1"/>
  <c r="AD4" i="1" l="1"/>
  <c r="AD7" i="1" s="1"/>
  <c r="CV21" i="1"/>
  <c r="CM258" i="1"/>
  <c r="CM256" i="1"/>
  <c r="CM175" i="1"/>
  <c r="CM176" i="1" s="1"/>
  <c r="CM178" i="1"/>
  <c r="CN219" i="1"/>
  <c r="CM254" i="1"/>
  <c r="AC195" i="1"/>
  <c r="AC194" i="1" s="1"/>
  <c r="AC207" i="1"/>
  <c r="AC260" i="1"/>
  <c r="AC261" i="1" s="1"/>
  <c r="AC39" i="1"/>
  <c r="AC70" i="1"/>
  <c r="AC122" i="1"/>
  <c r="AC44" i="1"/>
  <c r="AC40" i="1"/>
  <c r="AC158" i="1"/>
  <c r="AC189" i="1"/>
  <c r="CU158" i="1"/>
  <c r="CU206" i="1" s="1"/>
  <c r="CT167" i="1"/>
  <c r="CV36" i="1"/>
  <c r="CV33" i="1" s="1"/>
  <c r="CV156" i="1"/>
  <c r="CV155" i="1"/>
  <c r="CV22" i="1"/>
  <c r="CV26" i="1"/>
  <c r="CV25" i="1" s="1"/>
  <c r="CV163" i="1"/>
  <c r="CV154" i="1"/>
  <c r="CV162" i="1"/>
  <c r="CV235" i="1"/>
  <c r="CT207" i="1"/>
  <c r="CT206" i="1"/>
  <c r="CT41" i="1"/>
  <c r="CT40" i="1"/>
  <c r="CT260" i="1"/>
  <c r="CT261" i="1" s="1"/>
  <c r="CT39" i="1"/>
  <c r="CT242" i="1"/>
  <c r="CT243" i="1" s="1"/>
  <c r="CT44" i="1"/>
  <c r="CT236" i="1"/>
  <c r="CT122" i="1"/>
  <c r="CU166" i="1"/>
  <c r="CU207" i="1" s="1"/>
  <c r="CU29" i="1"/>
  <c r="CU38" i="1"/>
  <c r="CU236" i="1" s="1"/>
  <c r="CU28" i="1"/>
  <c r="CW263" i="1"/>
  <c r="CW241" i="1"/>
  <c r="CW20" i="1"/>
  <c r="CW235" i="1" s="1"/>
  <c r="CY4" i="1"/>
  <c r="CX108" i="1"/>
  <c r="CX109" i="1" s="1"/>
  <c r="CX112" i="1" s="1"/>
  <c r="CU25" i="1"/>
  <c r="CV158" i="1" l="1"/>
  <c r="CW21" i="1"/>
  <c r="CY18" i="1"/>
  <c r="CZ4" i="1"/>
  <c r="CV166" i="1"/>
  <c r="CV167" i="1" s="1"/>
  <c r="AC167" i="1"/>
  <c r="AC192" i="1"/>
  <c r="AC206" i="1"/>
  <c r="AC208" i="1" s="1"/>
  <c r="CU242" i="1"/>
  <c r="CU243" i="1" s="1"/>
  <c r="CU41" i="1"/>
  <c r="CU260" i="1"/>
  <c r="CU261" i="1" s="1"/>
  <c r="CU40" i="1"/>
  <c r="CU44" i="1"/>
  <c r="CU39" i="1"/>
  <c r="CT208" i="1"/>
  <c r="CM119" i="1"/>
  <c r="CN46" i="1"/>
  <c r="CW156" i="1"/>
  <c r="CW163" i="1"/>
  <c r="CW154" i="1"/>
  <c r="CW155" i="1"/>
  <c r="CW162" i="1"/>
  <c r="CW36" i="1"/>
  <c r="CW33" i="1" s="1"/>
  <c r="CW22" i="1"/>
  <c r="CW26" i="1"/>
  <c r="CV29" i="1"/>
  <c r="CV28" i="1"/>
  <c r="CV38" i="1"/>
  <c r="CV236" i="1" s="1"/>
  <c r="CU122" i="1"/>
  <c r="AD18" i="1"/>
  <c r="CU208" i="1"/>
  <c r="CX263" i="1"/>
  <c r="CX241" i="1"/>
  <c r="CX20" i="1"/>
  <c r="CU167" i="1"/>
  <c r="CY108" i="1" l="1"/>
  <c r="CY109" i="1" s="1"/>
  <c r="CY112" i="1" s="1"/>
  <c r="CV206" i="1"/>
  <c r="CV207" i="1"/>
  <c r="CV208" i="1" s="1"/>
  <c r="CV122" i="1"/>
  <c r="CX21" i="1"/>
  <c r="CX156" i="1"/>
  <c r="AD156" i="1" s="1"/>
  <c r="CX154" i="1"/>
  <c r="CX163" i="1"/>
  <c r="AD163" i="1" s="1"/>
  <c r="AD193" i="1" s="1"/>
  <c r="CX155" i="1"/>
  <c r="AD155" i="1" s="1"/>
  <c r="AD190" i="1" s="1"/>
  <c r="CX36" i="1"/>
  <c r="CX33" i="1" s="1"/>
  <c r="AD33" i="1" s="1"/>
  <c r="AD36" i="1" s="1"/>
  <c r="CX22" i="1"/>
  <c r="CX26" i="1"/>
  <c r="CX25" i="1" s="1"/>
  <c r="CX162" i="1"/>
  <c r="CX235" i="1"/>
  <c r="CW28" i="1"/>
  <c r="CW29" i="1"/>
  <c r="CW38" i="1"/>
  <c r="CW122" i="1" s="1"/>
  <c r="CW158" i="1"/>
  <c r="CZ18" i="1"/>
  <c r="DA4" i="1"/>
  <c r="DA18" i="1" s="1"/>
  <c r="DA20" i="1" s="1"/>
  <c r="DA21" i="1" s="1"/>
  <c r="AD5" i="1"/>
  <c r="AD263" i="1"/>
  <c r="AD20" i="1"/>
  <c r="CY263" i="1"/>
  <c r="CY241" i="1"/>
  <c r="CY20" i="1"/>
  <c r="CY21" i="1" s="1"/>
  <c r="CN262" i="1"/>
  <c r="CN48" i="1"/>
  <c r="CV260" i="1"/>
  <c r="CV261" i="1" s="1"/>
  <c r="CV41" i="1"/>
  <c r="CV242" i="1"/>
  <c r="CV243" i="1" s="1"/>
  <c r="CV39" i="1"/>
  <c r="CV40" i="1"/>
  <c r="CV44" i="1"/>
  <c r="CW25" i="1"/>
  <c r="CM121" i="1"/>
  <c r="CM124" i="1" s="1"/>
  <c r="CM120" i="1"/>
  <c r="CM123" i="1" s="1"/>
  <c r="AC191" i="1"/>
  <c r="AC196" i="1"/>
  <c r="AC199" i="1" s="1"/>
  <c r="AC200" i="1" s="1"/>
  <c r="CW166" i="1"/>
  <c r="CW236" i="1" l="1"/>
  <c r="CY235" i="1"/>
  <c r="CY36" i="1"/>
  <c r="CY33" i="1" s="1"/>
  <c r="CY155" i="1"/>
  <c r="CY22" i="1"/>
  <c r="CY156" i="1"/>
  <c r="CY154" i="1"/>
  <c r="CY163" i="1"/>
  <c r="CY162" i="1"/>
  <c r="CY26" i="1"/>
  <c r="CW207" i="1"/>
  <c r="CX166" i="1"/>
  <c r="AD162" i="1"/>
  <c r="AD166" i="1" s="1"/>
  <c r="AD68" i="1"/>
  <c r="AD21" i="1"/>
  <c r="AD108" i="1"/>
  <c r="AD198" i="1"/>
  <c r="AD37" i="1"/>
  <c r="AD25" i="1"/>
  <c r="AD26" i="1" s="1"/>
  <c r="DB4" i="1"/>
  <c r="CZ241" i="1"/>
  <c r="CZ263" i="1"/>
  <c r="CZ20" i="1"/>
  <c r="CZ21" i="1" s="1"/>
  <c r="CZ108" i="1"/>
  <c r="CZ109" i="1" s="1"/>
  <c r="CZ112" i="1" s="1"/>
  <c r="CN49" i="1"/>
  <c r="CN51" i="1" s="1"/>
  <c r="CW167" i="1"/>
  <c r="CW206" i="1"/>
  <c r="CX28" i="1"/>
  <c r="CX29" i="1"/>
  <c r="CX38" i="1"/>
  <c r="AD154" i="1"/>
  <c r="CX158" i="1"/>
  <c r="CX206" i="1" s="1"/>
  <c r="CW41" i="1"/>
  <c r="CW39" i="1"/>
  <c r="CW40" i="1"/>
  <c r="CW260" i="1"/>
  <c r="CW261" i="1" s="1"/>
  <c r="CW44" i="1"/>
  <c r="CW242" i="1"/>
  <c r="CW243" i="1" s="1"/>
  <c r="CW208" i="1" l="1"/>
  <c r="CZ235" i="1"/>
  <c r="CY158" i="1"/>
  <c r="CY206" i="1" s="1"/>
  <c r="CY166" i="1"/>
  <c r="CY207" i="1" s="1"/>
  <c r="AD38" i="1"/>
  <c r="AD69" i="1"/>
  <c r="AD27" i="1"/>
  <c r="AD28" i="1"/>
  <c r="CX167" i="1"/>
  <c r="DB18" i="1"/>
  <c r="AE18" i="1" s="1"/>
  <c r="AE4" i="1"/>
  <c r="AE7" i="1" s="1"/>
  <c r="CY38" i="1"/>
  <c r="CY122" i="1" s="1"/>
  <c r="CY29" i="1"/>
  <c r="CY28" i="1"/>
  <c r="CZ162" i="1"/>
  <c r="CZ26" i="1"/>
  <c r="CZ25" i="1" s="1"/>
  <c r="CZ154" i="1"/>
  <c r="CZ36" i="1"/>
  <c r="CZ33" i="1" s="1"/>
  <c r="CZ163" i="1"/>
  <c r="CZ156" i="1"/>
  <c r="CZ22" i="1"/>
  <c r="CZ155" i="1"/>
  <c r="AD158" i="1"/>
  <c r="AD189" i="1"/>
  <c r="CY25" i="1"/>
  <c r="DA263" i="1"/>
  <c r="DA241" i="1"/>
  <c r="CX242" i="1"/>
  <c r="CX243" i="1" s="1"/>
  <c r="CX40" i="1"/>
  <c r="CX260" i="1"/>
  <c r="CX261" i="1" s="1"/>
  <c r="CX39" i="1"/>
  <c r="CX41" i="1"/>
  <c r="CX44" i="1"/>
  <c r="CX236" i="1"/>
  <c r="DA108" i="1"/>
  <c r="DA109" i="1" s="1"/>
  <c r="DA112" i="1" s="1"/>
  <c r="CX207" i="1"/>
  <c r="CX208" i="1" s="1"/>
  <c r="CN52" i="1"/>
  <c r="CN255" i="1" s="1"/>
  <c r="CN244" i="1"/>
  <c r="CN58" i="1"/>
  <c r="CN54" i="1"/>
  <c r="CN53" i="1"/>
  <c r="CN237" i="1"/>
  <c r="AD195" i="1"/>
  <c r="AD194" i="1" s="1"/>
  <c r="AD207" i="1"/>
  <c r="CX122" i="1"/>
  <c r="CY167" i="1" l="1"/>
  <c r="CZ166" i="1"/>
  <c r="AE20" i="1"/>
  <c r="AE263" i="1"/>
  <c r="AE5" i="1"/>
  <c r="DA162" i="1"/>
  <c r="DA36" i="1"/>
  <c r="DA33" i="1" s="1"/>
  <c r="DA155" i="1"/>
  <c r="DA22" i="1"/>
  <c r="DA163" i="1"/>
  <c r="DA156" i="1"/>
  <c r="DA26" i="1"/>
  <c r="DA154" i="1"/>
  <c r="CY242" i="1"/>
  <c r="CY243" i="1" s="1"/>
  <c r="CY39" i="1"/>
  <c r="CY260" i="1"/>
  <c r="CY261" i="1" s="1"/>
  <c r="CY41" i="1"/>
  <c r="CY44" i="1"/>
  <c r="CY40" i="1"/>
  <c r="AD167" i="1"/>
  <c r="AD192" i="1"/>
  <c r="AD206" i="1"/>
  <c r="AD208" i="1" s="1"/>
  <c r="DB263" i="1"/>
  <c r="DB241" i="1"/>
  <c r="DB20" i="1"/>
  <c r="DB21" i="1" s="1"/>
  <c r="DB108" i="1"/>
  <c r="DB109" i="1" s="1"/>
  <c r="DB112" i="1" s="1"/>
  <c r="CZ158" i="1"/>
  <c r="AD39" i="1"/>
  <c r="AD70" i="1"/>
  <c r="AD122" i="1"/>
  <c r="AD44" i="1"/>
  <c r="AD260" i="1"/>
  <c r="AD261" i="1" s="1"/>
  <c r="AD40" i="1"/>
  <c r="CN203" i="1"/>
  <c r="CN205" i="1" s="1"/>
  <c r="CN209" i="1" s="1"/>
  <c r="CN223" i="1" s="1"/>
  <c r="CN76" i="1"/>
  <c r="CN129" i="1"/>
  <c r="CY236" i="1"/>
  <c r="DA235" i="1"/>
  <c r="CZ38" i="1"/>
  <c r="CZ122" i="1" s="1"/>
  <c r="CZ28" i="1"/>
  <c r="CZ29" i="1"/>
  <c r="CY208" i="1"/>
  <c r="CZ207" i="1" l="1"/>
  <c r="DA158" i="1"/>
  <c r="DA206" i="1" s="1"/>
  <c r="CZ167" i="1"/>
  <c r="CZ206" i="1"/>
  <c r="CZ208" i="1" s="1"/>
  <c r="AD196" i="1"/>
  <c r="AD199" i="1" s="1"/>
  <c r="AD200" i="1" s="1"/>
  <c r="AD191" i="1"/>
  <c r="DA166" i="1"/>
  <c r="DA167" i="1" s="1"/>
  <c r="DA28" i="1"/>
  <c r="DA29" i="1"/>
  <c r="DA38" i="1"/>
  <c r="DA25" i="1"/>
  <c r="CN79" i="1"/>
  <c r="AE108" i="1"/>
  <c r="AE198" i="1"/>
  <c r="AE21" i="1"/>
  <c r="AE68" i="1"/>
  <c r="CN130" i="1"/>
  <c r="DB155" i="1"/>
  <c r="AE155" i="1" s="1"/>
  <c r="AE190" i="1" s="1"/>
  <c r="DB163" i="1"/>
  <c r="AE163" i="1" s="1"/>
  <c r="AE193" i="1" s="1"/>
  <c r="DB36" i="1"/>
  <c r="DB33" i="1" s="1"/>
  <c r="AE33" i="1" s="1"/>
  <c r="AE36" i="1" s="1"/>
  <c r="AE37" i="1" s="1"/>
  <c r="DB22" i="1"/>
  <c r="DB26" i="1"/>
  <c r="DB25" i="1" s="1"/>
  <c r="DB154" i="1"/>
  <c r="DB162" i="1"/>
  <c r="DB156" i="1"/>
  <c r="AE156" i="1" s="1"/>
  <c r="DB235" i="1"/>
  <c r="CZ242" i="1"/>
  <c r="CZ243" i="1" s="1"/>
  <c r="CZ260" i="1"/>
  <c r="CZ261" i="1" s="1"/>
  <c r="CZ41" i="1"/>
  <c r="CZ39" i="1"/>
  <c r="CZ40" i="1"/>
  <c r="CZ44" i="1"/>
  <c r="CZ236" i="1"/>
  <c r="DA236" i="1" l="1"/>
  <c r="DB166" i="1"/>
  <c r="AE162" i="1"/>
  <c r="AE166" i="1" s="1"/>
  <c r="DB158" i="1"/>
  <c r="AE154" i="1"/>
  <c r="DA242" i="1"/>
  <c r="DA243" i="1" s="1"/>
  <c r="DA39" i="1"/>
  <c r="DA41" i="1"/>
  <c r="DA260" i="1"/>
  <c r="DA261" i="1" s="1"/>
  <c r="DA40" i="1"/>
  <c r="DA44" i="1"/>
  <c r="DA122" i="1"/>
  <c r="DB28" i="1"/>
  <c r="DB38" i="1"/>
  <c r="DB122" i="1" s="1"/>
  <c r="DB29" i="1"/>
  <c r="CN88" i="1"/>
  <c r="CN89" i="1"/>
  <c r="CN80" i="1"/>
  <c r="CJ99" i="1"/>
  <c r="CN95" i="1"/>
  <c r="CN102" i="1"/>
  <c r="CN104" i="1" s="1"/>
  <c r="CN217" i="1"/>
  <c r="CN215" i="1" s="1"/>
  <c r="CN220" i="1" s="1"/>
  <c r="CN139" i="1"/>
  <c r="CN65" i="1" s="1"/>
  <c r="CN64" i="1"/>
  <c r="AE25" i="1"/>
  <c r="AE26" i="1" s="1"/>
  <c r="DA207" i="1"/>
  <c r="DA208" i="1" s="1"/>
  <c r="DB207" i="1" l="1"/>
  <c r="DB236" i="1"/>
  <c r="AE189" i="1"/>
  <c r="AE158" i="1"/>
  <c r="DB167" i="1"/>
  <c r="DB206" i="1"/>
  <c r="AE195" i="1"/>
  <c r="AE194" i="1" s="1"/>
  <c r="AE207" i="1"/>
  <c r="AE27" i="1"/>
  <c r="AE69" i="1"/>
  <c r="AE38" i="1"/>
  <c r="AE28" i="1"/>
  <c r="CN118" i="1"/>
  <c r="CN92" i="1"/>
  <c r="CN117" i="1"/>
  <c r="CN91" i="1"/>
  <c r="DB242" i="1"/>
  <c r="DB243" i="1" s="1"/>
  <c r="DB260" i="1"/>
  <c r="DB261" i="1" s="1"/>
  <c r="DB41" i="1"/>
  <c r="DB40" i="1"/>
  <c r="DB44" i="1"/>
  <c r="DB39" i="1"/>
  <c r="CN170" i="1"/>
  <c r="CN171" i="1" s="1"/>
  <c r="CN221" i="1" s="1"/>
  <c r="DB208" i="1" l="1"/>
  <c r="AE167" i="1"/>
  <c r="AE192" i="1"/>
  <c r="AE206" i="1"/>
  <c r="AE208" i="1" s="1"/>
  <c r="AE260" i="1"/>
  <c r="AE261" i="1" s="1"/>
  <c r="AE70" i="1"/>
  <c r="AE122" i="1"/>
  <c r="AE39" i="1"/>
  <c r="AE44" i="1"/>
  <c r="AE40" i="1"/>
  <c r="CN178" i="1"/>
  <c r="CN256" i="1"/>
  <c r="CN258" i="1"/>
  <c r="CN175" i="1"/>
  <c r="CN176" i="1" s="1"/>
  <c r="CO219" i="1"/>
  <c r="CN254" i="1"/>
  <c r="AE191" i="1" l="1"/>
  <c r="AE196" i="1"/>
  <c r="AE199" i="1" s="1"/>
  <c r="AE200" i="1" s="1"/>
  <c r="CO46" i="1"/>
  <c r="CN119" i="1"/>
  <c r="CN121" i="1" l="1"/>
  <c r="CN124" i="1" s="1"/>
  <c r="CN120" i="1"/>
  <c r="CN123" i="1" s="1"/>
  <c r="CO262" i="1"/>
  <c r="CO48" i="1"/>
  <c r="CO49" i="1" l="1"/>
  <c r="CO51" i="1" s="1"/>
  <c r="CO52" i="1" l="1"/>
  <c r="CO255" i="1" s="1"/>
  <c r="CO244" i="1"/>
  <c r="CO53" i="1"/>
  <c r="CO54" i="1"/>
  <c r="CO58" i="1"/>
  <c r="CO237" i="1"/>
  <c r="CO203" i="1" l="1"/>
  <c r="CO205" i="1" s="1"/>
  <c r="CO209" i="1" s="1"/>
  <c r="CO223" i="1" s="1"/>
  <c r="CO76" i="1"/>
  <c r="CO129" i="1"/>
  <c r="CO130" i="1" l="1"/>
  <c r="CO79" i="1"/>
  <c r="CO89" i="1" l="1"/>
  <c r="CK99" i="1"/>
  <c r="CO95" i="1"/>
  <c r="CO80" i="1"/>
  <c r="CO88" i="1"/>
  <c r="CO102" i="1"/>
  <c r="CO104" i="1" s="1"/>
  <c r="CO217" i="1"/>
  <c r="CO215" i="1" s="1"/>
  <c r="CO220" i="1" s="1"/>
  <c r="CO139" i="1"/>
  <c r="CO65" i="1" s="1"/>
  <c r="CO64" i="1"/>
  <c r="CO170" i="1" l="1"/>
  <c r="CO171" i="1" s="1"/>
  <c r="CO117" i="1"/>
  <c r="CO91" i="1"/>
  <c r="CO92" i="1"/>
  <c r="CO118" i="1"/>
  <c r="CO178" i="1" l="1"/>
  <c r="CO175" i="1"/>
  <c r="CO176" i="1" s="1"/>
  <c r="CO256" i="1"/>
  <c r="CO258" i="1"/>
  <c r="CP219" i="1"/>
  <c r="CO254" i="1"/>
  <c r="CO221" i="1"/>
  <c r="CO119" i="1" l="1"/>
  <c r="CP46" i="1"/>
  <c r="CP262" i="1" l="1"/>
  <c r="CP48" i="1"/>
  <c r="AB46" i="1"/>
  <c r="CO121" i="1"/>
  <c r="CO124" i="1" s="1"/>
  <c r="CO120" i="1"/>
  <c r="CO123" i="1" s="1"/>
  <c r="CP49" i="1" l="1"/>
  <c r="AB49" i="1" s="1"/>
  <c r="AB47" i="1"/>
  <c r="AB262" i="1"/>
  <c r="AB48" i="1"/>
  <c r="AB51" i="1" l="1"/>
  <c r="AB52" i="1" s="1"/>
  <c r="AB255" i="1" s="1"/>
  <c r="AB50" i="1"/>
  <c r="CP51" i="1"/>
  <c r="AB58" i="1" l="1"/>
  <c r="AB203" i="1" s="1"/>
  <c r="AB205" i="1" s="1"/>
  <c r="AB209" i="1" s="1"/>
  <c r="AB223" i="1" s="1"/>
  <c r="AB53" i="1"/>
  <c r="CP53" i="1"/>
  <c r="CP54" i="1"/>
  <c r="CP52" i="1"/>
  <c r="CP255" i="1" s="1"/>
  <c r="CP58" i="1"/>
  <c r="CP244" i="1"/>
  <c r="CP237" i="1"/>
  <c r="AB71" i="1"/>
  <c r="AB61" i="1" l="1"/>
  <c r="AB62" i="1" s="1"/>
  <c r="CP203" i="1"/>
  <c r="CP205" i="1" s="1"/>
  <c r="CP209" i="1" s="1"/>
  <c r="CP223" i="1" s="1"/>
  <c r="CP76" i="1"/>
  <c r="CP129" i="1"/>
  <c r="CP79" i="1" l="1"/>
  <c r="CP130" i="1"/>
  <c r="AB129" i="1"/>
  <c r="AB130" i="1" s="1"/>
  <c r="CP82" i="1" l="1"/>
  <c r="CL99" i="1"/>
  <c r="CP102" i="1"/>
  <c r="CP104" i="1" s="1"/>
  <c r="CP139" i="1"/>
  <c r="CP65" i="1" s="1"/>
  <c r="CP217" i="1"/>
  <c r="CP215" i="1" s="1"/>
  <c r="CP220" i="1" s="1"/>
  <c r="CP64" i="1"/>
  <c r="CP95" i="1"/>
  <c r="CP80" i="1"/>
  <c r="CP88" i="1"/>
  <c r="CP89" i="1"/>
  <c r="AB217" i="1"/>
  <c r="AB215" i="1" s="1"/>
  <c r="AB220" i="1" s="1"/>
  <c r="AB185" i="1"/>
  <c r="AB139" i="1"/>
  <c r="AB65" i="1" s="1"/>
  <c r="AB64" i="1"/>
  <c r="CP170" i="1" l="1"/>
  <c r="CP92" i="1"/>
  <c r="CP118" i="1"/>
  <c r="AB89" i="1"/>
  <c r="CP117" i="1"/>
  <c r="CP91" i="1"/>
  <c r="AB88" i="1"/>
  <c r="AB92" i="1" l="1"/>
  <c r="AB170" i="1"/>
  <c r="AB171" i="1" s="1"/>
  <c r="CP171" i="1"/>
  <c r="AB91" i="1"/>
  <c r="CP175" i="1" l="1"/>
  <c r="CP176" i="1" s="1"/>
  <c r="CP258" i="1"/>
  <c r="CP178" i="1"/>
  <c r="CQ219" i="1"/>
  <c r="CP256" i="1"/>
  <c r="CP254" i="1"/>
  <c r="CP221" i="1"/>
  <c r="AC219" i="1"/>
  <c r="AB178" i="1"/>
  <c r="AB119" i="1" s="1"/>
  <c r="AB258" i="1"/>
  <c r="AB256" i="1"/>
  <c r="AB175" i="1"/>
  <c r="AB176" i="1" s="1"/>
  <c r="AB254" i="1"/>
  <c r="AB221" i="1"/>
  <c r="CP119" i="1" l="1"/>
  <c r="CQ46" i="1"/>
  <c r="CQ262" i="1" l="1"/>
  <c r="CQ48" i="1"/>
  <c r="CP120" i="1"/>
  <c r="CP123" i="1" s="1"/>
  <c r="CP121" i="1"/>
  <c r="CP124" i="1" s="1"/>
  <c r="CQ49" i="1" l="1"/>
  <c r="CQ51" i="1" s="1"/>
  <c r="CQ52" i="1" l="1"/>
  <c r="CQ255" i="1" s="1"/>
  <c r="CQ53" i="1"/>
  <c r="CQ54" i="1"/>
  <c r="CQ244" i="1"/>
  <c r="CQ58" i="1"/>
  <c r="CQ237" i="1"/>
  <c r="CQ203" i="1" l="1"/>
  <c r="CQ205" i="1" s="1"/>
  <c r="CQ209" i="1" s="1"/>
  <c r="CQ223" i="1" s="1"/>
  <c r="CQ76" i="1"/>
  <c r="CQ129" i="1"/>
  <c r="CQ130" i="1" l="1"/>
  <c r="CQ79" i="1"/>
  <c r="CQ88" i="1" l="1"/>
  <c r="CQ89" i="1"/>
  <c r="CQ95" i="1"/>
  <c r="CQ80" i="1"/>
  <c r="CQ139" i="1"/>
  <c r="CQ65" i="1" s="1"/>
  <c r="CQ217" i="1"/>
  <c r="CQ215" i="1" s="1"/>
  <c r="CQ220" i="1" s="1"/>
  <c r="CQ102" i="1"/>
  <c r="CQ104" i="1" s="1"/>
  <c r="CQ64" i="1"/>
  <c r="CQ92" i="1" l="1"/>
  <c r="CQ118" i="1"/>
  <c r="CQ170" i="1"/>
  <c r="CQ171" i="1" s="1"/>
  <c r="CQ91" i="1"/>
  <c r="CQ117" i="1"/>
  <c r="CQ175" i="1" l="1"/>
  <c r="CQ176" i="1" s="1"/>
  <c r="CQ178" i="1"/>
  <c r="CQ256" i="1"/>
  <c r="CQ258" i="1"/>
  <c r="CR219" i="1"/>
  <c r="CQ254" i="1"/>
  <c r="CQ221" i="1"/>
  <c r="CR46" i="1" l="1"/>
  <c r="CQ119" i="1"/>
  <c r="CQ120" i="1" l="1"/>
  <c r="CQ123" i="1" s="1"/>
  <c r="CQ121" i="1"/>
  <c r="CQ124" i="1" s="1"/>
  <c r="CR262" i="1"/>
  <c r="CR48" i="1"/>
  <c r="CR49" i="1" l="1"/>
  <c r="CR51" i="1" s="1"/>
  <c r="CR52" i="1" l="1"/>
  <c r="CR255" i="1" s="1"/>
  <c r="CR54" i="1"/>
  <c r="CR244" i="1"/>
  <c r="CR53" i="1"/>
  <c r="CR58" i="1"/>
  <c r="CR237" i="1"/>
  <c r="CR203" i="1" l="1"/>
  <c r="CR205" i="1" s="1"/>
  <c r="CR209" i="1" s="1"/>
  <c r="CR223" i="1" s="1"/>
  <c r="CR76" i="1"/>
  <c r="CR129" i="1"/>
  <c r="CR130" i="1" l="1"/>
  <c r="CR79" i="1"/>
  <c r="CR88" i="1" l="1"/>
  <c r="CR95" i="1"/>
  <c r="CR89" i="1"/>
  <c r="CR80" i="1"/>
  <c r="CR102" i="1"/>
  <c r="CR104" i="1" s="1"/>
  <c r="CR217" i="1"/>
  <c r="CR215" i="1" s="1"/>
  <c r="CR220" i="1" s="1"/>
  <c r="CR139" i="1"/>
  <c r="CR65" i="1" s="1"/>
  <c r="CR64" i="1"/>
  <c r="CR170" i="1" l="1"/>
  <c r="CR171" i="1" s="1"/>
  <c r="CR118" i="1"/>
  <c r="CR92" i="1"/>
  <c r="CR117" i="1"/>
  <c r="CR91" i="1"/>
  <c r="CR178" i="1" l="1"/>
  <c r="CR175" i="1"/>
  <c r="CR176" i="1" s="1"/>
  <c r="CR256" i="1"/>
  <c r="CR258" i="1"/>
  <c r="CS219" i="1"/>
  <c r="CR254" i="1"/>
  <c r="CR221" i="1"/>
  <c r="CR119" i="1" l="1"/>
  <c r="CS46" i="1"/>
  <c r="CS262" i="1" l="1"/>
  <c r="CS48" i="1"/>
  <c r="CR120" i="1"/>
  <c r="CR123" i="1" s="1"/>
  <c r="CR121" i="1"/>
  <c r="CR124" i="1" s="1"/>
  <c r="CS49" i="1" l="1"/>
  <c r="CS51" i="1" s="1"/>
  <c r="CS54" i="1" l="1"/>
  <c r="CS52" i="1"/>
  <c r="CS255" i="1" s="1"/>
  <c r="CS244" i="1"/>
  <c r="CS53" i="1"/>
  <c r="CS58" i="1"/>
  <c r="CS237" i="1"/>
  <c r="CS203" i="1" l="1"/>
  <c r="CS205" i="1" s="1"/>
  <c r="CS209" i="1" s="1"/>
  <c r="CS223" i="1" s="1"/>
  <c r="CS76" i="1"/>
  <c r="CS129" i="1"/>
  <c r="CS130" i="1" l="1"/>
  <c r="CS79" i="1"/>
  <c r="CS95" i="1" l="1"/>
  <c r="CS89" i="1"/>
  <c r="CS88" i="1"/>
  <c r="CS80" i="1"/>
  <c r="CS102" i="1"/>
  <c r="CS104" i="1" s="1"/>
  <c r="CS217" i="1"/>
  <c r="CS215" i="1" s="1"/>
  <c r="CS220" i="1" s="1"/>
  <c r="CS139" i="1"/>
  <c r="CS65" i="1" s="1"/>
  <c r="CS64" i="1"/>
  <c r="CS170" i="1" l="1"/>
  <c r="CS171" i="1" s="1"/>
  <c r="CS117" i="1"/>
  <c r="CS91" i="1"/>
  <c r="CS92" i="1"/>
  <c r="CS118" i="1"/>
  <c r="CS256" i="1" l="1"/>
  <c r="CS258" i="1"/>
  <c r="CS178" i="1"/>
  <c r="CS175" i="1"/>
  <c r="CS176" i="1" s="1"/>
  <c r="CT219" i="1"/>
  <c r="CS254" i="1"/>
  <c r="CS221" i="1"/>
  <c r="CT46" i="1" l="1"/>
  <c r="CS119" i="1"/>
  <c r="CS121" i="1" l="1"/>
  <c r="CS124" i="1" s="1"/>
  <c r="CS120" i="1"/>
  <c r="CS123" i="1" s="1"/>
  <c r="CT262" i="1"/>
  <c r="CT48" i="1"/>
  <c r="AC46" i="1"/>
  <c r="AC262" i="1" l="1"/>
  <c r="AC47" i="1"/>
  <c r="AC48" i="1"/>
  <c r="CT49" i="1"/>
  <c r="AC49" i="1" s="1"/>
  <c r="AC50" i="1" l="1"/>
  <c r="CT51" i="1"/>
  <c r="AC51" i="1"/>
  <c r="AC52" i="1" l="1"/>
  <c r="AC255" i="1" s="1"/>
  <c r="AC71" i="1"/>
  <c r="AC58" i="1"/>
  <c r="AC53" i="1"/>
  <c r="CT52" i="1"/>
  <c r="CT255" i="1" s="1"/>
  <c r="CT53" i="1"/>
  <c r="CT58" i="1"/>
  <c r="CT244" i="1"/>
  <c r="CT54" i="1"/>
  <c r="CT237" i="1"/>
  <c r="AC203" i="1" l="1"/>
  <c r="AC205" i="1" s="1"/>
  <c r="AC209" i="1" s="1"/>
  <c r="AC223" i="1" s="1"/>
  <c r="AC61" i="1"/>
  <c r="AC62" i="1" s="1"/>
  <c r="CT203" i="1"/>
  <c r="CT205" i="1" s="1"/>
  <c r="CT209" i="1" s="1"/>
  <c r="CT223" i="1" s="1"/>
  <c r="CT76" i="1"/>
  <c r="CT129" i="1"/>
  <c r="CT79" i="1" l="1"/>
  <c r="CT82" i="1" s="1"/>
  <c r="AC129" i="1"/>
  <c r="AC130" i="1" s="1"/>
  <c r="CT130" i="1"/>
  <c r="CT139" i="1" l="1"/>
  <c r="CT65" i="1" s="1"/>
  <c r="CT102" i="1"/>
  <c r="CT104" i="1" s="1"/>
  <c r="CT217" i="1"/>
  <c r="CT215" i="1" s="1"/>
  <c r="CT220" i="1" s="1"/>
  <c r="CT64" i="1"/>
  <c r="AC217" i="1"/>
  <c r="AC215" i="1" s="1"/>
  <c r="AC220" i="1" s="1"/>
  <c r="AC185" i="1"/>
  <c r="AC139" i="1"/>
  <c r="AC65" i="1" s="1"/>
  <c r="AC64" i="1"/>
  <c r="CT88" i="1"/>
  <c r="CT95" i="1"/>
  <c r="CT89" i="1"/>
  <c r="CT80" i="1"/>
  <c r="CT117" i="1" l="1"/>
  <c r="CT91" i="1"/>
  <c r="AC88" i="1"/>
  <c r="CT170" i="1"/>
  <c r="CT118" i="1"/>
  <c r="CT92" i="1"/>
  <c r="AC89" i="1"/>
  <c r="AC170" i="1" l="1"/>
  <c r="AC171" i="1" s="1"/>
  <c r="CT171" i="1"/>
  <c r="AC91" i="1"/>
  <c r="AC92" i="1"/>
  <c r="CT175" i="1" l="1"/>
  <c r="CT176" i="1" s="1"/>
  <c r="CT258" i="1"/>
  <c r="CT256" i="1"/>
  <c r="CT178" i="1"/>
  <c r="CU219" i="1"/>
  <c r="CT254" i="1"/>
  <c r="CT221" i="1"/>
  <c r="AC178" i="1"/>
  <c r="AC119" i="1" s="1"/>
  <c r="AC175" i="1"/>
  <c r="AC176" i="1" s="1"/>
  <c r="AD219" i="1"/>
  <c r="AC256" i="1"/>
  <c r="AC258" i="1"/>
  <c r="AC254" i="1"/>
  <c r="AC221" i="1"/>
  <c r="CT119" i="1" l="1"/>
  <c r="CU46" i="1"/>
  <c r="CU262" i="1" l="1"/>
  <c r="CU48" i="1"/>
  <c r="CT121" i="1"/>
  <c r="CT124" i="1" s="1"/>
  <c r="CT120" i="1"/>
  <c r="CT123" i="1" s="1"/>
  <c r="CU49" i="1" l="1"/>
  <c r="CU51" i="1" s="1"/>
  <c r="CU52" i="1" l="1"/>
  <c r="CU255" i="1" s="1"/>
  <c r="CU244" i="1"/>
  <c r="CU53" i="1"/>
  <c r="CU54" i="1"/>
  <c r="CU58" i="1"/>
  <c r="CU237" i="1"/>
  <c r="CU203" i="1" l="1"/>
  <c r="CU205" i="1" s="1"/>
  <c r="CU209" i="1" s="1"/>
  <c r="CU223" i="1" s="1"/>
  <c r="CU76" i="1"/>
  <c r="CU129" i="1"/>
  <c r="CU130" i="1" l="1"/>
  <c r="CU79" i="1"/>
  <c r="CU95" i="1" l="1"/>
  <c r="CU89" i="1"/>
  <c r="CU88" i="1"/>
  <c r="CU80" i="1"/>
  <c r="CU102" i="1"/>
  <c r="CU104" i="1" s="1"/>
  <c r="CU217" i="1"/>
  <c r="CU215" i="1" s="1"/>
  <c r="CU220" i="1" s="1"/>
  <c r="CU139" i="1"/>
  <c r="CU65" i="1" s="1"/>
  <c r="CU64" i="1"/>
  <c r="CU170" i="1" l="1"/>
  <c r="CU171" i="1" s="1"/>
  <c r="CU117" i="1"/>
  <c r="CU91" i="1"/>
  <c r="CU92" i="1"/>
  <c r="CU118" i="1"/>
  <c r="CU175" i="1" l="1"/>
  <c r="CU176" i="1" s="1"/>
  <c r="CU258" i="1"/>
  <c r="CU256" i="1"/>
  <c r="CV219" i="1"/>
  <c r="CU178" i="1"/>
  <c r="CU254" i="1"/>
  <c r="CU221" i="1"/>
  <c r="CU119" i="1" l="1"/>
  <c r="CV46" i="1"/>
  <c r="CV262" i="1" l="1"/>
  <c r="CV48" i="1"/>
  <c r="CU121" i="1"/>
  <c r="CU124" i="1" s="1"/>
  <c r="CU120" i="1"/>
  <c r="CU123" i="1" s="1"/>
  <c r="CV49" i="1" l="1"/>
  <c r="CV51" i="1" s="1"/>
  <c r="CV54" i="1" l="1"/>
  <c r="CV53" i="1"/>
  <c r="CV52" i="1"/>
  <c r="CV255" i="1" s="1"/>
  <c r="CV244" i="1"/>
  <c r="CV58" i="1"/>
  <c r="CV237" i="1"/>
  <c r="CV203" i="1" l="1"/>
  <c r="CV205" i="1" s="1"/>
  <c r="CV209" i="1" s="1"/>
  <c r="CV223" i="1" s="1"/>
  <c r="CV76" i="1"/>
  <c r="CV129" i="1"/>
  <c r="CV130" i="1" l="1"/>
  <c r="CV79" i="1"/>
  <c r="CV88" i="1" l="1"/>
  <c r="CV95" i="1"/>
  <c r="CV89" i="1"/>
  <c r="CV80" i="1"/>
  <c r="CV102" i="1"/>
  <c r="CV104" i="1" s="1"/>
  <c r="CV217" i="1"/>
  <c r="CV215" i="1" s="1"/>
  <c r="CV220" i="1" s="1"/>
  <c r="CV139" i="1"/>
  <c r="CV65" i="1" s="1"/>
  <c r="CV64" i="1"/>
  <c r="CV170" i="1" l="1"/>
  <c r="CV171" i="1" s="1"/>
  <c r="CV92" i="1"/>
  <c r="CV118" i="1"/>
  <c r="CV91" i="1"/>
  <c r="CV117" i="1"/>
  <c r="CV256" i="1" l="1"/>
  <c r="CV178" i="1"/>
  <c r="CV258" i="1"/>
  <c r="CW219" i="1"/>
  <c r="CV175" i="1"/>
  <c r="CV176" i="1" s="1"/>
  <c r="CV254" i="1"/>
  <c r="CV221" i="1"/>
  <c r="CV119" i="1" l="1"/>
  <c r="CW46" i="1"/>
  <c r="CV120" i="1" l="1"/>
  <c r="CV123" i="1" s="1"/>
  <c r="CV121" i="1"/>
  <c r="CV124" i="1" s="1"/>
  <c r="CW262" i="1"/>
  <c r="CW48" i="1"/>
  <c r="CW49" i="1" l="1"/>
  <c r="CW51" i="1" s="1"/>
  <c r="CW52" i="1" l="1"/>
  <c r="CW255" i="1" s="1"/>
  <c r="CW53" i="1"/>
  <c r="CW58" i="1"/>
  <c r="CW244" i="1"/>
  <c r="CW54" i="1"/>
  <c r="CW237" i="1"/>
  <c r="CW76" i="1" l="1"/>
  <c r="CW203" i="1"/>
  <c r="CW205" i="1" s="1"/>
  <c r="CW209" i="1" s="1"/>
  <c r="CW223" i="1" s="1"/>
  <c r="CW129" i="1"/>
  <c r="CW130" i="1" l="1"/>
  <c r="CW79" i="1"/>
  <c r="CW95" i="1" l="1"/>
  <c r="CW89" i="1"/>
  <c r="CW88" i="1"/>
  <c r="CW80" i="1"/>
  <c r="CW102" i="1"/>
  <c r="CW104" i="1" s="1"/>
  <c r="CW139" i="1"/>
  <c r="CW65" i="1" s="1"/>
  <c r="CW217" i="1"/>
  <c r="CW215" i="1" s="1"/>
  <c r="CW220" i="1" s="1"/>
  <c r="CW64" i="1"/>
  <c r="CW170" i="1" l="1"/>
  <c r="CW171" i="1" s="1"/>
  <c r="CW117" i="1"/>
  <c r="CW91" i="1"/>
  <c r="CW118" i="1"/>
  <c r="CW92" i="1"/>
  <c r="CW258" i="1" l="1"/>
  <c r="CW178" i="1"/>
  <c r="CX219" i="1"/>
  <c r="CW175" i="1"/>
  <c r="CW176" i="1" s="1"/>
  <c r="CW256" i="1"/>
  <c r="CW254" i="1"/>
  <c r="CW221" i="1"/>
  <c r="CW119" i="1" l="1"/>
  <c r="CX46" i="1"/>
  <c r="CW121" i="1" l="1"/>
  <c r="CW124" i="1" s="1"/>
  <c r="CW120" i="1"/>
  <c r="CW123" i="1" s="1"/>
  <c r="CX262" i="1"/>
  <c r="CX48" i="1"/>
  <c r="AD46" i="1"/>
  <c r="AD262" i="1" l="1"/>
  <c r="AD47" i="1"/>
  <c r="AD48" i="1"/>
  <c r="CX49" i="1"/>
  <c r="AD49" i="1" s="1"/>
  <c r="AD50" i="1" l="1"/>
  <c r="CX51" i="1"/>
  <c r="CX52" i="1" s="1"/>
  <c r="CX255" i="1" s="1"/>
  <c r="AD51" i="1"/>
  <c r="CX237" i="1" l="1"/>
  <c r="CX53" i="1"/>
  <c r="CX54" i="1"/>
  <c r="CX244" i="1"/>
  <c r="CX58" i="1"/>
  <c r="CX203" i="1" s="1"/>
  <c r="CX205" i="1" s="1"/>
  <c r="CX209" i="1" s="1"/>
  <c r="CX223" i="1" s="1"/>
  <c r="AD52" i="1"/>
  <c r="AD255" i="1" s="1"/>
  <c r="AD58" i="1"/>
  <c r="AD71" i="1"/>
  <c r="AD53" i="1"/>
  <c r="CX76" i="1" l="1"/>
  <c r="CX79" i="1" s="1"/>
  <c r="CX129" i="1"/>
  <c r="AD129" i="1" s="1"/>
  <c r="AD130" i="1" s="1"/>
  <c r="AD61" i="1"/>
  <c r="AD62" i="1" s="1"/>
  <c r="AD203" i="1"/>
  <c r="AD205" i="1" s="1"/>
  <c r="AD209" i="1" s="1"/>
  <c r="AD223" i="1" s="1"/>
  <c r="CX130" i="1" l="1"/>
  <c r="CX102" i="1" s="1"/>
  <c r="CX104" i="1" s="1"/>
  <c r="AD217" i="1"/>
  <c r="AD215" i="1" s="1"/>
  <c r="AD220" i="1" s="1"/>
  <c r="AD185" i="1"/>
  <c r="AD139" i="1"/>
  <c r="AD65" i="1" s="1"/>
  <c r="CX89" i="1"/>
  <c r="CX82" i="1"/>
  <c r="CX95" i="1"/>
  <c r="CX88" i="1"/>
  <c r="CX80" i="1"/>
  <c r="AD64" i="1"/>
  <c r="CX64" i="1" l="1"/>
  <c r="CX139" i="1"/>
  <c r="CX65" i="1" s="1"/>
  <c r="CX217" i="1"/>
  <c r="CX215" i="1" s="1"/>
  <c r="CX220" i="1" s="1"/>
  <c r="CX170" i="1" s="1"/>
  <c r="CX118" i="1"/>
  <c r="CX92" i="1"/>
  <c r="AD89" i="1"/>
  <c r="CX117" i="1"/>
  <c r="CX91" i="1"/>
  <c r="AD88" i="1"/>
  <c r="AD170" i="1" l="1"/>
  <c r="AD171" i="1" s="1"/>
  <c r="CX171" i="1"/>
  <c r="AD91" i="1"/>
  <c r="AD92" i="1"/>
  <c r="CX175" i="1" l="1"/>
  <c r="CX176" i="1" s="1"/>
  <c r="CX258" i="1"/>
  <c r="CX256" i="1"/>
  <c r="CY219" i="1"/>
  <c r="CX178" i="1"/>
  <c r="CX254" i="1"/>
  <c r="CX221" i="1"/>
  <c r="AD175" i="1"/>
  <c r="AD176" i="1" s="1"/>
  <c r="AE219" i="1"/>
  <c r="AD178" i="1"/>
  <c r="AD119" i="1" s="1"/>
  <c r="AD256" i="1"/>
  <c r="AD258" i="1"/>
  <c r="AD254" i="1"/>
  <c r="AD221" i="1"/>
  <c r="CX119" i="1" l="1"/>
  <c r="CY46" i="1"/>
  <c r="CY262" i="1" l="1"/>
  <c r="CY48" i="1"/>
  <c r="CX120" i="1"/>
  <c r="CX123" i="1" s="1"/>
  <c r="CX121" i="1"/>
  <c r="CX124" i="1" s="1"/>
  <c r="CY49" i="1" l="1"/>
  <c r="CY51" i="1" s="1"/>
  <c r="CY53" i="1" l="1"/>
  <c r="CY54" i="1"/>
  <c r="CY52" i="1"/>
  <c r="CY255" i="1" s="1"/>
  <c r="CY244" i="1"/>
  <c r="CY58" i="1"/>
  <c r="CY237" i="1"/>
  <c r="CY76" i="1" l="1"/>
  <c r="CY203" i="1"/>
  <c r="CY205" i="1" s="1"/>
  <c r="CY209" i="1" s="1"/>
  <c r="CY223" i="1" s="1"/>
  <c r="CY129" i="1"/>
  <c r="CY130" i="1" l="1"/>
  <c r="CY79" i="1"/>
  <c r="CY88" i="1" l="1"/>
  <c r="CY89" i="1"/>
  <c r="CY95" i="1"/>
  <c r="CY80" i="1"/>
  <c r="CY102" i="1"/>
  <c r="CY104" i="1" s="1"/>
  <c r="CY217" i="1"/>
  <c r="CY215" i="1" s="1"/>
  <c r="CY220" i="1" s="1"/>
  <c r="CY139" i="1"/>
  <c r="CY65" i="1" s="1"/>
  <c r="CY64" i="1"/>
  <c r="CY92" i="1" l="1"/>
  <c r="CY118" i="1"/>
  <c r="CY170" i="1"/>
  <c r="CY171" i="1" s="1"/>
  <c r="CY117" i="1"/>
  <c r="CY91" i="1"/>
  <c r="CY178" i="1" l="1"/>
  <c r="CY175" i="1"/>
  <c r="CY176" i="1" s="1"/>
  <c r="CY258" i="1"/>
  <c r="CY256" i="1"/>
  <c r="CZ219" i="1"/>
  <c r="CY254" i="1"/>
  <c r="CY221" i="1"/>
  <c r="CZ46" i="1" l="1"/>
  <c r="CY119" i="1"/>
  <c r="CY120" i="1" l="1"/>
  <c r="CY123" i="1" s="1"/>
  <c r="CY121" i="1"/>
  <c r="CY124" i="1" s="1"/>
  <c r="CZ262" i="1"/>
  <c r="CZ48" i="1"/>
  <c r="CZ49" i="1" l="1"/>
  <c r="CZ51" i="1" l="1"/>
  <c r="CZ58" i="1" l="1"/>
  <c r="CZ53" i="1"/>
  <c r="CZ244" i="1"/>
  <c r="CZ54" i="1"/>
  <c r="CZ52" i="1"/>
  <c r="CZ255" i="1" s="1"/>
  <c r="CZ237" i="1"/>
  <c r="CZ203" i="1" l="1"/>
  <c r="CZ205" i="1" s="1"/>
  <c r="CZ209" i="1" s="1"/>
  <c r="CZ223" i="1" s="1"/>
  <c r="CZ76" i="1"/>
  <c r="CZ129" i="1"/>
  <c r="CZ130" i="1" l="1"/>
  <c r="CZ79" i="1"/>
  <c r="CZ95" i="1" l="1"/>
  <c r="CZ89" i="1"/>
  <c r="CZ88" i="1"/>
  <c r="CZ80" i="1"/>
  <c r="CZ217" i="1"/>
  <c r="CZ215" i="1" s="1"/>
  <c r="CZ220" i="1" s="1"/>
  <c r="CZ102" i="1"/>
  <c r="CZ104" i="1" s="1"/>
  <c r="CZ139" i="1"/>
  <c r="CZ65" i="1" s="1"/>
  <c r="CZ64" i="1"/>
  <c r="CZ170" i="1" l="1"/>
  <c r="CZ171" i="1" s="1"/>
  <c r="CZ91" i="1"/>
  <c r="CZ117" i="1"/>
  <c r="CZ92" i="1"/>
  <c r="CZ118" i="1"/>
  <c r="CZ175" i="1" l="1"/>
  <c r="CZ176" i="1" s="1"/>
  <c r="CZ178" i="1"/>
  <c r="CZ256" i="1"/>
  <c r="CZ258" i="1"/>
  <c r="DA219" i="1"/>
  <c r="CZ254" i="1"/>
  <c r="CZ221" i="1"/>
  <c r="DA46" i="1" l="1"/>
  <c r="CZ119" i="1"/>
  <c r="CZ121" i="1" l="1"/>
  <c r="CZ124" i="1" s="1"/>
  <c r="CZ120" i="1"/>
  <c r="CZ123" i="1" s="1"/>
  <c r="DA262" i="1"/>
  <c r="DA48" i="1"/>
  <c r="DA49" i="1" l="1"/>
  <c r="DA51" i="1" s="1"/>
  <c r="DA58" i="1" l="1"/>
  <c r="DA52" i="1"/>
  <c r="DA255" i="1" s="1"/>
  <c r="DA53" i="1"/>
  <c r="DA244" i="1"/>
  <c r="DA54" i="1"/>
  <c r="DA237" i="1"/>
  <c r="DA203" i="1" l="1"/>
  <c r="DA205" i="1" s="1"/>
  <c r="DA209" i="1" s="1"/>
  <c r="DA223" i="1" s="1"/>
  <c r="DA76" i="1"/>
  <c r="DA129" i="1"/>
  <c r="DA130" i="1" l="1"/>
  <c r="DA79" i="1"/>
  <c r="DA88" i="1" l="1"/>
  <c r="DA89" i="1"/>
  <c r="DA95" i="1"/>
  <c r="DA80" i="1"/>
  <c r="DA139" i="1"/>
  <c r="DA65" i="1" s="1"/>
  <c r="DA102" i="1"/>
  <c r="DA104" i="1" s="1"/>
  <c r="DA217" i="1"/>
  <c r="DA215" i="1" s="1"/>
  <c r="DA220" i="1" s="1"/>
  <c r="DA64" i="1"/>
  <c r="DA170" i="1" l="1"/>
  <c r="DA171" i="1" s="1"/>
  <c r="DA92" i="1"/>
  <c r="DA118" i="1"/>
  <c r="DA117" i="1"/>
  <c r="DA91" i="1"/>
  <c r="DA178" i="1" l="1"/>
  <c r="DA175" i="1"/>
  <c r="DA176" i="1" s="1"/>
  <c r="DA258" i="1"/>
  <c r="DB219" i="1"/>
  <c r="DA256" i="1"/>
  <c r="DA254" i="1"/>
  <c r="DA221" i="1"/>
  <c r="DA119" i="1" l="1"/>
  <c r="DB46" i="1"/>
  <c r="DB262" i="1" l="1"/>
  <c r="DB48" i="1"/>
  <c r="AE46" i="1"/>
  <c r="DA120" i="1"/>
  <c r="DA123" i="1" s="1"/>
  <c r="DA121" i="1"/>
  <c r="DA124" i="1" s="1"/>
  <c r="AE47" i="1" l="1"/>
  <c r="AE262" i="1"/>
  <c r="AE48" i="1"/>
  <c r="DB49" i="1"/>
  <c r="AE49" i="1" s="1"/>
  <c r="DB51" i="1" l="1"/>
  <c r="DB52" i="1" s="1"/>
  <c r="DB255" i="1" s="1"/>
  <c r="AE50" i="1"/>
  <c r="AE51" i="1"/>
  <c r="DB53" i="1" l="1"/>
  <c r="DB237" i="1"/>
  <c r="DB58" i="1"/>
  <c r="DB76" i="1" s="1"/>
  <c r="DB79" i="1" s="1"/>
  <c r="DB54" i="1"/>
  <c r="DB244" i="1"/>
  <c r="AE52" i="1"/>
  <c r="AE255" i="1" s="1"/>
  <c r="AE58" i="1"/>
  <c r="AE71" i="1"/>
  <c r="AE53" i="1"/>
  <c r="DB129" i="1" l="1"/>
  <c r="AE129" i="1" s="1"/>
  <c r="AE130" i="1" s="1"/>
  <c r="AE64" i="1" s="1"/>
  <c r="DB203" i="1"/>
  <c r="DB205" i="1" s="1"/>
  <c r="DB209" i="1" s="1"/>
  <c r="DB223" i="1" s="1"/>
  <c r="DB95" i="1"/>
  <c r="DB82" i="1"/>
  <c r="DB89" i="1"/>
  <c r="DB88" i="1"/>
  <c r="DB80" i="1"/>
  <c r="AE203" i="1"/>
  <c r="AE205" i="1" s="1"/>
  <c r="AE209" i="1" s="1"/>
  <c r="AE223" i="1" s="1"/>
  <c r="AE61" i="1"/>
  <c r="AE62" i="1" s="1"/>
  <c r="DB130" i="1" l="1"/>
  <c r="DB102" i="1" s="1"/>
  <c r="DB104" i="1" s="1"/>
  <c r="DB117" i="1"/>
  <c r="DB91" i="1"/>
  <c r="AE88" i="1"/>
  <c r="DB118" i="1"/>
  <c r="DB92" i="1"/>
  <c r="AE89" i="1"/>
  <c r="AE217" i="1"/>
  <c r="AE215" i="1" s="1"/>
  <c r="AE220" i="1" s="1"/>
  <c r="AE185" i="1"/>
  <c r="AE139" i="1"/>
  <c r="AE65" i="1" s="1"/>
  <c r="DB64" i="1" l="1"/>
  <c r="DB217" i="1"/>
  <c r="DB215" i="1" s="1"/>
  <c r="DB220" i="1" s="1"/>
  <c r="DB170" i="1" s="1"/>
  <c r="DB139" i="1"/>
  <c r="DB65" i="1" s="1"/>
  <c r="AE92" i="1"/>
  <c r="AE91" i="1"/>
  <c r="AE170" i="1" l="1"/>
  <c r="AE171" i="1" s="1"/>
  <c r="DB171" i="1"/>
  <c r="DB256" i="1" l="1"/>
  <c r="DB175" i="1"/>
  <c r="DB176" i="1" s="1"/>
  <c r="DB258" i="1"/>
  <c r="DB178" i="1"/>
  <c r="DB119" i="1" s="1"/>
  <c r="DB254" i="1"/>
  <c r="DB221" i="1"/>
  <c r="AE258" i="1"/>
  <c r="AE178" i="1"/>
  <c r="AE119" i="1" s="1"/>
  <c r="AE175" i="1"/>
  <c r="AE176" i="1" s="1"/>
  <c r="AE256" i="1"/>
  <c r="AE254" i="1"/>
  <c r="AE221" i="1"/>
  <c r="DB121" i="1" l="1"/>
  <c r="DB124" i="1" s="1"/>
  <c r="DB120" i="1"/>
  <c r="DB123" i="1" s="1"/>
  <c r="AA73" i="1" l="1"/>
  <c r="AB73" i="1"/>
  <c r="AA75" i="1"/>
  <c r="AA76" i="1"/>
  <c r="AA79" i="1"/>
  <c r="AA80" i="1"/>
  <c r="AA117" i="1"/>
  <c r="AA120" i="1"/>
  <c r="AA95" i="1"/>
  <c r="AA123" i="1"/>
  <c r="AA97" i="1"/>
  <c r="AA118" i="1"/>
  <c r="AA121" i="1"/>
  <c r="AA124" i="1"/>
  <c r="AA96" i="1"/>
  <c r="AA109" i="1"/>
  <c r="AA102" i="1"/>
  <c r="AA112" i="1"/>
  <c r="AA113" i="1"/>
  <c r="AA114" i="1"/>
  <c r="AA106" i="1"/>
  <c r="AA104" i="1"/>
  <c r="AA105" i="1"/>
  <c r="AA78" i="1"/>
  <c r="Z73" i="1"/>
  <c r="Y73" i="1"/>
  <c r="X73" i="1"/>
  <c r="W73" i="1"/>
  <c r="V73" i="1"/>
  <c r="U73" i="1"/>
  <c r="T73" i="1"/>
  <c r="S73" i="1"/>
  <c r="R73" i="1"/>
  <c r="Q73" i="1"/>
  <c r="P73" i="1"/>
  <c r="O73" i="1"/>
  <c r="O75" i="1"/>
  <c r="O117" i="1"/>
  <c r="O120" i="1"/>
  <c r="O123" i="1"/>
  <c r="X75" i="1"/>
  <c r="X76" i="1"/>
  <c r="X79" i="1"/>
  <c r="Y75" i="1"/>
  <c r="Y76" i="1"/>
  <c r="Y79" i="1"/>
  <c r="Y80" i="1"/>
  <c r="X78" i="1"/>
  <c r="Y95" i="1"/>
  <c r="Y96" i="1"/>
  <c r="Y97" i="1"/>
  <c r="X95" i="1"/>
  <c r="X97" i="1"/>
  <c r="X96" i="1"/>
  <c r="U75" i="1"/>
  <c r="U109" i="1"/>
  <c r="N73" i="1"/>
  <c r="M73" i="1"/>
  <c r="L73" i="1"/>
  <c r="K73" i="1"/>
  <c r="J73" i="1"/>
  <c r="I73" i="1"/>
  <c r="H73" i="1"/>
  <c r="G73" i="1"/>
  <c r="G75" i="1"/>
  <c r="G76" i="1"/>
  <c r="G79" i="1"/>
  <c r="Q75" i="1"/>
  <c r="Q109" i="1"/>
  <c r="F73" i="1"/>
  <c r="F75" i="1"/>
  <c r="F109" i="1"/>
  <c r="R75" i="1"/>
  <c r="R109" i="1"/>
  <c r="N75" i="1"/>
  <c r="N76" i="1"/>
  <c r="N79" i="1"/>
  <c r="E73" i="1"/>
  <c r="E75" i="1"/>
  <c r="E109" i="1"/>
  <c r="I75" i="1"/>
  <c r="I109" i="1"/>
  <c r="H75" i="1"/>
  <c r="H109" i="1"/>
  <c r="V75" i="1"/>
  <c r="V109" i="1"/>
  <c r="R76" i="1"/>
  <c r="R79" i="1"/>
  <c r="K75" i="1"/>
  <c r="K109" i="1"/>
  <c r="L75" i="1"/>
  <c r="L109" i="1"/>
  <c r="G109" i="1"/>
  <c r="N109" i="1"/>
  <c r="V76" i="1"/>
  <c r="N96" i="1"/>
  <c r="N117" i="1"/>
  <c r="U118" i="1"/>
  <c r="K113" i="1"/>
  <c r="U102" i="1"/>
  <c r="R118" i="1"/>
  <c r="Y78" i="1"/>
  <c r="H102" i="1"/>
  <c r="F102" i="1"/>
  <c r="U113" i="1"/>
  <c r="V118" i="1"/>
  <c r="H117" i="1"/>
  <c r="G95" i="1"/>
  <c r="Q117" i="1"/>
  <c r="V102" i="1"/>
  <c r="F106" i="1"/>
  <c r="O102" i="1"/>
  <c r="N114" i="1"/>
  <c r="J75" i="1"/>
  <c r="AC73" i="1"/>
  <c r="Q112" i="1"/>
  <c r="Z75" i="1"/>
  <c r="V105" i="1"/>
  <c r="K76" i="1"/>
  <c r="AC75" i="1"/>
  <c r="I118" i="1"/>
  <c r="F117" i="1"/>
  <c r="AD73" i="1"/>
  <c r="AD75" i="1"/>
  <c r="AD117" i="1"/>
  <c r="AD120" i="1"/>
  <c r="O106" i="1"/>
  <c r="AD123" i="1"/>
  <c r="I117" i="1"/>
  <c r="E76" i="1"/>
  <c r="U117" i="1"/>
  <c r="U120" i="1"/>
  <c r="F105" i="1"/>
  <c r="Y109" i="1"/>
  <c r="G114" i="1"/>
  <c r="R97" i="1"/>
  <c r="Z102" i="1"/>
  <c r="W75" i="1"/>
  <c r="W102" i="1"/>
  <c r="W104" i="1"/>
  <c r="V117" i="1"/>
  <c r="I121" i="1"/>
  <c r="T75" i="1"/>
  <c r="T76" i="1"/>
  <c r="T79" i="1"/>
  <c r="T80" i="1"/>
  <c r="Y102" i="1"/>
  <c r="G97" i="1"/>
  <c r="Y106" i="1"/>
  <c r="AC117" i="1"/>
  <c r="AC120" i="1"/>
  <c r="AC123" i="1"/>
  <c r="Y105" i="1"/>
  <c r="R102" i="1"/>
  <c r="H76" i="1"/>
  <c r="N120" i="1"/>
  <c r="H105" i="1"/>
  <c r="L76" i="1"/>
  <c r="L79" i="1"/>
  <c r="L97" i="1"/>
  <c r="X109" i="1"/>
  <c r="L117" i="1"/>
  <c r="G117" i="1"/>
  <c r="V113" i="1"/>
  <c r="P75" i="1"/>
  <c r="P102" i="1"/>
  <c r="P104" i="1"/>
  <c r="G120" i="1"/>
  <c r="G113" i="1"/>
  <c r="N97" i="1"/>
  <c r="U112" i="1"/>
  <c r="G102" i="1"/>
  <c r="M75" i="1"/>
  <c r="M102" i="1"/>
  <c r="M106" i="1"/>
  <c r="F104" i="1"/>
  <c r="Y117" i="1"/>
  <c r="N113" i="1"/>
  <c r="W99" i="1"/>
  <c r="G80" i="1"/>
  <c r="H104" i="1"/>
  <c r="V79" i="1"/>
  <c r="V97" i="1"/>
  <c r="M76" i="1"/>
  <c r="M79" i="1"/>
  <c r="L99" i="1"/>
  <c r="AB74" i="1"/>
  <c r="AA74" i="1"/>
  <c r="Z74" i="1"/>
  <c r="Y74" i="1"/>
  <c r="F99" i="1"/>
  <c r="G112" i="1"/>
  <c r="O76" i="1"/>
  <c r="O79" i="1"/>
  <c r="O96" i="1"/>
  <c r="Q114" i="1"/>
  <c r="O97" i="1"/>
  <c r="K118" i="1"/>
  <c r="K112" i="1"/>
  <c r="R117" i="1"/>
  <c r="R113" i="1"/>
  <c r="E117" i="1"/>
  <c r="L102" i="1"/>
  <c r="V114" i="1"/>
  <c r="X118" i="1"/>
  <c r="L118" i="1"/>
  <c r="L121" i="1"/>
  <c r="L124" i="1"/>
  <c r="F112" i="1"/>
  <c r="L113" i="1"/>
  <c r="W117" i="1"/>
  <c r="W120" i="1"/>
  <c r="AB75" i="1"/>
  <c r="AB109" i="1"/>
  <c r="AB113" i="1"/>
  <c r="AB117" i="1"/>
  <c r="AB120" i="1"/>
  <c r="N80" i="1"/>
  <c r="R114" i="1"/>
  <c r="X117" i="1"/>
  <c r="J102" i="1"/>
  <c r="AB123" i="1"/>
  <c r="AC74" i="1"/>
  <c r="F113" i="1"/>
  <c r="P76" i="1"/>
  <c r="AE73" i="1"/>
  <c r="I76" i="1"/>
  <c r="I78" i="1"/>
  <c r="AC102" i="1"/>
  <c r="X121" i="1"/>
  <c r="I79" i="1"/>
  <c r="L120" i="1"/>
  <c r="R95" i="1"/>
  <c r="N118" i="1"/>
  <c r="N121" i="1"/>
  <c r="N124" i="1"/>
  <c r="I102" i="1"/>
  <c r="P78" i="1"/>
  <c r="F118" i="1"/>
  <c r="AD109" i="1"/>
  <c r="AD113" i="1"/>
  <c r="T95" i="1"/>
  <c r="AD102" i="1"/>
  <c r="AB112" i="1"/>
  <c r="G104" i="1"/>
  <c r="R120" i="1"/>
  <c r="R96" i="1"/>
  <c r="L114" i="1"/>
  <c r="E118" i="1"/>
  <c r="I112" i="1"/>
  <c r="J118" i="1"/>
  <c r="H78" i="1"/>
  <c r="Z105" i="1"/>
  <c r="M118" i="1"/>
  <c r="M121" i="1"/>
  <c r="I114" i="1"/>
  <c r="Z117" i="1"/>
  <c r="AD118" i="1"/>
  <c r="AD121" i="1"/>
  <c r="W106" i="1"/>
  <c r="O95" i="1"/>
  <c r="M78" i="1"/>
  <c r="L105" i="1"/>
  <c r="H118" i="1"/>
  <c r="K117" i="1"/>
  <c r="AB118" i="1"/>
  <c r="AD74" i="1"/>
  <c r="AE74" i="1"/>
  <c r="R112" i="1"/>
  <c r="AB121" i="1"/>
  <c r="M80" i="1"/>
  <c r="H112" i="1"/>
  <c r="X120" i="1"/>
  <c r="X123" i="1"/>
  <c r="E113" i="1"/>
  <c r="O78" i="1"/>
  <c r="AE75" i="1"/>
  <c r="AE117" i="1"/>
  <c r="AE120" i="1"/>
  <c r="AE123" i="1"/>
  <c r="K99" i="1"/>
  <c r="P105" i="1"/>
  <c r="Z109" i="1"/>
  <c r="Z114" i="1"/>
  <c r="G123" i="1"/>
  <c r="N123" i="1"/>
  <c r="M95" i="1"/>
  <c r="O104" i="1"/>
  <c r="L104" i="1"/>
  <c r="AD112" i="1"/>
  <c r="E120" i="1"/>
  <c r="R78" i="1"/>
  <c r="K102" i="1"/>
  <c r="O109" i="1"/>
  <c r="AE102" i="1"/>
  <c r="G105" i="1"/>
  <c r="M105" i="1"/>
  <c r="H106" i="1"/>
  <c r="AE104" i="1"/>
  <c r="AE118" i="1"/>
  <c r="AE121" i="1"/>
  <c r="AC76" i="1"/>
  <c r="O113" i="1"/>
  <c r="AC78" i="1"/>
  <c r="O118" i="1"/>
  <c r="K106" i="1"/>
  <c r="V80" i="1"/>
  <c r="U104" i="1"/>
  <c r="U76" i="1"/>
  <c r="U79" i="1"/>
  <c r="T99" i="1"/>
  <c r="AC118" i="1"/>
  <c r="W105" i="1"/>
  <c r="H114" i="1"/>
  <c r="W76" i="1"/>
  <c r="Q120" i="1"/>
  <c r="L112" i="1"/>
  <c r="AB76" i="1"/>
  <c r="AB79" i="1"/>
  <c r="AB95" i="1"/>
  <c r="AB96" i="1"/>
  <c r="AE76" i="1"/>
  <c r="AE79" i="1"/>
  <c r="X74" i="1"/>
  <c r="W74" i="1"/>
  <c r="V74" i="1"/>
  <c r="U74" i="1"/>
  <c r="T74" i="1"/>
  <c r="S74" i="1"/>
  <c r="AB78" i="1"/>
  <c r="W118" i="1"/>
  <c r="N78" i="1"/>
  <c r="V106" i="1"/>
  <c r="W79" i="1"/>
  <c r="W97" i="1"/>
  <c r="Y118" i="1"/>
  <c r="X102" i="1"/>
  <c r="AE78" i="1"/>
  <c r="Q102" i="1"/>
  <c r="T117" i="1"/>
  <c r="T120" i="1"/>
  <c r="T123" i="1"/>
  <c r="R80" i="1"/>
  <c r="Q118" i="1"/>
  <c r="V112" i="1"/>
  <c r="G118" i="1"/>
  <c r="N102" i="1"/>
  <c r="F76" i="1"/>
  <c r="F79" i="1"/>
  <c r="F80" i="1"/>
  <c r="F114" i="1"/>
  <c r="R74" i="1"/>
  <c r="Q74" i="1"/>
  <c r="P74" i="1"/>
  <c r="O74" i="1"/>
  <c r="N74" i="1"/>
  <c r="M74" i="1"/>
  <c r="L74" i="1"/>
  <c r="K74" i="1"/>
  <c r="J74" i="1"/>
  <c r="I74" i="1"/>
  <c r="H74" i="1"/>
  <c r="J105" i="1"/>
  <c r="Q113" i="1"/>
  <c r="AD76" i="1"/>
  <c r="AD79" i="1"/>
  <c r="J76" i="1"/>
  <c r="J79" i="1"/>
  <c r="J96" i="1"/>
  <c r="O80" i="1"/>
  <c r="G78" i="1"/>
  <c r="T109" i="1"/>
  <c r="T112" i="1"/>
  <c r="X80" i="1"/>
  <c r="U105" i="1"/>
  <c r="AC99" i="1"/>
  <c r="Y120" i="1"/>
  <c r="Y123" i="1"/>
  <c r="X104" i="1"/>
  <c r="Z118" i="1"/>
  <c r="Z121" i="1"/>
  <c r="W121" i="1"/>
  <c r="G121" i="1"/>
  <c r="G124" i="1"/>
  <c r="H121" i="1"/>
  <c r="X106" i="1"/>
  <c r="K120" i="1"/>
  <c r="V78" i="1"/>
  <c r="Y121" i="1"/>
  <c r="Q99" i="1"/>
  <c r="E102" i="1"/>
  <c r="S75" i="1"/>
  <c r="Q105" i="1"/>
  <c r="Z113" i="1"/>
  <c r="I120" i="1"/>
  <c r="P117" i="1"/>
  <c r="S109" i="1"/>
  <c r="AE124" i="1"/>
  <c r="AD95" i="1"/>
  <c r="K79" i="1"/>
  <c r="M99" i="1"/>
  <c r="J80" i="1"/>
  <c r="O114" i="1"/>
  <c r="K97" i="1"/>
  <c r="O105" i="1"/>
  <c r="U80" i="1"/>
  <c r="W109" i="1"/>
  <c r="S99" i="1"/>
  <c r="K121" i="1"/>
  <c r="H120" i="1"/>
  <c r="P109" i="1"/>
  <c r="X99" i="1"/>
  <c r="K114" i="1"/>
  <c r="M109" i="1"/>
  <c r="E114" i="1"/>
  <c r="K78" i="1"/>
  <c r="E112" i="1"/>
  <c r="G96" i="1"/>
  <c r="V95" i="1"/>
  <c r="I99" i="1"/>
  <c r="G74" i="1"/>
  <c r="T102" i="1"/>
  <c r="T104" i="1"/>
  <c r="U121" i="1"/>
  <c r="AD114" i="1"/>
  <c r="X124" i="1"/>
  <c r="K123" i="1"/>
  <c r="X112" i="1"/>
  <c r="K105" i="1"/>
  <c r="T96" i="1"/>
  <c r="AC109" i="1"/>
  <c r="AC114" i="1"/>
  <c r="Y104" i="1"/>
  <c r="AC112" i="1"/>
  <c r="AC113" i="1"/>
  <c r="I105" i="1"/>
  <c r="Z76" i="1"/>
  <c r="Z79" i="1"/>
  <c r="Z96" i="1"/>
  <c r="V121" i="1"/>
  <c r="J109" i="1"/>
  <c r="AD105" i="1"/>
  <c r="J113" i="1"/>
  <c r="S102" i="1"/>
  <c r="Y114" i="1"/>
  <c r="T105" i="1"/>
  <c r="U95" i="1"/>
  <c r="I104" i="1"/>
  <c r="R104" i="1"/>
  <c r="S104" i="1"/>
  <c r="P114" i="1"/>
  <c r="L96" i="1"/>
  <c r="W123" i="1"/>
  <c r="AE96" i="1"/>
  <c r="L95" i="1"/>
  <c r="E106" i="1"/>
  <c r="L80" i="1"/>
  <c r="X114" i="1"/>
  <c r="M104" i="1"/>
  <c r="Z124" i="1"/>
  <c r="W124" i="1"/>
  <c r="J95" i="1"/>
  <c r="W95" i="1"/>
  <c r="J117" i="1"/>
  <c r="J120" i="1"/>
  <c r="J123" i="1"/>
  <c r="V120" i="1"/>
  <c r="V123" i="1"/>
  <c r="AD97" i="1"/>
  <c r="Q104" i="1"/>
  <c r="Z104" i="1"/>
  <c r="K104" i="1"/>
  <c r="AD104" i="1"/>
  <c r="S117" i="1"/>
  <c r="S120" i="1"/>
  <c r="S123" i="1"/>
  <c r="AB124" i="1"/>
  <c r="Z106" i="1"/>
  <c r="P113" i="1"/>
  <c r="M113" i="1"/>
  <c r="E78" i="1"/>
  <c r="E123" i="1"/>
  <c r="T106" i="1"/>
  <c r="AE97" i="1"/>
  <c r="V96" i="1"/>
  <c r="W78" i="1"/>
  <c r="V99" i="1"/>
  <c r="P106" i="1"/>
  <c r="W114" i="1"/>
  <c r="AE106" i="1"/>
  <c r="AB97" i="1"/>
  <c r="Q76" i="1"/>
  <c r="Q79" i="1"/>
  <c r="Q95" i="1"/>
  <c r="P112" i="1"/>
  <c r="V124" i="1"/>
  <c r="P120" i="1"/>
  <c r="P123" i="1"/>
  <c r="S106" i="1"/>
  <c r="AA99" i="1"/>
  <c r="E104" i="1"/>
  <c r="L106" i="1"/>
  <c r="K95" i="1"/>
  <c r="I106" i="1"/>
  <c r="AC121" i="1"/>
  <c r="AC124" i="1"/>
  <c r="H124" i="1"/>
  <c r="AE95" i="1"/>
  <c r="U123" i="1"/>
  <c r="AD96" i="1"/>
  <c r="J121" i="1"/>
  <c r="J124" i="1"/>
  <c r="M112" i="1"/>
  <c r="N105" i="1"/>
  <c r="R123" i="1"/>
  <c r="U78" i="1"/>
  <c r="I124" i="1"/>
  <c r="AD99" i="1"/>
  <c r="W113" i="1"/>
  <c r="O112" i="1"/>
  <c r="S76" i="1"/>
  <c r="S79" i="1"/>
  <c r="S80" i="1"/>
  <c r="T78" i="1"/>
  <c r="E121" i="1"/>
  <c r="E124" i="1"/>
  <c r="S96" i="1"/>
  <c r="T118" i="1"/>
  <c r="T121" i="1"/>
  <c r="T124" i="1"/>
  <c r="R106" i="1"/>
  <c r="O121" i="1"/>
  <c r="O124" i="1"/>
  <c r="E105" i="1"/>
  <c r="Y124" i="1"/>
  <c r="L123" i="1"/>
  <c r="H123" i="1"/>
  <c r="R99" i="1"/>
  <c r="U124" i="1"/>
  <c r="M114" i="1"/>
  <c r="S97" i="1"/>
  <c r="T97" i="1"/>
  <c r="Y113" i="1"/>
  <c r="K96" i="1"/>
  <c r="S105" i="1"/>
  <c r="H79" i="1"/>
  <c r="H80" i="1"/>
  <c r="H96" i="1"/>
  <c r="H95" i="1"/>
  <c r="G99" i="1"/>
  <c r="H97" i="1"/>
  <c r="Y112" i="1"/>
  <c r="J112" i="1"/>
  <c r="P79" i="1"/>
  <c r="N99" i="1"/>
  <c r="AC105" i="1"/>
  <c r="Q97" i="1"/>
  <c r="F120" i="1"/>
  <c r="R121" i="1"/>
  <c r="P118" i="1"/>
  <c r="S118" i="1"/>
  <c r="S121" i="1"/>
  <c r="F95" i="1"/>
  <c r="Z112" i="1"/>
  <c r="I80" i="1"/>
  <c r="Y99" i="1"/>
  <c r="P121" i="1"/>
  <c r="N104" i="1"/>
  <c r="Q121" i="1"/>
  <c r="F96" i="1"/>
  <c r="AC79" i="1"/>
  <c r="E79" i="1"/>
  <c r="J106" i="1"/>
  <c r="F78" i="1"/>
  <c r="N112" i="1"/>
  <c r="AB102" i="1"/>
  <c r="H99" i="1"/>
  <c r="AC104" i="1"/>
  <c r="J97" i="1"/>
  <c r="AE109" i="1"/>
  <c r="U97" i="1"/>
  <c r="I113" i="1"/>
  <c r="Z99" i="1"/>
  <c r="H113" i="1"/>
  <c r="Z97" i="1"/>
  <c r="F97" i="1"/>
  <c r="T113" i="1"/>
  <c r="U114" i="1"/>
  <c r="X105" i="1"/>
  <c r="M117" i="1"/>
  <c r="T114" i="1"/>
  <c r="U106" i="1"/>
  <c r="AC106" i="1"/>
  <c r="N95" i="1"/>
  <c r="M124" i="1"/>
  <c r="S95" i="1"/>
  <c r="V104" i="1"/>
  <c r="Z120" i="1"/>
  <c r="Z123" i="1"/>
  <c r="AD124" i="1"/>
  <c r="F121" i="1"/>
  <c r="F74" i="1"/>
  <c r="AB80" i="1"/>
  <c r="W112" i="1"/>
  <c r="M120" i="1"/>
  <c r="M123" i="1"/>
  <c r="AE112" i="1"/>
  <c r="R124" i="1"/>
  <c r="I97" i="1"/>
  <c r="R105" i="1"/>
  <c r="AC96" i="1"/>
  <c r="J114" i="1"/>
  <c r="S114" i="1"/>
  <c r="J104" i="1"/>
  <c r="Z95" i="1"/>
  <c r="P95" i="1"/>
  <c r="Q80" i="1"/>
  <c r="Q96" i="1"/>
  <c r="I123" i="1"/>
  <c r="S112" i="1"/>
  <c r="N106" i="1"/>
  <c r="X113" i="1"/>
  <c r="I95" i="1"/>
  <c r="W96" i="1"/>
  <c r="AB114" i="1"/>
  <c r="W80" i="1"/>
  <c r="Q123" i="1"/>
  <c r="Z80" i="1"/>
  <c r="P97" i="1"/>
  <c r="Q106" i="1"/>
  <c r="U96" i="1"/>
  <c r="K80" i="1"/>
  <c r="P99" i="1"/>
  <c r="M96" i="1"/>
  <c r="U99" i="1"/>
  <c r="M97" i="1"/>
  <c r="AD106" i="1"/>
  <c r="I96" i="1"/>
  <c r="AD80" i="1"/>
  <c r="G106" i="1"/>
  <c r="L78" i="1"/>
  <c r="AE105" i="1"/>
  <c r="AC80" i="1"/>
  <c r="O99" i="1"/>
  <c r="J78" i="1"/>
  <c r="AD78" i="1"/>
  <c r="AE80" i="1"/>
  <c r="E99" i="1"/>
  <c r="J99" i="1"/>
  <c r="F124" i="1"/>
  <c r="K124" i="1"/>
  <c r="AE113" i="1"/>
  <c r="S113" i="1"/>
  <c r="P96" i="1"/>
  <c r="Z78" i="1"/>
  <c r="Q78" i="1"/>
  <c r="P80" i="1"/>
  <c r="P124" i="1"/>
  <c r="E96" i="1"/>
  <c r="AB99" i="1"/>
  <c r="E80" i="1"/>
  <c r="AE114" i="1"/>
  <c r="AB104" i="1"/>
  <c r="E97" i="1"/>
  <c r="S78" i="1"/>
  <c r="S124" i="1"/>
  <c r="AC97" i="1"/>
  <c r="E74" i="1"/>
  <c r="D99" i="1"/>
  <c r="AB106" i="1"/>
  <c r="E95" i="1"/>
  <c r="Q124" i="1"/>
  <c r="AB105" i="1"/>
  <c r="AC95" i="1"/>
  <c r="F12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<sst xmlns="http://schemas.openxmlformats.org/spreadsheetml/2006/main" count="672" uniqueCount="533">
  <si>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</si>
  <si>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</si>
  <si>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</si>
  <si>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</si>
  <si>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</si>
  <si>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</si>
  <si>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</si>
  <si>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</si>
  <si>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</si>
  <si>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</si>
  <si>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</si>
  <si>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</si>
  <si>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</si>
  <si>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</si>
  <si>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</si>
  <si>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</si>
  <si>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</si>
  <si>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</si>
  <si>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</si>
  <si>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</si>
  <si>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</si>
  <si>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</si>
  <si>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</si>
  <si>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</si>
  <si>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</si>
  <si>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</si>
  <si>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</si>
  <si>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</si>
  <si>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</si>
  <si>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</si>
  <si>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</si>
  <si>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</si>
  <si>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</si>
  <si>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</si>
  <si>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</si>
  <si>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</si>
  <si>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</si>
  <si>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</si>
  <si>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</si>
  <si>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</si>
  <si>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</si>
  <si>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</si>
  <si>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</si>
  <si>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</si>
  <si>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</si>
  <si>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</si>
  <si>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</si>
  <si>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</si>
  <si>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</si>
  <si>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</si>
  <si>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</si>
  <si>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</si>
  <si>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</si>
  <si>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</si>
  <si>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</si>
  <si>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</si>
  <si>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</si>
  <si>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</si>
  <si>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</si>
  <si>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</si>
  <si>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</si>
  <si>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</si>
  <si>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</si>
  <si>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</si>
  <si>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</si>
  <si>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</si>
  <si>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</si>
  <si>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</si>
  <si>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</si>
  <si>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</si>
  <si>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</si>
  <si>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</si>
  <si>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</si>
  <si>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</si>
  <si>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</si>
  <si>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</si>
  <si>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</si>
  <si>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</si>
  <si>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</si>
  <si>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</si>
  <si>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</si>
  <si>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</si>
  <si>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</si>
  <si>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</si>
  <si>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</si>
  <si>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</si>
  <si>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</si>
  <si>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</si>
  <si>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</si>
  <si>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</si>
  <si>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</si>
  <si>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</si>
  <si>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</si>
  <si>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</si>
  <si>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</si>
  <si>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</si>
  <si>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</si>
  <si>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</si>
  <si>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</si>
  <si>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</si>
  <si>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</si>
  <si>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</si>
  <si>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</si>
  <si>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</si>
  <si>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</si>
  <si>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</si>
  <si>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</si>
  <si>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</si>
  <si>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</si>
  <si>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</si>
  <si>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</si>
  <si>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</si>
  <si>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</si>
  <si>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</si>
  <si>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</si>
  <si>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</si>
  <si>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</si>
  <si>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</si>
  <si>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</si>
  <si>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</si>
  <si>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</si>
  <si>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</si>
  <si>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</si>
  <si>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</si>
  <si>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</si>
  <si>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</si>
  <si>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</si>
  <si>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</si>
  <si>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</si>
  <si>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</si>
  <si>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</si>
  <si>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</si>
  <si>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</si>
  <si>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</si>
  <si>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</si>
  <si>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</si>
  <si>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</si>
  <si>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</si>
  <si>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</si>
  <si>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</si>
  <si>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</si>
  <si>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</si>
  <si>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</si>
  <si>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</si>
  <si>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</si>
  <si>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</si>
  <si>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</si>
  <si>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</si>
  <si>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</si>
  <si>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</si>
  <si>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</si>
  <si>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</si>
  <si>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</si>
  <si>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</si>
  <si>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</si>
  <si>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</si>
  <si>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</si>
  <si>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</si>
  <si>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</si>
  <si>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</si>
  <si>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</si>
  <si>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</si>
  <si>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</si>
  <si>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</si>
  <si>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</si>
  <si>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</si>
  <si>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</si>
  <si>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</si>
  <si>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</si>
  <si>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</si>
  <si>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</si>
  <si>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</si>
  <si>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</si>
  <si>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</si>
  <si>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</si>
  <si>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</si>
  <si>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</si>
  <si>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</si>
  <si>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</si>
  <si>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</si>
  <si>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</si>
  <si>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</si>
  <si>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</si>
  <si>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</si>
  <si>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</si>
  <si>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</si>
  <si>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</si>
  <si>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</si>
  <si>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</si>
  <si>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</si>
  <si>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</si>
  <si>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</si>
  <si>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</si>
  <si>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</si>
  <si>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</si>
  <si>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</si>
  <si>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</si>
  <si>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</si>
  <si>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</si>
  <si>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</si>
  <si>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</si>
  <si>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</si>
  <si>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</si>
  <si>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</si>
  <si>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</si>
  <si>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</si>
  <si>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</si>
  <si>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</si>
  <si>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</si>
  <si>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</si>
  <si>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</si>
  <si>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</si>
  <si>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</si>
  <si>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</si>
  <si>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</si>
  <si>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</si>
  <si>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</si>
  <si>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</si>
  <si>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</si>
  <si>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</si>
  <si>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</si>
  <si>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</si>
  <si>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</si>
  <si>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</si>
  <si>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</si>
  <si>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</si>
  <si>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</si>
  <si>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</si>
  <si>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</si>
  <si>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</si>
  <si>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</si>
  <si>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</si>
  <si>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</si>
  <si>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</si>
  <si>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</si>
  <si>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</si>
  <si>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</si>
  <si>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</si>
  <si>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</si>
  <si>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</si>
  <si>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</si>
  <si>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</si>
  <si>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</si>
  <si>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</si>
  <si>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</si>
  <si>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</si>
  <si>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</si>
  <si>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</si>
  <si>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</si>
  <si>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</si>
  <si>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</si>
  <si>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</si>
  <si>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</si>
  <si>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</si>
  <si>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</si>
  <si>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</si>
  <si>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</si>
  <si>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</si>
  <si>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</si>
  <si>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</si>
  <si>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</si>
  <si>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</si>
  <si>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</si>
  <si>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</si>
  <si>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</si>
  <si>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</si>
  <si>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</si>
  <si>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</si>
  <si>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</si>
  <si>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</si>
  <si>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</si>
  <si>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</si>
  <si>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</si>
  <si>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</si>
  <si>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</si>
  <si>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</si>
  <si>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</si>
  <si>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</si>
  <si>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</si>
  <si>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</si>
  <si>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</si>
  <si>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</si>
  <si>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</si>
  <si>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</si>
  <si>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</si>
  <si>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</si>
  <si>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</si>
  <si>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</si>
  <si>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</si>
  <si>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</si>
  <si>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</si>
  <si>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</si>
  <si>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</si>
  <si>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</si>
  <si>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</si>
  <si>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</si>
  <si>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</si>
  <si>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</si>
  <si>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</si>
  <si>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</si>
  <si>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</si>
  <si>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</si>
  <si>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</si>
  <si>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</si>
  <si>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</si>
  <si>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</si>
  <si>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</si>
  <si>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</si>
  <si>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</si>
  <si>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</si>
  <si>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</si>
  <si>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</si>
  <si>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</si>
  <si>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</si>
  <si>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</si>
  <si>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</si>
  <si>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</si>
  <si>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</si>
  <si>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</si>
  <si>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</si>
  <si>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</si>
  <si>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</si>
  <si>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</si>
  <si>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</si>
  <si>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</si>
  <si>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</si>
  <si>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</si>
  <si>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</si>
  <si>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</si>
  <si>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</si>
  <si>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</si>
  <si>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</si>
  <si>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</si>
  <si>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</si>
  <si>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</si>
  <si>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</si>
  <si>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</si>
  <si>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</si>
  <si>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</si>
  <si>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</si>
  <si>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</si>
  <si>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</si>
  <si>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</si>
  <si>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</si>
  <si>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</si>
  <si>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</si>
  <si>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</si>
  <si>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</si>
  <si>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</si>
  <si>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</si>
  <si>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</si>
  <si>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</si>
  <si>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</si>
  <si>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</si>
  <si>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</si>
  <si>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</si>
  <si>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</si>
  <si>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</si>
  <si>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</si>
  <si>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</si>
  <si>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</si>
  <si>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</si>
  <si>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</si>
  <si>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</si>
  <si>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</si>
  <si>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</si>
  <si>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</si>
  <si>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</si>
  <si>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</si>
  <si>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</si>
  <si>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</si>
  <si>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</si>
  <si>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</si>
  <si>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</si>
  <si>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</si>
  <si>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</si>
  <si>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</si>
  <si>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</si>
  <si>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</si>
  <si>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</si>
  <si>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</si>
  <si>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</si>
  <si>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</si>
  <si>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</si>
  <si>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</si>
  <si>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</si>
  <si>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</si>
  <si>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</si>
  <si>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</si>
  <si>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</si>
  <si>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</si>
  <si>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</si>
  <si>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</si>
  <si>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</si>
  <si>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</si>
  <si>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</si>
  <si>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</si>
  <si>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</si>
  <si>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</si>
  <si>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</si>
  <si>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</si>
  <si>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</si>
  <si>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</si>
  <si>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</si>
  <si>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</si>
  <si>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</si>
  <si>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</si>
  <si>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</si>
  <si>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</si>
  <si>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</si>
  <si>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</si>
  <si>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</si>
  <si>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</si>
  <si>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</si>
  <si>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</si>
  <si>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</si>
  <si>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</si>
  <si>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</si>
  <si>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</si>
  <si>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</si>
  <si>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</si>
  <si>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</si>
  <si>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</si>
  <si>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</si>
  <si>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</si>
  <si>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</si>
  <si>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</si>
  <si>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</si>
  <si>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</si>
  <si>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</si>
  <si>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</si>
  <si>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</si>
  <si>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</si>
  <si>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</si>
  <si>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</si>
  <si>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</si>
  <si>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</si>
  <si>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</si>
  <si>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</si>
  <si>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</si>
  <si>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</si>
  <si>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</si>
  <si>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</si>
  <si>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</si>
  <si>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</si>
  <si>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</si>
  <si>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</si>
  <si>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</si>
  <si>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</si>
  <si>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</si>
  <si>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</si>
  <si>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</si>
  <si>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</si>
  <si>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</si>
  <si>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</si>
  <si>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</si>
  <si>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</si>
  <si>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</si>
  <si>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</si>
  <si>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</si>
  <si>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</si>
  <si>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</si>
  <si>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</si>
  <si>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</si>
  <si>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</si>
  <si>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</si>
  <si>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</si>
  <si>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</si>
  <si>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</si>
  <si>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</si>
  <si>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</si>
  <si>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</si>
  <si>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</si>
  <si>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</si>
  <si>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</si>
  <si>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</si>
  <si>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</si>
  <si>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</si>
  <si>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</si>
  <si>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</si>
  <si>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</si>
  <si>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</si>
  <si>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</si>
  <si>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</si>
  <si>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</si>
  <si>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</si>
  <si>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</si>
  <si>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</si>
  <si>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</si>
  <si>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</si>
  <si>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</si>
  <si>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</si>
  <si>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</si>
  <si>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</si>
  <si>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</si>
  <si>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</si>
  <si>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</si>
  <si>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</si>
  <si>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</si>
  <si>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</si>
  <si>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</si>
  <si>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</si>
  <si>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</si>
  <si>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</si>
  <si>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</si>
  <si>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</si>
  <si>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</si>
  <si>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</si>
  <si>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</si>
  <si>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</si>
  <si>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</si>
  <si>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</si>
  <si>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</si>
  <si>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</si>
  <si>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</si>
  <si>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Infosys Ltd.</t>
  </si>
  <si>
    <t>DATE</t>
  </si>
  <si>
    <t>ADJHIGH</t>
  </si>
  <si>
    <t>ADJCLOSE</t>
  </si>
  <si>
    <t>ADJLOW</t>
  </si>
  <si>
    <t>ADJOPEN</t>
  </si>
  <si>
    <t>CLOSE</t>
  </si>
  <si>
    <t>VOLUME</t>
  </si>
  <si>
    <t>Revenue ($mn)</t>
  </si>
  <si>
    <t>Forex</t>
  </si>
  <si>
    <t>Revenue ($mn) QOQ%</t>
  </si>
  <si>
    <t>Employees</t>
  </si>
  <si>
    <t xml:space="preserve"> Net Additions</t>
  </si>
  <si>
    <t>TCV ($ in Mns)</t>
  </si>
  <si>
    <t>TTM TCV</t>
  </si>
  <si>
    <t>TTM TCV YOY%</t>
  </si>
  <si>
    <t>Revenue ($mn)-cr YOY%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</si>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</sst>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98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43" fontId="18" fillId="2" borderId="0" xfId="2" applyFont="1" applyFill="1" applyAlignment="1">
      <alignment horizontal="left"/>
    </xf>
    <xf numFmtId="9" fontId="20" fillId="2" borderId="0" xfId="1" applyFont="1" applyFill="1" applyAlignment="1">
      <alignment horizontal="left"/>
    </xf>
    <xf numFmtId="9" fontId="20" fillId="2" borderId="0" xfId="1" applyFont="1" applyFill="1" applyAlignment="1">
      <alignment horizontal="right"/>
    </xf>
    <xf numFmtId="9" fontId="20" fillId="7" borderId="0" xfId="1" applyFont="1" applyFill="1" applyAlignment="1">
      <alignment horizontal="right"/>
    </xf>
    <xf numFmtId="9" fontId="7" fillId="0" borderId="0" xfId="1" applyFont="1" applyAlignment="1">
      <alignment horizontal="right"/>
    </xf>
    <xf numFmtId="9" fontId="20" fillId="0" borderId="0" xfId="1" applyFont="1" applyFill="1" applyAlignment="1">
      <alignment horizontal="right"/>
    </xf>
    <xf numFmtId="165" fontId="20" fillId="2" borderId="0" xfId="2" applyNumberFormat="1" applyFont="1" applyFill="1" applyAlignment="1">
      <alignment horizontal="center"/>
    </xf>
    <xf numFmtId="165" fontId="2" fillId="7" borderId="0" xfId="2" applyNumberFormat="1" applyFont="1" applyFill="1"/>
    <xf numFmtId="165" fontId="20" fillId="7" borderId="0" xfId="2" applyNumberFormat="1" applyFont="1" applyFill="1" applyAlignment="1">
      <alignment horizontal="center"/>
    </xf>
    <xf numFmtId="9" fontId="20" fillId="2" borderId="0" xfId="1" applyFont="1" applyFill="1" applyBorder="1"/>
    <xf numFmtId="9" fontId="18" fillId="2" borderId="0" xfId="1" applyFont="1" applyFill="1" applyAlignment="1">
      <alignment horizontal="right"/>
    </xf>
    <xf numFmtId="9" fontId="18" fillId="7" borderId="0" xfId="1" applyFont="1" applyFill="1" applyAlignment="1">
      <alignment horizontal="right"/>
    </xf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G264"/>
  <sheetViews>
    <sheetView tabSelected="1" zoomScale="122" zoomScaleNormal="100" workbookViewId="0">
      <pane xSplit="1" ySplit="1" topLeftCell="CZ2" activePane="bottomRight" state="frozen"/>
      <selection pane="topRight" activeCell="B1" sqref="B1"/>
      <selection pane="bottomLeft" activeCell="A2" sqref="A2"/>
      <selection pane="bottomRight" activeCell="DF17" sqref="DF17:DF264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90" width="11.140625" style="2"/>
    <col min="91" max="106" width="11.140625" style="24"/>
    <col min="107" max="108" width="11.140625" style="2"/>
    <col min="109" max="109" width="11.140625" style="123"/>
    <col min="110" max="16384" width="11.140625" style="2"/>
  </cols>
  <sheetData>
    <row r="1" spans="1:111" s="81" customFormat="1" x14ac:dyDescent="0.2">
      <c r="A1" s="78" t="str">
        <f>+'Annual Raw'!C4</f>
        <v>Infosys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79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197">
        <v>46112</v>
      </c>
      <c r="DG1" s="81">
        <v>46112</v>
      </c>
    </row>
    <row r="2" spans="1:111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7"/>
      <c r="CL2" s="107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1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6"/>
      <c r="CL3" s="156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1" s="109" customFormat="1" x14ac:dyDescent="0.2">
      <c r="A4" s="185" t="s">
        <v>523</v>
      </c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>
        <f>+SUM(AI4:AL4)</f>
        <v>7400.3958347367879</v>
      </c>
      <c r="O4" s="107">
        <f>+SUM(AM4:AP4)</f>
        <v>8246.8916421062004</v>
      </c>
      <c r="P4" s="107">
        <f>+SUM(AQ4:AT4)</f>
        <v>8713.9390618704401</v>
      </c>
      <c r="Q4" s="107">
        <f>+SUM(AU4:AX4)</f>
        <v>9499.4466343162094</v>
      </c>
      <c r="R4" s="107">
        <f>+SUM(AY4:BB4)</f>
        <v>10205.812114886821</v>
      </c>
      <c r="S4" s="107">
        <f>+SUM(BC4:BF4)</f>
        <v>10940.846593459235</v>
      </c>
      <c r="T4" s="107">
        <f>+SUM(BG4:BJ4)</f>
        <v>11801.1</v>
      </c>
      <c r="U4" s="107">
        <f>+SUM(BK4:BN4)</f>
        <v>12781</v>
      </c>
      <c r="V4" s="107">
        <f>+SUM(BO4:BR4)</f>
        <v>13559</v>
      </c>
      <c r="W4" s="107">
        <f>+SUM(BS4:BV4)</f>
        <v>16310</v>
      </c>
      <c r="X4" s="107">
        <f>+SUM(BW4:BZ4)</f>
        <v>18212</v>
      </c>
      <c r="Y4" s="107">
        <f>+SUM(CA4:CD4)</f>
        <v>18562</v>
      </c>
      <c r="Z4" s="107">
        <f>+SUM(CE4:CH4)</f>
        <v>19277</v>
      </c>
      <c r="AA4" s="108">
        <f>SUM(CI4:CL4)</f>
        <v>20129.7</v>
      </c>
      <c r="AB4" s="108">
        <f>+SUM(CM4:CP4)</f>
        <v>20878.240542030508</v>
      </c>
      <c r="AC4" s="108">
        <f>+SUM(CQ4:CT4)</f>
        <v>21995.833396572114</v>
      </c>
      <c r="AD4" s="108">
        <f>+SUM(CU4:CX4)</f>
        <v>23733.257055069553</v>
      </c>
      <c r="AE4" s="108">
        <f>+SUM(CY4:DB4)</f>
        <v>26424.346966659949</v>
      </c>
      <c r="AI4" s="107">
        <v>1753.7844245850811</v>
      </c>
      <c r="AJ4" s="107">
        <v>1797.2652689152233</v>
      </c>
      <c r="AK4" s="107">
        <v>1910.9074243813018</v>
      </c>
      <c r="AL4" s="107">
        <v>1938.4387168551825</v>
      </c>
      <c r="AM4" s="107">
        <v>1992.0438472418666</v>
      </c>
      <c r="AN4" s="107">
        <v>2065.4771387605542</v>
      </c>
      <c r="AO4" s="107">
        <v>2099.9516363050138</v>
      </c>
      <c r="AP4" s="107">
        <v>2089.4190197987664</v>
      </c>
      <c r="AQ4" s="107">
        <v>2133.667502088555</v>
      </c>
      <c r="AR4" s="107">
        <v>2200.5607784924955</v>
      </c>
      <c r="AS4" s="107">
        <v>2219.4337194337195</v>
      </c>
      <c r="AT4" s="107">
        <v>2160.2770618556701</v>
      </c>
      <c r="AU4" s="107">
        <v>2255.8541568442561</v>
      </c>
      <c r="AV4" s="107">
        <v>2392.1358629130968</v>
      </c>
      <c r="AW4" s="107">
        <v>2407.5700227100679</v>
      </c>
      <c r="AX4" s="107">
        <v>2443.8865918487891</v>
      </c>
      <c r="AY4" s="107">
        <v>2501.7889087656526</v>
      </c>
      <c r="AZ4" s="107">
        <v>2587.0572410700943</v>
      </c>
      <c r="BA4" s="107">
        <v>2551.4032496307236</v>
      </c>
      <c r="BB4" s="107">
        <v>2565.5627154203507</v>
      </c>
      <c r="BC4" s="107">
        <v>2651.4516379444185</v>
      </c>
      <c r="BD4" s="107">
        <v>2728.2186674949526</v>
      </c>
      <c r="BE4" s="107">
        <v>2755</v>
      </c>
      <c r="BF4" s="107">
        <v>2806.1762880198639</v>
      </c>
      <c r="BG4" s="107">
        <v>2831</v>
      </c>
      <c r="BH4" s="107">
        <v>2923.1</v>
      </c>
      <c r="BI4" s="107">
        <v>2987</v>
      </c>
      <c r="BJ4" s="107">
        <v>3060</v>
      </c>
      <c r="BK4" s="107">
        <v>3131</v>
      </c>
      <c r="BL4" s="107">
        <v>3210</v>
      </c>
      <c r="BM4" s="107">
        <v>3243</v>
      </c>
      <c r="BN4" s="107">
        <v>3197</v>
      </c>
      <c r="BO4" s="107">
        <v>3121</v>
      </c>
      <c r="BP4" s="107">
        <v>3312</v>
      </c>
      <c r="BQ4" s="107">
        <v>3513</v>
      </c>
      <c r="BR4" s="107">
        <v>3613</v>
      </c>
      <c r="BS4" s="107">
        <v>3782</v>
      </c>
      <c r="BT4" s="107">
        <v>3998</v>
      </c>
      <c r="BU4" s="107">
        <v>4250</v>
      </c>
      <c r="BV4" s="107">
        <v>4280</v>
      </c>
      <c r="BW4" s="107">
        <v>4444</v>
      </c>
      <c r="BX4" s="107">
        <v>4555</v>
      </c>
      <c r="BY4" s="107">
        <v>4659</v>
      </c>
      <c r="BZ4" s="107">
        <v>4554</v>
      </c>
      <c r="CA4" s="107">
        <v>4617</v>
      </c>
      <c r="CB4" s="107">
        <v>4718</v>
      </c>
      <c r="CC4" s="107">
        <v>4663</v>
      </c>
      <c r="CD4" s="107">
        <v>4564</v>
      </c>
      <c r="CE4" s="107">
        <v>4714</v>
      </c>
      <c r="CF4" s="107">
        <v>4894</v>
      </c>
      <c r="CG4" s="107">
        <v>4939</v>
      </c>
      <c r="CH4" s="107">
        <v>4730</v>
      </c>
      <c r="CI4" s="107">
        <v>4941</v>
      </c>
      <c r="CJ4" s="107">
        <v>5049.7000000000007</v>
      </c>
      <c r="CK4" s="107">
        <v>5099</v>
      </c>
      <c r="CL4" s="107">
        <v>5040</v>
      </c>
      <c r="CM4" s="108">
        <f t="shared" ref="CM4:DB4" si="33">+CL4+(CM6*CL4)</f>
        <v>5134.2486736933888</v>
      </c>
      <c r="CN4" s="108">
        <f t="shared" si="33"/>
        <v>5197.004324212945</v>
      </c>
      <c r="CO4" s="108">
        <f t="shared" si="33"/>
        <v>5247.8247132399056</v>
      </c>
      <c r="CP4" s="108">
        <f t="shared" si="33"/>
        <v>5299.1628308842692</v>
      </c>
      <c r="CQ4" s="108">
        <f t="shared" si="33"/>
        <v>5379.2922782563628</v>
      </c>
      <c r="CR4" s="108">
        <f t="shared" si="33"/>
        <v>5455.820278264644</v>
      </c>
      <c r="CS4" s="108">
        <f t="shared" si="33"/>
        <v>5536.1696255284951</v>
      </c>
      <c r="CT4" s="108">
        <f t="shared" si="33"/>
        <v>5624.5512145226139</v>
      </c>
      <c r="CU4" s="108">
        <f t="shared" si="33"/>
        <v>5737.0973928588328</v>
      </c>
      <c r="CV4" s="108">
        <f t="shared" si="33"/>
        <v>5858.9072691371066</v>
      </c>
      <c r="CW4" s="108">
        <f t="shared" si="33"/>
        <v>5993.564644453164</v>
      </c>
      <c r="CX4" s="108">
        <f t="shared" si="33"/>
        <v>6143.6877486204503</v>
      </c>
      <c r="CY4" s="108">
        <f t="shared" si="33"/>
        <v>6311.5218054772595</v>
      </c>
      <c r="CZ4" s="108">
        <f t="shared" si="33"/>
        <v>6495.4724355121643</v>
      </c>
      <c r="DA4" s="108">
        <f t="shared" si="33"/>
        <v>6697.6344047973762</v>
      </c>
      <c r="DB4" s="108">
        <f t="shared" si="33"/>
        <v>6919.7183208731494</v>
      </c>
      <c r="DE4" s="117"/>
      <c r="DG4" s="109">
        <v>5040.4318312458036</v>
      </c>
    </row>
    <row r="5" spans="1:111" s="158" customFormat="1" x14ac:dyDescent="0.2">
      <c r="A5" s="155" t="s">
        <v>524</v>
      </c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>
        <f t="shared" ref="N5:AE5" si="34">+N18/N4*10</f>
        <v>54.526813026124046</v>
      </c>
      <c r="O5" s="156">
        <f t="shared" si="34"/>
        <v>60.790176681885406</v>
      </c>
      <c r="P5" s="156">
        <f t="shared" si="34"/>
        <v>61.188171757257066</v>
      </c>
      <c r="Q5" s="156">
        <f t="shared" si="34"/>
        <v>65.731197198829932</v>
      </c>
      <c r="R5" s="156">
        <f t="shared" si="34"/>
        <v>67.102940196307401</v>
      </c>
      <c r="S5" s="156">
        <f t="shared" si="34"/>
        <v>64.45753479640247</v>
      </c>
      <c r="T5" s="156">
        <f t="shared" si="34"/>
        <v>70.05702858208133</v>
      </c>
      <c r="U5" s="156">
        <f t="shared" si="34"/>
        <v>71.035912682888664</v>
      </c>
      <c r="V5" s="156">
        <f t="shared" si="34"/>
        <v>74.099859871671953</v>
      </c>
      <c r="W5" s="156">
        <f t="shared" si="34"/>
        <v>74.580625383200484</v>
      </c>
      <c r="X5" s="156">
        <f t="shared" si="34"/>
        <v>80.588073797496165</v>
      </c>
      <c r="Y5" s="156">
        <f t="shared" si="34"/>
        <v>82.787415149229616</v>
      </c>
      <c r="Z5" s="156">
        <f t="shared" si="34"/>
        <v>84.551538102401821</v>
      </c>
      <c r="AA5" s="157">
        <f t="shared" si="34"/>
        <v>88.74945975349857</v>
      </c>
      <c r="AB5" s="157">
        <f t="shared" si="34"/>
        <v>92.067460317460331</v>
      </c>
      <c r="AC5" s="157">
        <f t="shared" si="34"/>
        <v>92.067460317460345</v>
      </c>
      <c r="AD5" s="157">
        <f t="shared" si="34"/>
        <v>92.067460317460345</v>
      </c>
      <c r="AE5" s="157">
        <f t="shared" si="34"/>
        <v>92.067460317460345</v>
      </c>
      <c r="AI5" s="156">
        <v>54.830000000000005</v>
      </c>
      <c r="AJ5" s="156">
        <v>54.85</v>
      </c>
      <c r="AK5" s="156">
        <v>54.54999999999999</v>
      </c>
      <c r="AL5" s="156">
        <v>53.930000000000007</v>
      </c>
      <c r="AM5" s="156">
        <v>56.560000000000016</v>
      </c>
      <c r="AN5" s="156">
        <v>62.77</v>
      </c>
      <c r="AO5" s="156">
        <v>62.029999999999994</v>
      </c>
      <c r="AP5" s="156">
        <v>61.620000000000005</v>
      </c>
      <c r="AQ5" s="156">
        <v>59.849999999999994</v>
      </c>
      <c r="AR5" s="156">
        <v>60.629999999999995</v>
      </c>
      <c r="AS5" s="156">
        <v>62.160000000000004</v>
      </c>
      <c r="AT5" s="156">
        <v>62.08</v>
      </c>
      <c r="AU5" s="156">
        <v>63.629999999999995</v>
      </c>
      <c r="AV5" s="156">
        <v>65.36</v>
      </c>
      <c r="AW5" s="156">
        <v>66.050000000000011</v>
      </c>
      <c r="AX5" s="156">
        <v>67.72</v>
      </c>
      <c r="AY5" s="156">
        <v>67.080000000000013</v>
      </c>
      <c r="AZ5" s="156">
        <v>66.91</v>
      </c>
      <c r="BA5" s="156">
        <v>67.7</v>
      </c>
      <c r="BB5" s="156">
        <v>66.73</v>
      </c>
      <c r="BC5" s="156">
        <v>64.41</v>
      </c>
      <c r="BD5" s="156">
        <v>64.39</v>
      </c>
      <c r="BE5" s="156">
        <v>64.588021778584391</v>
      </c>
      <c r="BF5" s="156">
        <v>64.44</v>
      </c>
      <c r="BG5" s="156">
        <v>67.566231013776047</v>
      </c>
      <c r="BH5" s="156">
        <v>70.503917074338887</v>
      </c>
      <c r="BI5" s="156">
        <v>71.643789755607628</v>
      </c>
      <c r="BJ5" s="156">
        <v>70.388888888888886</v>
      </c>
      <c r="BK5" s="156">
        <v>69.635899073778347</v>
      </c>
      <c r="BL5" s="156">
        <v>70.495327102803742</v>
      </c>
      <c r="BM5" s="156">
        <v>71.205673758865245</v>
      </c>
      <c r="BN5" s="156">
        <v>72.777604003753524</v>
      </c>
      <c r="BO5" s="156">
        <v>75.825056071771868</v>
      </c>
      <c r="BP5" s="156">
        <v>74.184782608695656</v>
      </c>
      <c r="BQ5" s="156">
        <v>73.803017364076297</v>
      </c>
      <c r="BR5" s="156">
        <v>72.823138665928596</v>
      </c>
      <c r="BS5" s="156">
        <v>73.759915388683226</v>
      </c>
      <c r="BT5" s="156">
        <v>74.042021010505252</v>
      </c>
      <c r="BU5" s="156">
        <v>74.981176470588224</v>
      </c>
      <c r="BV5" s="156">
        <v>75.411214953271028</v>
      </c>
      <c r="BW5" s="156">
        <v>77.565256525652572</v>
      </c>
      <c r="BX5" s="156">
        <v>80.215148188803511</v>
      </c>
      <c r="BY5" s="156">
        <v>82.245116977892252</v>
      </c>
      <c r="BZ5" s="156">
        <v>82.215634606938949</v>
      </c>
      <c r="CA5" s="156">
        <v>82.159410872861173</v>
      </c>
      <c r="CB5" s="156">
        <v>82.649427723611694</v>
      </c>
      <c r="CC5" s="156">
        <v>83.253270426763891</v>
      </c>
      <c r="CD5" s="156">
        <v>83.091586327782693</v>
      </c>
      <c r="CE5" s="156">
        <v>83.400509121764955</v>
      </c>
      <c r="CF5" s="156">
        <v>83.747445852063748</v>
      </c>
      <c r="CG5" s="156">
        <v>84.559627454950402</v>
      </c>
      <c r="CH5" s="156">
        <v>86.522198731501049</v>
      </c>
      <c r="CI5" s="156">
        <v>85.567698846387373</v>
      </c>
      <c r="CJ5" s="156">
        <v>88.104243816464304</v>
      </c>
      <c r="CK5" s="156">
        <f>+CK18/CK4*10</f>
        <v>89.191998431064917</v>
      </c>
      <c r="CL5" s="156">
        <f>+CL18/CL4*10</f>
        <v>92.067460317460331</v>
      </c>
      <c r="CM5" s="157">
        <f t="shared" ref="CM5:DB5" si="35">+CL5</f>
        <v>92.067460317460331</v>
      </c>
      <c r="CN5" s="157">
        <f t="shared" si="35"/>
        <v>92.067460317460331</v>
      </c>
      <c r="CO5" s="157">
        <f t="shared" si="35"/>
        <v>92.067460317460331</v>
      </c>
      <c r="CP5" s="157">
        <f t="shared" si="35"/>
        <v>92.067460317460331</v>
      </c>
      <c r="CQ5" s="157">
        <f t="shared" si="35"/>
        <v>92.067460317460331</v>
      </c>
      <c r="CR5" s="157">
        <f t="shared" si="35"/>
        <v>92.067460317460331</v>
      </c>
      <c r="CS5" s="157">
        <f t="shared" si="35"/>
        <v>92.067460317460331</v>
      </c>
      <c r="CT5" s="157">
        <f t="shared" si="35"/>
        <v>92.067460317460331</v>
      </c>
      <c r="CU5" s="157">
        <f t="shared" si="35"/>
        <v>92.067460317460331</v>
      </c>
      <c r="CV5" s="157">
        <f t="shared" si="35"/>
        <v>92.067460317460331</v>
      </c>
      <c r="CW5" s="157">
        <f t="shared" si="35"/>
        <v>92.067460317460331</v>
      </c>
      <c r="CX5" s="157">
        <f t="shared" si="35"/>
        <v>92.067460317460331</v>
      </c>
      <c r="CY5" s="157">
        <f t="shared" si="35"/>
        <v>92.067460317460331</v>
      </c>
      <c r="CZ5" s="157">
        <f t="shared" si="35"/>
        <v>92.067460317460331</v>
      </c>
      <c r="DA5" s="157">
        <f t="shared" si="35"/>
        <v>92.067460317460331</v>
      </c>
      <c r="DB5" s="157">
        <f t="shared" si="35"/>
        <v>92.067460317460331</v>
      </c>
      <c r="DE5" s="159"/>
      <c r="DG5" s="158">
        <v>89.191998431064917</v>
      </c>
    </row>
    <row r="6" spans="1:111" s="189" customFormat="1" x14ac:dyDescent="0.2">
      <c r="A6" s="186" t="s">
        <v>525</v>
      </c>
      <c r="B6" s="187"/>
      <c r="C6" s="187"/>
      <c r="D6" s="187"/>
      <c r="E6" s="187"/>
      <c r="F6" s="187"/>
      <c r="G6" s="187"/>
      <c r="H6" s="187"/>
      <c r="I6" s="187"/>
      <c r="J6" s="187"/>
      <c r="K6" s="187"/>
      <c r="L6" s="187"/>
      <c r="M6" s="187"/>
      <c r="N6" s="187"/>
      <c r="O6" s="187"/>
      <c r="P6" s="187"/>
      <c r="Q6" s="187"/>
      <c r="R6" s="187"/>
      <c r="S6" s="187"/>
      <c r="T6" s="187"/>
      <c r="U6" s="187"/>
      <c r="V6" s="187"/>
      <c r="W6" s="187"/>
      <c r="X6" s="187"/>
      <c r="Y6" s="187"/>
      <c r="Z6" s="187"/>
      <c r="AA6" s="188"/>
      <c r="AB6" s="188"/>
      <c r="AC6" s="188"/>
      <c r="AD6" s="188"/>
      <c r="AE6" s="188"/>
      <c r="AI6" s="187"/>
      <c r="AJ6" s="187">
        <f>+AJ4/AI4-1</f>
        <v>2.47925820988113E-2</v>
      </c>
      <c r="AK6" s="187">
        <f>+AK4/AJ4-1</f>
        <v>6.3230596746950862E-2</v>
      </c>
      <c r="AL6" s="187">
        <f t="shared" ref="AL6:CI6" si="36">+AL4/AK4-1</f>
        <v>1.4407444401862923E-2</v>
      </c>
      <c r="AM6" s="187">
        <f t="shared" si="36"/>
        <v>2.7653765848037803E-2</v>
      </c>
      <c r="AN6" s="187">
        <f t="shared" si="36"/>
        <v>3.6863290745513089E-2</v>
      </c>
      <c r="AO6" s="187">
        <f t="shared" si="36"/>
        <v>1.6690815355693944E-2</v>
      </c>
      <c r="AP6" s="187">
        <f t="shared" si="36"/>
        <v>-5.0156471816561465E-3</v>
      </c>
      <c r="AQ6" s="187">
        <f t="shared" si="36"/>
        <v>2.117740954327596E-2</v>
      </c>
      <c r="AR6" s="187">
        <f t="shared" si="36"/>
        <v>3.1351312394485742E-2</v>
      </c>
      <c r="AS6" s="187">
        <f t="shared" si="36"/>
        <v>8.5764233942917656E-3</v>
      </c>
      <c r="AT6" s="187">
        <f t="shared" si="36"/>
        <v>-2.6653941976308659E-2</v>
      </c>
      <c r="AU6" s="187">
        <f t="shared" si="36"/>
        <v>4.4242980067790816E-2</v>
      </c>
      <c r="AV6" s="187">
        <f t="shared" si="36"/>
        <v>6.0412463126378269E-2</v>
      </c>
      <c r="AW6" s="187">
        <f t="shared" si="36"/>
        <v>6.4520414731692455E-3</v>
      </c>
      <c r="AX6" s="187">
        <f t="shared" si="36"/>
        <v>1.508432518936309E-2</v>
      </c>
      <c r="AY6" s="187">
        <f t="shared" si="36"/>
        <v>2.369271843873122E-2</v>
      </c>
      <c r="AZ6" s="187">
        <f t="shared" si="36"/>
        <v>3.4082944410570581E-2</v>
      </c>
      <c r="BA6" s="187">
        <f t="shared" si="36"/>
        <v>-1.3781678608944525E-2</v>
      </c>
      <c r="BB6" s="187">
        <f t="shared" si="36"/>
        <v>5.5496777280017451E-3</v>
      </c>
      <c r="BC6" s="187">
        <f t="shared" si="36"/>
        <v>3.3477615654387005E-2</v>
      </c>
      <c r="BD6" s="187">
        <f t="shared" si="36"/>
        <v>2.8952830386168804E-2</v>
      </c>
      <c r="BE6" s="187">
        <f t="shared" si="36"/>
        <v>9.8164171457846283E-3</v>
      </c>
      <c r="BF6" s="187">
        <f t="shared" si="36"/>
        <v>1.8575785125177546E-2</v>
      </c>
      <c r="BG6" s="187">
        <f t="shared" si="36"/>
        <v>8.8460985455951491E-3</v>
      </c>
      <c r="BH6" s="187">
        <f t="shared" si="36"/>
        <v>3.2532673966796155E-2</v>
      </c>
      <c r="BI6" s="187">
        <f t="shared" si="36"/>
        <v>2.1860353734049598E-2</v>
      </c>
      <c r="BJ6" s="187">
        <f t="shared" si="36"/>
        <v>2.4439236692333388E-2</v>
      </c>
      <c r="BK6" s="187">
        <f t="shared" si="36"/>
        <v>2.3202614379084885E-2</v>
      </c>
      <c r="BL6" s="187">
        <f t="shared" si="36"/>
        <v>2.5231555413605777E-2</v>
      </c>
      <c r="BM6" s="187">
        <f t="shared" si="36"/>
        <v>1.0280373831775602E-2</v>
      </c>
      <c r="BN6" s="187">
        <f t="shared" si="36"/>
        <v>-1.4184397163120588E-2</v>
      </c>
      <c r="BO6" s="187">
        <f t="shared" si="36"/>
        <v>-2.3772286518611185E-2</v>
      </c>
      <c r="BP6" s="187">
        <f t="shared" si="36"/>
        <v>6.1198333867350296E-2</v>
      </c>
      <c r="BQ6" s="187">
        <f t="shared" si="36"/>
        <v>6.0688405797101552E-2</v>
      </c>
      <c r="BR6" s="187">
        <f t="shared" si="36"/>
        <v>2.8465698832906394E-2</v>
      </c>
      <c r="BS6" s="187">
        <f t="shared" si="36"/>
        <v>4.6775532798228658E-2</v>
      </c>
      <c r="BT6" s="187">
        <f t="shared" si="36"/>
        <v>5.7112638815441485E-2</v>
      </c>
      <c r="BU6" s="187">
        <f t="shared" si="36"/>
        <v>6.3031515757878909E-2</v>
      </c>
      <c r="BV6" s="187">
        <f t="shared" si="36"/>
        <v>7.058823529411784E-3</v>
      </c>
      <c r="BW6" s="187">
        <f t="shared" si="36"/>
        <v>3.831775700934581E-2</v>
      </c>
      <c r="BX6" s="187">
        <f t="shared" si="36"/>
        <v>2.4977497749774979E-2</v>
      </c>
      <c r="BY6" s="187">
        <f t="shared" si="36"/>
        <v>2.28320526893524E-2</v>
      </c>
      <c r="BZ6" s="187">
        <f t="shared" si="36"/>
        <v>-2.2537025112685072E-2</v>
      </c>
      <c r="CA6" s="187">
        <f t="shared" si="36"/>
        <v>1.383399209486158E-2</v>
      </c>
      <c r="CB6" s="187">
        <f t="shared" si="36"/>
        <v>2.1875676846436987E-2</v>
      </c>
      <c r="CC6" s="187">
        <f t="shared" si="36"/>
        <v>-1.1657481983891493E-2</v>
      </c>
      <c r="CD6" s="187">
        <f t="shared" si="36"/>
        <v>-2.1230967188505256E-2</v>
      </c>
      <c r="CE6" s="187">
        <f t="shared" si="36"/>
        <v>3.2865907099036029E-2</v>
      </c>
      <c r="CF6" s="187">
        <f t="shared" si="36"/>
        <v>3.8184132371658963E-2</v>
      </c>
      <c r="CG6" s="187">
        <f t="shared" si="36"/>
        <v>9.1949325704945295E-3</v>
      </c>
      <c r="CH6" s="187">
        <f t="shared" si="36"/>
        <v>-4.2316258351893121E-2</v>
      </c>
      <c r="CI6" s="187">
        <f t="shared" si="36"/>
        <v>4.4608879492600506E-2</v>
      </c>
      <c r="CJ6" s="187">
        <f>+CJ4/CI4-1</f>
        <v>2.1999595223639146E-2</v>
      </c>
      <c r="CK6" s="187">
        <f>+CK4/CJ4-1</f>
        <v>9.7629562152206084E-3</v>
      </c>
      <c r="CL6" s="187">
        <f>+CL4/CK4-1</f>
        <v>-1.1570896254167518E-2</v>
      </c>
      <c r="CM6" s="188">
        <f>AVERAGE(CI6:CL6)+0.25%</f>
        <v>1.8700133669323184E-2</v>
      </c>
      <c r="CN6" s="188">
        <f t="shared" ref="CN6:CP6" si="37">AVERAGE(CJ6:CM6)+0.25%</f>
        <v>1.2222947213503857E-2</v>
      </c>
      <c r="CO6" s="188">
        <f t="shared" si="37"/>
        <v>9.778785210970033E-3</v>
      </c>
      <c r="CP6" s="188">
        <f t="shared" si="37"/>
        <v>9.7827424599073887E-3</v>
      </c>
      <c r="CQ6" s="188">
        <f>AVERAGE(CM6:CP6)+0.25%</f>
        <v>1.5121152138426115E-2</v>
      </c>
      <c r="CR6" s="188">
        <f t="shared" ref="CR6:CT6" si="38">AVERAGE(CN6:CQ6)+0.25%</f>
        <v>1.4226406755701849E-2</v>
      </c>
      <c r="CS6" s="188">
        <f t="shared" si="38"/>
        <v>1.4727271641251346E-2</v>
      </c>
      <c r="CT6" s="188">
        <f t="shared" si="38"/>
        <v>1.5964393248821672E-2</v>
      </c>
      <c r="CU6" s="188">
        <f t="shared" ref="CU6:DB6" si="39">AVERAGE(CQ6:CT6)+0.5%</f>
        <v>2.0009805946050244E-2</v>
      </c>
      <c r="CV6" s="188">
        <f t="shared" si="39"/>
        <v>2.1231969397956279E-2</v>
      </c>
      <c r="CW6" s="188">
        <f t="shared" si="39"/>
        <v>2.2983360058519885E-2</v>
      </c>
      <c r="CX6" s="188">
        <f t="shared" si="39"/>
        <v>2.5047382162837018E-2</v>
      </c>
      <c r="CY6" s="188">
        <f t="shared" si="39"/>
        <v>2.7318129391340859E-2</v>
      </c>
      <c r="CZ6" s="188">
        <f t="shared" si="39"/>
        <v>2.9145210252663509E-2</v>
      </c>
      <c r="DA6" s="188">
        <f t="shared" si="39"/>
        <v>3.1123520466340319E-2</v>
      </c>
      <c r="DB6" s="188">
        <f t="shared" si="39"/>
        <v>3.3158560568295421E-2</v>
      </c>
      <c r="DE6" s="190"/>
      <c r="DG6" s="189">
        <v>-1.1486206855108216E-2</v>
      </c>
    </row>
    <row r="7" spans="1:111" s="189" customFormat="1" x14ac:dyDescent="0.2">
      <c r="A7" s="194" t="s">
        <v>531</v>
      </c>
      <c r="B7" s="187"/>
      <c r="C7" s="187"/>
      <c r="D7" s="187"/>
      <c r="E7" s="187"/>
      <c r="F7" s="187"/>
      <c r="G7" s="187"/>
      <c r="H7" s="187"/>
      <c r="I7" s="187"/>
      <c r="J7" s="187"/>
      <c r="K7" s="187"/>
      <c r="L7" s="187"/>
      <c r="M7" s="187"/>
      <c r="N7" s="187"/>
      <c r="O7" s="195">
        <f>O4/N4-1</f>
        <v>0.11438520672043473</v>
      </c>
      <c r="P7" s="195">
        <f t="shared" ref="P7:AE7" si="40">P4/O4-1</f>
        <v>5.6633146163778125E-2</v>
      </c>
      <c r="Q7" s="195">
        <f t="shared" si="40"/>
        <v>9.0143799132462732E-2</v>
      </c>
      <c r="R7" s="195">
        <f>R4/Q4-1</f>
        <v>7.4358592427784975E-2</v>
      </c>
      <c r="S7" s="195">
        <f t="shared" si="40"/>
        <v>7.2021165028135936E-2</v>
      </c>
      <c r="T7" s="195">
        <f>T4/S4-1</f>
        <v>7.8627681979843267E-2</v>
      </c>
      <c r="U7" s="195">
        <f>U4/T4-1</f>
        <v>8.3034632364779482E-2</v>
      </c>
      <c r="V7" s="195">
        <f>V4/U4-1</f>
        <v>6.0871606290587632E-2</v>
      </c>
      <c r="W7" s="195">
        <f t="shared" si="40"/>
        <v>0.20289106866288065</v>
      </c>
      <c r="X7" s="195">
        <f t="shared" si="40"/>
        <v>0.1166155732679337</v>
      </c>
      <c r="Y7" s="195">
        <f>Y4/X4-1</f>
        <v>1.9218097957390823E-2</v>
      </c>
      <c r="Z7" s="195">
        <f>Z4/Y4-1</f>
        <v>3.8519556082318607E-2</v>
      </c>
      <c r="AA7" s="196">
        <f t="shared" si="40"/>
        <v>4.4234061316595019E-2</v>
      </c>
      <c r="AB7" s="196">
        <f t="shared" si="40"/>
        <v>3.7185876691183006E-2</v>
      </c>
      <c r="AC7" s="196">
        <f>AC4/AB4-1</f>
        <v>5.3529072638652364E-2</v>
      </c>
      <c r="AD7" s="196">
        <f>AD4/AC4-1</f>
        <v>7.898876242480557E-2</v>
      </c>
      <c r="AE7" s="196">
        <f t="shared" si="40"/>
        <v>0.11338898429937849</v>
      </c>
      <c r="AI7" s="187"/>
      <c r="AJ7" s="187"/>
      <c r="AK7" s="187"/>
      <c r="AL7" s="187"/>
      <c r="AM7" s="187"/>
      <c r="AN7" s="187"/>
      <c r="AO7" s="187"/>
      <c r="AP7" s="187"/>
      <c r="AQ7" s="187"/>
      <c r="AR7" s="187"/>
      <c r="AS7" s="187"/>
      <c r="AT7" s="187"/>
      <c r="AU7" s="187"/>
      <c r="AV7" s="187"/>
      <c r="AW7" s="187"/>
      <c r="AX7" s="187"/>
      <c r="AY7" s="187"/>
      <c r="AZ7" s="187"/>
      <c r="BA7" s="187"/>
      <c r="BB7" s="187"/>
      <c r="BC7" s="187"/>
      <c r="BD7" s="187"/>
      <c r="BE7" s="187"/>
      <c r="BF7" s="187"/>
      <c r="BG7" s="187"/>
      <c r="BH7" s="187"/>
      <c r="BI7" s="187"/>
      <c r="BJ7" s="187"/>
      <c r="BK7" s="187"/>
      <c r="BL7" s="187"/>
      <c r="BM7" s="187"/>
      <c r="BN7" s="187"/>
      <c r="BO7" s="187"/>
      <c r="BP7" s="187"/>
      <c r="BQ7" s="187"/>
      <c r="BR7" s="187"/>
      <c r="BS7" s="187"/>
      <c r="BT7" s="187"/>
      <c r="BU7" s="187"/>
      <c r="BV7" s="187"/>
      <c r="BW7" s="187"/>
      <c r="BX7" s="187"/>
      <c r="BY7" s="187"/>
      <c r="BZ7" s="187"/>
      <c r="CA7" s="187"/>
      <c r="CB7" s="187"/>
      <c r="CC7" s="187"/>
      <c r="CD7" s="187"/>
      <c r="CE7" s="187"/>
      <c r="CF7" s="187"/>
      <c r="CG7" s="187"/>
      <c r="CH7" s="187"/>
      <c r="CI7" s="187"/>
      <c r="CJ7" s="187"/>
      <c r="CK7" s="187"/>
      <c r="CL7" s="187"/>
      <c r="CM7" s="188"/>
      <c r="CN7" s="188"/>
      <c r="CO7" s="188"/>
      <c r="CP7" s="188"/>
      <c r="CQ7" s="188"/>
      <c r="CR7" s="188"/>
      <c r="CS7" s="188"/>
      <c r="CT7" s="188"/>
      <c r="CU7" s="188"/>
      <c r="CV7" s="188"/>
      <c r="CW7" s="188"/>
      <c r="CX7" s="188"/>
      <c r="CY7" s="188"/>
      <c r="CZ7" s="188"/>
      <c r="DA7" s="188"/>
      <c r="DB7" s="188"/>
      <c r="DE7" s="190"/>
    </row>
    <row r="8" spans="1:111" s="158" customFormat="1" x14ac:dyDescent="0.2">
      <c r="A8" s="155"/>
      <c r="B8" s="156"/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6"/>
      <c r="U8" s="156"/>
      <c r="V8" s="156"/>
      <c r="W8" s="156"/>
      <c r="X8" s="156"/>
      <c r="Y8" s="156"/>
      <c r="Z8" s="156"/>
      <c r="AA8" s="157"/>
      <c r="AB8" s="157"/>
      <c r="AC8" s="157"/>
      <c r="AD8" s="157"/>
      <c r="AE8" s="157"/>
      <c r="AI8" s="156"/>
      <c r="AJ8" s="156"/>
      <c r="AK8" s="156"/>
      <c r="AL8" s="156"/>
      <c r="AM8" s="156"/>
      <c r="AN8" s="156"/>
      <c r="AO8" s="156"/>
      <c r="AP8" s="156"/>
      <c r="AQ8" s="156"/>
      <c r="AR8" s="156"/>
      <c r="AS8" s="156"/>
      <c r="AT8" s="156"/>
      <c r="AU8" s="156"/>
      <c r="AV8" s="156"/>
      <c r="AW8" s="156"/>
      <c r="AX8" s="156"/>
      <c r="AY8" s="156"/>
      <c r="AZ8" s="156"/>
      <c r="BA8" s="156"/>
      <c r="BB8" s="156"/>
      <c r="BC8" s="156"/>
      <c r="BD8" s="156"/>
      <c r="BE8" s="156"/>
      <c r="BF8" s="156"/>
      <c r="BG8" s="156"/>
      <c r="BH8" s="156"/>
      <c r="BI8" s="156"/>
      <c r="BJ8" s="156"/>
      <c r="BK8" s="156"/>
      <c r="BL8" s="156"/>
      <c r="BM8" s="156"/>
      <c r="BN8" s="156"/>
      <c r="BO8" s="156"/>
      <c r="BP8" s="156"/>
      <c r="BQ8" s="156"/>
      <c r="BR8" s="156"/>
      <c r="BS8" s="156"/>
      <c r="BT8" s="156"/>
      <c r="BU8" s="156"/>
      <c r="BV8" s="156"/>
      <c r="BW8" s="156"/>
      <c r="BX8" s="156"/>
      <c r="BY8" s="156"/>
      <c r="BZ8" s="156"/>
      <c r="CA8" s="156"/>
      <c r="CB8" s="156"/>
      <c r="CC8" s="156"/>
      <c r="CD8" s="156"/>
      <c r="CE8" s="156"/>
      <c r="CF8" s="156"/>
      <c r="CG8" s="156"/>
      <c r="CH8" s="156"/>
      <c r="CI8" s="156"/>
      <c r="CJ8" s="156"/>
      <c r="CK8" s="156"/>
      <c r="CL8" s="156"/>
      <c r="CM8" s="157"/>
      <c r="CN8" s="157"/>
      <c r="CO8" s="157"/>
      <c r="CP8" s="157"/>
      <c r="CQ8" s="157"/>
      <c r="CR8" s="157"/>
      <c r="CS8" s="157"/>
      <c r="CT8" s="157"/>
      <c r="CU8" s="157"/>
      <c r="CV8" s="157"/>
      <c r="CW8" s="157"/>
      <c r="CX8" s="157"/>
      <c r="CY8" s="157"/>
      <c r="CZ8" s="157"/>
      <c r="DA8" s="157"/>
      <c r="DB8" s="157"/>
      <c r="DE8" s="159"/>
    </row>
    <row r="9" spans="1:111" s="109" customFormat="1" x14ac:dyDescent="0.2">
      <c r="A9" s="185" t="s">
        <v>526</v>
      </c>
      <c r="B9" s="107"/>
      <c r="C9" s="107"/>
      <c r="D9" s="107"/>
      <c r="E9" s="107"/>
      <c r="F9" s="107"/>
      <c r="G9" s="107"/>
      <c r="H9" s="107"/>
      <c r="I9" s="107"/>
      <c r="J9" s="107"/>
      <c r="K9" s="107"/>
      <c r="L9" s="107"/>
      <c r="M9" s="107"/>
      <c r="N9" s="191">
        <f>+AL9</f>
        <v>156688</v>
      </c>
      <c r="O9" s="191">
        <f>+AP9</f>
        <v>160405</v>
      </c>
      <c r="P9" s="191">
        <f>+AT9</f>
        <v>176187</v>
      </c>
      <c r="Q9" s="191">
        <f>+AX9</f>
        <v>194044</v>
      </c>
      <c r="R9" s="191">
        <f>+BB9</f>
        <v>200364</v>
      </c>
      <c r="S9" s="191">
        <f>+BF9</f>
        <v>204107</v>
      </c>
      <c r="T9" s="191">
        <f>+BJ9</f>
        <v>228123</v>
      </c>
      <c r="U9" s="191">
        <f>+BN9</f>
        <v>242371</v>
      </c>
      <c r="V9" s="191">
        <f>+BR9</f>
        <v>259619</v>
      </c>
      <c r="W9" s="191">
        <f>+BV9</f>
        <v>314015</v>
      </c>
      <c r="X9" s="191">
        <f>+BZ9</f>
        <v>343234</v>
      </c>
      <c r="Y9" s="191">
        <f>+CD9</f>
        <v>317240</v>
      </c>
      <c r="Z9" s="191">
        <f>+CH9</f>
        <v>323578</v>
      </c>
      <c r="AA9" s="192">
        <f t="shared" ref="AA9" si="41">+CL9</f>
        <v>328594</v>
      </c>
      <c r="AB9" s="192">
        <f t="shared" ref="AB9" si="42">+CP9</f>
        <v>0</v>
      </c>
      <c r="AC9" s="192">
        <f t="shared" ref="AC9" si="43">+CT9</f>
        <v>0</v>
      </c>
      <c r="AD9" s="192">
        <f t="shared" ref="AD9" si="44">+CX9</f>
        <v>0</v>
      </c>
      <c r="AE9" s="192">
        <f t="shared" ref="AE9" si="45">+DB9</f>
        <v>0</v>
      </c>
      <c r="AI9" s="107">
        <v>151151</v>
      </c>
      <c r="AJ9" s="107">
        <v>153761</v>
      </c>
      <c r="AK9" s="107">
        <v>155629</v>
      </c>
      <c r="AL9" s="107">
        <v>156688</v>
      </c>
      <c r="AM9" s="107">
        <v>157263</v>
      </c>
      <c r="AN9" s="107">
        <v>160227</v>
      </c>
      <c r="AO9" s="107">
        <v>158404</v>
      </c>
      <c r="AP9" s="107">
        <v>160405</v>
      </c>
      <c r="AQ9" s="107">
        <v>161284</v>
      </c>
      <c r="AR9" s="107">
        <v>165411</v>
      </c>
      <c r="AS9" s="107">
        <v>169638</v>
      </c>
      <c r="AT9" s="107">
        <v>176187</v>
      </c>
      <c r="AU9" s="107">
        <v>179523</v>
      </c>
      <c r="AV9" s="107">
        <v>187976</v>
      </c>
      <c r="AW9" s="107">
        <v>193383</v>
      </c>
      <c r="AX9" s="107">
        <v>194044</v>
      </c>
      <c r="AY9" s="107">
        <v>197050</v>
      </c>
      <c r="AZ9" s="107">
        <v>199829</v>
      </c>
      <c r="BA9" s="107">
        <v>199763</v>
      </c>
      <c r="BB9" s="107">
        <v>200364</v>
      </c>
      <c r="BC9" s="107">
        <v>198553</v>
      </c>
      <c r="BD9" s="107">
        <v>198440</v>
      </c>
      <c r="BE9" s="107">
        <v>201691</v>
      </c>
      <c r="BF9" s="107">
        <v>204107</v>
      </c>
      <c r="BG9" s="107">
        <v>209905</v>
      </c>
      <c r="BH9" s="107">
        <v>217739</v>
      </c>
      <c r="BI9" s="107">
        <v>225501</v>
      </c>
      <c r="BJ9" s="107">
        <v>228123</v>
      </c>
      <c r="BK9" s="107">
        <v>229029</v>
      </c>
      <c r="BL9" s="107">
        <v>236486</v>
      </c>
      <c r="BM9" s="107">
        <v>243454</v>
      </c>
      <c r="BN9" s="107">
        <v>242371</v>
      </c>
      <c r="BO9" s="107">
        <v>239233</v>
      </c>
      <c r="BP9" s="107">
        <v>240208</v>
      </c>
      <c r="BQ9" s="107">
        <v>249312</v>
      </c>
      <c r="BR9" s="107">
        <v>259619</v>
      </c>
      <c r="BS9" s="107">
        <v>267953</v>
      </c>
      <c r="BT9" s="107">
        <v>279617</v>
      </c>
      <c r="BU9" s="107">
        <v>292067</v>
      </c>
      <c r="BV9" s="107">
        <v>314015</v>
      </c>
      <c r="BW9" s="107">
        <v>335186</v>
      </c>
      <c r="BX9" s="107">
        <v>345218</v>
      </c>
      <c r="BY9" s="107">
        <v>346845</v>
      </c>
      <c r="BZ9" s="107">
        <v>343234</v>
      </c>
      <c r="CA9" s="107">
        <v>336294</v>
      </c>
      <c r="CB9" s="107">
        <v>328764</v>
      </c>
      <c r="CC9" s="107">
        <v>322663</v>
      </c>
      <c r="CD9" s="107">
        <v>317240</v>
      </c>
      <c r="CE9" s="107">
        <v>315332</v>
      </c>
      <c r="CF9" s="107">
        <v>317788</v>
      </c>
      <c r="CG9" s="107">
        <v>323379</v>
      </c>
      <c r="CH9" s="107">
        <v>323578</v>
      </c>
      <c r="CI9" s="107">
        <v>323788</v>
      </c>
      <c r="CJ9" s="107">
        <v>332000</v>
      </c>
      <c r="CK9" s="107">
        <v>337034</v>
      </c>
      <c r="CL9" s="107">
        <v>328594</v>
      </c>
      <c r="CM9" s="108"/>
      <c r="CN9" s="108"/>
      <c r="CO9" s="108"/>
      <c r="CP9" s="108"/>
      <c r="CQ9" s="108"/>
      <c r="CR9" s="108"/>
      <c r="CS9" s="108"/>
      <c r="CT9" s="108"/>
      <c r="CU9" s="108"/>
      <c r="CV9" s="108"/>
      <c r="CW9" s="108"/>
      <c r="CX9" s="108"/>
      <c r="CY9" s="108"/>
      <c r="CZ9" s="108"/>
      <c r="DA9" s="108"/>
      <c r="DB9" s="108"/>
      <c r="DE9" s="117"/>
    </row>
    <row r="10" spans="1:111" s="158" customFormat="1" x14ac:dyDescent="0.2">
      <c r="A10" s="155" t="s">
        <v>527</v>
      </c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91"/>
      <c r="O10" s="191">
        <f>+O9-N9</f>
        <v>3717</v>
      </c>
      <c r="P10" s="191">
        <f t="shared" ref="P10:AE10" si="46">+P9-O9</f>
        <v>15782</v>
      </c>
      <c r="Q10" s="191">
        <f t="shared" si="46"/>
        <v>17857</v>
      </c>
      <c r="R10" s="191">
        <f t="shared" si="46"/>
        <v>6320</v>
      </c>
      <c r="S10" s="191">
        <f t="shared" si="46"/>
        <v>3743</v>
      </c>
      <c r="T10" s="191">
        <f t="shared" si="46"/>
        <v>24016</v>
      </c>
      <c r="U10" s="191">
        <f t="shared" si="46"/>
        <v>14248</v>
      </c>
      <c r="V10" s="191">
        <f>+V9-U9</f>
        <v>17248</v>
      </c>
      <c r="W10" s="191">
        <f>+W9-V9</f>
        <v>54396</v>
      </c>
      <c r="X10" s="191">
        <f>+X9-W9</f>
        <v>29219</v>
      </c>
      <c r="Y10" s="191">
        <f>+Y9-X9</f>
        <v>-25994</v>
      </c>
      <c r="Z10" s="191">
        <f t="shared" si="46"/>
        <v>6338</v>
      </c>
      <c r="AA10" s="191">
        <f t="shared" si="46"/>
        <v>5016</v>
      </c>
      <c r="AB10" s="193">
        <f t="shared" si="46"/>
        <v>-328594</v>
      </c>
      <c r="AC10" s="193">
        <f t="shared" si="46"/>
        <v>0</v>
      </c>
      <c r="AD10" s="193">
        <f t="shared" si="46"/>
        <v>0</v>
      </c>
      <c r="AE10" s="193">
        <f t="shared" si="46"/>
        <v>0</v>
      </c>
      <c r="AI10" s="156"/>
      <c r="AJ10" s="156">
        <f>+AJ9-AI9</f>
        <v>2610</v>
      </c>
      <c r="AK10" s="156">
        <f>+AK9-AJ9</f>
        <v>1868</v>
      </c>
      <c r="AL10" s="156">
        <f t="shared" ref="AL10:CI10" si="47">+AL9-AK9</f>
        <v>1059</v>
      </c>
      <c r="AM10" s="156">
        <f t="shared" si="47"/>
        <v>575</v>
      </c>
      <c r="AN10" s="156">
        <f t="shared" si="47"/>
        <v>2964</v>
      </c>
      <c r="AO10" s="156">
        <f t="shared" si="47"/>
        <v>-1823</v>
      </c>
      <c r="AP10" s="156">
        <f t="shared" si="47"/>
        <v>2001</v>
      </c>
      <c r="AQ10" s="156">
        <f t="shared" si="47"/>
        <v>879</v>
      </c>
      <c r="AR10" s="156">
        <f t="shared" si="47"/>
        <v>4127</v>
      </c>
      <c r="AS10" s="156">
        <f t="shared" si="47"/>
        <v>4227</v>
      </c>
      <c r="AT10" s="156">
        <f t="shared" si="47"/>
        <v>6549</v>
      </c>
      <c r="AU10" s="156">
        <f t="shared" si="47"/>
        <v>3336</v>
      </c>
      <c r="AV10" s="156">
        <f t="shared" si="47"/>
        <v>8453</v>
      </c>
      <c r="AW10" s="156">
        <f t="shared" si="47"/>
        <v>5407</v>
      </c>
      <c r="AX10" s="156">
        <f t="shared" si="47"/>
        <v>661</v>
      </c>
      <c r="AY10" s="156">
        <f t="shared" si="47"/>
        <v>3006</v>
      </c>
      <c r="AZ10" s="156">
        <f t="shared" si="47"/>
        <v>2779</v>
      </c>
      <c r="BA10" s="156">
        <f t="shared" si="47"/>
        <v>-66</v>
      </c>
      <c r="BB10" s="156">
        <f t="shared" si="47"/>
        <v>601</v>
      </c>
      <c r="BC10" s="156">
        <f t="shared" si="47"/>
        <v>-1811</v>
      </c>
      <c r="BD10" s="156">
        <f t="shared" si="47"/>
        <v>-113</v>
      </c>
      <c r="BE10" s="156">
        <f t="shared" si="47"/>
        <v>3251</v>
      </c>
      <c r="BF10" s="156">
        <f t="shared" si="47"/>
        <v>2416</v>
      </c>
      <c r="BG10" s="156">
        <f t="shared" si="47"/>
        <v>5798</v>
      </c>
      <c r="BH10" s="156">
        <f t="shared" si="47"/>
        <v>7834</v>
      </c>
      <c r="BI10" s="156">
        <f t="shared" si="47"/>
        <v>7762</v>
      </c>
      <c r="BJ10" s="156">
        <f t="shared" si="47"/>
        <v>2622</v>
      </c>
      <c r="BK10" s="156">
        <f t="shared" si="47"/>
        <v>906</v>
      </c>
      <c r="BL10" s="156">
        <f t="shared" si="47"/>
        <v>7457</v>
      </c>
      <c r="BM10" s="156">
        <f t="shared" si="47"/>
        <v>6968</v>
      </c>
      <c r="BN10" s="156">
        <f t="shared" si="47"/>
        <v>-1083</v>
      </c>
      <c r="BO10" s="156">
        <f t="shared" si="47"/>
        <v>-3138</v>
      </c>
      <c r="BP10" s="156">
        <f t="shared" si="47"/>
        <v>975</v>
      </c>
      <c r="BQ10" s="156">
        <f t="shared" si="47"/>
        <v>9104</v>
      </c>
      <c r="BR10" s="156">
        <f t="shared" si="47"/>
        <v>10307</v>
      </c>
      <c r="BS10" s="156">
        <f t="shared" si="47"/>
        <v>8334</v>
      </c>
      <c r="BT10" s="156">
        <f t="shared" si="47"/>
        <v>11664</v>
      </c>
      <c r="BU10" s="156">
        <f t="shared" si="47"/>
        <v>12450</v>
      </c>
      <c r="BV10" s="156">
        <f t="shared" si="47"/>
        <v>21948</v>
      </c>
      <c r="BW10" s="156">
        <f t="shared" si="47"/>
        <v>21171</v>
      </c>
      <c r="BX10" s="156">
        <f t="shared" si="47"/>
        <v>10032</v>
      </c>
      <c r="BY10" s="156">
        <f t="shared" si="47"/>
        <v>1627</v>
      </c>
      <c r="BZ10" s="156">
        <f t="shared" si="47"/>
        <v>-3611</v>
      </c>
      <c r="CA10" s="156">
        <f t="shared" si="47"/>
        <v>-6940</v>
      </c>
      <c r="CB10" s="156">
        <f t="shared" si="47"/>
        <v>-7530</v>
      </c>
      <c r="CC10" s="156">
        <f t="shared" si="47"/>
        <v>-6101</v>
      </c>
      <c r="CD10" s="156">
        <f t="shared" si="47"/>
        <v>-5423</v>
      </c>
      <c r="CE10" s="156">
        <f t="shared" si="47"/>
        <v>-1908</v>
      </c>
      <c r="CF10" s="156">
        <f t="shared" si="47"/>
        <v>2456</v>
      </c>
      <c r="CG10" s="156">
        <f t="shared" si="47"/>
        <v>5591</v>
      </c>
      <c r="CH10" s="156">
        <f t="shared" si="47"/>
        <v>199</v>
      </c>
      <c r="CI10" s="156">
        <f t="shared" si="47"/>
        <v>210</v>
      </c>
      <c r="CJ10" s="156">
        <f>+CJ9-CI9</f>
        <v>8212</v>
      </c>
      <c r="CK10" s="156">
        <f>+CK9-CJ9</f>
        <v>5034</v>
      </c>
      <c r="CL10" s="156">
        <f>+CL9-CK9</f>
        <v>-8440</v>
      </c>
      <c r="CM10" s="157"/>
      <c r="CN10" s="157"/>
      <c r="CO10" s="157"/>
      <c r="CP10" s="157"/>
      <c r="CQ10" s="157"/>
      <c r="CR10" s="157"/>
      <c r="CS10" s="157"/>
      <c r="CT10" s="157"/>
      <c r="CU10" s="157"/>
      <c r="CV10" s="157"/>
      <c r="CW10" s="157"/>
      <c r="CX10" s="157"/>
      <c r="CY10" s="157"/>
      <c r="CZ10" s="157"/>
      <c r="DA10" s="157"/>
      <c r="DB10" s="157"/>
      <c r="DE10" s="159"/>
    </row>
    <row r="11" spans="1:111" s="158" customFormat="1" x14ac:dyDescent="0.2">
      <c r="A11" s="155"/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156"/>
      <c r="S11" s="156"/>
      <c r="T11" s="156"/>
      <c r="U11" s="156"/>
      <c r="V11" s="156"/>
      <c r="W11" s="156"/>
      <c r="X11" s="156"/>
      <c r="Y11" s="156"/>
      <c r="Z11" s="156"/>
      <c r="AA11" s="157"/>
      <c r="AB11" s="157"/>
      <c r="AC11" s="157"/>
      <c r="AD11" s="157"/>
      <c r="AE11" s="157"/>
      <c r="AI11" s="156"/>
      <c r="AJ11" s="156"/>
      <c r="AK11" s="156"/>
      <c r="AL11" s="156"/>
      <c r="AM11" s="156"/>
      <c r="AN11" s="156"/>
      <c r="AO11" s="156"/>
      <c r="AP11" s="156"/>
      <c r="AQ11" s="156"/>
      <c r="AR11" s="156"/>
      <c r="AS11" s="156"/>
      <c r="AT11" s="156"/>
      <c r="AU11" s="156"/>
      <c r="AV11" s="156"/>
      <c r="AW11" s="156"/>
      <c r="AX11" s="156"/>
      <c r="AY11" s="156"/>
      <c r="AZ11" s="156"/>
      <c r="BA11" s="156"/>
      <c r="BB11" s="156"/>
      <c r="BC11" s="156"/>
      <c r="BD11" s="156"/>
      <c r="BE11" s="156"/>
      <c r="BF11" s="156"/>
      <c r="BG11" s="156"/>
      <c r="BH11" s="156"/>
      <c r="BI11" s="156"/>
      <c r="BJ11" s="156"/>
      <c r="BK11" s="156"/>
      <c r="BL11" s="156"/>
      <c r="BM11" s="156"/>
      <c r="BN11" s="156"/>
      <c r="BO11" s="156"/>
      <c r="BP11" s="156"/>
      <c r="BQ11" s="156"/>
      <c r="BR11" s="156"/>
      <c r="BS11" s="156"/>
      <c r="BT11" s="156"/>
      <c r="BU11" s="156"/>
      <c r="BV11" s="156"/>
      <c r="BW11" s="156"/>
      <c r="BX11" s="156"/>
      <c r="BY11" s="156"/>
      <c r="BZ11" s="156"/>
      <c r="CA11" s="156"/>
      <c r="CB11" s="156"/>
      <c r="CC11" s="156"/>
      <c r="CD11" s="156"/>
      <c r="CE11" s="156"/>
      <c r="CF11" s="156"/>
      <c r="CG11" s="156"/>
      <c r="CH11" s="156"/>
      <c r="CI11" s="156"/>
      <c r="CJ11" s="156"/>
      <c r="CK11" s="156"/>
      <c r="CL11" s="156"/>
      <c r="CM11" s="157"/>
      <c r="CN11" s="157"/>
      <c r="CO11" s="157"/>
      <c r="CP11" s="157"/>
      <c r="CQ11" s="157"/>
      <c r="CR11" s="157"/>
      <c r="CS11" s="157"/>
      <c r="CT11" s="157"/>
      <c r="CU11" s="157"/>
      <c r="CV11" s="157"/>
      <c r="CW11" s="157"/>
      <c r="CX11" s="157"/>
      <c r="CY11" s="157"/>
      <c r="CZ11" s="157"/>
      <c r="DA11" s="157"/>
      <c r="DB11" s="157"/>
      <c r="DE11" s="159"/>
    </row>
    <row r="12" spans="1:111" s="109" customFormat="1" x14ac:dyDescent="0.2">
      <c r="A12" s="185" t="s">
        <v>528</v>
      </c>
      <c r="B12" s="107"/>
      <c r="C12" s="107"/>
      <c r="D12" s="107"/>
      <c r="E12" s="107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>
        <f>+SUM(AU12:AX12)</f>
        <v>3860</v>
      </c>
      <c r="R12" s="107">
        <f>+SUM(AY12:BB12)</f>
        <v>3486</v>
      </c>
      <c r="S12" s="107">
        <f>+SUM(BC12:BF12)</f>
        <v>3072</v>
      </c>
      <c r="T12" s="107">
        <f>+SUM(BG12:BJ12)</f>
        <v>6283</v>
      </c>
      <c r="U12" s="107">
        <f>+SUM(BK12:BN12)</f>
        <v>9020</v>
      </c>
      <c r="V12" s="107">
        <f>+SUM(BO12:BR12)</f>
        <v>14120</v>
      </c>
      <c r="W12" s="107">
        <f>+SUM(BS12:BV12)</f>
        <v>9580</v>
      </c>
      <c r="X12" s="107">
        <f>+SUM(BW12:BZ12)</f>
        <v>9700</v>
      </c>
      <c r="Y12" s="107">
        <f>+SUM(CA12:CD12)</f>
        <v>17700</v>
      </c>
      <c r="Z12" s="107">
        <f>+SUM(CE12:CH12)</f>
        <v>11600</v>
      </c>
      <c r="AA12" s="108">
        <f>SUM(CI12:CL12)</f>
        <v>14900</v>
      </c>
      <c r="AB12" s="108">
        <f>+SUM(CM12:CP12)</f>
        <v>0</v>
      </c>
      <c r="AC12" s="108">
        <f>+SUM(CQ12:CT12)</f>
        <v>0</v>
      </c>
      <c r="AD12" s="108">
        <f>+SUM(CU12:CX12)</f>
        <v>0</v>
      </c>
      <c r="AE12" s="108">
        <f>+SUM(CY12:DB12)</f>
        <v>0</v>
      </c>
      <c r="AI12" s="107"/>
      <c r="AJ12" s="107"/>
      <c r="AK12" s="107"/>
      <c r="AL12" s="107"/>
      <c r="AM12" s="107"/>
      <c r="AN12" s="107"/>
      <c r="AO12" s="107"/>
      <c r="AP12" s="107"/>
      <c r="AQ12" s="107"/>
      <c r="AR12" s="107"/>
      <c r="AS12" s="107"/>
      <c r="AT12" s="107"/>
      <c r="AU12" s="107">
        <v>688</v>
      </c>
      <c r="AV12" s="107">
        <v>983</v>
      </c>
      <c r="AW12" s="107">
        <v>962</v>
      </c>
      <c r="AX12" s="107">
        <v>1227</v>
      </c>
      <c r="AY12" s="107">
        <v>809</v>
      </c>
      <c r="AZ12" s="107">
        <v>1207</v>
      </c>
      <c r="BA12" s="107">
        <v>664</v>
      </c>
      <c r="BB12" s="107">
        <v>806</v>
      </c>
      <c r="BC12" s="107">
        <v>657</v>
      </c>
      <c r="BD12" s="107">
        <v>731</v>
      </c>
      <c r="BE12" s="107">
        <v>779</v>
      </c>
      <c r="BF12" s="107">
        <v>905</v>
      </c>
      <c r="BG12" s="107">
        <v>1116</v>
      </c>
      <c r="BH12" s="107">
        <v>2029</v>
      </c>
      <c r="BI12" s="107">
        <v>1570</v>
      </c>
      <c r="BJ12" s="107">
        <v>1568</v>
      </c>
      <c r="BK12" s="107">
        <v>2714</v>
      </c>
      <c r="BL12" s="107">
        <v>2847</v>
      </c>
      <c r="BM12" s="107">
        <v>1813</v>
      </c>
      <c r="BN12" s="107">
        <v>1646</v>
      </c>
      <c r="BO12" s="107">
        <v>1740</v>
      </c>
      <c r="BP12" s="107">
        <v>3150</v>
      </c>
      <c r="BQ12" s="107">
        <v>7130</v>
      </c>
      <c r="BR12" s="107">
        <v>2100</v>
      </c>
      <c r="BS12" s="107">
        <v>2600</v>
      </c>
      <c r="BT12" s="107">
        <v>2150</v>
      </c>
      <c r="BU12" s="107">
        <v>2530</v>
      </c>
      <c r="BV12" s="107">
        <v>2300</v>
      </c>
      <c r="BW12" s="107">
        <v>1600</v>
      </c>
      <c r="BX12" s="107">
        <v>2700</v>
      </c>
      <c r="BY12" s="107">
        <v>3300</v>
      </c>
      <c r="BZ12" s="107">
        <v>2100</v>
      </c>
      <c r="CA12" s="107">
        <v>2300</v>
      </c>
      <c r="CB12" s="107">
        <v>7700</v>
      </c>
      <c r="CC12" s="107">
        <v>3200</v>
      </c>
      <c r="CD12" s="107">
        <v>4500</v>
      </c>
      <c r="CE12" s="107">
        <v>4100</v>
      </c>
      <c r="CF12" s="107">
        <v>2400</v>
      </c>
      <c r="CG12" s="107">
        <v>2500</v>
      </c>
      <c r="CH12" s="107">
        <v>2600</v>
      </c>
      <c r="CI12" s="107">
        <v>3800</v>
      </c>
      <c r="CJ12" s="107">
        <v>3100</v>
      </c>
      <c r="CK12" s="107">
        <v>4800</v>
      </c>
      <c r="CL12" s="107">
        <v>3200</v>
      </c>
      <c r="CM12" s="108"/>
      <c r="CN12" s="108"/>
      <c r="CO12" s="108"/>
      <c r="CP12" s="108"/>
      <c r="CQ12" s="108"/>
      <c r="CR12" s="108"/>
      <c r="CS12" s="108"/>
      <c r="CT12" s="108"/>
      <c r="CU12" s="108"/>
      <c r="CV12" s="108"/>
      <c r="CW12" s="108"/>
      <c r="CX12" s="108"/>
      <c r="CY12" s="108"/>
      <c r="CZ12" s="108"/>
      <c r="DA12" s="108"/>
      <c r="DB12" s="108"/>
      <c r="DE12" s="117"/>
    </row>
    <row r="13" spans="1:111" s="158" customFormat="1" x14ac:dyDescent="0.2">
      <c r="A13" s="155" t="s">
        <v>529</v>
      </c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156"/>
      <c r="S13" s="156"/>
      <c r="T13" s="156"/>
      <c r="U13" s="156"/>
      <c r="V13" s="156"/>
      <c r="W13" s="156"/>
      <c r="X13" s="156"/>
      <c r="Y13" s="156"/>
      <c r="Z13" s="156"/>
      <c r="AA13" s="157"/>
      <c r="AB13" s="157"/>
      <c r="AC13" s="157"/>
      <c r="AD13" s="157"/>
      <c r="AE13" s="157"/>
      <c r="AI13" s="156"/>
      <c r="AJ13" s="156"/>
      <c r="AK13" s="156"/>
      <c r="AL13" s="156"/>
      <c r="AM13" s="156"/>
      <c r="AN13" s="156"/>
      <c r="AO13" s="156"/>
      <c r="AP13" s="156"/>
      <c r="AQ13" s="156"/>
      <c r="AR13" s="156"/>
      <c r="AS13" s="156"/>
      <c r="AT13" s="156"/>
      <c r="AU13" s="156"/>
      <c r="AV13" s="156"/>
      <c r="AW13" s="156"/>
      <c r="AX13" s="156">
        <f>+SUM(AU12:AX12)</f>
        <v>3860</v>
      </c>
      <c r="AY13" s="156">
        <f t="shared" ref="AY13:CI13" si="48">+SUM(AV12:AY12)</f>
        <v>3981</v>
      </c>
      <c r="AZ13" s="156">
        <f t="shared" si="48"/>
        <v>4205</v>
      </c>
      <c r="BA13" s="156">
        <f t="shared" si="48"/>
        <v>3907</v>
      </c>
      <c r="BB13" s="156">
        <f t="shared" si="48"/>
        <v>3486</v>
      </c>
      <c r="BC13" s="156">
        <f>+SUM(AZ12:BC12)</f>
        <v>3334</v>
      </c>
      <c r="BD13" s="156">
        <f>+SUM(BA12:BD12)</f>
        <v>2858</v>
      </c>
      <c r="BE13" s="156">
        <f>+SUM(BB12:BE12)</f>
        <v>2973</v>
      </c>
      <c r="BF13" s="156">
        <f>+SUM(BC12:BF12)</f>
        <v>3072</v>
      </c>
      <c r="BG13" s="156">
        <f t="shared" si="48"/>
        <v>3531</v>
      </c>
      <c r="BH13" s="156">
        <f t="shared" si="48"/>
        <v>4829</v>
      </c>
      <c r="BI13" s="156">
        <f t="shared" si="48"/>
        <v>5620</v>
      </c>
      <c r="BJ13" s="156">
        <f t="shared" si="48"/>
        <v>6283</v>
      </c>
      <c r="BK13" s="156">
        <f t="shared" si="48"/>
        <v>7881</v>
      </c>
      <c r="BL13" s="156">
        <f t="shared" si="48"/>
        <v>8699</v>
      </c>
      <c r="BM13" s="156">
        <f t="shared" si="48"/>
        <v>8942</v>
      </c>
      <c r="BN13" s="156">
        <f t="shared" si="48"/>
        <v>9020</v>
      </c>
      <c r="BO13" s="156">
        <f t="shared" si="48"/>
        <v>8046</v>
      </c>
      <c r="BP13" s="156">
        <f t="shared" si="48"/>
        <v>8349</v>
      </c>
      <c r="BQ13" s="156">
        <f t="shared" si="48"/>
        <v>13666</v>
      </c>
      <c r="BR13" s="156">
        <f t="shared" si="48"/>
        <v>14120</v>
      </c>
      <c r="BS13" s="156">
        <f t="shared" si="48"/>
        <v>14980</v>
      </c>
      <c r="BT13" s="156">
        <f t="shared" si="48"/>
        <v>13980</v>
      </c>
      <c r="BU13" s="156">
        <f t="shared" si="48"/>
        <v>9380</v>
      </c>
      <c r="BV13" s="156">
        <f t="shared" si="48"/>
        <v>9580</v>
      </c>
      <c r="BW13" s="156">
        <f t="shared" si="48"/>
        <v>8580</v>
      </c>
      <c r="BX13" s="156">
        <f t="shared" si="48"/>
        <v>9130</v>
      </c>
      <c r="BY13" s="156">
        <f t="shared" si="48"/>
        <v>9900</v>
      </c>
      <c r="BZ13" s="156">
        <f t="shared" si="48"/>
        <v>9700</v>
      </c>
      <c r="CA13" s="156">
        <f t="shared" si="48"/>
        <v>10400</v>
      </c>
      <c r="CB13" s="156">
        <f t="shared" si="48"/>
        <v>15400</v>
      </c>
      <c r="CC13" s="156">
        <f t="shared" si="48"/>
        <v>15300</v>
      </c>
      <c r="CD13" s="156">
        <f t="shared" si="48"/>
        <v>17700</v>
      </c>
      <c r="CE13" s="156">
        <f t="shared" si="48"/>
        <v>19500</v>
      </c>
      <c r="CF13" s="156">
        <f t="shared" si="48"/>
        <v>14200</v>
      </c>
      <c r="CG13" s="156">
        <f t="shared" si="48"/>
        <v>13500</v>
      </c>
      <c r="CH13" s="156">
        <f t="shared" si="48"/>
        <v>11600</v>
      </c>
      <c r="CI13" s="156">
        <f t="shared" si="48"/>
        <v>11300</v>
      </c>
      <c r="CJ13" s="156">
        <f>+SUM(CG12:CJ12)</f>
        <v>12000</v>
      </c>
      <c r="CK13" s="156">
        <f>+SUM(CH12:CK12)</f>
        <v>14300</v>
      </c>
      <c r="CL13" s="156">
        <f>+SUM(CI12:CL12)</f>
        <v>14900</v>
      </c>
      <c r="CM13" s="157"/>
      <c r="CN13" s="157"/>
      <c r="CO13" s="157"/>
      <c r="CP13" s="157"/>
      <c r="CQ13" s="157"/>
      <c r="CR13" s="157"/>
      <c r="CS13" s="157"/>
      <c r="CT13" s="157"/>
      <c r="CU13" s="157"/>
      <c r="CV13" s="157"/>
      <c r="CW13" s="157"/>
      <c r="CX13" s="157"/>
      <c r="CY13" s="157"/>
      <c r="CZ13" s="157"/>
      <c r="DA13" s="157"/>
      <c r="DB13" s="157"/>
      <c r="DE13" s="159"/>
    </row>
    <row r="14" spans="1:111" s="158" customFormat="1" x14ac:dyDescent="0.2">
      <c r="A14" s="155" t="s">
        <v>530</v>
      </c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87"/>
      <c r="M14" s="187"/>
      <c r="N14" s="187"/>
      <c r="O14" s="187"/>
      <c r="P14" s="187"/>
      <c r="Q14" s="187"/>
      <c r="R14" s="187">
        <f>R12/Q12-1</f>
        <v>-9.6891191709844504E-2</v>
      </c>
      <c r="S14" s="187">
        <f t="shared" ref="S14:AA14" si="49">S12/R12-1</f>
        <v>-0.11876075731497415</v>
      </c>
      <c r="T14" s="187">
        <f t="shared" si="49"/>
        <v>1.0452473958333335</v>
      </c>
      <c r="U14" s="187">
        <f t="shared" si="49"/>
        <v>0.43561992678656702</v>
      </c>
      <c r="V14" s="187">
        <f t="shared" si="49"/>
        <v>0.56541019955654104</v>
      </c>
      <c r="W14" s="187">
        <f t="shared" si="49"/>
        <v>-0.32152974504249288</v>
      </c>
      <c r="X14" s="187">
        <f t="shared" si="49"/>
        <v>1.2526096033402823E-2</v>
      </c>
      <c r="Y14" s="187">
        <f t="shared" si="49"/>
        <v>0.82474226804123707</v>
      </c>
      <c r="Z14" s="187">
        <f t="shared" si="49"/>
        <v>-0.34463276836158196</v>
      </c>
      <c r="AA14" s="188">
        <f t="shared" si="49"/>
        <v>0.28448275862068972</v>
      </c>
      <c r="AB14" s="188"/>
      <c r="AC14" s="188"/>
      <c r="AD14" s="188"/>
      <c r="AE14" s="188"/>
      <c r="AI14" s="156"/>
      <c r="AJ14" s="156"/>
      <c r="AK14" s="156"/>
      <c r="AL14" s="156"/>
      <c r="AM14" s="156"/>
      <c r="AN14" s="156"/>
      <c r="AO14" s="156"/>
      <c r="AP14" s="156"/>
      <c r="AQ14" s="156"/>
      <c r="AR14" s="156"/>
      <c r="AS14" s="156"/>
      <c r="AT14" s="156"/>
      <c r="AU14" s="156"/>
      <c r="AV14" s="156"/>
      <c r="AW14" s="156"/>
      <c r="AX14" s="156"/>
      <c r="AY14" s="156"/>
      <c r="AZ14" s="156"/>
      <c r="BA14" s="187" t="e">
        <f t="shared" ref="BA14:CI14" si="50">+BA13/AW13-1</f>
        <v>#DIV/0!</v>
      </c>
      <c r="BB14" s="187">
        <f t="shared" si="50"/>
        <v>-9.6891191709844504E-2</v>
      </c>
      <c r="BC14" s="187">
        <f t="shared" si="50"/>
        <v>-0.16252197940216029</v>
      </c>
      <c r="BD14" s="187">
        <f t="shared" si="50"/>
        <v>-0.32033293697978593</v>
      </c>
      <c r="BE14" s="187">
        <f t="shared" si="50"/>
        <v>-0.23905810084463786</v>
      </c>
      <c r="BF14" s="187">
        <f t="shared" si="50"/>
        <v>-0.11876075731497415</v>
      </c>
      <c r="BG14" s="187">
        <f t="shared" si="50"/>
        <v>5.9088182363527197E-2</v>
      </c>
      <c r="BH14" s="187">
        <f t="shared" si="50"/>
        <v>0.68964310706787968</v>
      </c>
      <c r="BI14" s="187">
        <f t="shared" si="50"/>
        <v>0.8903464513958963</v>
      </c>
      <c r="BJ14" s="187">
        <f t="shared" si="50"/>
        <v>1.0452473958333335</v>
      </c>
      <c r="BK14" s="187">
        <f t="shared" si="50"/>
        <v>1.231945624468989</v>
      </c>
      <c r="BL14" s="187">
        <f t="shared" si="50"/>
        <v>0.80140815903913865</v>
      </c>
      <c r="BM14" s="187">
        <f t="shared" si="50"/>
        <v>0.59110320284697515</v>
      </c>
      <c r="BN14" s="187">
        <f t="shared" si="50"/>
        <v>0.43561992678656702</v>
      </c>
      <c r="BO14" s="187">
        <f t="shared" si="50"/>
        <v>2.0936429387133693E-2</v>
      </c>
      <c r="BP14" s="187">
        <f t="shared" si="50"/>
        <v>-4.0234509713760191E-2</v>
      </c>
      <c r="BQ14" s="187">
        <f t="shared" si="50"/>
        <v>0.52829344665622902</v>
      </c>
      <c r="BR14" s="187">
        <f t="shared" si="50"/>
        <v>0.56541019955654104</v>
      </c>
      <c r="BS14" s="187">
        <f t="shared" si="50"/>
        <v>0.861794680586627</v>
      </c>
      <c r="BT14" s="187">
        <f t="shared" si="50"/>
        <v>0.6744520301832555</v>
      </c>
      <c r="BU14" s="187">
        <f t="shared" si="50"/>
        <v>-0.3136250548807259</v>
      </c>
      <c r="BV14" s="187">
        <f t="shared" si="50"/>
        <v>-0.32152974504249288</v>
      </c>
      <c r="BW14" s="187">
        <f t="shared" si="50"/>
        <v>-0.42723631508678239</v>
      </c>
      <c r="BX14" s="187">
        <f t="shared" si="50"/>
        <v>-0.34692417739628045</v>
      </c>
      <c r="BY14" s="187">
        <f t="shared" si="50"/>
        <v>5.5437100213219681E-2</v>
      </c>
      <c r="BZ14" s="187">
        <f t="shared" si="50"/>
        <v>1.2526096033402823E-2</v>
      </c>
      <c r="CA14" s="187">
        <f t="shared" si="50"/>
        <v>0.21212121212121215</v>
      </c>
      <c r="CB14" s="187">
        <f t="shared" si="50"/>
        <v>0.68674698795180733</v>
      </c>
      <c r="CC14" s="187">
        <f t="shared" si="50"/>
        <v>0.54545454545454541</v>
      </c>
      <c r="CD14" s="187">
        <f t="shared" si="50"/>
        <v>0.82474226804123707</v>
      </c>
      <c r="CE14" s="187">
        <f t="shared" si="50"/>
        <v>0.875</v>
      </c>
      <c r="CF14" s="187">
        <f t="shared" si="50"/>
        <v>-7.7922077922077948E-2</v>
      </c>
      <c r="CG14" s="187">
        <f t="shared" si="50"/>
        <v>-0.11764705882352944</v>
      </c>
      <c r="CH14" s="187">
        <f t="shared" si="50"/>
        <v>-0.34463276836158196</v>
      </c>
      <c r="CI14" s="187">
        <f t="shared" si="50"/>
        <v>-0.42051282051282046</v>
      </c>
      <c r="CJ14" s="187">
        <f>+CJ13/CF13-1</f>
        <v>-0.15492957746478875</v>
      </c>
      <c r="CK14" s="187">
        <f>+CK13/CG13-1</f>
        <v>5.9259259259259345E-2</v>
      </c>
      <c r="CL14" s="187">
        <f>+CL13/CH13-1</f>
        <v>0.28448275862068972</v>
      </c>
      <c r="CM14" s="157"/>
      <c r="CN14" s="157"/>
      <c r="CO14" s="157"/>
      <c r="CP14" s="157"/>
      <c r="CQ14" s="157"/>
      <c r="CR14" s="157"/>
      <c r="CS14" s="157"/>
      <c r="CT14" s="157"/>
      <c r="CU14" s="157"/>
      <c r="CV14" s="157"/>
      <c r="CW14" s="157"/>
      <c r="CX14" s="157"/>
      <c r="CY14" s="157"/>
      <c r="CZ14" s="157"/>
      <c r="DA14" s="157"/>
      <c r="DB14" s="157"/>
      <c r="DE14" s="159"/>
    </row>
    <row r="15" spans="1:111" s="158" customFormat="1" x14ac:dyDescent="0.2">
      <c r="A15" s="155"/>
      <c r="B15" s="156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156"/>
      <c r="S15" s="156"/>
      <c r="T15" s="156"/>
      <c r="U15" s="156"/>
      <c r="V15" s="156"/>
      <c r="W15" s="156"/>
      <c r="X15" s="156"/>
      <c r="Y15" s="156"/>
      <c r="Z15" s="156"/>
      <c r="AA15" s="157"/>
      <c r="AB15" s="157"/>
      <c r="AC15" s="157"/>
      <c r="AD15" s="157"/>
      <c r="AE15" s="157"/>
      <c r="AI15" s="156"/>
      <c r="AJ15" s="156"/>
      <c r="AK15" s="156"/>
      <c r="AL15" s="156"/>
      <c r="AM15" s="156"/>
      <c r="AN15" s="156"/>
      <c r="AO15" s="156"/>
      <c r="AP15" s="156"/>
      <c r="AQ15" s="156"/>
      <c r="AR15" s="156"/>
      <c r="AS15" s="156"/>
      <c r="AT15" s="156"/>
      <c r="AU15" s="156"/>
      <c r="AV15" s="156"/>
      <c r="AW15" s="156"/>
      <c r="AX15" s="156"/>
      <c r="AY15" s="156"/>
      <c r="AZ15" s="156"/>
      <c r="BA15" s="156"/>
      <c r="BB15" s="156"/>
      <c r="BC15" s="156"/>
      <c r="BD15" s="156"/>
      <c r="BE15" s="156"/>
      <c r="BF15" s="156"/>
      <c r="BG15" s="156"/>
      <c r="BH15" s="156"/>
      <c r="BI15" s="156"/>
      <c r="BJ15" s="156"/>
      <c r="BK15" s="156"/>
      <c r="BL15" s="156"/>
      <c r="BM15" s="156"/>
      <c r="BN15" s="156"/>
      <c r="BO15" s="156"/>
      <c r="BP15" s="156"/>
      <c r="BQ15" s="156"/>
      <c r="BR15" s="156"/>
      <c r="BS15" s="156"/>
      <c r="BT15" s="156"/>
      <c r="BU15" s="156"/>
      <c r="BV15" s="156"/>
      <c r="BW15" s="156"/>
      <c r="BX15" s="156"/>
      <c r="BY15" s="156"/>
      <c r="BZ15" s="156"/>
      <c r="CA15" s="156"/>
      <c r="CB15" s="156"/>
      <c r="CC15" s="156"/>
      <c r="CD15" s="156"/>
      <c r="CE15" s="156"/>
      <c r="CF15" s="156"/>
      <c r="CG15" s="156"/>
      <c r="CH15" s="156"/>
      <c r="CI15" s="156"/>
      <c r="CJ15" s="156"/>
      <c r="CK15" s="156"/>
      <c r="CL15" s="156"/>
      <c r="CM15" s="157"/>
      <c r="CN15" s="157"/>
      <c r="CO15" s="157"/>
      <c r="CP15" s="157"/>
      <c r="CQ15" s="157"/>
      <c r="CR15" s="157"/>
      <c r="CS15" s="157"/>
      <c r="CT15" s="157"/>
      <c r="CU15" s="157"/>
      <c r="CV15" s="157"/>
      <c r="CW15" s="157"/>
      <c r="CX15" s="157"/>
      <c r="CY15" s="157"/>
      <c r="CZ15" s="157"/>
      <c r="DA15" s="157"/>
      <c r="DB15" s="157"/>
      <c r="DE15" s="159"/>
    </row>
    <row r="16" spans="1:111" s="106" customFormat="1" x14ac:dyDescent="0.2">
      <c r="A16" s="151" t="s">
        <v>500</v>
      </c>
      <c r="B16" s="104"/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  <c r="P16" s="104"/>
      <c r="Q16" s="104"/>
      <c r="R16" s="104"/>
      <c r="S16" s="104"/>
      <c r="T16" s="104"/>
      <c r="U16" s="104"/>
      <c r="V16" s="104"/>
      <c r="W16" s="104"/>
      <c r="X16" s="104"/>
      <c r="Y16" s="104"/>
      <c r="Z16" s="104"/>
      <c r="AA16" s="105"/>
      <c r="AB16" s="105"/>
      <c r="AC16" s="105"/>
      <c r="AD16" s="105"/>
      <c r="AE16" s="105"/>
      <c r="AI16" s="104"/>
      <c r="AJ16" s="104"/>
      <c r="AK16" s="104"/>
      <c r="AL16" s="104"/>
      <c r="AM16" s="104"/>
      <c r="AN16" s="104"/>
      <c r="AO16" s="104"/>
      <c r="AP16" s="104"/>
      <c r="AQ16" s="104"/>
      <c r="AR16" s="104"/>
      <c r="AS16" s="104"/>
      <c r="AT16" s="104"/>
      <c r="AU16" s="104"/>
      <c r="AV16" s="104"/>
      <c r="AW16" s="104"/>
      <c r="AX16" s="104"/>
      <c r="AY16" s="104"/>
      <c r="AZ16" s="104"/>
      <c r="BA16" s="104"/>
      <c r="BB16" s="104"/>
      <c r="BC16" s="104"/>
      <c r="BD16" s="104"/>
      <c r="BE16" s="104"/>
      <c r="BF16" s="104"/>
      <c r="BG16" s="104"/>
      <c r="BH16" s="104"/>
      <c r="BI16" s="104"/>
      <c r="BJ16" s="104"/>
      <c r="BK16" s="104"/>
      <c r="BL16" s="104"/>
      <c r="BM16" s="104"/>
      <c r="BN16" s="104"/>
      <c r="BO16" s="104"/>
      <c r="BP16" s="104"/>
      <c r="BQ16" s="104"/>
      <c r="BR16" s="104"/>
      <c r="BS16" s="104"/>
      <c r="BT16" s="104"/>
      <c r="BU16" s="104"/>
      <c r="BV16" s="104"/>
      <c r="BW16" s="104"/>
      <c r="BX16" s="104"/>
      <c r="BY16" s="104"/>
      <c r="BZ16" s="104"/>
      <c r="CA16" s="104"/>
      <c r="CB16" s="104"/>
      <c r="CC16" s="104"/>
      <c r="CD16" s="104"/>
      <c r="CE16" s="104"/>
      <c r="CF16" s="104"/>
      <c r="CG16" s="104"/>
      <c r="CH16" s="104"/>
      <c r="CI16" s="104"/>
      <c r="CJ16" s="104"/>
      <c r="CK16" s="104"/>
      <c r="CL16" s="104"/>
      <c r="CM16" s="105"/>
      <c r="CN16" s="105"/>
      <c r="CO16" s="105"/>
      <c r="CP16" s="105"/>
      <c r="CQ16" s="105"/>
      <c r="CR16" s="105"/>
      <c r="CS16" s="105"/>
      <c r="CT16" s="105"/>
      <c r="CU16" s="105"/>
      <c r="CV16" s="105"/>
      <c r="CW16" s="105"/>
      <c r="CX16" s="105"/>
      <c r="CY16" s="105"/>
      <c r="CZ16" s="105"/>
      <c r="DA16" s="105"/>
      <c r="DB16" s="105"/>
      <c r="DE16" s="118"/>
    </row>
    <row r="17" spans="1:111" s="106" customFormat="1" x14ac:dyDescent="0.2">
      <c r="A17" s="151" t="s">
        <v>485</v>
      </c>
      <c r="B17" s="118"/>
      <c r="C17" s="118"/>
      <c r="D17" s="118"/>
      <c r="E17" s="118"/>
      <c r="F17" s="118"/>
      <c r="G17" s="118"/>
      <c r="H17" s="118"/>
      <c r="I17" s="118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  <c r="AA17" s="118"/>
      <c r="AB17" s="105"/>
      <c r="AC17" s="105"/>
      <c r="AD17" s="105"/>
      <c r="AE17" s="105"/>
      <c r="AI17" s="118"/>
      <c r="AJ17" s="118"/>
      <c r="AK17" s="118"/>
      <c r="AL17" s="118"/>
      <c r="AM17" s="118"/>
      <c r="AN17" s="118"/>
      <c r="AO17" s="118"/>
      <c r="AP17" s="118"/>
      <c r="AQ17" s="118"/>
      <c r="AR17" s="118"/>
      <c r="AS17" s="118"/>
      <c r="AT17" s="118"/>
      <c r="AU17" s="118"/>
      <c r="AV17" s="118"/>
      <c r="AW17" s="118"/>
      <c r="AX17" s="118"/>
      <c r="AY17" s="118"/>
      <c r="AZ17" s="118"/>
      <c r="BA17" s="118"/>
      <c r="BB17" s="118"/>
      <c r="BC17" s="118"/>
      <c r="BD17" s="118"/>
      <c r="BE17" s="118"/>
      <c r="BF17" s="118"/>
      <c r="BG17" s="118"/>
      <c r="BH17" s="118"/>
      <c r="BI17" s="118"/>
      <c r="BJ17" s="118"/>
      <c r="BK17" s="118"/>
      <c r="BL17" s="118"/>
      <c r="BM17" s="118"/>
      <c r="BN17" s="118"/>
      <c r="BO17" s="118"/>
      <c r="BP17" s="118"/>
      <c r="BQ17" s="118"/>
      <c r="BR17" s="118"/>
      <c r="BS17" s="118"/>
      <c r="BT17" s="118"/>
      <c r="BU17" s="118"/>
      <c r="BV17" s="118"/>
      <c r="BW17" s="118"/>
      <c r="BX17" s="118"/>
      <c r="BY17" s="118"/>
      <c r="BZ17" s="118"/>
      <c r="CA17" s="118"/>
      <c r="CB17" s="118"/>
      <c r="CC17" s="118"/>
      <c r="CD17" s="118"/>
      <c r="CE17" s="118"/>
      <c r="CF17" s="118"/>
      <c r="CG17" s="118"/>
      <c r="CH17" s="118"/>
      <c r="CI17" s="118"/>
      <c r="CJ17" s="160"/>
      <c r="CK17" s="160"/>
      <c r="CL17" s="160"/>
      <c r="CM17" s="105"/>
      <c r="CN17" s="105"/>
      <c r="CO17" s="105"/>
      <c r="CP17" s="105"/>
      <c r="CQ17" s="105"/>
      <c r="CR17" s="105"/>
      <c r="CS17" s="105"/>
      <c r="CT17" s="105"/>
      <c r="CU17" s="105"/>
      <c r="CV17" s="105"/>
      <c r="CW17" s="105"/>
      <c r="CX17" s="105"/>
      <c r="CY17" s="105"/>
      <c r="CZ17" s="105"/>
      <c r="DA17" s="105"/>
      <c r="DB17" s="105"/>
      <c r="DE17" s="118"/>
    </row>
    <row r="18" spans="1:111" s="25" customFormat="1" outlineLevel="1" x14ac:dyDescent="0.2">
      <c r="A18" s="25" t="s">
        <v>430</v>
      </c>
      <c r="B18" s="25">
        <f>'Annual Raw'!C6</f>
        <v>1900.5658807</v>
      </c>
      <c r="C18" s="25">
        <f>'Annual Raw'!D6</f>
        <v>2603.59</v>
      </c>
      <c r="D18" s="25">
        <f>'Annual Raw'!E6</f>
        <v>3639.98</v>
      </c>
      <c r="E18" s="25">
        <f>'Annual Raw'!F6</f>
        <v>4852.95</v>
      </c>
      <c r="F18" s="25">
        <f>'Annual Raw'!G6</f>
        <v>7130</v>
      </c>
      <c r="G18" s="25">
        <f>'Annual Raw'!H6</f>
        <v>9521</v>
      </c>
      <c r="H18" s="25">
        <f>'Annual Raw'!I6</f>
        <v>13893</v>
      </c>
      <c r="I18" s="25">
        <f>'Annual Raw'!J6</f>
        <v>16692</v>
      </c>
      <c r="J18" s="25">
        <f>'Annual Raw'!K6</f>
        <v>21693</v>
      </c>
      <c r="K18" s="25">
        <f>'Annual Raw'!L6</f>
        <v>22742</v>
      </c>
      <c r="L18" s="25">
        <f>'Annual Raw'!M6</f>
        <v>27501</v>
      </c>
      <c r="M18" s="25">
        <f>'Annual Raw'!N6</f>
        <v>33734</v>
      </c>
      <c r="N18" s="25">
        <f>'Annual Raw'!O6</f>
        <v>40352</v>
      </c>
      <c r="O18" s="25">
        <f>'Annual Raw'!P6</f>
        <v>50133</v>
      </c>
      <c r="P18" s="25">
        <f>'Annual Raw'!Q6</f>
        <v>53319</v>
      </c>
      <c r="Q18" s="25">
        <f>'Annual Raw'!R6</f>
        <v>62441</v>
      </c>
      <c r="R18" s="25">
        <f>'Annual Raw'!S6</f>
        <v>68484</v>
      </c>
      <c r="S18" s="25">
        <f>'Annual Raw'!T6</f>
        <v>70522</v>
      </c>
      <c r="T18" s="25">
        <f>'Annual Raw'!U6</f>
        <v>82675</v>
      </c>
      <c r="U18" s="25">
        <f>'Annual Raw'!V6</f>
        <v>90791</v>
      </c>
      <c r="V18" s="25">
        <f>'Annual Raw'!W6</f>
        <v>100472</v>
      </c>
      <c r="W18" s="25">
        <f>'Annual Raw'!X6</f>
        <v>121641</v>
      </c>
      <c r="X18" s="25">
        <f>'Annual Raw'!Y6</f>
        <v>146767</v>
      </c>
      <c r="Y18" s="25">
        <f>'Annual Raw'!Z6</f>
        <v>153670</v>
      </c>
      <c r="Z18" s="25">
        <f>'Annual Raw'!AA6</f>
        <v>162990</v>
      </c>
      <c r="AA18" s="25">
        <f>'Annual Raw'!AB6</f>
        <v>178650</v>
      </c>
      <c r="AB18" s="17">
        <f>+SUM(CM18:CP18)</f>
        <v>192220.65826017852</v>
      </c>
      <c r="AC18" s="17">
        <f>+SUM(CQ18:CT18)</f>
        <v>202510.05183883719</v>
      </c>
      <c r="AD18" s="17">
        <f>+SUM(CU18:CX18)</f>
        <v>218506.07021217016</v>
      </c>
      <c r="AE18" s="17">
        <f>+SUM(CY18:DB18)</f>
        <v>243282.25157677682</v>
      </c>
      <c r="AI18" s="25">
        <f>'QTR Raw'!C6+'QTR Raw'!C8</f>
        <v>9616</v>
      </c>
      <c r="AJ18" s="25">
        <f>'QTR Raw'!D6+'QTR Raw'!D8</f>
        <v>9858</v>
      </c>
      <c r="AK18" s="25">
        <f>'QTR Raw'!E6+'QTR Raw'!E8</f>
        <v>10424</v>
      </c>
      <c r="AL18" s="25">
        <f>'QTR Raw'!F6+'QTR Raw'!F8</f>
        <v>10454</v>
      </c>
      <c r="AM18" s="25">
        <f>'QTR Raw'!G6+'QTR Raw'!G8</f>
        <v>11267</v>
      </c>
      <c r="AN18" s="25">
        <f>'QTR Raw'!H6+'QTR Raw'!H8</f>
        <v>12965</v>
      </c>
      <c r="AO18" s="25">
        <f>'QTR Raw'!I6+'QTR Raw'!I8</f>
        <v>13026</v>
      </c>
      <c r="AP18" s="25">
        <f>'QTR Raw'!J6+'QTR Raw'!J8</f>
        <v>12875</v>
      </c>
      <c r="AQ18" s="25">
        <f>'QTR Raw'!K6+'QTR Raw'!K8</f>
        <v>12770</v>
      </c>
      <c r="AR18" s="25">
        <f>'QTR Raw'!L6+'QTR Raw'!L8</f>
        <v>13342</v>
      </c>
      <c r="AS18" s="25">
        <f>'QTR Raw'!M6+'QTR Raw'!M8</f>
        <v>13796</v>
      </c>
      <c r="AT18" s="25">
        <f>'QTR Raw'!N6+'QTR Raw'!N8</f>
        <v>13411</v>
      </c>
      <c r="AU18" s="25">
        <f>'QTR Raw'!O6+'QTR Raw'!O8</f>
        <v>14354</v>
      </c>
      <c r="AV18" s="25">
        <f>'QTR Raw'!P6+'QTR Raw'!P8</f>
        <v>15635</v>
      </c>
      <c r="AW18" s="25">
        <f>'QTR Raw'!Q6+'QTR Raw'!Q8</f>
        <v>15902</v>
      </c>
      <c r="AX18" s="25">
        <f>'QTR Raw'!R6+'QTR Raw'!R8</f>
        <v>16550</v>
      </c>
      <c r="AY18" s="25">
        <f>'QTR Raw'!S6+'QTR Raw'!S8</f>
        <v>16782</v>
      </c>
      <c r="AZ18" s="25">
        <f>'QTR Raw'!T6+'QTR Raw'!T8</f>
        <v>17310</v>
      </c>
      <c r="BA18" s="25">
        <f>'QTR Raw'!U6+'QTR Raw'!U8</f>
        <v>17273</v>
      </c>
      <c r="BB18" s="25">
        <f>'QTR Raw'!V6+'QTR Raw'!V8</f>
        <v>17120</v>
      </c>
      <c r="BC18" s="25">
        <f>'QTR Raw'!W6+'QTR Raw'!W8</f>
        <v>17078</v>
      </c>
      <c r="BD18" s="25">
        <f>'QTR Raw'!X6+'QTR Raw'!X8</f>
        <v>17567</v>
      </c>
      <c r="BE18" s="25">
        <f>'QTR Raw'!Y6+'QTR Raw'!Y8</f>
        <v>17794</v>
      </c>
      <c r="BF18" s="25">
        <f>'QTR Raw'!Z6+'QTR Raw'!Z8</f>
        <v>18083</v>
      </c>
      <c r="BG18" s="25">
        <f>'QTR Raw'!AA6+'QTR Raw'!AA8</f>
        <v>19128</v>
      </c>
      <c r="BH18" s="25">
        <f>'QTR Raw'!AB6+'QTR Raw'!AB8</f>
        <v>20609</v>
      </c>
      <c r="BI18" s="25">
        <f>'QTR Raw'!AC6+'QTR Raw'!AC8</f>
        <v>21400</v>
      </c>
      <c r="BJ18" s="25">
        <f>'QTR Raw'!AD6+'QTR Raw'!AD8</f>
        <v>21539</v>
      </c>
      <c r="BK18" s="25">
        <f>'QTR Raw'!AE6+'QTR Raw'!AE8</f>
        <v>21803</v>
      </c>
      <c r="BL18" s="25">
        <f>'QTR Raw'!AF6+'QTR Raw'!AF8</f>
        <v>22629</v>
      </c>
      <c r="BM18" s="25">
        <f>'QTR Raw'!AG6+'QTR Raw'!AG8</f>
        <v>23092</v>
      </c>
      <c r="BN18" s="25">
        <f>'QTR Raw'!AH6+'QTR Raw'!AH8</f>
        <v>23267</v>
      </c>
      <c r="BO18" s="25">
        <f>'QTR Raw'!AI6+'QTR Raw'!AI8</f>
        <v>23665</v>
      </c>
      <c r="BP18" s="25">
        <f>'QTR Raw'!AJ6+'QTR Raw'!AJ8</f>
        <v>24570</v>
      </c>
      <c r="BQ18" s="25">
        <f>'QTR Raw'!AK6+'QTR Raw'!AK8</f>
        <v>25927</v>
      </c>
      <c r="BR18" s="25">
        <f>'QTR Raw'!AL6+'QTR Raw'!AL8</f>
        <v>26311</v>
      </c>
      <c r="BS18" s="25">
        <f>'QTR Raw'!AM6+'QTR Raw'!AM8</f>
        <v>27896</v>
      </c>
      <c r="BT18" s="25">
        <f>'QTR Raw'!AN6+'QTR Raw'!AN8</f>
        <v>29602</v>
      </c>
      <c r="BU18" s="25">
        <f>'QTR Raw'!AO6+'QTR Raw'!AO8</f>
        <v>31867</v>
      </c>
      <c r="BV18" s="25">
        <f>'QTR Raw'!AP6+'QTR Raw'!AP8</f>
        <v>32276</v>
      </c>
      <c r="BW18" s="25">
        <f>'QTR Raw'!AQ6+'QTR Raw'!AQ8</f>
        <v>34470</v>
      </c>
      <c r="BX18" s="25">
        <f>'QTR Raw'!AR6+'QTR Raw'!AR8</f>
        <v>36538</v>
      </c>
      <c r="BY18" s="25">
        <f>'QTR Raw'!AS6+'QTR Raw'!AS8</f>
        <v>38318</v>
      </c>
      <c r="BZ18" s="25">
        <f>'QTR Raw'!AT6+'QTR Raw'!AT8</f>
        <v>37441</v>
      </c>
      <c r="CA18" s="25">
        <f>'QTR Raw'!AU6+'QTR Raw'!AU8</f>
        <v>37933</v>
      </c>
      <c r="CB18" s="25">
        <f>'QTR Raw'!AV6+'QTR Raw'!AV8</f>
        <v>38994</v>
      </c>
      <c r="CC18" s="25">
        <f>'QTR Raw'!AW6+'QTR Raw'!AW8</f>
        <v>38821</v>
      </c>
      <c r="CD18" s="25">
        <f>'QTR Raw'!AX6+'QTR Raw'!AX8</f>
        <v>37923</v>
      </c>
      <c r="CE18" s="25">
        <f>'QTR Raw'!AY6+'QTR Raw'!AY8</f>
        <v>39315</v>
      </c>
      <c r="CF18" s="25">
        <f>'QTR Raw'!AZ6+'QTR Raw'!AZ8</f>
        <v>40986</v>
      </c>
      <c r="CG18" s="25">
        <f>'QTR Raw'!BA6+'QTR Raw'!BA8</f>
        <v>41764</v>
      </c>
      <c r="CH18" s="25">
        <f>'QTR Raw'!BB6+'QTR Raw'!BB8</f>
        <v>40925</v>
      </c>
      <c r="CI18" s="25">
        <f>'QTR Raw'!BC6+'QTR Raw'!BC8</f>
        <v>42279</v>
      </c>
      <c r="CJ18" s="25">
        <f>'QTR Raw'!BD6+'QTR Raw'!BD8</f>
        <v>44490</v>
      </c>
      <c r="CK18" s="25">
        <f>'QTR Raw'!BE6+'QTR Raw'!BE8</f>
        <v>45479</v>
      </c>
      <c r="CL18" s="25">
        <f>'QTR Raw'!BF6+'QTR Raw'!BF8</f>
        <v>46402</v>
      </c>
      <c r="CM18" s="17">
        <f t="shared" ref="CM18:DB18" si="51">CM4*CM5/10</f>
        <v>47269.72360252394</v>
      </c>
      <c r="CN18" s="17">
        <f t="shared" si="51"/>
        <v>47847.498938914505</v>
      </c>
      <c r="CO18" s="17">
        <f t="shared" si="51"/>
        <v>48315.389353920262</v>
      </c>
      <c r="CP18" s="17">
        <f>CP4*CP5/10</f>
        <v>48788.04636481982</v>
      </c>
      <c r="CQ18" s="17">
        <f t="shared" si="51"/>
        <v>49525.777836438843</v>
      </c>
      <c r="CR18" s="17">
        <f t="shared" si="51"/>
        <v>50230.351696832549</v>
      </c>
      <c r="CS18" s="17">
        <f t="shared" si="51"/>
        <v>50970.107730907395</v>
      </c>
      <c r="CT18" s="17">
        <f>CT4*CT5/10</f>
        <v>51783.814574658405</v>
      </c>
      <c r="CU18" s="17">
        <f t="shared" si="51"/>
        <v>52819.998655443567</v>
      </c>
      <c r="CV18" s="17">
        <f t="shared" si="51"/>
        <v>53941.471250496048</v>
      </c>
      <c r="CW18" s="17">
        <f t="shared" si="51"/>
        <v>55181.227506332492</v>
      </c>
      <c r="CX18" s="17">
        <f>CX4*CX5/10</f>
        <v>56563.372799898054</v>
      </c>
      <c r="CY18" s="17">
        <f t="shared" si="51"/>
        <v>58108.578336856313</v>
      </c>
      <c r="CZ18" s="17">
        <f t="shared" si="51"/>
        <v>59802.165069967356</v>
      </c>
      <c r="DA18" s="17">
        <f>DA4*DA5/10</f>
        <v>61663.418978453949</v>
      </c>
      <c r="DB18" s="17">
        <f t="shared" si="51"/>
        <v>63708.089191499188</v>
      </c>
      <c r="DE18" s="119"/>
      <c r="DF18" s="25">
        <v>178650</v>
      </c>
      <c r="DG18" s="25">
        <v>44956.618798436539</v>
      </c>
    </row>
    <row r="19" spans="1:111" s="92" customFormat="1" outlineLevel="1" x14ac:dyDescent="0.2">
      <c r="A19" s="92" t="s">
        <v>109</v>
      </c>
      <c r="B19" s="92">
        <f>'Annual Raw'!C7+'Annual Raw'!C8+'Annual Raw'!C9</f>
        <v>0</v>
      </c>
      <c r="C19" s="92">
        <f>'Annual Raw'!D7+'Annual Raw'!D8+'Annual Raw'!D9</f>
        <v>0</v>
      </c>
      <c r="D19" s="92">
        <f>'Annual Raw'!E7+'Annual Raw'!E8+'Annual Raw'!E9</f>
        <v>0</v>
      </c>
      <c r="E19" s="92">
        <f>'Annual Raw'!F7+'Annual Raw'!F8+'Annual Raw'!F9</f>
        <v>0</v>
      </c>
      <c r="F19" s="92">
        <f>'Annual Raw'!G7+'Annual Raw'!G8+'Annual Raw'!G9</f>
        <v>0</v>
      </c>
      <c r="G19" s="92">
        <f>'Annual Raw'!H7+'Annual Raw'!H8+'Annual Raw'!H9</f>
        <v>0</v>
      </c>
      <c r="H19" s="92">
        <f>'Annual Raw'!I7+'Annual Raw'!I8+'Annual Raw'!I9</f>
        <v>0</v>
      </c>
      <c r="I19" s="92">
        <f>'Annual Raw'!J7+'Annual Raw'!J8+'Annual Raw'!J9</f>
        <v>0</v>
      </c>
      <c r="J19" s="92">
        <f>'Annual Raw'!K7+'Annual Raw'!K8+'Annual Raw'!K9</f>
        <v>0</v>
      </c>
      <c r="K19" s="92">
        <f>'Annual Raw'!L7+'Annual Raw'!L8+'Annual Raw'!L9</f>
        <v>0</v>
      </c>
      <c r="L19" s="92">
        <f>'Annual Raw'!M7+'Annual Raw'!M8+'Annual Raw'!M9</f>
        <v>0</v>
      </c>
      <c r="M19" s="92">
        <f>'Annual Raw'!N7+'Annual Raw'!N8+'Annual Raw'!N9</f>
        <v>0</v>
      </c>
      <c r="N19" s="92">
        <f>'Annual Raw'!O7+'Annual Raw'!O8+'Annual Raw'!O9</f>
        <v>0</v>
      </c>
      <c r="O19" s="92">
        <f>'Annual Raw'!P7+'Annual Raw'!P8+'Annual Raw'!P9</f>
        <v>0</v>
      </c>
      <c r="P19" s="92">
        <f>'Annual Raw'!Q7+'Annual Raw'!Q8+'Annual Raw'!Q9</f>
        <v>0</v>
      </c>
      <c r="Q19" s="92">
        <f>'Annual Raw'!R7+'Annual Raw'!R8+'Annual Raw'!R9</f>
        <v>0</v>
      </c>
      <c r="R19" s="92">
        <f>'Annual Raw'!S7+'Annual Raw'!S8+'Annual Raw'!S9</f>
        <v>0</v>
      </c>
      <c r="S19" s="92">
        <f>'Annual Raw'!T7+'Annual Raw'!T8+'Annual Raw'!T9</f>
        <v>0</v>
      </c>
      <c r="T19" s="92">
        <f>'Annual Raw'!U7+'Annual Raw'!U8+'Annual Raw'!U9</f>
        <v>0</v>
      </c>
      <c r="U19" s="92">
        <f>'Annual Raw'!V7+'Annual Raw'!V8+'Annual Raw'!V9</f>
        <v>0</v>
      </c>
      <c r="V19" s="92">
        <f>'Annual Raw'!W7+'Annual Raw'!W8+'Annual Raw'!W9</f>
        <v>0</v>
      </c>
      <c r="W19" s="92">
        <f>'Annual Raw'!X7+'Annual Raw'!X8+'Annual Raw'!X9</f>
        <v>0</v>
      </c>
      <c r="X19" s="92">
        <f>'Annual Raw'!Y7+'Annual Raw'!Y8+'Annual Raw'!Y9</f>
        <v>0</v>
      </c>
      <c r="Y19" s="92">
        <f>'Annual Raw'!Z7+'Annual Raw'!Z8+'Annual Raw'!Z9</f>
        <v>0</v>
      </c>
      <c r="Z19" s="92">
        <f>'Annual Raw'!AA7+'Annual Raw'!AA8+'Annual Raw'!AA9</f>
        <v>0</v>
      </c>
      <c r="AA19" s="92">
        <f>'Annual Raw'!AB7+'Annual Raw'!AB8+'Annual Raw'!AB9</f>
        <v>0</v>
      </c>
      <c r="AB19" s="76">
        <f>+SUM(CM19:CP19)</f>
        <v>0</v>
      </c>
      <c r="AC19" s="76">
        <f>+SUM(CQ19:CT19)</f>
        <v>0</v>
      </c>
      <c r="AD19" s="76">
        <f>+SUM(CU19:CX19)</f>
        <v>0</v>
      </c>
      <c r="AE19" s="76">
        <f>+SUM(CY19:DB19)</f>
        <v>0</v>
      </c>
      <c r="AI19" s="92">
        <f>+'QTR Raw'!C20+'QTR Raw'!C19+'QTR Raw'!C13+'QTR Raw'!C7</f>
        <v>34</v>
      </c>
      <c r="AJ19" s="92">
        <f>+'QTR Raw'!D20+'QTR Raw'!D19+'QTR Raw'!D13+'QTR Raw'!D7</f>
        <v>0</v>
      </c>
      <c r="AK19" s="92">
        <f>+'QTR Raw'!E20+'QTR Raw'!E19+'QTR Raw'!E13+'QTR Raw'!E7</f>
        <v>0</v>
      </c>
      <c r="AL19" s="92">
        <f>+'QTR Raw'!F20+'QTR Raw'!F19+'QTR Raw'!F13+'QTR Raw'!F7</f>
        <v>0</v>
      </c>
      <c r="AM19" s="92">
        <f>+'QTR Raw'!G20+'QTR Raw'!G19+'QTR Raw'!G13+'QTR Raw'!G7</f>
        <v>0</v>
      </c>
      <c r="AN19" s="92">
        <f>+'QTR Raw'!H20+'QTR Raw'!H19+'QTR Raw'!H13+'QTR Raw'!H7</f>
        <v>86</v>
      </c>
      <c r="AO19" s="92">
        <f>+'QTR Raw'!I20+'QTR Raw'!I19+'QTR Raw'!I13+'QTR Raw'!I7</f>
        <v>0</v>
      </c>
      <c r="AP19" s="92">
        <f>+'QTR Raw'!J20+'QTR Raw'!J19+'QTR Raw'!J13+'QTR Raw'!J7</f>
        <v>0</v>
      </c>
      <c r="AQ19" s="92">
        <f>+'QTR Raw'!K20+'QTR Raw'!K19+'QTR Raw'!K13+'QTR Raw'!K7</f>
        <v>0</v>
      </c>
      <c r="AR19" s="92">
        <f>+'QTR Raw'!L20+'QTR Raw'!L19+'QTR Raw'!L13+'QTR Raw'!L7</f>
        <v>0</v>
      </c>
      <c r="AS19" s="92">
        <f>+'QTR Raw'!M20+'QTR Raw'!M19+'QTR Raw'!M13+'QTR Raw'!M7</f>
        <v>0</v>
      </c>
      <c r="AT19" s="92">
        <f>+'QTR Raw'!N20+'QTR Raw'!N19+'QTR Raw'!N13+'QTR Raw'!N7</f>
        <v>0</v>
      </c>
      <c r="AU19" s="92">
        <f>+'QTR Raw'!O20+'QTR Raw'!O19+'QTR Raw'!O13+'QTR Raw'!O7</f>
        <v>0</v>
      </c>
      <c r="AV19" s="92">
        <f>+'QTR Raw'!P20+'QTR Raw'!P19+'QTR Raw'!P13+'QTR Raw'!P7</f>
        <v>0</v>
      </c>
      <c r="AW19" s="92">
        <f>+'QTR Raw'!Q20+'QTR Raw'!Q19+'QTR Raw'!Q13+'QTR Raw'!Q7</f>
        <v>0</v>
      </c>
      <c r="AX19" s="92">
        <f>+'QTR Raw'!R20+'QTR Raw'!R19+'QTR Raw'!R13+'QTR Raw'!R7</f>
        <v>0</v>
      </c>
      <c r="AY19" s="92">
        <f>+'QTR Raw'!S20+'QTR Raw'!S19+'QTR Raw'!S13+'QTR Raw'!S7</f>
        <v>0</v>
      </c>
      <c r="AZ19" s="92">
        <f>+'QTR Raw'!T20+'QTR Raw'!T19+'QTR Raw'!T13+'QTR Raw'!T7</f>
        <v>0</v>
      </c>
      <c r="BA19" s="92">
        <f>+'QTR Raw'!U20+'QTR Raw'!U19+'QTR Raw'!U13+'QTR Raw'!U7</f>
        <v>0</v>
      </c>
      <c r="BB19" s="92">
        <f>+'QTR Raw'!V20+'QTR Raw'!V19+'QTR Raw'!V13+'QTR Raw'!V7</f>
        <v>0</v>
      </c>
      <c r="BC19" s="92">
        <f>+'QTR Raw'!W20+'QTR Raw'!W19+'QTR Raw'!W13+'QTR Raw'!W7</f>
        <v>0</v>
      </c>
      <c r="BD19" s="92">
        <f>+'QTR Raw'!X20+'QTR Raw'!X19+'QTR Raw'!X13+'QTR Raw'!X7</f>
        <v>0</v>
      </c>
      <c r="BE19" s="92">
        <f>+'QTR Raw'!Y20+'QTR Raw'!Y19+'QTR Raw'!Y13+'QTR Raw'!Y7</f>
        <v>0</v>
      </c>
      <c r="BF19" s="92">
        <f>+'QTR Raw'!Z20+'QTR Raw'!Z19+'QTR Raw'!Z13+'QTR Raw'!Z7</f>
        <v>0</v>
      </c>
      <c r="BG19" s="92">
        <f>+'QTR Raw'!AA20+'QTR Raw'!AA19+'QTR Raw'!AA13+'QTR Raw'!AA7</f>
        <v>0</v>
      </c>
      <c r="BH19" s="92">
        <f>+'QTR Raw'!AB20+'QTR Raw'!AB19+'QTR Raw'!AB13+'QTR Raw'!AB7</f>
        <v>0</v>
      </c>
      <c r="BI19" s="92">
        <f>+'QTR Raw'!AC20+'QTR Raw'!AC19+'QTR Raw'!AC13+'QTR Raw'!AC7</f>
        <v>0</v>
      </c>
      <c r="BJ19" s="92">
        <f>+'QTR Raw'!AD20+'QTR Raw'!AD19+'QTR Raw'!AD13+'QTR Raw'!AD7</f>
        <v>0</v>
      </c>
      <c r="BK19" s="92">
        <f>+'QTR Raw'!AE20+'QTR Raw'!AE19+'QTR Raw'!AE13+'QTR Raw'!AE7</f>
        <v>0</v>
      </c>
      <c r="BL19" s="92">
        <f>+'QTR Raw'!AF20+'QTR Raw'!AF19+'QTR Raw'!AF13+'QTR Raw'!AF7</f>
        <v>0</v>
      </c>
      <c r="BM19" s="92">
        <f>+'QTR Raw'!AG20+'QTR Raw'!AG19+'QTR Raw'!AG13+'QTR Raw'!AG7</f>
        <v>0</v>
      </c>
      <c r="BN19" s="92">
        <f>+'QTR Raw'!AH20+'QTR Raw'!AH19+'QTR Raw'!AH13+'QTR Raw'!AH7</f>
        <v>0</v>
      </c>
      <c r="BO19" s="92">
        <f>+'QTR Raw'!AI20+'QTR Raw'!AI19+'QTR Raw'!AI13+'QTR Raw'!AI7</f>
        <v>0</v>
      </c>
      <c r="BP19" s="92">
        <f>+'QTR Raw'!AJ20+'QTR Raw'!AJ19+'QTR Raw'!AJ13+'QTR Raw'!AJ7</f>
        <v>0</v>
      </c>
      <c r="BQ19" s="92">
        <f>+'QTR Raw'!AK20+'QTR Raw'!AK19+'QTR Raw'!AK13+'QTR Raw'!AK7</f>
        <v>0</v>
      </c>
      <c r="BR19" s="92">
        <f>+'QTR Raw'!AL20+'QTR Raw'!AL19+'QTR Raw'!AL13+'QTR Raw'!AL7</f>
        <v>0</v>
      </c>
      <c r="BS19" s="92">
        <f>+'QTR Raw'!AM20+'QTR Raw'!AM19+'QTR Raw'!AM13+'QTR Raw'!AM7</f>
        <v>0</v>
      </c>
      <c r="BT19" s="92">
        <f>+'QTR Raw'!AN20+'QTR Raw'!AN19+'QTR Raw'!AN13+'QTR Raw'!AN7</f>
        <v>0</v>
      </c>
      <c r="BU19" s="92">
        <f>+'QTR Raw'!AO20+'QTR Raw'!AO19+'QTR Raw'!AO13+'QTR Raw'!AO7</f>
        <v>0</v>
      </c>
      <c r="BV19" s="92">
        <f>+'QTR Raw'!AP20+'QTR Raw'!AP19+'QTR Raw'!AP13+'QTR Raw'!AP7</f>
        <v>0</v>
      </c>
      <c r="BW19" s="92">
        <f>+'QTR Raw'!AQ20+'QTR Raw'!AQ19+'QTR Raw'!AQ13+'QTR Raw'!AQ7</f>
        <v>0</v>
      </c>
      <c r="BX19" s="92">
        <f>+'QTR Raw'!AR20+'QTR Raw'!AR19+'QTR Raw'!AR13+'QTR Raw'!AR7</f>
        <v>0</v>
      </c>
      <c r="BY19" s="92">
        <f>+'QTR Raw'!AS20+'QTR Raw'!AS19+'QTR Raw'!AS13+'QTR Raw'!AS7</f>
        <v>0</v>
      </c>
      <c r="BZ19" s="92">
        <f>+'QTR Raw'!AT20+'QTR Raw'!AT19+'QTR Raw'!AT13+'QTR Raw'!AT7</f>
        <v>0</v>
      </c>
      <c r="CA19" s="92">
        <f>+'QTR Raw'!AU20+'QTR Raw'!AU19+'QTR Raw'!AU13+'QTR Raw'!AU7</f>
        <v>0</v>
      </c>
      <c r="CB19" s="92">
        <f>+'QTR Raw'!AV20+'QTR Raw'!AV19+'QTR Raw'!AV13+'QTR Raw'!AV7</f>
        <v>0</v>
      </c>
      <c r="CC19" s="92">
        <f>+'QTR Raw'!AW20+'QTR Raw'!AW19+'QTR Raw'!AW13+'QTR Raw'!AW7</f>
        <v>0</v>
      </c>
      <c r="CD19" s="92">
        <f>+'QTR Raw'!AX20+'QTR Raw'!AX19+'QTR Raw'!AX13+'QTR Raw'!AX7</f>
        <v>0</v>
      </c>
      <c r="CE19" s="92">
        <f>+'QTR Raw'!AY20+'QTR Raw'!AY19+'QTR Raw'!AY13+'QTR Raw'!AY7</f>
        <v>0</v>
      </c>
      <c r="CF19" s="92">
        <f>+'QTR Raw'!AZ20+'QTR Raw'!AZ19+'QTR Raw'!AZ13+'QTR Raw'!AZ7</f>
        <v>0</v>
      </c>
      <c r="CG19" s="92">
        <f>+'QTR Raw'!BA20+'QTR Raw'!BA19+'QTR Raw'!BA13+'QTR Raw'!BA7</f>
        <v>0</v>
      </c>
      <c r="CH19" s="92">
        <f>+'QTR Raw'!BB20+'QTR Raw'!BB19+'QTR Raw'!BB13+'QTR Raw'!BB7</f>
        <v>0</v>
      </c>
      <c r="CI19" s="92">
        <f>+'QTR Raw'!BC20+'QTR Raw'!BC19+'QTR Raw'!BC13+'QTR Raw'!BC7</f>
        <v>0</v>
      </c>
      <c r="CJ19" s="92">
        <f>+'QTR Raw'!BD20+'QTR Raw'!BD19+'QTR Raw'!BD13+'QTR Raw'!BD7</f>
        <v>0</v>
      </c>
      <c r="CK19" s="92">
        <f>+'QTR Raw'!BE20+'QTR Raw'!BE19+'QTR Raw'!BE13+'QTR Raw'!BE7</f>
        <v>0</v>
      </c>
      <c r="CL19" s="92">
        <f>+'QTR Raw'!BF20+'QTR Raw'!BF19+'QTR Raw'!BF13+'QTR Raw'!BF7</f>
        <v>0</v>
      </c>
      <c r="CM19" s="74"/>
      <c r="CN19" s="74"/>
      <c r="CO19" s="74"/>
      <c r="CP19" s="74"/>
      <c r="CQ19" s="74"/>
      <c r="CR19" s="74"/>
      <c r="CS19" s="74"/>
      <c r="CT19" s="74"/>
      <c r="CU19" s="74"/>
      <c r="CV19" s="74"/>
      <c r="CW19" s="74"/>
      <c r="CX19" s="74"/>
      <c r="CY19" s="74"/>
      <c r="CZ19" s="74"/>
      <c r="DA19" s="74"/>
      <c r="DB19" s="74"/>
      <c r="DE19" s="120"/>
      <c r="DF19" s="92">
        <v>0</v>
      </c>
    </row>
    <row r="20" spans="1:111" s="26" customFormat="1" x14ac:dyDescent="0.2">
      <c r="A20" s="26" t="s">
        <v>431</v>
      </c>
      <c r="B20" s="26">
        <f>+B18-B19</f>
        <v>1900.5658807</v>
      </c>
      <c r="C20" s="26">
        <f>+C18-C19</f>
        <v>2603.59</v>
      </c>
      <c r="D20" s="26">
        <f t="shared" ref="D20:U20" si="52">+D18-D19</f>
        <v>3639.98</v>
      </c>
      <c r="E20" s="26">
        <f t="shared" si="52"/>
        <v>4852.95</v>
      </c>
      <c r="F20" s="26">
        <f t="shared" si="52"/>
        <v>7130</v>
      </c>
      <c r="G20" s="26">
        <f t="shared" si="52"/>
        <v>9521</v>
      </c>
      <c r="H20" s="26">
        <f t="shared" si="52"/>
        <v>13893</v>
      </c>
      <c r="I20" s="26">
        <f t="shared" si="52"/>
        <v>16692</v>
      </c>
      <c r="J20" s="26">
        <f t="shared" si="52"/>
        <v>21693</v>
      </c>
      <c r="K20" s="26">
        <f t="shared" si="52"/>
        <v>22742</v>
      </c>
      <c r="L20" s="26">
        <f t="shared" si="52"/>
        <v>27501</v>
      </c>
      <c r="M20" s="26">
        <f t="shared" si="52"/>
        <v>33734</v>
      </c>
      <c r="N20" s="26">
        <f t="shared" si="52"/>
        <v>40352</v>
      </c>
      <c r="O20" s="26">
        <f t="shared" si="52"/>
        <v>50133</v>
      </c>
      <c r="P20" s="26">
        <f t="shared" si="52"/>
        <v>53319</v>
      </c>
      <c r="Q20" s="26">
        <f t="shared" si="52"/>
        <v>62441</v>
      </c>
      <c r="R20" s="26">
        <f t="shared" si="52"/>
        <v>68484</v>
      </c>
      <c r="S20" s="26">
        <f t="shared" si="52"/>
        <v>70522</v>
      </c>
      <c r="T20" s="26">
        <f t="shared" si="52"/>
        <v>82675</v>
      </c>
      <c r="U20" s="26">
        <f t="shared" si="52"/>
        <v>90791</v>
      </c>
      <c r="V20" s="26">
        <f t="shared" ref="V20:AA20" si="53">+V18-V19</f>
        <v>100472</v>
      </c>
      <c r="W20" s="26">
        <f t="shared" si="53"/>
        <v>121641</v>
      </c>
      <c r="X20" s="26">
        <f t="shared" si="53"/>
        <v>146767</v>
      </c>
      <c r="Y20" s="26">
        <f t="shared" si="53"/>
        <v>153670</v>
      </c>
      <c r="Z20" s="26">
        <f t="shared" si="53"/>
        <v>162990</v>
      </c>
      <c r="AA20" s="26">
        <f t="shared" si="53"/>
        <v>178650</v>
      </c>
      <c r="AB20" s="27">
        <f t="shared" ref="AB20:AD20" si="54">+AB18-AB19</f>
        <v>192220.65826017852</v>
      </c>
      <c r="AC20" s="27">
        <f t="shared" si="54"/>
        <v>202510.05183883719</v>
      </c>
      <c r="AD20" s="27">
        <f t="shared" si="54"/>
        <v>218506.07021217016</v>
      </c>
      <c r="AE20" s="27">
        <f t="shared" ref="AE20" si="55">+AE18-AE19</f>
        <v>243282.25157677682</v>
      </c>
      <c r="AI20" s="26">
        <f t="shared" ref="AI20" si="56">+AI18-AI19</f>
        <v>9582</v>
      </c>
      <c r="AJ20" s="26">
        <f t="shared" ref="AJ20" si="57">+AJ18-AJ19</f>
        <v>9858</v>
      </c>
      <c r="AK20" s="26">
        <f t="shared" ref="AK20:AM20" si="58">+AK18-AK19</f>
        <v>10424</v>
      </c>
      <c r="AL20" s="26">
        <f t="shared" si="58"/>
        <v>10454</v>
      </c>
      <c r="AM20" s="26">
        <f t="shared" si="58"/>
        <v>11267</v>
      </c>
      <c r="AN20" s="26">
        <f t="shared" ref="AN20:AO20" si="59">+AN18-AN19</f>
        <v>12879</v>
      </c>
      <c r="AO20" s="26">
        <f t="shared" si="59"/>
        <v>13026</v>
      </c>
      <c r="AP20" s="26">
        <f t="shared" ref="AP20:AW20" si="60">+AP18-AP19</f>
        <v>12875</v>
      </c>
      <c r="AQ20" s="26">
        <f t="shared" si="60"/>
        <v>12770</v>
      </c>
      <c r="AR20" s="26">
        <f t="shared" si="60"/>
        <v>13342</v>
      </c>
      <c r="AS20" s="26">
        <f t="shared" si="60"/>
        <v>13796</v>
      </c>
      <c r="AT20" s="26">
        <f t="shared" si="60"/>
        <v>13411</v>
      </c>
      <c r="AU20" s="26">
        <f t="shared" si="60"/>
        <v>14354</v>
      </c>
      <c r="AV20" s="26">
        <f t="shared" si="60"/>
        <v>15635</v>
      </c>
      <c r="AW20" s="26">
        <f t="shared" si="60"/>
        <v>15902</v>
      </c>
      <c r="AX20" s="26">
        <f t="shared" ref="AX20:CF20" si="61">+AX18-AX19</f>
        <v>16550</v>
      </c>
      <c r="AY20" s="26">
        <f t="shared" si="61"/>
        <v>16782</v>
      </c>
      <c r="AZ20" s="26">
        <f t="shared" si="61"/>
        <v>17310</v>
      </c>
      <c r="BA20" s="26">
        <f t="shared" si="61"/>
        <v>17273</v>
      </c>
      <c r="BB20" s="26">
        <f t="shared" si="61"/>
        <v>17120</v>
      </c>
      <c r="BC20" s="26">
        <f t="shared" si="61"/>
        <v>17078</v>
      </c>
      <c r="BD20" s="26">
        <f t="shared" si="61"/>
        <v>17567</v>
      </c>
      <c r="BE20" s="26">
        <f t="shared" si="61"/>
        <v>17794</v>
      </c>
      <c r="BF20" s="26">
        <f t="shared" si="61"/>
        <v>18083</v>
      </c>
      <c r="BG20" s="26">
        <f t="shared" si="61"/>
        <v>19128</v>
      </c>
      <c r="BH20" s="26">
        <f t="shared" si="61"/>
        <v>20609</v>
      </c>
      <c r="BI20" s="26">
        <f t="shared" si="61"/>
        <v>21400</v>
      </c>
      <c r="BJ20" s="26">
        <f t="shared" si="61"/>
        <v>21539</v>
      </c>
      <c r="BK20" s="26">
        <f t="shared" si="61"/>
        <v>21803</v>
      </c>
      <c r="BL20" s="26">
        <f t="shared" si="61"/>
        <v>22629</v>
      </c>
      <c r="BM20" s="26">
        <f t="shared" si="61"/>
        <v>23092</v>
      </c>
      <c r="BN20" s="26">
        <f t="shared" si="61"/>
        <v>23267</v>
      </c>
      <c r="BO20" s="26">
        <f t="shared" si="61"/>
        <v>23665</v>
      </c>
      <c r="BP20" s="26">
        <f t="shared" si="61"/>
        <v>24570</v>
      </c>
      <c r="BQ20" s="26">
        <f t="shared" si="61"/>
        <v>25927</v>
      </c>
      <c r="BR20" s="26">
        <f t="shared" si="61"/>
        <v>26311</v>
      </c>
      <c r="BS20" s="26">
        <f t="shared" si="61"/>
        <v>27896</v>
      </c>
      <c r="BT20" s="26">
        <f t="shared" si="61"/>
        <v>29602</v>
      </c>
      <c r="BU20" s="26">
        <f t="shared" si="61"/>
        <v>31867</v>
      </c>
      <c r="BV20" s="26">
        <f t="shared" si="61"/>
        <v>32276</v>
      </c>
      <c r="BW20" s="26">
        <f t="shared" si="61"/>
        <v>34470</v>
      </c>
      <c r="BX20" s="26">
        <f t="shared" si="61"/>
        <v>36538</v>
      </c>
      <c r="BY20" s="26">
        <f t="shared" si="61"/>
        <v>38318</v>
      </c>
      <c r="BZ20" s="26">
        <f t="shared" si="61"/>
        <v>37441</v>
      </c>
      <c r="CA20" s="26">
        <f t="shared" si="61"/>
        <v>37933</v>
      </c>
      <c r="CB20" s="26">
        <f t="shared" si="61"/>
        <v>38994</v>
      </c>
      <c r="CC20" s="26">
        <f t="shared" si="61"/>
        <v>38821</v>
      </c>
      <c r="CD20" s="26">
        <f t="shared" si="61"/>
        <v>37923</v>
      </c>
      <c r="CE20" s="26">
        <f t="shared" si="61"/>
        <v>39315</v>
      </c>
      <c r="CF20" s="26">
        <f t="shared" si="61"/>
        <v>40986</v>
      </c>
      <c r="CG20" s="26">
        <f t="shared" ref="CG20:CH20" si="62">+CG18-CG19</f>
        <v>41764</v>
      </c>
      <c r="CH20" s="26">
        <f t="shared" si="62"/>
        <v>40925</v>
      </c>
      <c r="CI20" s="26">
        <f t="shared" ref="CI20:CJ20" si="63">+CI18-CI19</f>
        <v>42279</v>
      </c>
      <c r="CJ20" s="26">
        <f t="shared" si="63"/>
        <v>44490</v>
      </c>
      <c r="CK20" s="26">
        <f t="shared" ref="CK20" si="64">+CK18-CK19</f>
        <v>45479</v>
      </c>
      <c r="CL20" s="26">
        <f t="shared" ref="CL20" si="65">+CL18-CL19</f>
        <v>46402</v>
      </c>
      <c r="CM20" s="27">
        <f t="shared" ref="CM20:DB20" si="66">+CM18-CM19</f>
        <v>47269.72360252394</v>
      </c>
      <c r="CN20" s="27">
        <f t="shared" si="66"/>
        <v>47847.498938914505</v>
      </c>
      <c r="CO20" s="27">
        <f t="shared" si="66"/>
        <v>48315.389353920262</v>
      </c>
      <c r="CP20" s="27">
        <f t="shared" si="66"/>
        <v>48788.04636481982</v>
      </c>
      <c r="CQ20" s="27">
        <f t="shared" si="66"/>
        <v>49525.777836438843</v>
      </c>
      <c r="CR20" s="27">
        <f t="shared" si="66"/>
        <v>50230.351696832549</v>
      </c>
      <c r="CS20" s="27">
        <f t="shared" si="66"/>
        <v>50970.107730907395</v>
      </c>
      <c r="CT20" s="27">
        <f t="shared" si="66"/>
        <v>51783.814574658405</v>
      </c>
      <c r="CU20" s="27">
        <f t="shared" si="66"/>
        <v>52819.998655443567</v>
      </c>
      <c r="CV20" s="27">
        <f t="shared" si="66"/>
        <v>53941.471250496048</v>
      </c>
      <c r="CW20" s="27">
        <f t="shared" si="66"/>
        <v>55181.227506332492</v>
      </c>
      <c r="CX20" s="27">
        <f>+CX18-CX19</f>
        <v>56563.372799898054</v>
      </c>
      <c r="CY20" s="27">
        <f t="shared" si="66"/>
        <v>58108.578336856313</v>
      </c>
      <c r="CZ20" s="27">
        <f t="shared" si="66"/>
        <v>59802.165069967356</v>
      </c>
      <c r="DA20" s="27">
        <f>+DA18-DA19</f>
        <v>61663.418978453949</v>
      </c>
      <c r="DB20" s="27">
        <f t="shared" si="66"/>
        <v>63708.089191499188</v>
      </c>
      <c r="DE20" s="121"/>
      <c r="DF20" s="26">
        <v>178650</v>
      </c>
      <c r="DG20" s="26">
        <v>44956.618798436539</v>
      </c>
    </row>
    <row r="21" spans="1:111" s="39" customFormat="1" x14ac:dyDescent="0.2">
      <c r="A21" s="39" t="s">
        <v>484</v>
      </c>
      <c r="C21" s="39">
        <f t="shared" ref="C21" si="67">C20/B20-1</f>
        <v>0.36990252557889147</v>
      </c>
      <c r="D21" s="39">
        <f t="shared" ref="D21" si="68">D20/C20-1</f>
        <v>0.39806190682864817</v>
      </c>
      <c r="E21" s="39">
        <f t="shared" ref="E21" si="69">E20/D20-1</f>
        <v>0.33323534744696404</v>
      </c>
      <c r="F21" s="39">
        <f t="shared" ref="F21:R21" si="70">F20/E20-1</f>
        <v>0.46920944992221236</v>
      </c>
      <c r="G21" s="39">
        <f t="shared" si="70"/>
        <v>0.33534361851332406</v>
      </c>
      <c r="H21" s="39">
        <f t="shared" si="70"/>
        <v>0.45919546266148514</v>
      </c>
      <c r="I21" s="39">
        <f t="shared" si="70"/>
        <v>0.20146836536385226</v>
      </c>
      <c r="J21" s="39">
        <f t="shared" si="70"/>
        <v>0.29960460100647013</v>
      </c>
      <c r="K21" s="39">
        <f>K20/J20-1</f>
        <v>4.8356612732217696E-2</v>
      </c>
      <c r="L21" s="39">
        <f t="shared" si="70"/>
        <v>0.20926039926127871</v>
      </c>
      <c r="M21" s="39">
        <f t="shared" si="70"/>
        <v>0.226646303770772</v>
      </c>
      <c r="N21" s="39">
        <f t="shared" si="70"/>
        <v>0.19618189363846561</v>
      </c>
      <c r="O21" s="39">
        <f t="shared" si="70"/>
        <v>0.2423919508326724</v>
      </c>
      <c r="P21" s="39">
        <f t="shared" si="70"/>
        <v>6.3550954461133458E-2</v>
      </c>
      <c r="Q21" s="39">
        <f t="shared" si="70"/>
        <v>0.17108347868489648</v>
      </c>
      <c r="R21" s="39">
        <f t="shared" si="70"/>
        <v>9.67793597155715E-2</v>
      </c>
      <c r="S21" s="39">
        <f t="shared" ref="S21:AA21" si="71">S20/R20-1</f>
        <v>2.9758775772443125E-2</v>
      </c>
      <c r="T21" s="39">
        <f t="shared" si="71"/>
        <v>0.17232920223476356</v>
      </c>
      <c r="U21" s="39">
        <f t="shared" si="71"/>
        <v>9.8167523435137571E-2</v>
      </c>
      <c r="V21" s="39">
        <f t="shared" si="71"/>
        <v>0.10662951173574475</v>
      </c>
      <c r="W21" s="39">
        <f t="shared" si="71"/>
        <v>0.21069551715900947</v>
      </c>
      <c r="X21" s="39">
        <f t="shared" si="71"/>
        <v>0.20655864387829759</v>
      </c>
      <c r="Y21" s="39">
        <f t="shared" si="71"/>
        <v>4.7033733741236095E-2</v>
      </c>
      <c r="Z21" s="39">
        <f t="shared" si="71"/>
        <v>6.0649443612936782E-2</v>
      </c>
      <c r="AA21" s="39">
        <f t="shared" si="71"/>
        <v>9.6079514080618544E-2</v>
      </c>
      <c r="AB21" s="40">
        <f t="shared" ref="AB21" si="72">AB20/AA20-1</f>
        <v>7.5962262861340779E-2</v>
      </c>
      <c r="AC21" s="40">
        <f t="shared" ref="AC21" si="73">AC20/AB20-1</f>
        <v>5.3529072638652364E-2</v>
      </c>
      <c r="AD21" s="40">
        <f t="shared" ref="AD21" si="74">AD20/AC20-1</f>
        <v>7.898876242480557E-2</v>
      </c>
      <c r="AE21" s="40">
        <f t="shared" ref="AE21" si="75">AE20/AD20-1</f>
        <v>0.11338898429937849</v>
      </c>
      <c r="AM21" s="39">
        <f t="shared" ref="AM21:CI21" si="76">+IF(AI20&lt;0,1-AM20/AI20,AM20/AI20-1)</f>
        <v>0.17585055312043418</v>
      </c>
      <c r="AN21" s="39">
        <f t="shared" si="76"/>
        <v>0.30645161290322576</v>
      </c>
      <c r="AO21" s="39">
        <f t="shared" si="76"/>
        <v>0.24961627014581733</v>
      </c>
      <c r="AP21" s="39">
        <f t="shared" si="76"/>
        <v>0.23158599579108485</v>
      </c>
      <c r="AQ21" s="39">
        <f t="shared" si="76"/>
        <v>0.13339842016508396</v>
      </c>
      <c r="AR21" s="39">
        <f t="shared" si="76"/>
        <v>3.5949996117710992E-2</v>
      </c>
      <c r="AS21" s="39">
        <f t="shared" si="76"/>
        <v>5.9112544142484236E-2</v>
      </c>
      <c r="AT21" s="39">
        <f t="shared" si="76"/>
        <v>4.1631067961165114E-2</v>
      </c>
      <c r="AU21" s="39">
        <f t="shared" si="76"/>
        <v>0.12404072043852787</v>
      </c>
      <c r="AV21" s="39">
        <f t="shared" si="76"/>
        <v>0.17186328886223956</v>
      </c>
      <c r="AW21" s="39">
        <f t="shared" si="76"/>
        <v>0.15265294288199471</v>
      </c>
      <c r="AX21" s="39">
        <f t="shared" si="76"/>
        <v>0.23406159123107906</v>
      </c>
      <c r="AY21" s="39">
        <f t="shared" si="76"/>
        <v>0.16915145604012816</v>
      </c>
      <c r="AZ21" s="39">
        <f t="shared" si="76"/>
        <v>0.10713143588103624</v>
      </c>
      <c r="BA21" s="39">
        <f t="shared" si="76"/>
        <v>8.6215570368507022E-2</v>
      </c>
      <c r="BB21" s="39">
        <f t="shared" si="76"/>
        <v>3.4441087613293009E-2</v>
      </c>
      <c r="BC21" s="39">
        <f t="shared" si="76"/>
        <v>1.7637945417709355E-2</v>
      </c>
      <c r="BD21" s="39">
        <f t="shared" si="76"/>
        <v>1.4846909300981981E-2</v>
      </c>
      <c r="BE21" s="39">
        <f t="shared" si="76"/>
        <v>3.0162681641868749E-2</v>
      </c>
      <c r="BF21" s="39">
        <f t="shared" si="76"/>
        <v>5.6249999999999911E-2</v>
      </c>
      <c r="BG21" s="39">
        <f t="shared" si="76"/>
        <v>0.12003747511418195</v>
      </c>
      <c r="BH21" s="39">
        <f t="shared" si="76"/>
        <v>0.17316559458074798</v>
      </c>
      <c r="BI21" s="39">
        <f t="shared" si="76"/>
        <v>0.20265257952118687</v>
      </c>
      <c r="BJ21" s="39">
        <f t="shared" si="76"/>
        <v>0.19111873029917592</v>
      </c>
      <c r="BK21" s="39">
        <f t="shared" si="76"/>
        <v>0.1398473442074446</v>
      </c>
      <c r="BL21" s="39">
        <f t="shared" si="76"/>
        <v>9.8015430151875416E-2</v>
      </c>
      <c r="BM21" s="39">
        <f t="shared" si="76"/>
        <v>7.9065420560747723E-2</v>
      </c>
      <c r="BN21" s="39">
        <f t="shared" si="76"/>
        <v>8.0226565764427216E-2</v>
      </c>
      <c r="BO21" s="39">
        <f t="shared" si="76"/>
        <v>8.5401091592899991E-2</v>
      </c>
      <c r="BP21" s="39">
        <f t="shared" si="76"/>
        <v>8.5774890627071443E-2</v>
      </c>
      <c r="BQ21" s="39">
        <f t="shared" si="76"/>
        <v>0.12276979040360292</v>
      </c>
      <c r="BR21" s="39">
        <f t="shared" si="76"/>
        <v>0.13082907121674481</v>
      </c>
      <c r="BS21" s="39">
        <f t="shared" si="76"/>
        <v>0.17878723853792522</v>
      </c>
      <c r="BT21" s="39">
        <f t="shared" si="76"/>
        <v>0.20480260480260482</v>
      </c>
      <c r="BU21" s="39">
        <f t="shared" si="76"/>
        <v>0.22910479422995333</v>
      </c>
      <c r="BV21" s="39">
        <f t="shared" si="76"/>
        <v>0.22671126144958387</v>
      </c>
      <c r="BW21" s="39">
        <f t="shared" si="76"/>
        <v>0.23566102667049038</v>
      </c>
      <c r="BX21" s="39">
        <f t="shared" si="76"/>
        <v>0.23430849266941434</v>
      </c>
      <c r="BY21" s="39">
        <f t="shared" si="76"/>
        <v>0.20243512097153804</v>
      </c>
      <c r="BZ21" s="39">
        <f t="shared" si="76"/>
        <v>0.16002602552980538</v>
      </c>
      <c r="CA21" s="39">
        <f t="shared" si="76"/>
        <v>0.10046417174354505</v>
      </c>
      <c r="CB21" s="39">
        <f t="shared" si="76"/>
        <v>6.7217691170835758E-2</v>
      </c>
      <c r="CC21" s="39">
        <f t="shared" si="76"/>
        <v>1.3126989926405264E-2</v>
      </c>
      <c r="CD21" s="39">
        <f t="shared" si="76"/>
        <v>1.2873587778104323E-2</v>
      </c>
      <c r="CE21" s="39">
        <f t="shared" si="76"/>
        <v>3.6432657580470762E-2</v>
      </c>
      <c r="CF21" s="39">
        <f t="shared" si="76"/>
        <v>5.1084782274195994E-2</v>
      </c>
      <c r="CG21" s="39">
        <f t="shared" si="76"/>
        <v>7.5809484557327167E-2</v>
      </c>
      <c r="CH21" s="39">
        <f t="shared" si="76"/>
        <v>7.916040397647861E-2</v>
      </c>
      <c r="CI21" s="39">
        <f t="shared" si="76"/>
        <v>7.5391072109881829E-2</v>
      </c>
      <c r="CJ21" s="39">
        <f>+IF(CF20&lt;0,1-CJ20/CF20,CJ20/CF20-1)</f>
        <v>8.5492607231737683E-2</v>
      </c>
      <c r="CK21" s="39">
        <f>+IF(CG20&lt;0,1-CK20/CG20,CK20/CG20-1)</f>
        <v>8.8952207642946091E-2</v>
      </c>
      <c r="CL21" s="39">
        <f>+IF(CH20&lt;0,1-CL20/CH20,CL20/CH20-1)</f>
        <v>0.13383017715332923</v>
      </c>
      <c r="CM21" s="40">
        <f t="shared" ref="CM21:DB21" si="77">+IF(CI20&lt;0,1-CM20/CI20,CM20/CI20-1)</f>
        <v>0.11804261223122459</v>
      </c>
      <c r="CN21" s="40">
        <f t="shared" si="77"/>
        <v>7.5466373093155958E-2</v>
      </c>
      <c r="CO21" s="40">
        <f t="shared" si="77"/>
        <v>6.2367012333610194E-2</v>
      </c>
      <c r="CP21" s="40">
        <f t="shared" si="77"/>
        <v>5.142119660402189E-2</v>
      </c>
      <c r="CQ21" s="40">
        <f t="shared" si="77"/>
        <v>4.772725672960032E-2</v>
      </c>
      <c r="CR21" s="40">
        <f t="shared" si="77"/>
        <v>4.9800988782300992E-2</v>
      </c>
      <c r="CS21" s="40">
        <f t="shared" si="77"/>
        <v>5.4945606616988441E-2</v>
      </c>
      <c r="CT21" s="40">
        <f t="shared" si="77"/>
        <v>6.1403733763743862E-2</v>
      </c>
      <c r="CU21" s="40">
        <f t="shared" si="77"/>
        <v>6.6515276749090857E-2</v>
      </c>
      <c r="CV21" s="40">
        <f>+IF(CR20&lt;0,1-CV20/CR20,CV20/CR20-1)</f>
        <v>7.3882014126879225E-2</v>
      </c>
      <c r="CW21" s="40">
        <f t="shared" si="77"/>
        <v>8.2619401113636304E-2</v>
      </c>
      <c r="CX21" s="40">
        <f>+IF(CT20&lt;0,1-CX20/CT20,CX20/CT20-1)</f>
        <v>9.2298303330837106E-2</v>
      </c>
      <c r="CY21" s="40">
        <f t="shared" si="77"/>
        <v>0.10012457054214097</v>
      </c>
      <c r="CZ21" s="40">
        <f t="shared" si="77"/>
        <v>0.10864912809395078</v>
      </c>
      <c r="DA21" s="40">
        <f>+IF(CW20&lt;0,1-DA20/CW20,DA20/CW20-1)</f>
        <v>0.11747095461726675</v>
      </c>
      <c r="DB21" s="40">
        <f t="shared" si="77"/>
        <v>0.12631347881033728</v>
      </c>
      <c r="DE21" s="122"/>
      <c r="DF21" s="39">
        <v>9.6079514080618544E-2</v>
      </c>
      <c r="DG21" s="39">
        <v>9.8512371372914798E-2</v>
      </c>
    </row>
    <row r="22" spans="1:111" s="39" customFormat="1" x14ac:dyDescent="0.2">
      <c r="A22" s="39" t="s">
        <v>446</v>
      </c>
      <c r="AB22" s="40"/>
      <c r="AC22" s="40"/>
      <c r="AD22" s="40"/>
      <c r="AE22" s="40"/>
      <c r="AJ22" s="39">
        <f t="shared" ref="AJ22:AL22" si="78">+IF(AI20&lt;0,1-AJ20/AI20,AJ20/AI20-1)</f>
        <v>2.8804007514088958E-2</v>
      </c>
      <c r="AK22" s="39">
        <f t="shared" si="78"/>
        <v>5.7415297220531514E-2</v>
      </c>
      <c r="AL22" s="39">
        <f t="shared" si="78"/>
        <v>2.8779739063700127E-3</v>
      </c>
      <c r="AM22" s="39">
        <f t="shared" ref="AM22:CI22" si="79">+IF(AL20&lt;0,1-AM20/AL20,AM20/AL20-1)</f>
        <v>7.7769274918691345E-2</v>
      </c>
      <c r="AN22" s="39">
        <f t="shared" si="79"/>
        <v>0.14307269015709601</v>
      </c>
      <c r="AO22" s="39">
        <f t="shared" si="79"/>
        <v>1.1413929652923427E-2</v>
      </c>
      <c r="AP22" s="39">
        <f t="shared" si="79"/>
        <v>-1.1592200214954662E-2</v>
      </c>
      <c r="AQ22" s="39">
        <f t="shared" si="79"/>
        <v>-8.1553398058252791E-3</v>
      </c>
      <c r="AR22" s="39">
        <f t="shared" si="79"/>
        <v>4.4792482380579424E-2</v>
      </c>
      <c r="AS22" s="39">
        <f t="shared" si="79"/>
        <v>3.4027881876780075E-2</v>
      </c>
      <c r="AT22" s="39">
        <f t="shared" si="79"/>
        <v>-2.7906639605682848E-2</v>
      </c>
      <c r="AU22" s="39">
        <f t="shared" si="79"/>
        <v>7.0315412720900694E-2</v>
      </c>
      <c r="AV22" s="39">
        <f t="shared" si="79"/>
        <v>8.9243416469276804E-2</v>
      </c>
      <c r="AW22" s="39">
        <f t="shared" si="79"/>
        <v>1.7077070674768047E-2</v>
      </c>
      <c r="AX22" s="39">
        <f t="shared" si="79"/>
        <v>4.0749591246383998E-2</v>
      </c>
      <c r="AY22" s="39">
        <f t="shared" si="79"/>
        <v>1.4018126888217575E-2</v>
      </c>
      <c r="AZ22" s="39">
        <f t="shared" si="79"/>
        <v>3.1462281015373517E-2</v>
      </c>
      <c r="BA22" s="39">
        <f t="shared" si="79"/>
        <v>-2.1374927787406461E-3</v>
      </c>
      <c r="BB22" s="39">
        <f t="shared" si="79"/>
        <v>-8.85775487755458E-3</v>
      </c>
      <c r="BC22" s="39">
        <f t="shared" si="79"/>
        <v>-2.4532710280373848E-3</v>
      </c>
      <c r="BD22" s="39">
        <f t="shared" si="79"/>
        <v>2.8633329429675669E-2</v>
      </c>
      <c r="BE22" s="39">
        <f t="shared" si="79"/>
        <v>1.2921955940115026E-2</v>
      </c>
      <c r="BF22" s="39">
        <f t="shared" si="79"/>
        <v>1.6241429695402987E-2</v>
      </c>
      <c r="BG22" s="39">
        <f t="shared" si="79"/>
        <v>5.7789083669745001E-2</v>
      </c>
      <c r="BH22" s="39">
        <f t="shared" si="79"/>
        <v>7.7425763278962778E-2</v>
      </c>
      <c r="BI22" s="39">
        <f t="shared" si="79"/>
        <v>3.838128972778887E-2</v>
      </c>
      <c r="BJ22" s="39">
        <f t="shared" si="79"/>
        <v>6.4953271028036497E-3</v>
      </c>
      <c r="BK22" s="39">
        <f t="shared" si="79"/>
        <v>1.2256836436231877E-2</v>
      </c>
      <c r="BL22" s="39">
        <f t="shared" si="79"/>
        <v>3.7884694766775251E-2</v>
      </c>
      <c r="BM22" s="39">
        <f t="shared" si="79"/>
        <v>2.0460471076936715E-2</v>
      </c>
      <c r="BN22" s="39">
        <f t="shared" si="79"/>
        <v>7.5783821236792281E-3</v>
      </c>
      <c r="BO22" s="39">
        <f t="shared" si="79"/>
        <v>1.7105772123608531E-2</v>
      </c>
      <c r="BP22" s="39">
        <f t="shared" si="79"/>
        <v>3.8242129727445562E-2</v>
      </c>
      <c r="BQ22" s="39">
        <f t="shared" si="79"/>
        <v>5.522995522995533E-2</v>
      </c>
      <c r="BR22" s="39">
        <f t="shared" si="79"/>
        <v>1.4810814980522169E-2</v>
      </c>
      <c r="BS22" s="39">
        <f t="shared" si="79"/>
        <v>6.024096385542177E-2</v>
      </c>
      <c r="BT22" s="39">
        <f t="shared" si="79"/>
        <v>6.1155721250358397E-2</v>
      </c>
      <c r="BU22" s="39">
        <f t="shared" si="79"/>
        <v>7.6515100331058683E-2</v>
      </c>
      <c r="BV22" s="39">
        <f t="shared" si="79"/>
        <v>1.283459378039975E-2</v>
      </c>
      <c r="BW22" s="39">
        <f t="shared" si="79"/>
        <v>6.7976205229892228E-2</v>
      </c>
      <c r="BX22" s="39">
        <f t="shared" si="79"/>
        <v>5.99941978532057E-2</v>
      </c>
      <c r="BY22" s="39">
        <f t="shared" si="79"/>
        <v>4.8716404838798022E-2</v>
      </c>
      <c r="BZ22" s="39">
        <f t="shared" si="79"/>
        <v>-2.2887415835899594E-2</v>
      </c>
      <c r="CA22" s="39">
        <f t="shared" si="79"/>
        <v>1.3140674661467289E-2</v>
      </c>
      <c r="CB22" s="39">
        <f t="shared" si="79"/>
        <v>2.7970368808161838E-2</v>
      </c>
      <c r="CC22" s="39">
        <f t="shared" si="79"/>
        <v>-4.4365799866645794E-3</v>
      </c>
      <c r="CD22" s="39">
        <f t="shared" si="79"/>
        <v>-2.3131810102779427E-2</v>
      </c>
      <c r="CE22" s="39">
        <f t="shared" si="79"/>
        <v>3.6705956807214557E-2</v>
      </c>
      <c r="CF22" s="39">
        <f t="shared" si="79"/>
        <v>4.2502861503243006E-2</v>
      </c>
      <c r="CG22" s="39">
        <f t="shared" si="79"/>
        <v>1.8982091445859606E-2</v>
      </c>
      <c r="CH22" s="39">
        <f t="shared" si="79"/>
        <v>-2.0089071927976265E-2</v>
      </c>
      <c r="CI22" s="39">
        <f t="shared" si="79"/>
        <v>3.3084911423335361E-2</v>
      </c>
      <c r="CJ22" s="39">
        <f>+IF(CI20&lt;0,1-CJ20/CI20,CJ20/CI20-1)</f>
        <v>5.229546583410194E-2</v>
      </c>
      <c r="CK22" s="39">
        <f>+IF(CJ20&lt;0,1-CK20/CJ20,CK20/CJ20-1)</f>
        <v>2.2229714542593815E-2</v>
      </c>
      <c r="CL22" s="39">
        <f>+IF(CK20&lt;0,1-CL20/CK20,CL20/CK20-1)</f>
        <v>2.0295081246289426E-2</v>
      </c>
      <c r="CM22" s="40">
        <f t="shared" ref="CM22" si="80">+CM20/CL20-1</f>
        <v>1.8700133669323327E-2</v>
      </c>
      <c r="CN22" s="40">
        <f t="shared" ref="CN22" si="81">+CN20/CM20-1</f>
        <v>1.222294721350381E-2</v>
      </c>
      <c r="CO22" s="40">
        <f t="shared" ref="CO22" si="82">+CO20/CN20-1</f>
        <v>9.7787852109698647E-3</v>
      </c>
      <c r="CP22" s="40">
        <f t="shared" ref="CP22" si="83">+CP20/CO20-1</f>
        <v>9.7827424599075119E-3</v>
      </c>
      <c r="CQ22" s="40">
        <f t="shared" ref="CQ22" si="84">+CQ20/CP20-1</f>
        <v>1.5121152138426019E-2</v>
      </c>
      <c r="CR22" s="40">
        <f t="shared" ref="CR22" si="85">+CR20/CQ20-1</f>
        <v>1.4226406755701859E-2</v>
      </c>
      <c r="CS22" s="40">
        <f t="shared" ref="CS22" si="86">+CS20/CR20-1</f>
        <v>1.4727271641251427E-2</v>
      </c>
      <c r="CT22" s="40">
        <f t="shared" ref="CT22" si="87">+CT20/CS20-1</f>
        <v>1.5964393248821596E-2</v>
      </c>
      <c r="CU22" s="40">
        <f t="shared" ref="CU22" si="88">+CU20/CT20-1</f>
        <v>2.0009805946050285E-2</v>
      </c>
      <c r="CV22" s="40">
        <f t="shared" ref="CV22" si="89">+CV20/CU20-1</f>
        <v>2.1231969397956574E-2</v>
      </c>
      <c r="CW22" s="40">
        <f t="shared" ref="CW22" si="90">+CW20/CV20-1</f>
        <v>2.2983360058519864E-2</v>
      </c>
      <c r="CX22" s="40">
        <f t="shared" ref="CX22" si="91">+CX20/CW20-1</f>
        <v>2.5047382162836973E-2</v>
      </c>
      <c r="CY22" s="40">
        <f t="shared" ref="CY22" si="92">+CY20/CX20-1</f>
        <v>2.7318129391340706E-2</v>
      </c>
      <c r="CZ22" s="40">
        <f t="shared" ref="CZ22" si="93">+CZ20/CY20-1</f>
        <v>2.9145210252663478E-2</v>
      </c>
      <c r="DA22" s="40">
        <f t="shared" ref="DA22" si="94">+DA20/CZ20-1</f>
        <v>3.112352046634026E-2</v>
      </c>
      <c r="DB22" s="40">
        <f t="shared" ref="DB22" si="95">+DB20/DA20-1</f>
        <v>3.3158560568295359E-2</v>
      </c>
      <c r="DE22" s="122"/>
      <c r="DG22" s="39">
        <v>-1.148620685510815E-2</v>
      </c>
    </row>
    <row r="23" spans="1:111" s="23" customFormat="1" outlineLevel="1" x14ac:dyDescent="0.2">
      <c r="A23" s="23" t="s">
        <v>2</v>
      </c>
      <c r="B23" s="23">
        <f>'Annual Raw'!C11</f>
        <v>0</v>
      </c>
      <c r="C23" s="23">
        <f>'Annual Raw'!D11</f>
        <v>0</v>
      </c>
      <c r="D23" s="23">
        <f>'Annual Raw'!E11</f>
        <v>0</v>
      </c>
      <c r="E23" s="23">
        <f>'Annual Raw'!F11</f>
        <v>0</v>
      </c>
      <c r="F23" s="23">
        <f>'Annual Raw'!G11</f>
        <v>0</v>
      </c>
      <c r="G23" s="23">
        <f>'Annual Raw'!H11</f>
        <v>0</v>
      </c>
      <c r="H23" s="23">
        <f>'Annual Raw'!I11</f>
        <v>0</v>
      </c>
      <c r="I23" s="23">
        <f>'Annual Raw'!J11</f>
        <v>0</v>
      </c>
      <c r="J23" s="23">
        <f>'Annual Raw'!K11</f>
        <v>0</v>
      </c>
      <c r="K23" s="23">
        <f>'Annual Raw'!L11</f>
        <v>0</v>
      </c>
      <c r="L23" s="23">
        <f>'Annual Raw'!M11</f>
        <v>0</v>
      </c>
      <c r="M23" s="23">
        <f>'Annual Raw'!N11</f>
        <v>0</v>
      </c>
      <c r="N23" s="23">
        <f>'Annual Raw'!O11</f>
        <v>0</v>
      </c>
      <c r="O23" s="23">
        <f>'Annual Raw'!P11</f>
        <v>0</v>
      </c>
      <c r="P23" s="23">
        <f>'Annual Raw'!Q11</f>
        <v>0</v>
      </c>
      <c r="Q23" s="23">
        <f>'Annual Raw'!R11</f>
        <v>0</v>
      </c>
      <c r="R23" s="23">
        <f>'Annual Raw'!S11</f>
        <v>0</v>
      </c>
      <c r="S23" s="23">
        <f>'Annual Raw'!T11</f>
        <v>0</v>
      </c>
      <c r="T23" s="23">
        <f>'Annual Raw'!U11</f>
        <v>0</v>
      </c>
      <c r="U23" s="23">
        <f>'Annual Raw'!V11</f>
        <v>0</v>
      </c>
      <c r="V23" s="23">
        <f>'Annual Raw'!W11</f>
        <v>0</v>
      </c>
      <c r="W23" s="23">
        <f>'Annual Raw'!X11</f>
        <v>0</v>
      </c>
      <c r="X23" s="23">
        <f>'Annual Raw'!Y11</f>
        <v>0</v>
      </c>
      <c r="Y23" s="23">
        <f>'Annual Raw'!Z11</f>
        <v>0</v>
      </c>
      <c r="Z23" s="23">
        <f>'Annual Raw'!AA11</f>
        <v>0</v>
      </c>
      <c r="AA23" s="23">
        <f>'Annual Raw'!AB11</f>
        <v>0</v>
      </c>
      <c r="AB23" s="76">
        <f>+SUM(CM23:CP23)</f>
        <v>0</v>
      </c>
      <c r="AC23" s="76">
        <f>+SUM(CQ23:CT23)</f>
        <v>0</v>
      </c>
      <c r="AD23" s="76">
        <f>+SUM(CU23:CX23)</f>
        <v>0</v>
      </c>
      <c r="AE23" s="76">
        <f>+SUM(CY23:DB23)</f>
        <v>0</v>
      </c>
      <c r="AI23" s="23">
        <f>'QTR Raw'!C10</f>
        <v>0</v>
      </c>
      <c r="AJ23" s="23">
        <f>'QTR Raw'!D10</f>
        <v>0</v>
      </c>
      <c r="AK23" s="23">
        <f>'QTR Raw'!E10</f>
        <v>0</v>
      </c>
      <c r="AL23" s="23">
        <f>'QTR Raw'!F10</f>
        <v>0</v>
      </c>
      <c r="AM23" s="23">
        <f>'QTR Raw'!G10</f>
        <v>0</v>
      </c>
      <c r="AN23" s="23">
        <f>'QTR Raw'!H10</f>
        <v>0</v>
      </c>
      <c r="AO23" s="23">
        <f>'QTR Raw'!I10</f>
        <v>0</v>
      </c>
      <c r="AP23" s="23">
        <f>'QTR Raw'!J10</f>
        <v>0</v>
      </c>
      <c r="AQ23" s="23">
        <f>'QTR Raw'!K10</f>
        <v>0</v>
      </c>
      <c r="AR23" s="23">
        <f>'QTR Raw'!L10</f>
        <v>0</v>
      </c>
      <c r="AS23" s="23">
        <f>'QTR Raw'!M10</f>
        <v>0</v>
      </c>
      <c r="AT23" s="23">
        <f>'QTR Raw'!N10</f>
        <v>0</v>
      </c>
      <c r="AU23" s="23">
        <f>'QTR Raw'!O10</f>
        <v>0</v>
      </c>
      <c r="AV23" s="23">
        <f>'QTR Raw'!P10</f>
        <v>0</v>
      </c>
      <c r="AW23" s="23">
        <f>'QTR Raw'!Q10</f>
        <v>0</v>
      </c>
      <c r="AX23" s="23">
        <f>'QTR Raw'!R10</f>
        <v>0</v>
      </c>
      <c r="AY23" s="23">
        <f>'QTR Raw'!S10</f>
        <v>0</v>
      </c>
      <c r="AZ23" s="23">
        <f>'QTR Raw'!T10</f>
        <v>0</v>
      </c>
      <c r="BA23" s="23">
        <f>'QTR Raw'!U10</f>
        <v>0</v>
      </c>
      <c r="BB23" s="23">
        <f>'QTR Raw'!V10</f>
        <v>0</v>
      </c>
      <c r="BC23" s="23">
        <f>'QTR Raw'!W10</f>
        <v>0</v>
      </c>
      <c r="BD23" s="23">
        <f>'QTR Raw'!X10</f>
        <v>0</v>
      </c>
      <c r="BE23" s="23">
        <f>'QTR Raw'!Y10</f>
        <v>0</v>
      </c>
      <c r="BF23" s="23">
        <f>'QTR Raw'!Z10</f>
        <v>0</v>
      </c>
      <c r="BG23" s="23">
        <f>'QTR Raw'!AA10</f>
        <v>0</v>
      </c>
      <c r="BH23" s="23">
        <f>'QTR Raw'!AB10</f>
        <v>0</v>
      </c>
      <c r="BI23" s="23">
        <f>'QTR Raw'!AC10</f>
        <v>0</v>
      </c>
      <c r="BJ23" s="23">
        <f>'QTR Raw'!AD10</f>
        <v>0</v>
      </c>
      <c r="BK23" s="23">
        <f>'QTR Raw'!AE10</f>
        <v>0</v>
      </c>
      <c r="BL23" s="23">
        <f>'QTR Raw'!AF10</f>
        <v>0</v>
      </c>
      <c r="BM23" s="23">
        <f>'QTR Raw'!AG10</f>
        <v>0</v>
      </c>
      <c r="BN23" s="23">
        <f>'QTR Raw'!AH10</f>
        <v>0</v>
      </c>
      <c r="BO23" s="23">
        <f>'QTR Raw'!AI10</f>
        <v>0</v>
      </c>
      <c r="BP23" s="23">
        <f>'QTR Raw'!AJ10</f>
        <v>0</v>
      </c>
      <c r="BQ23" s="23">
        <f>'QTR Raw'!AK10</f>
        <v>0</v>
      </c>
      <c r="BR23" s="23">
        <f>'QTR Raw'!AL10</f>
        <v>0</v>
      </c>
      <c r="BS23" s="23">
        <f>'QTR Raw'!AM10</f>
        <v>0</v>
      </c>
      <c r="BT23" s="23">
        <f>'QTR Raw'!AN10</f>
        <v>0</v>
      </c>
      <c r="BU23" s="23">
        <f>'QTR Raw'!AO10</f>
        <v>0</v>
      </c>
      <c r="BV23" s="23">
        <f>'QTR Raw'!AP10</f>
        <v>0</v>
      </c>
      <c r="BW23" s="23">
        <f>'QTR Raw'!AQ10</f>
        <v>0</v>
      </c>
      <c r="BX23" s="23">
        <f>'QTR Raw'!AR10</f>
        <v>0</v>
      </c>
      <c r="BY23" s="23">
        <f>'QTR Raw'!AS10</f>
        <v>0</v>
      </c>
      <c r="BZ23" s="23">
        <f>'QTR Raw'!AT10</f>
        <v>0</v>
      </c>
      <c r="CA23" s="23">
        <f>'QTR Raw'!AU10</f>
        <v>0</v>
      </c>
      <c r="CB23" s="23">
        <f>'QTR Raw'!AV10</f>
        <v>0</v>
      </c>
      <c r="CC23" s="23">
        <f>'QTR Raw'!AW10</f>
        <v>0</v>
      </c>
      <c r="CD23" s="23">
        <f>'QTR Raw'!AX10</f>
        <v>0</v>
      </c>
      <c r="CE23" s="23">
        <f>'QTR Raw'!AY10</f>
        <v>0</v>
      </c>
      <c r="CF23" s="23">
        <f>'QTR Raw'!AZ10</f>
        <v>0</v>
      </c>
      <c r="CG23" s="23">
        <f>'QTR Raw'!BA10</f>
        <v>0</v>
      </c>
      <c r="CH23" s="23">
        <f>'QTR Raw'!BB10</f>
        <v>0</v>
      </c>
      <c r="CI23" s="23">
        <f>'QTR Raw'!BC10</f>
        <v>0</v>
      </c>
      <c r="CJ23" s="23">
        <f>'QTR Raw'!BD10</f>
        <v>0</v>
      </c>
      <c r="CK23" s="23">
        <f>'QTR Raw'!BE10</f>
        <v>0</v>
      </c>
      <c r="CL23" s="23">
        <f>'QTR Raw'!BF10</f>
        <v>0</v>
      </c>
      <c r="CM23" s="24"/>
      <c r="CN23" s="24"/>
      <c r="CO23" s="24"/>
      <c r="CP23" s="24"/>
      <c r="CQ23" s="24"/>
      <c r="CR23" s="24"/>
      <c r="CS23" s="24"/>
      <c r="CT23" s="24"/>
      <c r="CU23" s="24"/>
      <c r="CV23" s="24"/>
      <c r="CW23" s="24"/>
      <c r="CX23" s="24"/>
      <c r="CY23" s="24"/>
      <c r="CZ23" s="24"/>
      <c r="DA23" s="24"/>
      <c r="DB23" s="24"/>
      <c r="DE23" s="123"/>
      <c r="DF23" s="23">
        <v>0</v>
      </c>
    </row>
    <row r="24" spans="1:111" s="23" customFormat="1" outlineLevel="1" x14ac:dyDescent="0.2">
      <c r="A24" s="23" t="s">
        <v>3</v>
      </c>
      <c r="B24" s="23">
        <v>0</v>
      </c>
      <c r="C24" s="23">
        <v>0</v>
      </c>
      <c r="D24" s="23">
        <v>0</v>
      </c>
      <c r="E24" s="23">
        <v>0</v>
      </c>
      <c r="F24" s="23">
        <v>0</v>
      </c>
      <c r="G24" s="23">
        <v>0</v>
      </c>
      <c r="H24" s="23">
        <v>0</v>
      </c>
      <c r="I24" s="23">
        <v>0</v>
      </c>
      <c r="J24" s="23">
        <v>0</v>
      </c>
      <c r="K24" s="23">
        <v>0</v>
      </c>
      <c r="L24" s="23">
        <v>0</v>
      </c>
      <c r="M24" s="23">
        <v>0</v>
      </c>
      <c r="N24" s="23">
        <v>0</v>
      </c>
      <c r="O24" s="23">
        <v>0</v>
      </c>
      <c r="P24" s="23">
        <v>0</v>
      </c>
      <c r="Q24" s="23">
        <v>0</v>
      </c>
      <c r="R24" s="23">
        <v>0</v>
      </c>
      <c r="S24" s="23">
        <v>0</v>
      </c>
      <c r="T24" s="23">
        <v>0</v>
      </c>
      <c r="U24" s="23">
        <v>0</v>
      </c>
      <c r="V24" s="23">
        <v>0</v>
      </c>
      <c r="W24" s="23">
        <v>0</v>
      </c>
      <c r="X24" s="23">
        <v>0</v>
      </c>
      <c r="Y24" s="23">
        <v>0</v>
      </c>
      <c r="Z24" s="23">
        <v>0</v>
      </c>
      <c r="AA24" s="23">
        <v>0</v>
      </c>
      <c r="AB24" s="76">
        <f>+SUM(CM24:CP24)</f>
        <v>0</v>
      </c>
      <c r="AC24" s="76">
        <f>+SUM(CQ24:CT24)</f>
        <v>0</v>
      </c>
      <c r="AD24" s="76">
        <f>+SUM(CU24:CX24)</f>
        <v>0</v>
      </c>
      <c r="AE24" s="76">
        <f>+SUM(CY24:DB24)</f>
        <v>0</v>
      </c>
      <c r="AI24" s="23">
        <f>'QTR Raw'!C12</f>
        <v>0</v>
      </c>
      <c r="AJ24" s="23">
        <f>'QTR Raw'!D12</f>
        <v>0</v>
      </c>
      <c r="AK24" s="23">
        <f>'QTR Raw'!E12</f>
        <v>0</v>
      </c>
      <c r="AL24" s="23">
        <f>'QTR Raw'!F12</f>
        <v>0</v>
      </c>
      <c r="AM24" s="23">
        <f>'QTR Raw'!G12</f>
        <v>0</v>
      </c>
      <c r="AN24" s="23">
        <f>'QTR Raw'!H12</f>
        <v>0</v>
      </c>
      <c r="AO24" s="23">
        <f>'QTR Raw'!I12</f>
        <v>0</v>
      </c>
      <c r="AP24" s="23">
        <f>'QTR Raw'!J12</f>
        <v>0</v>
      </c>
      <c r="AQ24" s="23">
        <f>'QTR Raw'!K12</f>
        <v>0</v>
      </c>
      <c r="AR24" s="23">
        <f>'QTR Raw'!L12</f>
        <v>0</v>
      </c>
      <c r="AS24" s="23">
        <f>'QTR Raw'!M12</f>
        <v>0</v>
      </c>
      <c r="AT24" s="23">
        <f>'QTR Raw'!N12</f>
        <v>0</v>
      </c>
      <c r="AU24" s="23">
        <f>'QTR Raw'!O12</f>
        <v>0</v>
      </c>
      <c r="AV24" s="23">
        <f>'QTR Raw'!P12</f>
        <v>0</v>
      </c>
      <c r="AW24" s="23">
        <f>'QTR Raw'!Q12</f>
        <v>0</v>
      </c>
      <c r="AX24" s="23">
        <f>'QTR Raw'!R12</f>
        <v>0</v>
      </c>
      <c r="AY24" s="23">
        <f>'QTR Raw'!S12</f>
        <v>0</v>
      </c>
      <c r="AZ24" s="23">
        <f>'QTR Raw'!T12</f>
        <v>0</v>
      </c>
      <c r="BA24" s="23">
        <f>'QTR Raw'!U12</f>
        <v>0</v>
      </c>
      <c r="BB24" s="23">
        <f>'QTR Raw'!V12</f>
        <v>0</v>
      </c>
      <c r="BC24" s="23">
        <f>'QTR Raw'!W12</f>
        <v>0</v>
      </c>
      <c r="BD24" s="23">
        <f>'QTR Raw'!X12</f>
        <v>0</v>
      </c>
      <c r="BE24" s="23">
        <f>'QTR Raw'!Y12</f>
        <v>0</v>
      </c>
      <c r="BF24" s="23">
        <f>'QTR Raw'!Z12</f>
        <v>0</v>
      </c>
      <c r="BG24" s="23">
        <f>'QTR Raw'!AA12</f>
        <v>0</v>
      </c>
      <c r="BH24" s="23">
        <f>'QTR Raw'!AB12</f>
        <v>0</v>
      </c>
      <c r="BI24" s="23">
        <f>'QTR Raw'!AC12</f>
        <v>0</v>
      </c>
      <c r="BJ24" s="23">
        <f>'QTR Raw'!AD12</f>
        <v>0</v>
      </c>
      <c r="BK24" s="23">
        <f>'QTR Raw'!AE12</f>
        <v>0</v>
      </c>
      <c r="BL24" s="23">
        <f>'QTR Raw'!AF12</f>
        <v>0</v>
      </c>
      <c r="BM24" s="23">
        <f>'QTR Raw'!AG12</f>
        <v>0</v>
      </c>
      <c r="BN24" s="23">
        <f>'QTR Raw'!AH12</f>
        <v>0</v>
      </c>
      <c r="BO24" s="23">
        <f>'QTR Raw'!AI12</f>
        <v>0</v>
      </c>
      <c r="BP24" s="23">
        <f>'QTR Raw'!AJ12</f>
        <v>0</v>
      </c>
      <c r="BQ24" s="23">
        <f>'QTR Raw'!AK12</f>
        <v>0</v>
      </c>
      <c r="BR24" s="23">
        <f>'QTR Raw'!AL12</f>
        <v>0</v>
      </c>
      <c r="BS24" s="23">
        <f>'QTR Raw'!AM12</f>
        <v>0</v>
      </c>
      <c r="BT24" s="23">
        <f>'QTR Raw'!AN12</f>
        <v>0</v>
      </c>
      <c r="BU24" s="23">
        <f>'QTR Raw'!AO12</f>
        <v>0</v>
      </c>
      <c r="BV24" s="23">
        <f>'QTR Raw'!AP12</f>
        <v>0</v>
      </c>
      <c r="BW24" s="23">
        <f>'QTR Raw'!AQ12</f>
        <v>0</v>
      </c>
      <c r="BX24" s="23">
        <f>'QTR Raw'!AR12</f>
        <v>0</v>
      </c>
      <c r="BY24" s="23">
        <f>'QTR Raw'!AS12</f>
        <v>0</v>
      </c>
      <c r="BZ24" s="23">
        <f>'QTR Raw'!AT12</f>
        <v>0</v>
      </c>
      <c r="CA24" s="23">
        <f>'QTR Raw'!AU12</f>
        <v>0</v>
      </c>
      <c r="CB24" s="23">
        <f>'QTR Raw'!AV12</f>
        <v>0</v>
      </c>
      <c r="CC24" s="23">
        <f>'QTR Raw'!AW12</f>
        <v>0</v>
      </c>
      <c r="CD24" s="23">
        <f>'QTR Raw'!AX12</f>
        <v>0</v>
      </c>
      <c r="CE24" s="23">
        <f>'QTR Raw'!AY12</f>
        <v>0</v>
      </c>
      <c r="CF24" s="23">
        <f>'QTR Raw'!AZ12</f>
        <v>0</v>
      </c>
      <c r="CG24" s="23">
        <f>'QTR Raw'!BA12</f>
        <v>0</v>
      </c>
      <c r="CH24" s="23">
        <f>'QTR Raw'!BB12</f>
        <v>0</v>
      </c>
      <c r="CI24" s="23">
        <f>'QTR Raw'!BC12</f>
        <v>0</v>
      </c>
      <c r="CJ24" s="23">
        <f>'QTR Raw'!BD12</f>
        <v>0</v>
      </c>
      <c r="CK24" s="23">
        <f>'QTR Raw'!BE12</f>
        <v>0</v>
      </c>
      <c r="CL24" s="23">
        <f>'QTR Raw'!BF12</f>
        <v>0</v>
      </c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E24" s="123"/>
      <c r="DF24" s="23">
        <v>0</v>
      </c>
    </row>
    <row r="25" spans="1:111" s="23" customFormat="1" outlineLevel="1" x14ac:dyDescent="0.2">
      <c r="A25" s="23" t="s">
        <v>4</v>
      </c>
      <c r="B25" s="23">
        <f>'Annual Raw'!C12</f>
        <v>0</v>
      </c>
      <c r="C25" s="23">
        <f>'Annual Raw'!D12</f>
        <v>0</v>
      </c>
      <c r="D25" s="23">
        <f>'Annual Raw'!E12</f>
        <v>0</v>
      </c>
      <c r="E25" s="23">
        <f>'Annual Raw'!F12</f>
        <v>0</v>
      </c>
      <c r="F25" s="23">
        <f>'Annual Raw'!G12</f>
        <v>0</v>
      </c>
      <c r="G25" s="23">
        <f>'Annual Raw'!H12</f>
        <v>0</v>
      </c>
      <c r="H25" s="23">
        <f>'Annual Raw'!I12</f>
        <v>0</v>
      </c>
      <c r="I25" s="23">
        <f>'Annual Raw'!J12</f>
        <v>0</v>
      </c>
      <c r="J25" s="23">
        <f>'Annual Raw'!K12</f>
        <v>0</v>
      </c>
      <c r="K25" s="23">
        <f>'Annual Raw'!L12</f>
        <v>0</v>
      </c>
      <c r="L25" s="23">
        <f>'Annual Raw'!M12</f>
        <v>0</v>
      </c>
      <c r="M25" s="23">
        <f>'Annual Raw'!N12</f>
        <v>0</v>
      </c>
      <c r="N25" s="23">
        <f>'Annual Raw'!O12</f>
        <v>0</v>
      </c>
      <c r="O25" s="23">
        <f>'Annual Raw'!P12</f>
        <v>0</v>
      </c>
      <c r="P25" s="23">
        <f>'Annual Raw'!Q12</f>
        <v>0</v>
      </c>
      <c r="Q25" s="23">
        <f>'Annual Raw'!R12</f>
        <v>0</v>
      </c>
      <c r="R25" s="23">
        <f>'Annual Raw'!S12</f>
        <v>0</v>
      </c>
      <c r="S25" s="23">
        <f>'Annual Raw'!T12</f>
        <v>0</v>
      </c>
      <c r="T25" s="23">
        <f>'Annual Raw'!U12</f>
        <v>0</v>
      </c>
      <c r="U25" s="23">
        <f>'Annual Raw'!V12</f>
        <v>0</v>
      </c>
      <c r="V25" s="23">
        <f>'Annual Raw'!W12</f>
        <v>0</v>
      </c>
      <c r="W25" s="23">
        <f>'Annual Raw'!X12</f>
        <v>0</v>
      </c>
      <c r="X25" s="23">
        <f>'Annual Raw'!Y12</f>
        <v>0</v>
      </c>
      <c r="Y25" s="23">
        <f>'Annual Raw'!Z12</f>
        <v>0</v>
      </c>
      <c r="Z25" s="23">
        <f>'Annual Raw'!AA12</f>
        <v>0</v>
      </c>
      <c r="AA25" s="23">
        <f>'Annual Raw'!AB12</f>
        <v>0</v>
      </c>
      <c r="AB25" s="24">
        <f>+SUM(CM25:CP25)</f>
        <v>33511.168870247988</v>
      </c>
      <c r="AC25" s="24">
        <f>+SUM(CQ25:CT25)</f>
        <v>35286.282676390285</v>
      </c>
      <c r="AD25" s="24">
        <f>+SUM(CU25:CX25)</f>
        <v>38066.614676186487</v>
      </c>
      <c r="AE25" s="24">
        <f>+SUM(CY25:DB25)</f>
        <v>42381.195822767455</v>
      </c>
      <c r="AI25" s="23">
        <f>'QTR Raw'!C11</f>
        <v>550</v>
      </c>
      <c r="AJ25" s="23">
        <f>'QTR Raw'!D11</f>
        <v>670</v>
      </c>
      <c r="AK25" s="23">
        <f>'QTR Raw'!E11</f>
        <v>779</v>
      </c>
      <c r="AL25" s="23">
        <f>'QTR Raw'!F11</f>
        <v>737</v>
      </c>
      <c r="AM25" s="23">
        <f>'QTR Raw'!G11</f>
        <v>806</v>
      </c>
      <c r="AN25" s="23">
        <f>'QTR Raw'!H11</f>
        <v>680</v>
      </c>
      <c r="AO25" s="23">
        <f>'QTR Raw'!I11</f>
        <v>975</v>
      </c>
      <c r="AP25" s="23">
        <f>'QTR Raw'!J11</f>
        <v>846</v>
      </c>
      <c r="AQ25" s="23">
        <f>'QTR Raw'!K11</f>
        <v>691</v>
      </c>
      <c r="AR25" s="23">
        <f>'QTR Raw'!L11</f>
        <v>679</v>
      </c>
      <c r="AS25" s="23">
        <f>'QTR Raw'!M11</f>
        <v>916</v>
      </c>
      <c r="AT25" s="23">
        <f>'QTR Raw'!N11</f>
        <v>855</v>
      </c>
      <c r="AU25" s="23">
        <f>'QTR Raw'!O11</f>
        <v>1062</v>
      </c>
      <c r="AV25" s="23">
        <f>'QTR Raw'!P11</f>
        <v>1212</v>
      </c>
      <c r="AW25" s="23">
        <f>'QTR Raw'!Q11</f>
        <v>1276</v>
      </c>
      <c r="AX25" s="23">
        <f>'QTR Raw'!R11</f>
        <v>1255</v>
      </c>
      <c r="AY25" s="23">
        <f>'QTR Raw'!S11</f>
        <v>1193</v>
      </c>
      <c r="AZ25" s="23">
        <f>'QTR Raw'!T11</f>
        <v>1321</v>
      </c>
      <c r="BA25" s="23">
        <f>'QTR Raw'!U11</f>
        <v>1436</v>
      </c>
      <c r="BB25" s="23">
        <f>'QTR Raw'!V11</f>
        <v>1478</v>
      </c>
      <c r="BC25" s="23">
        <f>'QTR Raw'!W11</f>
        <v>1501</v>
      </c>
      <c r="BD25" s="23">
        <f>'QTR Raw'!X11</f>
        <v>1581</v>
      </c>
      <c r="BE25" s="23">
        <f>'QTR Raw'!Y11</f>
        <v>1513</v>
      </c>
      <c r="BF25" s="23">
        <f>'QTR Raw'!Z11</f>
        <v>1573</v>
      </c>
      <c r="BG25" s="23">
        <f>'QTR Raw'!AA11</f>
        <v>1836</v>
      </c>
      <c r="BH25" s="23">
        <f>'QTR Raw'!AB11</f>
        <v>2129</v>
      </c>
      <c r="BI25" s="23">
        <f>'QTR Raw'!AC11</f>
        <v>2330</v>
      </c>
      <c r="BJ25" s="23">
        <f>'QTR Raw'!AD11</f>
        <v>2290</v>
      </c>
      <c r="BK25" s="23">
        <f>'QTR Raw'!AE11</f>
        <v>2257</v>
      </c>
      <c r="BL25" s="23">
        <f>'QTR Raw'!AF11</f>
        <v>2331</v>
      </c>
      <c r="BM25" s="23">
        <f>'QTR Raw'!AG11</f>
        <v>2372</v>
      </c>
      <c r="BN25" s="23">
        <f>'QTR Raw'!AH11</f>
        <v>2459</v>
      </c>
      <c r="BO25" s="23">
        <f>'QTR Raw'!AI11</f>
        <v>2519</v>
      </c>
      <c r="BP25" s="23">
        <f>'QTR Raw'!AJ11</f>
        <v>2742</v>
      </c>
      <c r="BQ25" s="23">
        <f>'QTR Raw'!AK11</f>
        <v>2989</v>
      </c>
      <c r="BR25" s="23">
        <f>'QTR Raw'!AL11</f>
        <v>3057</v>
      </c>
      <c r="BS25" s="23">
        <f>'QTR Raw'!AM11</f>
        <v>3743</v>
      </c>
      <c r="BT25" s="23">
        <f>'QTR Raw'!AN11</f>
        <v>4447</v>
      </c>
      <c r="BU25" s="23">
        <f>'QTR Raw'!AO11</f>
        <v>5372</v>
      </c>
      <c r="BV25" s="23">
        <f>'QTR Raw'!AP11</f>
        <v>5856</v>
      </c>
      <c r="BW25" s="23">
        <f>'QTR Raw'!AQ11</f>
        <v>6329</v>
      </c>
      <c r="BX25" s="23">
        <f>'QTR Raw'!AR11</f>
        <v>6206</v>
      </c>
      <c r="BY25" s="23">
        <f>'QTR Raw'!AS11</f>
        <v>6428</v>
      </c>
      <c r="BZ25" s="23">
        <f>'QTR Raw'!AT11</f>
        <v>6002</v>
      </c>
      <c r="CA25" s="23">
        <f>'QTR Raw'!AU11</f>
        <v>5844</v>
      </c>
      <c r="CB25" s="23">
        <f>'QTR Raw'!AV11</f>
        <v>6461</v>
      </c>
      <c r="CC25" s="23">
        <f>'QTR Raw'!AW11</f>
        <v>6788</v>
      </c>
      <c r="CD25" s="23">
        <f>'QTR Raw'!AX11</f>
        <v>6654</v>
      </c>
      <c r="CE25" s="23">
        <f>'QTR Raw'!AY11</f>
        <v>6624</v>
      </c>
      <c r="CF25" s="23">
        <f>'QTR Raw'!AZ11</f>
        <v>7139</v>
      </c>
      <c r="CG25" s="23">
        <f>'QTR Raw'!BA11</f>
        <v>7909</v>
      </c>
      <c r="CH25" s="23">
        <f>'QTR Raw'!BB11</f>
        <v>7175</v>
      </c>
      <c r="CI25" s="23">
        <f>'QTR Raw'!BC11</f>
        <v>7243</v>
      </c>
      <c r="CJ25" s="23">
        <f>'QTR Raw'!BD11</f>
        <v>7904</v>
      </c>
      <c r="CK25" s="23">
        <f>'QTR Raw'!BE11</f>
        <v>8074</v>
      </c>
      <c r="CL25" s="23">
        <f>'QTR Raw'!BF11</f>
        <v>7921</v>
      </c>
      <c r="CM25" s="24">
        <f t="shared" ref="CM25:DB25" si="96">+CM20-CM26</f>
        <v>8239.2144686055326</v>
      </c>
      <c r="CN25" s="24">
        <f t="shared" si="96"/>
        <v>8375.6614764850092</v>
      </c>
      <c r="CO25" s="24">
        <f t="shared" si="96"/>
        <v>8426.0539283808612</v>
      </c>
      <c r="CP25" s="24">
        <f t="shared" si="96"/>
        <v>8470.2389967765848</v>
      </c>
      <c r="CQ25" s="24">
        <f t="shared" si="96"/>
        <v>8634.3382366161895</v>
      </c>
      <c r="CR25" s="24">
        <f t="shared" si="96"/>
        <v>8757.6527276158449</v>
      </c>
      <c r="CS25" s="24">
        <f t="shared" si="96"/>
        <v>8877.7184914978207</v>
      </c>
      <c r="CT25" s="24">
        <f t="shared" si="96"/>
        <v>9016.5732206604298</v>
      </c>
      <c r="CU25" s="24">
        <f t="shared" si="96"/>
        <v>9203.6817959271793</v>
      </c>
      <c r="CV25" s="24">
        <f t="shared" si="96"/>
        <v>9397.824736177834</v>
      </c>
      <c r="CW25" s="24">
        <f t="shared" si="96"/>
        <v>9612.0636500731125</v>
      </c>
      <c r="CX25" s="24">
        <f t="shared" si="96"/>
        <v>9853.0444940083617</v>
      </c>
      <c r="CY25" s="24">
        <f t="shared" si="96"/>
        <v>10123.304526585074</v>
      </c>
      <c r="CZ25" s="24">
        <f t="shared" si="96"/>
        <v>10417.863590954701</v>
      </c>
      <c r="DA25" s="24">
        <f t="shared" si="96"/>
        <v>10741.839541526264</v>
      </c>
      <c r="DB25" s="24">
        <f t="shared" si="96"/>
        <v>11098.188163701416</v>
      </c>
      <c r="DE25" s="123"/>
      <c r="DF25" s="23">
        <v>31142</v>
      </c>
      <c r="DG25" s="23">
        <v>7887.9249270893706</v>
      </c>
    </row>
    <row r="26" spans="1:111" s="31" customFormat="1" x14ac:dyDescent="0.2">
      <c r="A26" s="31" t="s">
        <v>5</v>
      </c>
      <c r="B26" s="31">
        <f t="shared" ref="B26:T26" si="97">B20-B23-B25-B24</f>
        <v>1900.5658807</v>
      </c>
      <c r="C26" s="31">
        <f t="shared" si="97"/>
        <v>2603.59</v>
      </c>
      <c r="D26" s="31">
        <f t="shared" si="97"/>
        <v>3639.98</v>
      </c>
      <c r="E26" s="31">
        <f t="shared" si="97"/>
        <v>4852.95</v>
      </c>
      <c r="F26" s="31">
        <f t="shared" si="97"/>
        <v>7130</v>
      </c>
      <c r="G26" s="31">
        <f t="shared" si="97"/>
        <v>9521</v>
      </c>
      <c r="H26" s="31">
        <f t="shared" si="97"/>
        <v>13893</v>
      </c>
      <c r="I26" s="31">
        <f t="shared" si="97"/>
        <v>16692</v>
      </c>
      <c r="J26" s="31">
        <f t="shared" si="97"/>
        <v>21693</v>
      </c>
      <c r="K26" s="31">
        <f t="shared" si="97"/>
        <v>22742</v>
      </c>
      <c r="L26" s="31">
        <f t="shared" si="97"/>
        <v>27501</v>
      </c>
      <c r="M26" s="31">
        <f t="shared" si="97"/>
        <v>33734</v>
      </c>
      <c r="N26" s="31">
        <f t="shared" si="97"/>
        <v>40352</v>
      </c>
      <c r="O26" s="31">
        <f t="shared" si="97"/>
        <v>50133</v>
      </c>
      <c r="P26" s="31">
        <f t="shared" si="97"/>
        <v>53319</v>
      </c>
      <c r="Q26" s="31">
        <f t="shared" si="97"/>
        <v>62441</v>
      </c>
      <c r="R26" s="31">
        <f t="shared" si="97"/>
        <v>68484</v>
      </c>
      <c r="S26" s="31">
        <f t="shared" si="97"/>
        <v>70522</v>
      </c>
      <c r="T26" s="31">
        <f t="shared" si="97"/>
        <v>82675</v>
      </c>
      <c r="U26" s="31">
        <f t="shared" ref="U26:Z26" si="98">U20-U23-U25-U24</f>
        <v>90791</v>
      </c>
      <c r="V26" s="31">
        <f t="shared" si="98"/>
        <v>100472</v>
      </c>
      <c r="W26" s="31">
        <f t="shared" si="98"/>
        <v>121641</v>
      </c>
      <c r="X26" s="31">
        <f t="shared" si="98"/>
        <v>146767</v>
      </c>
      <c r="Y26" s="31">
        <f t="shared" si="98"/>
        <v>153670</v>
      </c>
      <c r="Z26" s="31">
        <f t="shared" si="98"/>
        <v>162990</v>
      </c>
      <c r="AA26" s="31">
        <f t="shared" ref="AA26" si="99">AA20-AA23-AA25-AA24</f>
        <v>178650</v>
      </c>
      <c r="AB26" s="32">
        <f t="shared" ref="AB26:AD26" si="100">AB20-AB23-AB25-AB24</f>
        <v>158709.48938993053</v>
      </c>
      <c r="AC26" s="32">
        <f t="shared" si="100"/>
        <v>167223.7691624469</v>
      </c>
      <c r="AD26" s="32">
        <f t="shared" si="100"/>
        <v>180439.45553598367</v>
      </c>
      <c r="AE26" s="32">
        <f t="shared" ref="AE26" si="101">AE20-AE23-AE25-AE24</f>
        <v>200901.05575400937</v>
      </c>
      <c r="AI26" s="31">
        <f t="shared" ref="AI26" si="102">AI20-AI23-AI25-AI24</f>
        <v>9032</v>
      </c>
      <c r="AJ26" s="31">
        <f t="shared" ref="AJ26" si="103">AJ20-AJ23-AJ25-AJ24</f>
        <v>9188</v>
      </c>
      <c r="AK26" s="31">
        <f t="shared" ref="AK26:AM26" si="104">AK20-AK23-AK25-AK24</f>
        <v>9645</v>
      </c>
      <c r="AL26" s="31">
        <f t="shared" si="104"/>
        <v>9717</v>
      </c>
      <c r="AM26" s="31">
        <f t="shared" si="104"/>
        <v>10461</v>
      </c>
      <c r="AN26" s="31">
        <f t="shared" ref="AN26:AO26" si="105">AN20-AN23-AN25-AN24</f>
        <v>12199</v>
      </c>
      <c r="AO26" s="31">
        <f t="shared" si="105"/>
        <v>12051</v>
      </c>
      <c r="AP26" s="31">
        <f t="shared" ref="AP26:CD26" si="106">AP20-AP23-AP25-AP24</f>
        <v>12029</v>
      </c>
      <c r="AQ26" s="31">
        <f t="shared" si="106"/>
        <v>12079</v>
      </c>
      <c r="AR26" s="31">
        <f t="shared" si="106"/>
        <v>12663</v>
      </c>
      <c r="AS26" s="31">
        <f t="shared" si="106"/>
        <v>12880</v>
      </c>
      <c r="AT26" s="31">
        <f t="shared" si="106"/>
        <v>12556</v>
      </c>
      <c r="AU26" s="31">
        <f t="shared" si="106"/>
        <v>13292</v>
      </c>
      <c r="AV26" s="31">
        <f t="shared" si="106"/>
        <v>14423</v>
      </c>
      <c r="AW26" s="31">
        <f t="shared" si="106"/>
        <v>14626</v>
      </c>
      <c r="AX26" s="31">
        <f t="shared" si="106"/>
        <v>15295</v>
      </c>
      <c r="AY26" s="31">
        <f t="shared" si="106"/>
        <v>15589</v>
      </c>
      <c r="AZ26" s="31">
        <f t="shared" si="106"/>
        <v>15989</v>
      </c>
      <c r="BA26" s="31">
        <f t="shared" si="106"/>
        <v>15837</v>
      </c>
      <c r="BB26" s="31">
        <f t="shared" si="106"/>
        <v>15642</v>
      </c>
      <c r="BC26" s="31">
        <f t="shared" si="106"/>
        <v>15577</v>
      </c>
      <c r="BD26" s="31">
        <f t="shared" si="106"/>
        <v>15986</v>
      </c>
      <c r="BE26" s="31">
        <f t="shared" si="106"/>
        <v>16281</v>
      </c>
      <c r="BF26" s="31">
        <f t="shared" si="106"/>
        <v>16510</v>
      </c>
      <c r="BG26" s="31">
        <f t="shared" si="106"/>
        <v>17292</v>
      </c>
      <c r="BH26" s="31">
        <f t="shared" si="106"/>
        <v>18480</v>
      </c>
      <c r="BI26" s="31">
        <f t="shared" si="106"/>
        <v>19070</v>
      </c>
      <c r="BJ26" s="31">
        <f t="shared" si="106"/>
        <v>19249</v>
      </c>
      <c r="BK26" s="31">
        <f t="shared" si="106"/>
        <v>19546</v>
      </c>
      <c r="BL26" s="31">
        <f t="shared" si="106"/>
        <v>20298</v>
      </c>
      <c r="BM26" s="31">
        <f t="shared" si="106"/>
        <v>20720</v>
      </c>
      <c r="BN26" s="31">
        <f t="shared" si="106"/>
        <v>20808</v>
      </c>
      <c r="BO26" s="31">
        <f t="shared" si="106"/>
        <v>21146</v>
      </c>
      <c r="BP26" s="31">
        <f t="shared" si="106"/>
        <v>21828</v>
      </c>
      <c r="BQ26" s="31">
        <f t="shared" si="106"/>
        <v>22938</v>
      </c>
      <c r="BR26" s="31">
        <f t="shared" si="106"/>
        <v>23254</v>
      </c>
      <c r="BS26" s="31">
        <f t="shared" si="106"/>
        <v>24153</v>
      </c>
      <c r="BT26" s="31">
        <f t="shared" si="106"/>
        <v>25155</v>
      </c>
      <c r="BU26" s="31">
        <f t="shared" si="106"/>
        <v>26495</v>
      </c>
      <c r="BV26" s="31">
        <f t="shared" si="106"/>
        <v>26420</v>
      </c>
      <c r="BW26" s="31">
        <f t="shared" si="106"/>
        <v>28141</v>
      </c>
      <c r="BX26" s="31">
        <f t="shared" si="106"/>
        <v>30332</v>
      </c>
      <c r="BY26" s="31">
        <f t="shared" si="106"/>
        <v>31890</v>
      </c>
      <c r="BZ26" s="31">
        <f t="shared" si="106"/>
        <v>31439</v>
      </c>
      <c r="CA26" s="31">
        <f t="shared" si="106"/>
        <v>32089</v>
      </c>
      <c r="CB26" s="31">
        <f t="shared" si="106"/>
        <v>32533</v>
      </c>
      <c r="CC26" s="31">
        <f t="shared" si="106"/>
        <v>32033</v>
      </c>
      <c r="CD26" s="31">
        <f t="shared" si="106"/>
        <v>31269</v>
      </c>
      <c r="CE26" s="31">
        <f t="shared" ref="CE26:CF26" si="107">CE20-CE23-CE25-CE24</f>
        <v>32691</v>
      </c>
      <c r="CF26" s="31">
        <f t="shared" si="107"/>
        <v>33847</v>
      </c>
      <c r="CG26" s="31">
        <f t="shared" ref="CG26:CH26" si="108">CG20-CG23-CG25-CG24</f>
        <v>33855</v>
      </c>
      <c r="CH26" s="31">
        <f t="shared" si="108"/>
        <v>33750</v>
      </c>
      <c r="CI26" s="31">
        <f t="shared" ref="CI26:CJ26" si="109">CI20-CI23-CI25-CI24</f>
        <v>35036</v>
      </c>
      <c r="CJ26" s="31">
        <f t="shared" si="109"/>
        <v>36586</v>
      </c>
      <c r="CK26" s="31">
        <f t="shared" ref="CK26" si="110">CK20-CK23-CK25-CK24</f>
        <v>37405</v>
      </c>
      <c r="CL26" s="31">
        <f t="shared" ref="CL26" si="111">CL20-CL23-CL25-CL24</f>
        <v>38481</v>
      </c>
      <c r="CM26" s="32">
        <f t="shared" ref="CM26:DB26" si="112">+CM27*CM20</f>
        <v>39030.509133918407</v>
      </c>
      <c r="CN26" s="32">
        <f t="shared" si="112"/>
        <v>39471.837462429496</v>
      </c>
      <c r="CO26" s="32">
        <f t="shared" si="112"/>
        <v>39889.335425539401</v>
      </c>
      <c r="CP26" s="32">
        <f t="shared" si="112"/>
        <v>40317.807368043235</v>
      </c>
      <c r="CQ26" s="32">
        <f t="shared" si="112"/>
        <v>40891.439599822654</v>
      </c>
      <c r="CR26" s="32">
        <f t="shared" si="112"/>
        <v>41472.698969216704</v>
      </c>
      <c r="CS26" s="32">
        <f t="shared" si="112"/>
        <v>42092.389239409575</v>
      </c>
      <c r="CT26" s="32">
        <f t="shared" si="112"/>
        <v>42767.241353997975</v>
      </c>
      <c r="CU26" s="32">
        <f t="shared" si="112"/>
        <v>43616.316859516388</v>
      </c>
      <c r="CV26" s="32">
        <f t="shared" si="112"/>
        <v>44543.646514318214</v>
      </c>
      <c r="CW26" s="32">
        <f t="shared" si="112"/>
        <v>45569.16385625938</v>
      </c>
      <c r="CX26" s="32">
        <f t="shared" si="112"/>
        <v>46710.328305889692</v>
      </c>
      <c r="CY26" s="32">
        <f t="shared" si="112"/>
        <v>47985.273810271239</v>
      </c>
      <c r="CZ26" s="32">
        <f t="shared" si="112"/>
        <v>49384.301479012654</v>
      </c>
      <c r="DA26" s="32">
        <f t="shared" si="112"/>
        <v>50921.579436927685</v>
      </c>
      <c r="DB26" s="32">
        <f t="shared" si="112"/>
        <v>52609.901027797772</v>
      </c>
      <c r="DE26" s="124"/>
      <c r="DF26" s="31">
        <v>147508</v>
      </c>
      <c r="DG26" s="31">
        <v>37068.693871347168</v>
      </c>
    </row>
    <row r="27" spans="1:111" s="41" customFormat="1" x14ac:dyDescent="0.2">
      <c r="A27" s="41" t="s">
        <v>6</v>
      </c>
      <c r="B27" s="41">
        <f>B26/B20</f>
        <v>1</v>
      </c>
      <c r="C27" s="41">
        <f t="shared" ref="C27:U27" si="113">C26/C20</f>
        <v>1</v>
      </c>
      <c r="D27" s="41">
        <f t="shared" si="113"/>
        <v>1</v>
      </c>
      <c r="E27" s="41">
        <f t="shared" si="113"/>
        <v>1</v>
      </c>
      <c r="F27" s="41">
        <f t="shared" si="113"/>
        <v>1</v>
      </c>
      <c r="G27" s="41">
        <f t="shared" si="113"/>
        <v>1</v>
      </c>
      <c r="H27" s="41">
        <f t="shared" si="113"/>
        <v>1</v>
      </c>
      <c r="I27" s="41">
        <f t="shared" si="113"/>
        <v>1</v>
      </c>
      <c r="J27" s="41">
        <f t="shared" si="113"/>
        <v>1</v>
      </c>
      <c r="K27" s="41">
        <f t="shared" si="113"/>
        <v>1</v>
      </c>
      <c r="L27" s="41">
        <f t="shared" si="113"/>
        <v>1</v>
      </c>
      <c r="M27" s="41">
        <f t="shared" si="113"/>
        <v>1</v>
      </c>
      <c r="N27" s="41">
        <f t="shared" si="113"/>
        <v>1</v>
      </c>
      <c r="O27" s="41">
        <f t="shared" si="113"/>
        <v>1</v>
      </c>
      <c r="P27" s="41">
        <f t="shared" si="113"/>
        <v>1</v>
      </c>
      <c r="Q27" s="41">
        <f t="shared" si="113"/>
        <v>1</v>
      </c>
      <c r="R27" s="41">
        <f t="shared" si="113"/>
        <v>1</v>
      </c>
      <c r="S27" s="41">
        <f t="shared" si="113"/>
        <v>1</v>
      </c>
      <c r="T27" s="41">
        <f t="shared" si="113"/>
        <v>1</v>
      </c>
      <c r="U27" s="41">
        <f t="shared" si="113"/>
        <v>1</v>
      </c>
      <c r="V27" s="41">
        <f t="shared" ref="V27:AA27" si="114">V26/V20</f>
        <v>1</v>
      </c>
      <c r="W27" s="41">
        <f t="shared" si="114"/>
        <v>1</v>
      </c>
      <c r="X27" s="41">
        <f t="shared" si="114"/>
        <v>1</v>
      </c>
      <c r="Y27" s="41">
        <f t="shared" si="114"/>
        <v>1</v>
      </c>
      <c r="Z27" s="41">
        <f t="shared" si="114"/>
        <v>1</v>
      </c>
      <c r="AA27" s="41">
        <f t="shared" si="114"/>
        <v>1</v>
      </c>
      <c r="AB27" s="42">
        <f t="shared" ref="AB27:AD27" si="115">AB26/AB20</f>
        <v>0.82566302095954092</v>
      </c>
      <c r="AC27" s="42">
        <f t="shared" si="115"/>
        <v>0.82575540149250448</v>
      </c>
      <c r="AD27" s="42">
        <f t="shared" si="115"/>
        <v>0.82578692372608375</v>
      </c>
      <c r="AE27" s="42">
        <f t="shared" ref="AE27" si="116">AE26/AE20</f>
        <v>0.82579413192666673</v>
      </c>
      <c r="AI27" s="41">
        <f t="shared" ref="AI27" si="117">AI26/AI20</f>
        <v>0.94260070966395326</v>
      </c>
      <c r="AJ27" s="41">
        <f t="shared" ref="AJ27" si="118">AJ26/AJ20</f>
        <v>0.9320348955163319</v>
      </c>
      <c r="AK27" s="41">
        <f t="shared" ref="AK27:AM27" si="119">AK26/AK20</f>
        <v>0.92526861089792789</v>
      </c>
      <c r="AL27" s="41">
        <f t="shared" si="119"/>
        <v>0.9295006696001531</v>
      </c>
      <c r="AM27" s="41">
        <f t="shared" si="119"/>
        <v>0.928463654921452</v>
      </c>
      <c r="AN27" s="41">
        <f t="shared" ref="AN27:AO27" si="120">AN26/AN20</f>
        <v>0.94720086963273542</v>
      </c>
      <c r="AO27" s="41">
        <f t="shared" si="120"/>
        <v>0.92514970059880242</v>
      </c>
      <c r="AP27" s="41">
        <f t="shared" ref="AP27:CD27" si="121">AP26/AP20</f>
        <v>0.93429126213592228</v>
      </c>
      <c r="AQ27" s="41">
        <f t="shared" si="121"/>
        <v>0.94588880187940483</v>
      </c>
      <c r="AR27" s="41">
        <f t="shared" si="121"/>
        <v>0.94910807974816369</v>
      </c>
      <c r="AS27" s="41">
        <f t="shared" si="121"/>
        <v>0.93360394317193385</v>
      </c>
      <c r="AT27" s="41">
        <f t="shared" si="121"/>
        <v>0.9362463649243159</v>
      </c>
      <c r="AU27" s="41">
        <f t="shared" si="121"/>
        <v>0.92601365473038877</v>
      </c>
      <c r="AV27" s="41">
        <f t="shared" si="121"/>
        <v>0.92248161176846821</v>
      </c>
      <c r="AW27" s="41">
        <f t="shared" si="121"/>
        <v>0.91975852094076216</v>
      </c>
      <c r="AX27" s="41">
        <f t="shared" si="121"/>
        <v>0.92416918429003025</v>
      </c>
      <c r="AY27" s="41">
        <f t="shared" si="121"/>
        <v>0.92891192944821832</v>
      </c>
      <c r="AZ27" s="41">
        <f t="shared" si="121"/>
        <v>0.92368573079145</v>
      </c>
      <c r="BA27" s="41">
        <f t="shared" si="121"/>
        <v>0.91686447056099118</v>
      </c>
      <c r="BB27" s="41">
        <f t="shared" si="121"/>
        <v>0.91366822429906547</v>
      </c>
      <c r="BC27" s="41">
        <f t="shared" si="121"/>
        <v>0.91210914627005502</v>
      </c>
      <c r="BD27" s="41">
        <f t="shared" si="121"/>
        <v>0.91000170774748113</v>
      </c>
      <c r="BE27" s="41">
        <f t="shared" si="121"/>
        <v>0.91497133865347868</v>
      </c>
      <c r="BF27" s="41">
        <f t="shared" si="121"/>
        <v>0.91301222142343641</v>
      </c>
      <c r="BG27" s="41">
        <f t="shared" si="121"/>
        <v>0.90401505646173153</v>
      </c>
      <c r="BH27" s="41">
        <f t="shared" si="121"/>
        <v>0.89669561841913725</v>
      </c>
      <c r="BI27" s="41">
        <f t="shared" si="121"/>
        <v>0.89112149532710283</v>
      </c>
      <c r="BJ27" s="41">
        <f t="shared" si="121"/>
        <v>0.89368122939783645</v>
      </c>
      <c r="BK27" s="41">
        <f t="shared" si="121"/>
        <v>0.89648213548594236</v>
      </c>
      <c r="BL27" s="41">
        <f t="shared" si="121"/>
        <v>0.896990587299483</v>
      </c>
      <c r="BM27" s="41">
        <f t="shared" si="121"/>
        <v>0.89728044344361679</v>
      </c>
      <c r="BN27" s="41">
        <f t="shared" si="121"/>
        <v>0.89431383504534323</v>
      </c>
      <c r="BO27" s="41">
        <f t="shared" si="121"/>
        <v>0.89355588421719845</v>
      </c>
      <c r="BP27" s="41">
        <f t="shared" si="121"/>
        <v>0.88840048840048835</v>
      </c>
      <c r="BQ27" s="41">
        <f t="shared" si="121"/>
        <v>0.88471477610213289</v>
      </c>
      <c r="BR27" s="41">
        <f t="shared" si="121"/>
        <v>0.883812853939417</v>
      </c>
      <c r="BS27" s="41">
        <f t="shared" si="121"/>
        <v>0.86582305706911389</v>
      </c>
      <c r="BT27" s="41">
        <f t="shared" si="121"/>
        <v>0.84977366394162557</v>
      </c>
      <c r="BU27" s="41">
        <f t="shared" si="121"/>
        <v>0.83142435748580035</v>
      </c>
      <c r="BV27" s="41">
        <f t="shared" si="121"/>
        <v>0.81856487792787214</v>
      </c>
      <c r="BW27" s="41">
        <f t="shared" si="121"/>
        <v>0.81639106469393674</v>
      </c>
      <c r="BX27" s="41">
        <f t="shared" si="121"/>
        <v>0.83014943346652803</v>
      </c>
      <c r="BY27" s="41">
        <f t="shared" si="121"/>
        <v>0.83224594185500289</v>
      </c>
      <c r="BZ27" s="41">
        <f t="shared" si="121"/>
        <v>0.83969445260543252</v>
      </c>
      <c r="CA27" s="41">
        <f t="shared" si="121"/>
        <v>0.84593889225740115</v>
      </c>
      <c r="CB27" s="41">
        <f t="shared" si="121"/>
        <v>0.83430784223213827</v>
      </c>
      <c r="CC27" s="41">
        <f t="shared" si="121"/>
        <v>0.82514618376651816</v>
      </c>
      <c r="CD27" s="41">
        <f t="shared" si="121"/>
        <v>0.82453919784827145</v>
      </c>
      <c r="CE27" s="41">
        <f t="shared" ref="CE27:CF27" si="122">CE26/CE20</f>
        <v>0.83151468904998094</v>
      </c>
      <c r="CF27" s="41">
        <f t="shared" si="122"/>
        <v>0.82581857219538379</v>
      </c>
      <c r="CG27" s="41">
        <f t="shared" ref="CG27:CH27" si="123">CG26/CG20</f>
        <v>0.81062637678383298</v>
      </c>
      <c r="CH27" s="41">
        <f t="shared" si="123"/>
        <v>0.82467929138668294</v>
      </c>
      <c r="CI27" s="41">
        <f t="shared" ref="CI27:CJ27" si="124">CI26/CI20</f>
        <v>0.82868563589488875</v>
      </c>
      <c r="CJ27" s="41">
        <f t="shared" si="124"/>
        <v>0.82234209934816815</v>
      </c>
      <c r="CK27" s="41">
        <f t="shared" ref="CK27" si="125">CK26/CK20</f>
        <v>0.82246751247828664</v>
      </c>
      <c r="CL27" s="41">
        <f t="shared" ref="CL27" si="126">CL26/CL20</f>
        <v>0.82929615102797294</v>
      </c>
      <c r="CM27" s="42">
        <f t="shared" ref="CM27:DB27" si="127">AVERAGE(CI27:CL27)</f>
        <v>0.82569784968732918</v>
      </c>
      <c r="CN27" s="42">
        <f t="shared" si="127"/>
        <v>0.82495090313543928</v>
      </c>
      <c r="CO27" s="42">
        <f t="shared" si="127"/>
        <v>0.82560310408225701</v>
      </c>
      <c r="CP27" s="42">
        <f t="shared" si="127"/>
        <v>0.82638700198324966</v>
      </c>
      <c r="CQ27" s="42">
        <f t="shared" si="127"/>
        <v>0.82565971472206878</v>
      </c>
      <c r="CR27" s="42">
        <f t="shared" si="127"/>
        <v>0.82565018098075371</v>
      </c>
      <c r="CS27" s="42">
        <f t="shared" si="127"/>
        <v>0.82582500044208218</v>
      </c>
      <c r="CT27" s="42">
        <f t="shared" si="127"/>
        <v>0.8258804745320385</v>
      </c>
      <c r="CU27" s="42">
        <f t="shared" si="127"/>
        <v>0.82575384266923568</v>
      </c>
      <c r="CV27" s="42">
        <f t="shared" si="127"/>
        <v>0.82577737465602752</v>
      </c>
      <c r="CW27" s="42">
        <f t="shared" si="127"/>
        <v>0.82580917307484603</v>
      </c>
      <c r="CX27" s="42">
        <f t="shared" si="127"/>
        <v>0.82580521623303693</v>
      </c>
      <c r="CY27" s="42">
        <f t="shared" si="127"/>
        <v>0.82578640165828654</v>
      </c>
      <c r="CZ27" s="42">
        <f t="shared" si="127"/>
        <v>0.82579454140554931</v>
      </c>
      <c r="DA27" s="42">
        <f t="shared" si="127"/>
        <v>0.82579883309292967</v>
      </c>
      <c r="DB27" s="42">
        <f t="shared" si="127"/>
        <v>0.82579624809745056</v>
      </c>
      <c r="DE27" s="125"/>
      <c r="DF27" s="41">
        <v>0.82568150013993846</v>
      </c>
      <c r="DG27" s="41">
        <v>0.82454363477700665</v>
      </c>
    </row>
    <row r="28" spans="1:111" s="39" customFormat="1" x14ac:dyDescent="0.2">
      <c r="A28" s="39" t="s">
        <v>447</v>
      </c>
      <c r="C28" s="39">
        <f t="shared" ref="C28:AE28" si="128">+IF(B26&lt;0,1-C26/B26,C26/B26-1)</f>
        <v>0.36990252557889147</v>
      </c>
      <c r="D28" s="39">
        <f t="shared" si="128"/>
        <v>0.39806190682864817</v>
      </c>
      <c r="E28" s="39">
        <f t="shared" si="128"/>
        <v>0.33323534744696404</v>
      </c>
      <c r="F28" s="39">
        <f t="shared" si="128"/>
        <v>0.46920944992221236</v>
      </c>
      <c r="G28" s="39">
        <f t="shared" si="128"/>
        <v>0.33534361851332406</v>
      </c>
      <c r="H28" s="39">
        <f t="shared" si="128"/>
        <v>0.45919546266148514</v>
      </c>
      <c r="I28" s="39">
        <f t="shared" si="128"/>
        <v>0.20146836536385226</v>
      </c>
      <c r="J28" s="39">
        <f t="shared" si="128"/>
        <v>0.29960460100647013</v>
      </c>
      <c r="K28" s="39">
        <f t="shared" si="128"/>
        <v>4.8356612732217696E-2</v>
      </c>
      <c r="L28" s="39">
        <f t="shared" si="128"/>
        <v>0.20926039926127871</v>
      </c>
      <c r="M28" s="39">
        <f t="shared" si="128"/>
        <v>0.226646303770772</v>
      </c>
      <c r="N28" s="39">
        <f t="shared" si="128"/>
        <v>0.19618189363846561</v>
      </c>
      <c r="O28" s="39">
        <f t="shared" si="128"/>
        <v>0.2423919508326724</v>
      </c>
      <c r="P28" s="39">
        <f t="shared" si="128"/>
        <v>6.3550954461133458E-2</v>
      </c>
      <c r="Q28" s="39">
        <f t="shared" si="128"/>
        <v>0.17108347868489648</v>
      </c>
      <c r="R28" s="39">
        <f t="shared" si="128"/>
        <v>9.67793597155715E-2</v>
      </c>
      <c r="S28" s="39">
        <f t="shared" si="128"/>
        <v>2.9758775772443125E-2</v>
      </c>
      <c r="T28" s="39">
        <f t="shared" si="128"/>
        <v>0.17232920223476356</v>
      </c>
      <c r="U28" s="39">
        <f t="shared" si="128"/>
        <v>9.8167523435137571E-2</v>
      </c>
      <c r="V28" s="39">
        <f t="shared" si="128"/>
        <v>0.10662951173574475</v>
      </c>
      <c r="W28" s="39">
        <f t="shared" si="128"/>
        <v>0.21069551715900947</v>
      </c>
      <c r="X28" s="39">
        <f t="shared" si="128"/>
        <v>0.20655864387829759</v>
      </c>
      <c r="Y28" s="39">
        <f t="shared" si="128"/>
        <v>4.7033733741236095E-2</v>
      </c>
      <c r="Z28" s="39">
        <f t="shared" si="128"/>
        <v>6.0649443612936782E-2</v>
      </c>
      <c r="AA28" s="39">
        <f t="shared" si="128"/>
        <v>9.6079514080618544E-2</v>
      </c>
      <c r="AB28" s="40">
        <f t="shared" si="128"/>
        <v>-0.1116177476074417</v>
      </c>
      <c r="AC28" s="40">
        <f t="shared" si="128"/>
        <v>5.3646948303121222E-2</v>
      </c>
      <c r="AD28" s="40">
        <f t="shared" si="128"/>
        <v>7.9029951541748744E-2</v>
      </c>
      <c r="AE28" s="40">
        <f t="shared" si="128"/>
        <v>0.11339870294579346</v>
      </c>
      <c r="AM28" s="39">
        <f>+IF(AI26&lt;0,1-AM26/AI26,AM26/AI26-1)</f>
        <v>0.15821523472099197</v>
      </c>
      <c r="AN28" s="39">
        <f t="shared" ref="AN28" si="129">+IF(AJ26&lt;0,1-AN26/AJ26,AN26/AJ26-1)</f>
        <v>0.32771005659555952</v>
      </c>
      <c r="AO28" s="39">
        <f t="shared" ref="AO28" si="130">+IF(AK26&lt;0,1-AO26/AK26,AO26/AK26-1)</f>
        <v>0.24945567651632961</v>
      </c>
      <c r="AP28" s="39">
        <f t="shared" ref="AP28" si="131">+IF(AL26&lt;0,1-AP26/AL26,AP26/AL26-1)</f>
        <v>0.23793351857569212</v>
      </c>
      <c r="AQ28" s="39">
        <f t="shared" ref="AQ28" si="132">+IF(AM26&lt;0,1-AQ26/AM26,AQ26/AM26-1)</f>
        <v>0.1546697256476437</v>
      </c>
      <c r="AR28" s="39">
        <f t="shared" ref="AR28" si="133">+IF(AN26&lt;0,1-AR26/AN26,AR26/AN26-1)</f>
        <v>3.803590458234285E-2</v>
      </c>
      <c r="AS28" s="39">
        <f t="shared" ref="AS28" si="134">+IF(AO26&lt;0,1-AS26/AO26,AS26/AO26-1)</f>
        <v>6.8790971703593051E-2</v>
      </c>
      <c r="AT28" s="39">
        <f t="shared" ref="AT28" si="135">+IF(AP26&lt;0,1-AT26/AP26,AT26/AP26-1)</f>
        <v>4.3810790589408954E-2</v>
      </c>
      <c r="AU28" s="39">
        <f t="shared" ref="AU28" si="136">+IF(AQ26&lt;0,1-AU26/AQ26,AU26/AQ26-1)</f>
        <v>0.10042222038248205</v>
      </c>
      <c r="AV28" s="39">
        <f t="shared" ref="AV28" si="137">+IF(AR26&lt;0,1-AV26/AR26,AV26/AR26-1)</f>
        <v>0.1389876016741689</v>
      </c>
      <c r="AW28" s="39">
        <f t="shared" ref="AW28" si="138">+IF(AS26&lt;0,1-AW26/AS26,AW26/AS26-1)</f>
        <v>0.13555900621118022</v>
      </c>
      <c r="AX28" s="39">
        <f t="shared" ref="AX28" si="139">+IF(AT26&lt;0,1-AX26/AT26,AX26/AT26-1)</f>
        <v>0.21814272061165974</v>
      </c>
      <c r="AY28" s="39">
        <f t="shared" ref="AY28" si="140">+IF(AU26&lt;0,1-AY26/AU26,AY26/AU26-1)</f>
        <v>0.17281071321095398</v>
      </c>
      <c r="AZ28" s="39">
        <f t="shared" ref="AZ28" si="141">+IF(AV26&lt;0,1-AZ26/AV26,AZ26/AV26-1)</f>
        <v>0.10857657907508833</v>
      </c>
      <c r="BA28" s="39">
        <f t="shared" ref="BA28" si="142">+IF(AW26&lt;0,1-BA26/AW26,BA26/AW26-1)</f>
        <v>8.2797757418296092E-2</v>
      </c>
      <c r="BB28" s="39">
        <f t="shared" ref="BB28" si="143">+IF(AX26&lt;0,1-BB26/AX26,BB26/AX26-1)</f>
        <v>2.268715266426935E-2</v>
      </c>
      <c r="BC28" s="39">
        <f t="shared" ref="BC28" si="144">+IF(AY26&lt;0,1-BC26/AY26,BC26/AY26-1)</f>
        <v>-7.6977355827823057E-4</v>
      </c>
      <c r="BD28" s="39">
        <f t="shared" ref="BD28" si="145">+IF(AZ26&lt;0,1-BD26/AZ26,BD26/AZ26-1)</f>
        <v>-1.8762899493396379E-4</v>
      </c>
      <c r="BE28" s="39">
        <f t="shared" ref="BE28" si="146">+IF(BA26&lt;0,1-BE26/BA26,BE26/BA26-1)</f>
        <v>2.8035612805455523E-2</v>
      </c>
      <c r="BF28" s="39">
        <f t="shared" ref="BF28" si="147">+IF(BB26&lt;0,1-BF26/BB26,BF26/BB26-1)</f>
        <v>5.5491625111878218E-2</v>
      </c>
      <c r="BG28" s="39">
        <f t="shared" ref="BG28" si="148">+IF(BC26&lt;0,1-BG26/BC26,BG26/BC26-1)</f>
        <v>0.11009822173717665</v>
      </c>
      <c r="BH28" s="39">
        <f t="shared" ref="BH28" si="149">+IF(BD26&lt;0,1-BH26/BD26,BH26/BD26-1)</f>
        <v>0.15601151007131242</v>
      </c>
      <c r="BI28" s="39">
        <f t="shared" ref="BI28" si="150">+IF(BE26&lt;0,1-BI26/BE26,BI26/BE26-1)</f>
        <v>0.17130397395737362</v>
      </c>
      <c r="BJ28" s="39">
        <f t="shared" ref="BJ28" si="151">+IF(BF26&lt;0,1-BJ26/BF26,BJ26/BF26-1)</f>
        <v>0.1658994548758328</v>
      </c>
      <c r="BK28" s="39">
        <f t="shared" ref="BK28" si="152">+IF(BG26&lt;0,1-BK26/BG26,BK26/BG26-1)</f>
        <v>0.13034929447143195</v>
      </c>
      <c r="BL28" s="39">
        <f t="shared" ref="BL28" si="153">+IF(BH26&lt;0,1-BL26/BH26,BL26/BH26-1)</f>
        <v>9.8376623376623451E-2</v>
      </c>
      <c r="BM28" s="39">
        <f t="shared" ref="BM28" si="154">+IF(BI26&lt;0,1-BM26/BI26,BM26/BI26-1)</f>
        <v>8.6523335081279518E-2</v>
      </c>
      <c r="BN28" s="39">
        <f t="shared" ref="BN28" si="155">+IF(BJ26&lt;0,1-BN26/BJ26,BN26/BJ26-1)</f>
        <v>8.0991220323133772E-2</v>
      </c>
      <c r="BO28" s="39">
        <f t="shared" ref="BO28" si="156">+IF(BK26&lt;0,1-BO26/BK26,BO26/BK26-1)</f>
        <v>8.1858180701933847E-2</v>
      </c>
      <c r="BP28" s="39">
        <f t="shared" ref="BP28" si="157">+IF(BL26&lt;0,1-BP26/BL26,BP26/BL26-1)</f>
        <v>7.5376884422110546E-2</v>
      </c>
      <c r="BQ28" s="39">
        <f t="shared" ref="BQ28" si="158">+IF(BM26&lt;0,1-BQ26/BM26,BQ26/BM26-1)</f>
        <v>0.10704633204633196</v>
      </c>
      <c r="BR28" s="39">
        <f t="shared" ref="BR28" si="159">+IF(BN26&lt;0,1-BR26/BN26,BR26/BN26-1)</f>
        <v>0.11755094194540572</v>
      </c>
      <c r="BS28" s="39">
        <f t="shared" ref="BS28" si="160">+IF(BO26&lt;0,1-BS26/BO26,BS26/BO26-1)</f>
        <v>0.14220183486238525</v>
      </c>
      <c r="BT28" s="39">
        <f t="shared" ref="BT28" si="161">+IF(BP26&lt;0,1-BT26/BP26,BT26/BP26-1)</f>
        <v>0.15241891148982956</v>
      </c>
      <c r="BU28" s="39">
        <f t="shared" ref="BU28" si="162">+IF(BQ26&lt;0,1-BU26/BQ26,BU26/BQ26-1)</f>
        <v>0.15507018920568494</v>
      </c>
      <c r="BV28" s="39">
        <f t="shared" ref="BV28" si="163">+IF(BR26&lt;0,1-BV26/BR26,BV26/BR26-1)</f>
        <v>0.13614861959232827</v>
      </c>
      <c r="BW28" s="39">
        <f t="shared" ref="BW28" si="164">+IF(BS26&lt;0,1-BW26/BS26,BW26/BS26-1)</f>
        <v>0.16511406450544452</v>
      </c>
      <c r="BX28" s="39">
        <f t="shared" ref="BX28" si="165">+IF(BT26&lt;0,1-BX26/BT26,BX26/BT26-1)</f>
        <v>0.20580401510634072</v>
      </c>
      <c r="BY28" s="39">
        <f t="shared" ref="BY28" si="166">+IF(BU26&lt;0,1-BY26/BU26,BY26/BU26-1)</f>
        <v>0.20362332515568982</v>
      </c>
      <c r="BZ28" s="39">
        <f t="shared" ref="BZ28" si="167">+IF(BV26&lt;0,1-BZ26/BV26,BZ26/BV26-1)</f>
        <v>0.18996971990915967</v>
      </c>
      <c r="CA28" s="39">
        <f t="shared" ref="CA28" si="168">+IF(BW26&lt;0,1-CA26/BW26,CA26/BW26-1)</f>
        <v>0.14029352190753697</v>
      </c>
      <c r="CB28" s="39">
        <f t="shared" ref="CB28" si="169">+IF(BX26&lt;0,1-CB26/BX26,CB26/BX26-1)</f>
        <v>7.2563629170512955E-2</v>
      </c>
      <c r="CC28" s="39">
        <f t="shared" ref="CC28" si="170">+IF(BY26&lt;0,1-CC26/BY26,CC26/BY26-1)</f>
        <v>4.4841643148323396E-3</v>
      </c>
      <c r="CD28" s="39">
        <f t="shared" ref="CD28" si="171">+IF(BZ26&lt;0,1-CD26/BZ26,CD26/BZ26-1)</f>
        <v>-5.4072966697413793E-3</v>
      </c>
      <c r="CE28" s="39">
        <f t="shared" ref="CE28" si="172">+IF(CA26&lt;0,1-CE26/CA26,CE26/CA26-1)</f>
        <v>1.8760322852067635E-2</v>
      </c>
      <c r="CF28" s="39">
        <f t="shared" ref="CF28" si="173">+IF(CB26&lt;0,1-CF26/CB26,CF26/CB26-1)</f>
        <v>4.0389758091783801E-2</v>
      </c>
      <c r="CG28" s="39">
        <f t="shared" ref="CG28" si="174">+IF(CC26&lt;0,1-CG26/CC26,CG26/CC26-1)</f>
        <v>5.6878843692442116E-2</v>
      </c>
      <c r="CH28" s="39">
        <f t="shared" ref="CH28:CL28" si="175">+IF(CD26&lt;0,1-CH26/CD26,CH26/CD26-1)</f>
        <v>7.9343758994531388E-2</v>
      </c>
      <c r="CI28" s="39">
        <f t="shared" si="175"/>
        <v>7.1732281055948199E-2</v>
      </c>
      <c r="CJ28" s="39">
        <f t="shared" si="175"/>
        <v>8.0922976925576817E-2</v>
      </c>
      <c r="CK28" s="39">
        <f t="shared" si="175"/>
        <v>0.10485895731797368</v>
      </c>
      <c r="CL28" s="39">
        <f t="shared" si="175"/>
        <v>0.14017777777777773</v>
      </c>
      <c r="CM28" s="40">
        <f t="shared" ref="CM28" si="176">+CM26/CI26-1</f>
        <v>0.11401156336106877</v>
      </c>
      <c r="CN28" s="40">
        <f t="shared" ref="CN28" si="177">+CN26/CJ26-1</f>
        <v>7.8878190084444855E-2</v>
      </c>
      <c r="CO28" s="40">
        <f t="shared" ref="CO28" si="178">+CO26/CK26-1</f>
        <v>6.6417201591749686E-2</v>
      </c>
      <c r="CP28" s="40">
        <f t="shared" ref="CP28" si="179">+CP26/CL26-1</f>
        <v>4.7732838752715168E-2</v>
      </c>
      <c r="CQ28" s="40">
        <f t="shared" ref="CQ28" si="180">+CQ26/CM26-1</f>
        <v>4.7678867306577333E-2</v>
      </c>
      <c r="CR28" s="40">
        <f t="shared" ref="CR28" si="181">+CR26/CN26-1</f>
        <v>5.0690863041065404E-2</v>
      </c>
      <c r="CS28" s="40">
        <f t="shared" ref="CS28" si="182">+CS26/CO26-1</f>
        <v>5.5229143087193622E-2</v>
      </c>
      <c r="CT28" s="40">
        <f t="shared" ref="CT28" si="183">+CT26/CP26-1</f>
        <v>6.075315464442177E-2</v>
      </c>
      <c r="CU28" s="40">
        <f t="shared" ref="CU28" si="184">+CU26/CQ26-1</f>
        <v>6.6636863029531312E-2</v>
      </c>
      <c r="CV28" s="40">
        <f t="shared" ref="CV28" si="185">+CV26/CR26-1</f>
        <v>7.4047448596989973E-2</v>
      </c>
      <c r="CW28" s="40">
        <f t="shared" ref="CW28" si="186">+CW26/CS26-1</f>
        <v>8.2598652147657825E-2</v>
      </c>
      <c r="CX28" s="40">
        <f t="shared" ref="CX28" si="187">+CX26/CT26-1</f>
        <v>9.2198767726296316E-2</v>
      </c>
      <c r="CY28" s="40">
        <f t="shared" ref="CY28" si="188">+CY26/CU26-1</f>
        <v>0.10016794780785387</v>
      </c>
      <c r="CZ28" s="40">
        <f t="shared" ref="CZ28" si="189">+CZ26/CV26-1</f>
        <v>0.10867217534914775</v>
      </c>
      <c r="DA28" s="40">
        <f t="shared" ref="DA28" si="190">+DA26/CW26-1</f>
        <v>0.11745696272926232</v>
      </c>
      <c r="DB28" s="40">
        <f t="shared" ref="DB28" si="191">+DB26/CX26-1</f>
        <v>0.1263012471947067</v>
      </c>
      <c r="DE28" s="122"/>
      <c r="DF28" s="39">
        <v>-9.4987422541260247E-2</v>
      </c>
      <c r="DG28" s="39">
        <v>9.8331670262138404E-2</v>
      </c>
    </row>
    <row r="29" spans="1:111" s="39" customFormat="1" x14ac:dyDescent="0.2">
      <c r="A29" s="39" t="s">
        <v>448</v>
      </c>
      <c r="AB29" s="40"/>
      <c r="AC29" s="40"/>
      <c r="AD29" s="40"/>
      <c r="AE29" s="40"/>
      <c r="AJ29" s="39">
        <f>+IF(AI26&lt;0,1-AJ26/AI26,AJ26/AI26-1)</f>
        <v>1.7271922054915789E-2</v>
      </c>
      <c r="AK29" s="39">
        <f t="shared" ref="AK29" si="192">+IF(AJ26&lt;0,1-AK26/AJ26,AK26/AJ26-1)</f>
        <v>4.9738789725729315E-2</v>
      </c>
      <c r="AL29" s="39">
        <f t="shared" ref="AL29" si="193">+IF(AK26&lt;0,1-AL26/AK26,AL26/AK26-1)</f>
        <v>7.465007776049859E-3</v>
      </c>
      <c r="AM29" s="39">
        <f t="shared" ref="AM29" si="194">+IF(AL26&lt;0,1-AM26/AL26,AM26/AL26-1)</f>
        <v>7.6566841617783377E-2</v>
      </c>
      <c r="AN29" s="39">
        <f t="shared" ref="AN29" si="195">+IF(AM26&lt;0,1-AN26/AM26,AN26/AM26-1)</f>
        <v>0.16614090431125139</v>
      </c>
      <c r="AO29" s="39">
        <f t="shared" ref="AO29" si="196">+IF(AN26&lt;0,1-AO26/AN26,AO26/AN26-1)</f>
        <v>-1.2132141978850708E-2</v>
      </c>
      <c r="AP29" s="39">
        <f t="shared" ref="AP29" si="197">+IF(AO26&lt;0,1-AP26/AO26,AP26/AO26-1)</f>
        <v>-1.8255746411086626E-3</v>
      </c>
      <c r="AQ29" s="39">
        <f t="shared" ref="AQ29" si="198">+IF(AP26&lt;0,1-AQ26/AP26,AQ26/AP26-1)</f>
        <v>4.1566214980464089E-3</v>
      </c>
      <c r="AR29" s="39">
        <f t="shared" ref="AR29" si="199">+IF(AQ26&lt;0,1-AR26/AQ26,AR26/AQ26-1)</f>
        <v>4.8348373209702755E-2</v>
      </c>
      <c r="AS29" s="39">
        <f t="shared" ref="AS29" si="200">+IF(AR26&lt;0,1-AS26/AR26,AS26/AR26-1)</f>
        <v>1.7136539524599259E-2</v>
      </c>
      <c r="AT29" s="39">
        <f t="shared" ref="AT29" si="201">+IF(AS26&lt;0,1-AT26/AS26,AT26/AS26-1)</f>
        <v>-2.5155279503105588E-2</v>
      </c>
      <c r="AU29" s="39">
        <f t="shared" ref="AU29" si="202">+IF(AT26&lt;0,1-AU26/AT26,AU26/AT26-1)</f>
        <v>5.8617394074546025E-2</v>
      </c>
      <c r="AV29" s="39">
        <f t="shared" ref="AV29" si="203">+IF(AU26&lt;0,1-AV26/AU26,AV26/AU26-1)</f>
        <v>8.5088775203129741E-2</v>
      </c>
      <c r="AW29" s="39">
        <f t="shared" ref="AW29" si="204">+IF(AV26&lt;0,1-AW26/AV26,AW26/AV26-1)</f>
        <v>1.4074741731955998E-2</v>
      </c>
      <c r="AX29" s="39">
        <f t="shared" ref="AX29" si="205">+IF(AW26&lt;0,1-AX26/AW26,AX26/AW26-1)</f>
        <v>4.5740462190619446E-2</v>
      </c>
      <c r="AY29" s="39">
        <f t="shared" ref="AY29" si="206">+IF(AX26&lt;0,1-AY26/AX26,AY26/AX26-1)</f>
        <v>1.922196796338671E-2</v>
      </c>
      <c r="AZ29" s="39">
        <f t="shared" ref="AZ29" si="207">+IF(AY26&lt;0,1-AZ26/AY26,AZ26/AY26-1)</f>
        <v>2.5659118609275833E-2</v>
      </c>
      <c r="BA29" s="39">
        <f t="shared" ref="BA29" si="208">+IF(AZ26&lt;0,1-BA26/AZ26,BA26/AZ26-1)</f>
        <v>-9.5065357433234965E-3</v>
      </c>
      <c r="BB29" s="39">
        <f t="shared" ref="BB29" si="209">+IF(BA26&lt;0,1-BB26/BA26,BB26/BA26-1)</f>
        <v>-1.2312938056450062E-2</v>
      </c>
      <c r="BC29" s="39">
        <f t="shared" ref="BC29" si="210">+IF(BB26&lt;0,1-BC26/BB26,BC26/BB26-1)</f>
        <v>-4.155478839023119E-3</v>
      </c>
      <c r="BD29" s="39">
        <f t="shared" ref="BD29" si="211">+IF(BC26&lt;0,1-BD26/BC26,BD26/BC26-1)</f>
        <v>2.6256660460935999E-2</v>
      </c>
      <c r="BE29" s="39">
        <f t="shared" ref="BE29" si="212">+IF(BD26&lt;0,1-BE26/BD26,BE26/BD26-1)</f>
        <v>1.8453646941073432E-2</v>
      </c>
      <c r="BF29" s="39">
        <f t="shared" ref="BF29" si="213">+IF(BE26&lt;0,1-BF26/BE26,BF26/BE26-1)</f>
        <v>1.4065475093667512E-2</v>
      </c>
      <c r="BG29" s="39">
        <f t="shared" ref="BG29" si="214">+IF(BF26&lt;0,1-BG26/BF26,BG26/BF26-1)</f>
        <v>4.7365233192004919E-2</v>
      </c>
      <c r="BH29" s="39">
        <f t="shared" ref="BH29" si="215">+IF(BG26&lt;0,1-BH26/BG26,BH26/BG26-1)</f>
        <v>6.8702290076335881E-2</v>
      </c>
      <c r="BI29" s="39">
        <f t="shared" ref="BI29" si="216">+IF(BH26&lt;0,1-BI26/BH26,BI26/BH26-1)</f>
        <v>3.1926406926406914E-2</v>
      </c>
      <c r="BJ29" s="39">
        <f t="shared" ref="BJ29" si="217">+IF(BI26&lt;0,1-BJ26/BI26,BJ26/BI26-1)</f>
        <v>9.3864708966964194E-3</v>
      </c>
      <c r="BK29" s="39">
        <f t="shared" ref="BK29" si="218">+IF(BJ26&lt;0,1-BK26/BJ26,BK26/BJ26-1)</f>
        <v>1.5429372954439247E-2</v>
      </c>
      <c r="BL29" s="39">
        <f t="shared" ref="BL29" si="219">+IF(BK26&lt;0,1-BL26/BK26,BL26/BK26-1)</f>
        <v>3.8473344929908837E-2</v>
      </c>
      <c r="BM29" s="39">
        <f t="shared" ref="BM29" si="220">+IF(BL26&lt;0,1-BM26/BL26,BM26/BL26-1)</f>
        <v>2.0790225637993931E-2</v>
      </c>
      <c r="BN29" s="39">
        <f t="shared" ref="BN29" si="221">+IF(BM26&lt;0,1-BN26/BM26,BN26/BM26-1)</f>
        <v>4.247104247104172E-3</v>
      </c>
      <c r="BO29" s="39">
        <f t="shared" ref="BO29" si="222">+IF(BN26&lt;0,1-BO26/BN26,BO26/BN26-1)</f>
        <v>1.6243752402921974E-2</v>
      </c>
      <c r="BP29" s="39">
        <f t="shared" ref="BP29" si="223">+IF(BO26&lt;0,1-BP26/BO26,BP26/BO26-1)</f>
        <v>3.225196254610796E-2</v>
      </c>
      <c r="BQ29" s="39">
        <f t="shared" ref="BQ29" si="224">+IF(BP26&lt;0,1-BQ26/BP26,BQ26/BP26-1)</f>
        <v>5.0852116547553505E-2</v>
      </c>
      <c r="BR29" s="39">
        <f t="shared" ref="BR29" si="225">+IF(BQ26&lt;0,1-BR26/BQ26,BR26/BQ26-1)</f>
        <v>1.3776266457406816E-2</v>
      </c>
      <c r="BS29" s="39">
        <f t="shared" ref="BS29" si="226">+IF(BR26&lt;0,1-BS26/BR26,BS26/BR26-1)</f>
        <v>3.8660015481207566E-2</v>
      </c>
      <c r="BT29" s="39">
        <f t="shared" ref="BT29" si="227">+IF(BS26&lt;0,1-BT26/BS26,BT26/BS26-1)</f>
        <v>4.1485529747857353E-2</v>
      </c>
      <c r="BU29" s="39">
        <f t="shared" ref="BU29" si="228">+IF(BT26&lt;0,1-BU26/BT26,BU26/BT26-1)</f>
        <v>5.3269727688332269E-2</v>
      </c>
      <c r="BV29" s="39">
        <f t="shared" ref="BV29" si="229">+IF(BU26&lt;0,1-BV26/BU26,BV26/BU26-1)</f>
        <v>-2.8307227778826549E-3</v>
      </c>
      <c r="BW29" s="39">
        <f t="shared" ref="BW29" si="230">+IF(BV26&lt;0,1-BW26/BV26,BW26/BV26-1)</f>
        <v>6.5140045420136294E-2</v>
      </c>
      <c r="BX29" s="39">
        <f t="shared" ref="BX29" si="231">+IF(BW26&lt;0,1-BX26/BW26,BX26/BW26-1)</f>
        <v>7.7857929711097729E-2</v>
      </c>
      <c r="BY29" s="39">
        <f t="shared" ref="BY29" si="232">+IF(BX26&lt;0,1-BY26/BX26,BY26/BX26-1)</f>
        <v>5.1364895160226798E-2</v>
      </c>
      <c r="BZ29" s="39">
        <f t="shared" ref="BZ29" si="233">+IF(BY26&lt;0,1-BZ26/BY26,BZ26/BY26-1)</f>
        <v>-1.4142364377547789E-2</v>
      </c>
      <c r="CA29" s="39">
        <f t="shared" ref="CA29" si="234">+IF(BZ26&lt;0,1-CA26/BZ26,CA26/BZ26-1)</f>
        <v>2.0674957854893705E-2</v>
      </c>
      <c r="CB29" s="39">
        <f t="shared" ref="CB29" si="235">+IF(CA26&lt;0,1-CB26/CA26,CB26/CA26-1)</f>
        <v>1.3836517186574859E-2</v>
      </c>
      <c r="CC29" s="39">
        <f t="shared" ref="CC29" si="236">+IF(CB26&lt;0,1-CC26/CB26,CC26/CB26-1)</f>
        <v>-1.5369009928380417E-2</v>
      </c>
      <c r="CD29" s="39">
        <f t="shared" ref="CD29" si="237">+IF(CC26&lt;0,1-CD26/CC26,CD26/CC26-1)</f>
        <v>-2.3850404270595926E-2</v>
      </c>
      <c r="CE29" s="39">
        <f t="shared" ref="CE29" si="238">+IF(CD26&lt;0,1-CE26/CD26,CE26/CD26-1)</f>
        <v>4.5476350378969688E-2</v>
      </c>
      <c r="CF29" s="39">
        <f t="shared" ref="CF29" si="239">+IF(CE26&lt;0,1-CF26/CE26,CF26/CE26-1)</f>
        <v>3.5361414456578366E-2</v>
      </c>
      <c r="CG29" s="39">
        <f t="shared" ref="CG29" si="240">+IF(CF26&lt;0,1-CG26/CF26,CG26/CF26-1)</f>
        <v>2.3635772742047756E-4</v>
      </c>
      <c r="CH29" s="39">
        <f t="shared" ref="CH29:CL29" si="241">+IF(CG26&lt;0,1-CH26/CG26,CH26/CG26-1)</f>
        <v>-3.1014621178555579E-3</v>
      </c>
      <c r="CI29" s="39">
        <f t="shared" si="241"/>
        <v>3.8103703703703751E-2</v>
      </c>
      <c r="CJ29" s="39">
        <f t="shared" si="241"/>
        <v>4.4240210069642627E-2</v>
      </c>
      <c r="CK29" s="39">
        <f t="shared" si="241"/>
        <v>2.2385611982725706E-2</v>
      </c>
      <c r="CL29" s="39">
        <f t="shared" si="241"/>
        <v>2.8766207726239834E-2</v>
      </c>
      <c r="CM29" s="40">
        <f t="shared" ref="CM29" si="242">+CM26/CL26-1</f>
        <v>1.4280011795909875E-2</v>
      </c>
      <c r="CN29" s="40">
        <f t="shared" ref="CN29" si="243">+CN26/CM26-1</f>
        <v>1.1307265477804584E-2</v>
      </c>
      <c r="CO29" s="40">
        <f t="shared" ref="CO29" si="244">+CO26/CN26-1</f>
        <v>1.0577109907976556E-2</v>
      </c>
      <c r="CP29" s="40">
        <f t="shared" ref="CP29" si="245">+CP26/CO26-1</f>
        <v>1.0741516195567069E-2</v>
      </c>
      <c r="CQ29" s="40">
        <f t="shared" ref="CQ29" si="246">+CQ26/CP26-1</f>
        <v>1.422776359197786E-2</v>
      </c>
      <c r="CR29" s="40">
        <f t="shared" ref="CR29" si="247">+CR26/CQ26-1</f>
        <v>1.4214695669373612E-2</v>
      </c>
      <c r="CS29" s="40">
        <f t="shared" ref="CS29" si="248">+CS26/CR26-1</f>
        <v>1.4942125436611553E-2</v>
      </c>
      <c r="CT29" s="40">
        <f t="shared" ref="CT29" si="249">+CT26/CS26-1</f>
        <v>1.6032639790296344E-2</v>
      </c>
      <c r="CU29" s="40">
        <f t="shared" ref="CU29" si="250">+CU26/CT26-1</f>
        <v>1.9853408324618016E-2</v>
      </c>
      <c r="CV29" s="40">
        <f t="shared" ref="CV29" si="251">+CV26/CU26-1</f>
        <v>2.1261072038445183E-2</v>
      </c>
      <c r="CW29" s="40">
        <f t="shared" ref="CW29" si="252">+CW26/CV26-1</f>
        <v>2.3022752338238028E-2</v>
      </c>
      <c r="CX29" s="40">
        <f t="shared" ref="CX29" si="253">+CX26/CW26-1</f>
        <v>2.5042470676660544E-2</v>
      </c>
      <c r="CY29" s="40">
        <f t="shared" ref="CY29" si="254">+CY26/CX26-1</f>
        <v>2.7294723685784783E-2</v>
      </c>
      <c r="CZ29" s="40">
        <f t="shared" ref="CZ29" si="255">+CZ26/CY26-1</f>
        <v>2.9155354500487451E-2</v>
      </c>
      <c r="DA29" s="40">
        <f t="shared" ref="DA29" si="256">+DA26/CZ26-1</f>
        <v>3.1128879256667075E-2</v>
      </c>
      <c r="DB29" s="40">
        <f t="shared" ref="DB29" si="257">+DB26/DA26-1</f>
        <v>3.315532647531616E-2</v>
      </c>
      <c r="DE29" s="122"/>
      <c r="DG29" s="39">
        <v>-8.9909404799580761E-3</v>
      </c>
    </row>
    <row r="30" spans="1:111" s="23" customFormat="1" outlineLevel="1" x14ac:dyDescent="0.2">
      <c r="A30" s="23" t="s">
        <v>8</v>
      </c>
      <c r="B30" s="23">
        <f>'Annual Raw'!C14</f>
        <v>715.13365769999996</v>
      </c>
      <c r="C30" s="23">
        <f>'Annual Raw'!D14</f>
        <v>1114.54</v>
      </c>
      <c r="D30" s="23">
        <f>'Annual Raw'!E14</f>
        <v>1680.14</v>
      </c>
      <c r="E30" s="23">
        <f>'Annual Raw'!F14</f>
        <v>2448.0700000000002</v>
      </c>
      <c r="F30" s="23">
        <f>'Annual Raw'!G14</f>
        <v>3536</v>
      </c>
      <c r="G30" s="23">
        <f>'Annual Raw'!H14</f>
        <v>4797</v>
      </c>
      <c r="H30" s="23">
        <f>'Annual Raw'!I14</f>
        <v>7108</v>
      </c>
      <c r="I30" s="23">
        <f>'Annual Raw'!J14</f>
        <v>8853</v>
      </c>
      <c r="J30" s="23">
        <f>'Annual Raw'!K14</f>
        <v>11245</v>
      </c>
      <c r="K30" s="23">
        <f>'Annual Raw'!L14</f>
        <v>12075</v>
      </c>
      <c r="L30" s="23">
        <f>'Annual Raw'!M14</f>
        <v>14856</v>
      </c>
      <c r="M30" s="23">
        <f>'Annual Raw'!N14</f>
        <v>18340</v>
      </c>
      <c r="N30" s="23">
        <f>'Annual Raw'!O14</f>
        <v>22565</v>
      </c>
      <c r="O30" s="23">
        <f>'Annual Raw'!P14</f>
        <v>28831</v>
      </c>
      <c r="P30" s="23">
        <f>'Annual Raw'!Q14</f>
        <v>29802</v>
      </c>
      <c r="Q30" s="23">
        <f>'Annual Raw'!R14</f>
        <v>34406</v>
      </c>
      <c r="R30" s="23">
        <f>'Annual Raw'!S14</f>
        <v>37659</v>
      </c>
      <c r="S30" s="23">
        <f>'Annual Raw'!T14</f>
        <v>38893</v>
      </c>
      <c r="T30" s="23">
        <f>'Annual Raw'!U14</f>
        <v>45315</v>
      </c>
      <c r="U30" s="23">
        <f>'Annual Raw'!V14</f>
        <v>50887</v>
      </c>
      <c r="V30" s="23">
        <f>'Annual Raw'!W14</f>
        <v>55541</v>
      </c>
      <c r="W30" s="23">
        <f>'Annual Raw'!X14</f>
        <v>63986</v>
      </c>
      <c r="X30" s="23">
        <f>'Annual Raw'!Y14</f>
        <v>78359</v>
      </c>
      <c r="Y30" s="23">
        <f>'Annual Raw'!Z14</f>
        <v>82620</v>
      </c>
      <c r="Z30" s="23">
        <f>'Annual Raw'!AA14</f>
        <v>85950</v>
      </c>
      <c r="AA30" s="23">
        <f>'Annual Raw'!AB14</f>
        <v>95094</v>
      </c>
      <c r="AB30" s="76">
        <f t="shared" ref="AB30:AB35" si="258">+SUM(CM30:CP30)</f>
        <v>101751.65</v>
      </c>
      <c r="AC30" s="76">
        <f t="shared" ref="AC30:AC35" si="259">+SUM(CQ30:CT30)</f>
        <v>108874.26550000001</v>
      </c>
      <c r="AD30" s="76">
        <f t="shared" ref="AD30:AD35" si="260">+SUM(CU30:CX30)</f>
        <v>116495.46408500001</v>
      </c>
      <c r="AE30" s="76">
        <f t="shared" ref="AE30:AE35" si="261">+SUM(CY30:DB30)</f>
        <v>124650.14657095003</v>
      </c>
      <c r="AI30" s="23">
        <f>'QTR Raw'!C16</f>
        <v>5260</v>
      </c>
      <c r="AJ30" s="23">
        <f>'QTR Raw'!D16</f>
        <v>5432</v>
      </c>
      <c r="AK30" s="23">
        <f>'QTR Raw'!E16</f>
        <v>5787</v>
      </c>
      <c r="AL30" s="23">
        <f>'QTR Raw'!F16</f>
        <v>6065</v>
      </c>
      <c r="AM30" s="23">
        <f>'QTR Raw'!G16</f>
        <v>6513</v>
      </c>
      <c r="AN30" s="23">
        <f>'QTR Raw'!H16</f>
        <v>7704</v>
      </c>
      <c r="AO30" s="23">
        <f>'QTR Raw'!I16</f>
        <v>7346</v>
      </c>
      <c r="AP30" s="23">
        <f>'QTR Raw'!J16</f>
        <v>7271</v>
      </c>
      <c r="AQ30" s="23">
        <f>'QTR Raw'!K16</f>
        <v>7355</v>
      </c>
      <c r="AR30" s="23">
        <f>'QTR Raw'!L16</f>
        <v>7522</v>
      </c>
      <c r="AS30" s="23">
        <f>'QTR Raw'!M16</f>
        <v>7546</v>
      </c>
      <c r="AT30" s="23">
        <f>'QTR Raw'!N16</f>
        <v>7319</v>
      </c>
      <c r="AU30" s="23">
        <f>'QTR Raw'!O16</f>
        <v>8053</v>
      </c>
      <c r="AV30" s="23">
        <f>'QTR Raw'!P16</f>
        <v>8558</v>
      </c>
      <c r="AW30" s="23">
        <f>'QTR Raw'!Q16</f>
        <v>8772</v>
      </c>
      <c r="AX30" s="23">
        <f>'QTR Raw'!R16</f>
        <v>9024</v>
      </c>
      <c r="AY30" s="23">
        <f>'QTR Raw'!S16</f>
        <v>9282</v>
      </c>
      <c r="AZ30" s="23">
        <f>'QTR Raw'!T16</f>
        <v>9648</v>
      </c>
      <c r="BA30" s="23">
        <f>'QTR Raw'!U16</f>
        <v>9420</v>
      </c>
      <c r="BB30" s="23">
        <f>'QTR Raw'!V16</f>
        <v>9309</v>
      </c>
      <c r="BC30" s="23">
        <f>'QTR Raw'!W16</f>
        <v>9366</v>
      </c>
      <c r="BD30" s="23">
        <f>'QTR Raw'!X16</f>
        <v>9604</v>
      </c>
      <c r="BE30" s="23">
        <f>'QTR Raw'!Y16</f>
        <v>9869</v>
      </c>
      <c r="BF30" s="23">
        <f>'QTR Raw'!Z16</f>
        <v>10054</v>
      </c>
      <c r="BG30" s="23">
        <f>'QTR Raw'!AA16</f>
        <v>10462</v>
      </c>
      <c r="BH30" s="23">
        <f>'QTR Raw'!AB16</f>
        <v>11158</v>
      </c>
      <c r="BI30" s="23">
        <f>'QTR Raw'!AC16</f>
        <v>11622</v>
      </c>
      <c r="BJ30" s="23">
        <f>'QTR Raw'!AD16</f>
        <v>12074</v>
      </c>
      <c r="BK30" s="23">
        <f>'QTR Raw'!AE16</f>
        <v>12302</v>
      </c>
      <c r="BL30" s="23">
        <f>'QTR Raw'!AF16</f>
        <v>12675</v>
      </c>
      <c r="BM30" s="23">
        <f>'QTR Raw'!AG16</f>
        <v>12994</v>
      </c>
      <c r="BN30" s="23">
        <f>'QTR Raw'!AH16</f>
        <v>12916</v>
      </c>
      <c r="BO30" s="23">
        <f>'QTR Raw'!AI16</f>
        <v>13604</v>
      </c>
      <c r="BP30" s="23">
        <f>'QTR Raw'!AJ16</f>
        <v>13400</v>
      </c>
      <c r="BQ30" s="23">
        <f>'QTR Raw'!AK16</f>
        <v>14097</v>
      </c>
      <c r="BR30" s="23">
        <f>'QTR Raw'!AL16</f>
        <v>14440</v>
      </c>
      <c r="BS30" s="23">
        <f>'QTR Raw'!AM16</f>
        <v>15230</v>
      </c>
      <c r="BT30" s="23">
        <f>'QTR Raw'!AN16</f>
        <v>15743</v>
      </c>
      <c r="BU30" s="23">
        <f>'QTR Raw'!AO16</f>
        <v>16355</v>
      </c>
      <c r="BV30" s="23">
        <f>'QTR Raw'!AP16</f>
        <v>16658</v>
      </c>
      <c r="BW30" s="23">
        <f>'QTR Raw'!AQ16</f>
        <v>18337</v>
      </c>
      <c r="BX30" s="23">
        <f>'QTR Raw'!AR16</f>
        <v>19438</v>
      </c>
      <c r="BY30" s="23">
        <f>'QTR Raw'!AS16</f>
        <v>20272</v>
      </c>
      <c r="BZ30" s="23">
        <f>'QTR Raw'!AT16</f>
        <v>20311</v>
      </c>
      <c r="CA30" s="23">
        <f>'QTR Raw'!AU16</f>
        <v>20781</v>
      </c>
      <c r="CB30" s="23">
        <f>'QTR Raw'!AV16</f>
        <v>20796</v>
      </c>
      <c r="CC30" s="23">
        <f>'QTR Raw'!AW16</f>
        <v>20651</v>
      </c>
      <c r="CD30" s="23">
        <f>'QTR Raw'!AX16</f>
        <v>20393</v>
      </c>
      <c r="CE30" s="23">
        <f>'QTR Raw'!AY16</f>
        <v>20934</v>
      </c>
      <c r="CF30" s="23">
        <f>'QTR Raw'!AZ16</f>
        <v>21564</v>
      </c>
      <c r="CG30" s="23">
        <f>'QTR Raw'!BA16</f>
        <v>21436</v>
      </c>
      <c r="CH30" s="23">
        <f>'QTR Raw'!BB16</f>
        <v>22015</v>
      </c>
      <c r="CI30" s="23">
        <f>'QTR Raw'!BC16</f>
        <v>22847</v>
      </c>
      <c r="CJ30" s="23">
        <f>'QTR Raw'!BD16</f>
        <v>23438</v>
      </c>
      <c r="CK30" s="23">
        <f>'QTR Raw'!BE16</f>
        <v>24122</v>
      </c>
      <c r="CL30" s="23">
        <f>'QTR Raw'!BF16</f>
        <v>24688</v>
      </c>
      <c r="CM30" s="24">
        <f t="shared" ref="CM30:DB30" si="262">CI30*107%</f>
        <v>24446.29</v>
      </c>
      <c r="CN30" s="24">
        <f t="shared" si="262"/>
        <v>25078.66</v>
      </c>
      <c r="CO30" s="24">
        <f t="shared" si="262"/>
        <v>25810.54</v>
      </c>
      <c r="CP30" s="24">
        <f t="shared" si="262"/>
        <v>26416.16</v>
      </c>
      <c r="CQ30" s="24">
        <f t="shared" si="262"/>
        <v>26157.530300000002</v>
      </c>
      <c r="CR30" s="24">
        <f t="shared" si="262"/>
        <v>26834.1662</v>
      </c>
      <c r="CS30" s="24">
        <f t="shared" si="262"/>
        <v>27617.277800000003</v>
      </c>
      <c r="CT30" s="24">
        <f t="shared" si="262"/>
        <v>28265.291200000003</v>
      </c>
      <c r="CU30" s="24">
        <f t="shared" si="262"/>
        <v>27988.557421000005</v>
      </c>
      <c r="CV30" s="24">
        <f t="shared" si="262"/>
        <v>28712.557834000003</v>
      </c>
      <c r="CW30" s="24">
        <f t="shared" si="262"/>
        <v>29550.487246000004</v>
      </c>
      <c r="CX30" s="24">
        <f t="shared" si="262"/>
        <v>30243.861584000006</v>
      </c>
      <c r="CY30" s="24">
        <f t="shared" si="262"/>
        <v>29947.756440470006</v>
      </c>
      <c r="CZ30" s="24">
        <f t="shared" si="262"/>
        <v>30722.436882380003</v>
      </c>
      <c r="DA30" s="24">
        <f t="shared" si="262"/>
        <v>31619.021353220007</v>
      </c>
      <c r="DB30" s="24">
        <f t="shared" si="262"/>
        <v>32360.931894880006</v>
      </c>
      <c r="DE30" s="123"/>
      <c r="DF30" s="23">
        <v>95095</v>
      </c>
      <c r="DG30" s="23">
        <v>23556.050000000003</v>
      </c>
    </row>
    <row r="31" spans="1:111" s="23" customFormat="1" outlineLevel="1" x14ac:dyDescent="0.2">
      <c r="A31" s="23" t="s">
        <v>10</v>
      </c>
      <c r="B31" s="23">
        <f>'Annual Raw'!C17</f>
        <v>139.0900183</v>
      </c>
      <c r="C31" s="23">
        <f>'Annual Raw'!D17</f>
        <v>158.03</v>
      </c>
      <c r="D31" s="23">
        <f>'Annual Raw'!E17</f>
        <v>186.71</v>
      </c>
      <c r="E31" s="23">
        <f>'Annual Raw'!F17</f>
        <v>228.47</v>
      </c>
      <c r="F31" s="23">
        <f>'Annual Raw'!G17</f>
        <v>367</v>
      </c>
      <c r="G31" s="23">
        <f>'Annual Raw'!H17</f>
        <v>577</v>
      </c>
      <c r="H31" s="23">
        <f>'Annual Raw'!I17</f>
        <v>758</v>
      </c>
      <c r="I31" s="23">
        <f>'Annual Raw'!J17</f>
        <v>881</v>
      </c>
      <c r="J31" s="23">
        <f>'Annual Raw'!K17</f>
        <v>1030</v>
      </c>
      <c r="K31" s="23">
        <f>'Annual Raw'!L17</f>
        <v>997</v>
      </c>
      <c r="L31" s="23">
        <f>'Annual Raw'!M17</f>
        <v>1213</v>
      </c>
      <c r="M31" s="23">
        <f>'Annual Raw'!N17</f>
        <v>1519</v>
      </c>
      <c r="N31" s="23">
        <f>'Annual Raw'!O17</f>
        <v>1747</v>
      </c>
      <c r="O31" s="23">
        <f>'Annual Raw'!P17</f>
        <v>4024</v>
      </c>
      <c r="P31" s="23">
        <f>'Annual Raw'!Q17</f>
        <v>4011</v>
      </c>
      <c r="Q31" s="23">
        <f>'Annual Raw'!R17</f>
        <v>5368</v>
      </c>
      <c r="R31" s="23">
        <f>'Annual Raw'!S17</f>
        <v>5731</v>
      </c>
      <c r="S31" s="23">
        <f>'Annual Raw'!T17</f>
        <v>5540</v>
      </c>
      <c r="T31" s="23">
        <f>'Annual Raw'!U17</f>
        <v>6611</v>
      </c>
      <c r="U31" s="23">
        <f>'Annual Raw'!V17</f>
        <v>6806</v>
      </c>
      <c r="V31" s="23">
        <f>'Annual Raw'!W17</f>
        <v>4458</v>
      </c>
      <c r="W31" s="23">
        <f>'Annual Raw'!X17</f>
        <v>5242</v>
      </c>
      <c r="X31" s="23">
        <f>'Annual Raw'!Y17</f>
        <v>6201</v>
      </c>
      <c r="Y31" s="23">
        <f>'Annual Raw'!Z17</f>
        <v>6773</v>
      </c>
      <c r="Z31" s="23">
        <f>'Annual Raw'!AA17</f>
        <v>6761</v>
      </c>
      <c r="AA31" s="23">
        <f>'Annual Raw'!AB17</f>
        <v>7822</v>
      </c>
      <c r="AB31" s="76">
        <f t="shared" si="258"/>
        <v>0</v>
      </c>
      <c r="AC31" s="76">
        <f t="shared" si="259"/>
        <v>0</v>
      </c>
      <c r="AD31" s="76">
        <f t="shared" si="260"/>
        <v>0</v>
      </c>
      <c r="AE31" s="76">
        <f t="shared" si="261"/>
        <v>0</v>
      </c>
      <c r="AI31" s="23">
        <f>'QTR Raw'!C17</f>
        <v>644</v>
      </c>
      <c r="AJ31" s="23">
        <f>'QTR Raw'!D17</f>
        <v>653</v>
      </c>
      <c r="AK31" s="23">
        <f>'QTR Raw'!E17</f>
        <v>640</v>
      </c>
      <c r="AL31" s="23">
        <f>'QTR Raw'!F17</f>
        <v>672</v>
      </c>
      <c r="AM31" s="23">
        <f>'QTR Raw'!G17</f>
        <v>700</v>
      </c>
      <c r="AN31" s="23">
        <f>'QTR Raw'!H17</f>
        <v>987</v>
      </c>
      <c r="AO31" s="23">
        <f>'QTR Raw'!I17</f>
        <v>802</v>
      </c>
      <c r="AP31" s="23">
        <f>'QTR Raw'!J17</f>
        <v>837</v>
      </c>
      <c r="AQ31" s="23">
        <f>'QTR Raw'!K17</f>
        <v>847</v>
      </c>
      <c r="AR31" s="23">
        <f>'QTR Raw'!L17</f>
        <v>889</v>
      </c>
      <c r="AS31" s="23">
        <f>'QTR Raw'!M17</f>
        <v>875</v>
      </c>
      <c r="AT31" s="23">
        <f>'QTR Raw'!N17</f>
        <v>1052</v>
      </c>
      <c r="AU31" s="23">
        <f>'QTR Raw'!O17</f>
        <v>281</v>
      </c>
      <c r="AV31" s="23">
        <f>'QTR Raw'!P17</f>
        <v>295</v>
      </c>
      <c r="AW31" s="23">
        <f>'QTR Raw'!Q17</f>
        <v>322</v>
      </c>
      <c r="AX31" s="23">
        <f>'QTR Raw'!R17</f>
        <v>330</v>
      </c>
      <c r="AY31" s="23">
        <f>'QTR Raw'!S17</f>
        <v>295</v>
      </c>
      <c r="AZ31" s="23">
        <f>'QTR Raw'!T17</f>
        <v>301</v>
      </c>
      <c r="BA31" s="23">
        <f>'QTR Raw'!U17</f>
        <v>310</v>
      </c>
      <c r="BB31" s="23">
        <f>'QTR Raw'!V17</f>
        <v>378</v>
      </c>
      <c r="BC31" s="23">
        <f>'QTR Raw'!W17</f>
        <v>371</v>
      </c>
      <c r="BD31" s="23">
        <f>'QTR Raw'!X17</f>
        <v>400</v>
      </c>
      <c r="BE31" s="23">
        <f>'QTR Raw'!Y17</f>
        <v>358</v>
      </c>
      <c r="BF31" s="23">
        <f>'QTR Raw'!Z17</f>
        <v>282</v>
      </c>
      <c r="BG31" s="23">
        <f>'QTR Raw'!AA17</f>
        <v>427</v>
      </c>
      <c r="BH31" s="23">
        <f>'QTR Raw'!AB17</f>
        <v>410</v>
      </c>
      <c r="BI31" s="23">
        <f>'QTR Raw'!AC17</f>
        <v>467</v>
      </c>
      <c r="BJ31" s="23">
        <f>'QTR Raw'!AD17</f>
        <v>491</v>
      </c>
      <c r="BK31" s="23">
        <f>'QTR Raw'!AE17</f>
        <v>418</v>
      </c>
      <c r="BL31" s="23">
        <f>'QTR Raw'!AF17</f>
        <v>470</v>
      </c>
      <c r="BM31" s="23">
        <f>'QTR Raw'!AG17</f>
        <v>494</v>
      </c>
      <c r="BN31" s="23">
        <f>'QTR Raw'!AH17</f>
        <v>478</v>
      </c>
      <c r="BO31" s="23">
        <f>'QTR Raw'!AI17</f>
        <v>425</v>
      </c>
      <c r="BP31" s="23">
        <f>'QTR Raw'!AJ17</f>
        <v>448</v>
      </c>
      <c r="BQ31" s="23">
        <f>'QTR Raw'!AK17</f>
        <v>482</v>
      </c>
      <c r="BR31" s="23">
        <f>'QTR Raw'!AL17</f>
        <v>541</v>
      </c>
      <c r="BS31" s="23">
        <f>'QTR Raw'!AM17</f>
        <v>543</v>
      </c>
      <c r="BT31" s="23">
        <f>'QTR Raw'!AN17</f>
        <v>595</v>
      </c>
      <c r="BU31" s="23">
        <f>'QTR Raw'!AO17</f>
        <v>667</v>
      </c>
      <c r="BV31" s="23">
        <f>'QTR Raw'!AP17</f>
        <v>691</v>
      </c>
      <c r="BW31" s="23">
        <f>'QTR Raw'!AQ17</f>
        <v>626</v>
      </c>
      <c r="BX31" s="23">
        <f>'QTR Raw'!AR17</f>
        <v>628</v>
      </c>
      <c r="BY31" s="23">
        <f>'QTR Raw'!AS17</f>
        <v>584</v>
      </c>
      <c r="BZ31" s="23">
        <f>'QTR Raw'!AT17</f>
        <v>558</v>
      </c>
      <c r="CA31" s="23">
        <f>'QTR Raw'!AU17</f>
        <v>528</v>
      </c>
      <c r="CB31" s="23">
        <f>'QTR Raw'!AV17</f>
        <v>566</v>
      </c>
      <c r="CC31" s="23">
        <f>'QTR Raw'!AW17</f>
        <v>673</v>
      </c>
      <c r="CD31" s="23">
        <f>'QTR Raw'!AX17</f>
        <v>636</v>
      </c>
      <c r="CE31" s="23">
        <f>'QTR Raw'!AY17</f>
        <v>592</v>
      </c>
      <c r="CF31" s="23">
        <f>'QTR Raw'!AZ17</f>
        <v>620</v>
      </c>
      <c r="CG31" s="23">
        <f>'QTR Raw'!BA17</f>
        <v>616</v>
      </c>
      <c r="CH31" s="23">
        <f>'QTR Raw'!BB17</f>
        <v>448</v>
      </c>
      <c r="CI31" s="23">
        <f>'QTR Raw'!BC17</f>
        <v>608</v>
      </c>
      <c r="CJ31" s="23">
        <f>'QTR Raw'!BD17</f>
        <v>640</v>
      </c>
      <c r="CK31" s="23">
        <f>'QTR Raw'!BE17</f>
        <v>645</v>
      </c>
      <c r="CL31" s="23">
        <f>'QTR Raw'!BF17</f>
        <v>802</v>
      </c>
      <c r="CM31" s="24"/>
      <c r="CN31" s="24"/>
      <c r="CO31" s="24"/>
      <c r="CP31" s="24"/>
      <c r="CQ31" s="24"/>
      <c r="CR31" s="24"/>
      <c r="CS31" s="24"/>
      <c r="CT31" s="24"/>
      <c r="CU31" s="24"/>
      <c r="CV31" s="24"/>
      <c r="CW31" s="24"/>
      <c r="CX31" s="24"/>
      <c r="CY31" s="24"/>
      <c r="CZ31" s="24"/>
      <c r="DA31" s="24"/>
      <c r="DB31" s="24"/>
      <c r="DE31" s="123"/>
      <c r="DF31" s="23">
        <v>2695</v>
      </c>
    </row>
    <row r="32" spans="1:111" s="23" customFormat="1" outlineLevel="1" x14ac:dyDescent="0.2">
      <c r="A32" s="23" t="s">
        <v>12</v>
      </c>
      <c r="B32" s="23">
        <f>'Annual Raw'!C19-'Annual Raw'!C20</f>
        <v>44.736813099999999</v>
      </c>
      <c r="C32" s="23">
        <f>'Annual Raw'!D19-'Annual Raw'!D20</f>
        <v>24.9</v>
      </c>
      <c r="D32" s="23">
        <f>'Annual Raw'!E19-'Annual Raw'!E20</f>
        <v>37.69</v>
      </c>
      <c r="E32" s="23">
        <f>'Annual Raw'!F19-'Annual Raw'!F20</f>
        <v>51.1</v>
      </c>
      <c r="F32" s="23">
        <f>'Annual Raw'!G19-'Annual Raw'!G20</f>
        <v>58</v>
      </c>
      <c r="G32" s="23">
        <f>'Annual Raw'!H19-'Annual Raw'!H20</f>
        <v>125</v>
      </c>
      <c r="H32" s="23">
        <f>'Annual Raw'!I19-'Annual Raw'!I20</f>
        <v>105</v>
      </c>
      <c r="I32" s="23">
        <f>'Annual Raw'!J19-'Annual Raw'!J20</f>
        <v>134</v>
      </c>
      <c r="J32" s="23">
        <f>'Annual Raw'!K19-'Annual Raw'!K20</f>
        <v>590</v>
      </c>
      <c r="K32" s="23">
        <f>'Annual Raw'!L19-'Annual Raw'!L20</f>
        <v>92</v>
      </c>
      <c r="L32" s="23">
        <f>'Annual Raw'!M19-'Annual Raw'!M20</f>
        <v>60</v>
      </c>
      <c r="M32" s="23">
        <f>'Annual Raw'!N19-'Annual Raw'!N20</f>
        <v>141</v>
      </c>
      <c r="N32" s="23">
        <f>'Annual Raw'!O19-'Annual Raw'!O20</f>
        <v>201</v>
      </c>
      <c r="O32" s="23">
        <f>'Annual Raw'!P19-'Annual Raw'!P20</f>
        <v>370</v>
      </c>
      <c r="P32" s="23">
        <f>'Annual Raw'!Q19-'Annual Raw'!Q20</f>
        <v>648</v>
      </c>
      <c r="Q32" s="23">
        <f>'Annual Raw'!R19-'Annual Raw'!R20</f>
        <v>365</v>
      </c>
      <c r="R32" s="23">
        <f>'Annual Raw'!S19-'Annual Raw'!S20</f>
        <v>729</v>
      </c>
      <c r="S32" s="23">
        <f>'Annual Raw'!T19-'Annual Raw'!T20</f>
        <v>345</v>
      </c>
      <c r="T32" s="23">
        <f>'Annual Raw'!U19-'Annual Raw'!U20</f>
        <v>1235</v>
      </c>
      <c r="U32" s="23">
        <f>'Annual Raw'!V19-'Annual Raw'!V20</f>
        <v>1068</v>
      </c>
      <c r="V32" s="23">
        <f>'Annual Raw'!W19-'Annual Raw'!W20</f>
        <v>975</v>
      </c>
      <c r="W32" s="23">
        <f>'Annual Raw'!X19-'Annual Raw'!X20</f>
        <v>596</v>
      </c>
      <c r="X32" s="23">
        <f>'Annual Raw'!Y19-'Annual Raw'!Y20</f>
        <v>1401</v>
      </c>
      <c r="Y32" s="23">
        <f>'Annual Raw'!Z19-'Annual Raw'!Z20</f>
        <v>654</v>
      </c>
      <c r="Z32" s="23">
        <f>'Annual Raw'!AA19-'Annual Raw'!AA20</f>
        <v>838</v>
      </c>
      <c r="AA32" s="23">
        <f>'Annual Raw'!AB19-'Annual Raw'!AB20</f>
        <v>3107</v>
      </c>
      <c r="AB32" s="76">
        <f t="shared" si="258"/>
        <v>0</v>
      </c>
      <c r="AC32" s="76">
        <f t="shared" si="259"/>
        <v>0</v>
      </c>
      <c r="AD32" s="76">
        <f t="shared" si="260"/>
        <v>0</v>
      </c>
      <c r="AE32" s="76">
        <f t="shared" si="261"/>
        <v>0</v>
      </c>
      <c r="AI32" s="23">
        <f>+'QTR Raw'!C21</f>
        <v>0</v>
      </c>
      <c r="AJ32" s="23">
        <f>+'QTR Raw'!D21</f>
        <v>0</v>
      </c>
      <c r="AK32" s="23">
        <f>+'QTR Raw'!E21</f>
        <v>0</v>
      </c>
      <c r="AL32" s="23">
        <f>+'QTR Raw'!F21</f>
        <v>0</v>
      </c>
      <c r="AM32" s="23">
        <f>+'QTR Raw'!G21</f>
        <v>0</v>
      </c>
      <c r="AN32" s="23">
        <f>+'QTR Raw'!H21</f>
        <v>0</v>
      </c>
      <c r="AO32" s="23">
        <f>+'QTR Raw'!I21</f>
        <v>0</v>
      </c>
      <c r="AP32" s="23">
        <f>+'QTR Raw'!J21</f>
        <v>0</v>
      </c>
      <c r="AQ32" s="23">
        <f>+'QTR Raw'!K21</f>
        <v>0</v>
      </c>
      <c r="AR32" s="23">
        <f>+'QTR Raw'!L21</f>
        <v>0</v>
      </c>
      <c r="AS32" s="23">
        <f>+'QTR Raw'!M21</f>
        <v>0</v>
      </c>
      <c r="AT32" s="23">
        <f>+'QTR Raw'!N21</f>
        <v>0</v>
      </c>
      <c r="AU32" s="23">
        <f>+'QTR Raw'!O21</f>
        <v>60</v>
      </c>
      <c r="AV32" s="23">
        <f>+'QTR Raw'!P21</f>
        <v>64</v>
      </c>
      <c r="AW32" s="23">
        <f>+'QTR Raw'!Q21</f>
        <v>25</v>
      </c>
      <c r="AX32" s="23">
        <f>+'QTR Raw'!R21</f>
        <v>0</v>
      </c>
      <c r="AY32" s="23">
        <f>+'QTR Raw'!S21</f>
        <v>0</v>
      </c>
      <c r="AZ32" s="23">
        <f>+'QTR Raw'!T21</f>
        <v>0</v>
      </c>
      <c r="BA32" s="23">
        <f>+'QTR Raw'!U21</f>
        <v>0</v>
      </c>
      <c r="BB32" s="23">
        <f>+'QTR Raw'!V21</f>
        <v>0</v>
      </c>
      <c r="BC32" s="23">
        <f>+'QTR Raw'!W21</f>
        <v>0</v>
      </c>
      <c r="BD32" s="23">
        <f>+'QTR Raw'!X21</f>
        <v>0</v>
      </c>
      <c r="BE32" s="23">
        <f>+'QTR Raw'!Y21</f>
        <v>0</v>
      </c>
      <c r="BF32" s="23">
        <f>+'QTR Raw'!Z21</f>
        <v>118</v>
      </c>
      <c r="BG32" s="23">
        <f>+'QTR Raw'!AA21</f>
        <v>270</v>
      </c>
      <c r="BH32" s="23">
        <f>+'QTR Raw'!AB21</f>
        <v>0</v>
      </c>
      <c r="BI32" s="23">
        <f>+'QTR Raw'!AC21</f>
        <v>451</v>
      </c>
      <c r="BJ32" s="23">
        <f>+'QTR Raw'!AD21</f>
        <v>0</v>
      </c>
      <c r="BK32" s="23">
        <f>+'QTR Raw'!AE21</f>
        <v>0</v>
      </c>
      <c r="BL32" s="23">
        <f>+'QTR Raw'!AF21</f>
        <v>0</v>
      </c>
      <c r="BM32" s="23">
        <f>+'QTR Raw'!AG21</f>
        <v>0</v>
      </c>
      <c r="BN32" s="23">
        <f>+'QTR Raw'!AH21</f>
        <v>0</v>
      </c>
      <c r="BO32" s="23">
        <f>+'QTR Raw'!AI21</f>
        <v>0</v>
      </c>
      <c r="BP32" s="23">
        <f>+'QTR Raw'!AJ21</f>
        <v>0</v>
      </c>
      <c r="BQ32" s="23">
        <f>+'QTR Raw'!AK21</f>
        <v>0</v>
      </c>
      <c r="BR32" s="23">
        <f>+'QTR Raw'!AL21</f>
        <v>0</v>
      </c>
      <c r="BS32" s="23">
        <f>+'QTR Raw'!AM21</f>
        <v>0</v>
      </c>
      <c r="BT32" s="23">
        <f>+'QTR Raw'!AN21</f>
        <v>0</v>
      </c>
      <c r="BU32" s="23">
        <f>+'QTR Raw'!AO21</f>
        <v>0</v>
      </c>
      <c r="BV32" s="23">
        <f>+'QTR Raw'!AP21</f>
        <v>0</v>
      </c>
      <c r="BW32" s="23">
        <f>+'QTR Raw'!AQ21</f>
        <v>0</v>
      </c>
      <c r="BX32" s="23">
        <f>+'QTR Raw'!AR21</f>
        <v>0</v>
      </c>
      <c r="BY32" s="23">
        <f>+'QTR Raw'!AS21</f>
        <v>0</v>
      </c>
      <c r="BZ32" s="23">
        <f>+'QTR Raw'!AT21</f>
        <v>0</v>
      </c>
      <c r="CA32" s="23">
        <f>+'QTR Raw'!AU21</f>
        <v>0</v>
      </c>
      <c r="CB32" s="23">
        <f>+'QTR Raw'!AV21</f>
        <v>0</v>
      </c>
      <c r="CC32" s="23">
        <f>+'QTR Raw'!AW21</f>
        <v>0</v>
      </c>
      <c r="CD32" s="23">
        <f>+'QTR Raw'!AX21</f>
        <v>0</v>
      </c>
      <c r="CE32" s="23">
        <f>+'QTR Raw'!AY21</f>
        <v>0</v>
      </c>
      <c r="CF32" s="23">
        <f>+'QTR Raw'!AZ21</f>
        <v>0</v>
      </c>
      <c r="CG32" s="23">
        <f>+'QTR Raw'!BA21</f>
        <v>0</v>
      </c>
      <c r="CH32" s="23">
        <f>+'QTR Raw'!BB21</f>
        <v>0</v>
      </c>
      <c r="CI32" s="23">
        <f>+'QTR Raw'!BC21</f>
        <v>0</v>
      </c>
      <c r="CJ32" s="23">
        <f>+'QTR Raw'!BD21</f>
        <v>0</v>
      </c>
      <c r="CK32" s="23">
        <f>+'QTR Raw'!BE21</f>
        <v>0</v>
      </c>
      <c r="CL32" s="23">
        <f>+'QTR Raw'!BF21</f>
        <v>0</v>
      </c>
      <c r="CM32" s="24"/>
      <c r="CN32" s="24"/>
      <c r="CO32" s="24"/>
      <c r="CP32" s="24"/>
      <c r="CQ32" s="24"/>
      <c r="CR32" s="24"/>
      <c r="CS32" s="24"/>
      <c r="CT32" s="24"/>
      <c r="CU32" s="24"/>
      <c r="CV32" s="24"/>
      <c r="CW32" s="24"/>
      <c r="CX32" s="24"/>
      <c r="CY32" s="24"/>
      <c r="CZ32" s="24"/>
      <c r="DA32" s="24"/>
      <c r="DB32" s="24"/>
      <c r="DE32" s="123"/>
      <c r="DF32" s="23">
        <v>0</v>
      </c>
    </row>
    <row r="33" spans="1:111" s="23" customFormat="1" outlineLevel="1" x14ac:dyDescent="0.2">
      <c r="A33" s="23" t="s">
        <v>9</v>
      </c>
      <c r="B33" s="23">
        <f>'Annual Raw'!C15+'Annual Raw'!C16</f>
        <v>216.0859389</v>
      </c>
      <c r="C33" s="23">
        <f>'Annual Raw'!D15+'Annual Raw'!D16</f>
        <v>216.64</v>
      </c>
      <c r="D33" s="23">
        <f>'Annual Raw'!E15+'Annual Raw'!E16</f>
        <v>418.55</v>
      </c>
      <c r="E33" s="23">
        <f>'Annual Raw'!F15+'Annual Raw'!F16</f>
        <v>455.03999999999996</v>
      </c>
      <c r="F33" s="23">
        <f>'Annual Raw'!G15+'Annual Raw'!G16</f>
        <v>704</v>
      </c>
      <c r="G33" s="23">
        <f>'Annual Raw'!H15+'Annual Raw'!H16</f>
        <v>847</v>
      </c>
      <c r="H33" s="23">
        <f>'Annual Raw'!I15+'Annual Raw'!I16</f>
        <v>1225</v>
      </c>
      <c r="I33" s="23">
        <f>'Annual Raw'!J15+'Annual Raw'!J16</f>
        <v>1310</v>
      </c>
      <c r="J33" s="23">
        <f>'Annual Raw'!K15+'Annual Raw'!K16</f>
        <v>1823</v>
      </c>
      <c r="K33" s="23">
        <f>'Annual Raw'!L15+'Annual Raw'!L16</f>
        <v>1480</v>
      </c>
      <c r="L33" s="23">
        <f>'Annual Raw'!M15+'Annual Raw'!M16</f>
        <v>2117</v>
      </c>
      <c r="M33" s="23">
        <f>'Annual Raw'!N15+'Annual Raw'!N16</f>
        <v>2671</v>
      </c>
      <c r="N33" s="23">
        <f>'Annual Raw'!O15+'Annual Raw'!O16</f>
        <v>3916</v>
      </c>
      <c r="O33" s="23">
        <f>'Annual Raw'!P15+'Annual Raw'!P16</f>
        <v>3211</v>
      </c>
      <c r="P33" s="23">
        <f>'Annual Raw'!Q15+'Annual Raw'!Q16</f>
        <v>3598</v>
      </c>
      <c r="Q33" s="23">
        <f>'Annual Raw'!R15+'Annual Raw'!R16</f>
        <v>4854</v>
      </c>
      <c r="R33" s="23">
        <f>'Annual Raw'!S15+'Annual Raw'!S16</f>
        <v>5550</v>
      </c>
      <c r="S33" s="23">
        <f>'Annual Raw'!T15+'Annual Raw'!T16</f>
        <v>6339</v>
      </c>
      <c r="T33" s="23">
        <f>'Annual Raw'!U15+'Annual Raw'!U16</f>
        <v>8634</v>
      </c>
      <c r="U33" s="23">
        <f>'Annual Raw'!V15+'Annual Raw'!V16</f>
        <v>9517</v>
      </c>
      <c r="V33" s="23">
        <f>'Annual Raw'!W15+'Annual Raw'!W16</f>
        <v>11457</v>
      </c>
      <c r="W33" s="23">
        <f>'Annual Raw'!X15+'Annual Raw'!X16</f>
        <v>19641</v>
      </c>
      <c r="X33" s="23">
        <f>'Annual Raw'!Y15+'Annual Raw'!Y16</f>
        <v>25242</v>
      </c>
      <c r="Y33" s="23">
        <f>'Annual Raw'!Z15+'Annual Raw'!Z16</f>
        <v>25992</v>
      </c>
      <c r="Z33" s="23">
        <f>'Annual Raw'!AA15+'Annual Raw'!AA16</f>
        <v>29075</v>
      </c>
      <c r="AA33" s="23">
        <f>'Annual Raw'!AB15+'Annual Raw'!AB16</f>
        <v>31391</v>
      </c>
      <c r="AB33" s="76">
        <f t="shared" si="258"/>
        <v>11380.681097377605</v>
      </c>
      <c r="AC33" s="76">
        <f t="shared" si="259"/>
        <v>9261.9260513546833</v>
      </c>
      <c r="AD33" s="76">
        <f t="shared" si="260"/>
        <v>16658.076801920226</v>
      </c>
      <c r="AE33" s="76">
        <f t="shared" si="261"/>
        <v>24143.284812368784</v>
      </c>
      <c r="AI33" s="23">
        <f>'QTR Raw'!C14</f>
        <v>0</v>
      </c>
      <c r="AJ33" s="23">
        <f>'QTR Raw'!D14</f>
        <v>0</v>
      </c>
      <c r="AK33" s="23">
        <f>'QTR Raw'!E14</f>
        <v>0</v>
      </c>
      <c r="AL33" s="23">
        <f>'QTR Raw'!F14</f>
        <v>0</v>
      </c>
      <c r="AM33" s="23">
        <f>'QTR Raw'!G14</f>
        <v>0</v>
      </c>
      <c r="AN33" s="23">
        <f>'QTR Raw'!H14</f>
        <v>0</v>
      </c>
      <c r="AO33" s="23">
        <f>'QTR Raw'!I14</f>
        <v>0</v>
      </c>
      <c r="AP33" s="23">
        <f>'QTR Raw'!J14</f>
        <v>0</v>
      </c>
      <c r="AQ33" s="23">
        <f>'QTR Raw'!K14</f>
        <v>0</v>
      </c>
      <c r="AR33" s="23">
        <f>'QTR Raw'!L14</f>
        <v>0</v>
      </c>
      <c r="AS33" s="23">
        <f>'QTR Raw'!M14</f>
        <v>0</v>
      </c>
      <c r="AT33" s="23">
        <f>'QTR Raw'!N14</f>
        <v>0</v>
      </c>
      <c r="AU33" s="23">
        <f>'QTR Raw'!O14</f>
        <v>582</v>
      </c>
      <c r="AV33" s="23">
        <f>'QTR Raw'!P14</f>
        <v>573</v>
      </c>
      <c r="AW33" s="23">
        <f>'QTR Raw'!Q14</f>
        <v>649</v>
      </c>
      <c r="AX33" s="23">
        <f>'QTR Raw'!R14</f>
        <v>707</v>
      </c>
      <c r="AY33" s="23">
        <f>'QTR Raw'!S14</f>
        <v>825</v>
      </c>
      <c r="AZ33" s="23">
        <f>'QTR Raw'!T14</f>
        <v>787</v>
      </c>
      <c r="BA33" s="23">
        <f>'QTR Raw'!U14</f>
        <v>838</v>
      </c>
      <c r="BB33" s="23">
        <f>'QTR Raw'!V14</f>
        <v>823</v>
      </c>
      <c r="BC33" s="23">
        <f>'QTR Raw'!W14</f>
        <v>752</v>
      </c>
      <c r="BD33" s="23">
        <f>'QTR Raw'!X14</f>
        <v>800</v>
      </c>
      <c r="BE33" s="23">
        <f>'QTR Raw'!Y14</f>
        <v>741</v>
      </c>
      <c r="BF33" s="23">
        <f>'QTR Raw'!Z14</f>
        <v>752</v>
      </c>
      <c r="BG33" s="23">
        <f>'QTR Raw'!AA14</f>
        <v>827</v>
      </c>
      <c r="BH33" s="23">
        <f>'QTR Raw'!AB14</f>
        <v>953</v>
      </c>
      <c r="BI33" s="23">
        <f>'QTR Raw'!AC14</f>
        <v>946</v>
      </c>
      <c r="BJ33" s="23">
        <f>'QTR Raw'!AD14</f>
        <v>932</v>
      </c>
      <c r="BK33" s="23">
        <f>'QTR Raw'!AE14</f>
        <v>847</v>
      </c>
      <c r="BL33" s="23">
        <f>'QTR Raw'!AF14</f>
        <v>915</v>
      </c>
      <c r="BM33" s="23">
        <f>'QTR Raw'!AG14</f>
        <v>814</v>
      </c>
      <c r="BN33" s="23">
        <f>'QTR Raw'!AH14</f>
        <v>1071</v>
      </c>
      <c r="BO33" s="23">
        <f>'QTR Raw'!AI14</f>
        <v>880</v>
      </c>
      <c r="BP33" s="23">
        <f>'QTR Raw'!AJ14</f>
        <v>746</v>
      </c>
      <c r="BQ33" s="23">
        <f>'QTR Raw'!AK14</f>
        <v>818</v>
      </c>
      <c r="BR33" s="23">
        <f>'QTR Raw'!AL14</f>
        <v>841</v>
      </c>
      <c r="BS33" s="23">
        <f>'QTR Raw'!AM14</f>
        <v>815</v>
      </c>
      <c r="BT33" s="23">
        <f>'QTR Raw'!AN14</f>
        <v>823</v>
      </c>
      <c r="BU33" s="23">
        <f>'QTR Raw'!AO14</f>
        <v>869</v>
      </c>
      <c r="BV33" s="23">
        <f>'QTR Raw'!AP14</f>
        <v>916</v>
      </c>
      <c r="BW33" s="23">
        <f>'QTR Raw'!AQ14</f>
        <v>938</v>
      </c>
      <c r="BX33" s="23">
        <f>'QTR Raw'!AR14</f>
        <v>1001</v>
      </c>
      <c r="BY33" s="23">
        <f>'QTR Raw'!AS14</f>
        <v>1307</v>
      </c>
      <c r="BZ33" s="23">
        <f>'QTR Raw'!AT14</f>
        <v>1146</v>
      </c>
      <c r="CA33" s="23">
        <f>'QTR Raw'!AU14</f>
        <v>1254</v>
      </c>
      <c r="CB33" s="23">
        <f>'QTR Raw'!AV14</f>
        <v>1292</v>
      </c>
      <c r="CC33" s="23">
        <f>'QTR Raw'!AW14</f>
        <v>1185</v>
      </c>
      <c r="CD33" s="23">
        <f>'QTR Raw'!AX14</f>
        <v>985</v>
      </c>
      <c r="CE33" s="23">
        <f>'QTR Raw'!AY14</f>
        <v>1250</v>
      </c>
      <c r="CF33" s="23">
        <f>'QTR Raw'!AZ14</f>
        <v>1396</v>
      </c>
      <c r="CG33" s="23">
        <f>'QTR Raw'!BA14</f>
        <v>1249</v>
      </c>
      <c r="CH33" s="23">
        <f>'QTR Raw'!BB14</f>
        <v>893</v>
      </c>
      <c r="CI33" s="23">
        <f>'QTR Raw'!BC14</f>
        <v>1122</v>
      </c>
      <c r="CJ33" s="23">
        <f>'QTR Raw'!BD14</f>
        <v>1434</v>
      </c>
      <c r="CK33" s="23">
        <f>'QTR Raw'!BE14</f>
        <v>1494</v>
      </c>
      <c r="CL33" s="23">
        <f>'QTR Raw'!BF14</f>
        <v>1292</v>
      </c>
      <c r="CM33" s="24">
        <f t="shared" ref="CM33:DB33" si="263">CM36-CM30-CM31-CM32-CM34-CM35</f>
        <v>3399.6048642292299</v>
      </c>
      <c r="CN33" s="24">
        <f t="shared" si="263"/>
        <v>3054.6675636682921</v>
      </c>
      <c r="CO33" s="24">
        <f t="shared" si="263"/>
        <v>2627.2700486780232</v>
      </c>
      <c r="CP33" s="24">
        <f t="shared" si="263"/>
        <v>2299.1386208020594</v>
      </c>
      <c r="CQ33" s="24">
        <f t="shared" si="263"/>
        <v>2699.6726632063437</v>
      </c>
      <c r="CR33" s="24">
        <f t="shared" si="263"/>
        <v>2353.8216687657768</v>
      </c>
      <c r="CS33" s="24">
        <f t="shared" si="263"/>
        <v>2211.8624548114967</v>
      </c>
      <c r="CT33" s="24">
        <f t="shared" si="263"/>
        <v>1996.569264571066</v>
      </c>
      <c r="CU33" s="24">
        <f t="shared" si="263"/>
        <v>3747.9512990749135</v>
      </c>
      <c r="CV33" s="24">
        <f t="shared" si="263"/>
        <v>3950.1914362041171</v>
      </c>
      <c r="CW33" s="24">
        <f t="shared" si="263"/>
        <v>4210.2244220678622</v>
      </c>
      <c r="CX33" s="24">
        <f t="shared" si="263"/>
        <v>4749.7096445733332</v>
      </c>
      <c r="CY33" s="24">
        <f t="shared" si="263"/>
        <v>5452.5877778221438</v>
      </c>
      <c r="CZ33" s="24">
        <f t="shared" si="263"/>
        <v>5834.7584367805248</v>
      </c>
      <c r="DA33" s="24">
        <f t="shared" si="263"/>
        <v>6165.0688796313334</v>
      </c>
      <c r="DB33" s="24">
        <f t="shared" si="263"/>
        <v>6690.8697181347816</v>
      </c>
      <c r="DE33" s="123"/>
      <c r="DF33" s="23">
        <v>5342</v>
      </c>
      <c r="DG33" s="23">
        <v>3396.9411383134066</v>
      </c>
    </row>
    <row r="34" spans="1:111" s="23" customFormat="1" outlineLevel="1" x14ac:dyDescent="0.2">
      <c r="A34" s="23" t="s">
        <v>7</v>
      </c>
      <c r="B34" s="23">
        <f>'Annual Raw'!C13</f>
        <v>11.784525800000001</v>
      </c>
      <c r="C34" s="23">
        <f>'Annual Raw'!D13</f>
        <v>18.96</v>
      </c>
      <c r="D34" s="23">
        <f>'Annual Raw'!E13</f>
        <v>22.99</v>
      </c>
      <c r="E34" s="23">
        <f>'Annual Raw'!F13</f>
        <v>30.18</v>
      </c>
      <c r="F34" s="23">
        <f>'Annual Raw'!G13</f>
        <v>44</v>
      </c>
      <c r="G34" s="23">
        <f>'Annual Raw'!H13</f>
        <v>68</v>
      </c>
      <c r="H34" s="23">
        <f>'Annual Raw'!I13</f>
        <v>97</v>
      </c>
      <c r="I34" s="23">
        <f>'Annual Raw'!J13</f>
        <v>122</v>
      </c>
      <c r="J34" s="23">
        <f>'Annual Raw'!K13</f>
        <v>147</v>
      </c>
      <c r="K34" s="23">
        <f>'Annual Raw'!L13</f>
        <v>145</v>
      </c>
      <c r="L34" s="23">
        <f>'Annual Raw'!M13</f>
        <v>167</v>
      </c>
      <c r="M34" s="23">
        <f>'Annual Raw'!N13</f>
        <v>184</v>
      </c>
      <c r="N34" s="23">
        <f>'Annual Raw'!O13</f>
        <v>215</v>
      </c>
      <c r="O34" s="23">
        <f>'Annual Raw'!P13</f>
        <v>219</v>
      </c>
      <c r="P34" s="23">
        <f>'Annual Raw'!Q13</f>
        <v>219</v>
      </c>
      <c r="Q34" s="23">
        <f>'Annual Raw'!R13</f>
        <v>217</v>
      </c>
      <c r="R34" s="23">
        <f>'Annual Raw'!S13</f>
        <v>228</v>
      </c>
      <c r="S34" s="23">
        <f>'Annual Raw'!T13</f>
        <v>207</v>
      </c>
      <c r="T34" s="23">
        <f>'Annual Raw'!U13</f>
        <v>221</v>
      </c>
      <c r="U34" s="23">
        <f>'Annual Raw'!V13</f>
        <v>229</v>
      </c>
      <c r="V34" s="23">
        <f>'Annual Raw'!W13</f>
        <v>143</v>
      </c>
      <c r="W34" s="23">
        <f>'Annual Raw'!X13</f>
        <v>132</v>
      </c>
      <c r="X34" s="23">
        <f>'Annual Raw'!Y13</f>
        <v>176</v>
      </c>
      <c r="Y34" s="23">
        <f>'Annual Raw'!Z13</f>
        <v>199</v>
      </c>
      <c r="Z34" s="23">
        <f>'Annual Raw'!AA13</f>
        <v>222</v>
      </c>
      <c r="AA34" s="23">
        <f>'Annual Raw'!AB13</f>
        <v>223</v>
      </c>
      <c r="AB34" s="76">
        <f t="shared" si="258"/>
        <v>0</v>
      </c>
      <c r="AC34" s="76">
        <f t="shared" si="259"/>
        <v>0</v>
      </c>
      <c r="AD34" s="76">
        <f t="shared" si="260"/>
        <v>0</v>
      </c>
      <c r="AE34" s="76">
        <f t="shared" si="261"/>
        <v>0</v>
      </c>
      <c r="AI34" s="23">
        <f>'QTR Raw'!C15</f>
        <v>0</v>
      </c>
      <c r="AJ34" s="23">
        <f>'QTR Raw'!D15</f>
        <v>0</v>
      </c>
      <c r="AK34" s="23">
        <f>'QTR Raw'!E15</f>
        <v>0</v>
      </c>
      <c r="AL34" s="23">
        <f>'QTR Raw'!F15</f>
        <v>0</v>
      </c>
      <c r="AM34" s="23">
        <f>'QTR Raw'!G15</f>
        <v>0</v>
      </c>
      <c r="AN34" s="23">
        <f>'QTR Raw'!H15</f>
        <v>0</v>
      </c>
      <c r="AO34" s="23">
        <f>'QTR Raw'!I15</f>
        <v>0</v>
      </c>
      <c r="AP34" s="23">
        <f>'QTR Raw'!J15</f>
        <v>0</v>
      </c>
      <c r="AQ34" s="23">
        <f>'QTR Raw'!K15</f>
        <v>0</v>
      </c>
      <c r="AR34" s="23">
        <f>'QTR Raw'!L15</f>
        <v>0</v>
      </c>
      <c r="AS34" s="23">
        <f>'QTR Raw'!M15</f>
        <v>0</v>
      </c>
      <c r="AT34" s="23">
        <f>'QTR Raw'!N15</f>
        <v>0</v>
      </c>
      <c r="AU34" s="23">
        <f>'QTR Raw'!O15</f>
        <v>0</v>
      </c>
      <c r="AV34" s="23">
        <f>'QTR Raw'!P15</f>
        <v>0</v>
      </c>
      <c r="AW34" s="23">
        <f>'QTR Raw'!Q15</f>
        <v>0</v>
      </c>
      <c r="AX34" s="23">
        <f>'QTR Raw'!R15</f>
        <v>0</v>
      </c>
      <c r="AY34" s="23">
        <f>'QTR Raw'!S15</f>
        <v>0</v>
      </c>
      <c r="AZ34" s="23">
        <f>'QTR Raw'!T15</f>
        <v>0</v>
      </c>
      <c r="BA34" s="23">
        <f>'QTR Raw'!U15</f>
        <v>0</v>
      </c>
      <c r="BB34" s="23">
        <f>'QTR Raw'!V15</f>
        <v>0</v>
      </c>
      <c r="BC34" s="23">
        <f>'QTR Raw'!W15</f>
        <v>0</v>
      </c>
      <c r="BD34" s="23">
        <f>'QTR Raw'!X15</f>
        <v>0</v>
      </c>
      <c r="BE34" s="23">
        <f>'QTR Raw'!Y15</f>
        <v>0</v>
      </c>
      <c r="BF34" s="23">
        <f>'QTR Raw'!Z15</f>
        <v>0</v>
      </c>
      <c r="BG34" s="23">
        <f>'QTR Raw'!AA15</f>
        <v>0</v>
      </c>
      <c r="BH34" s="23">
        <f>'QTR Raw'!AB15</f>
        <v>0</v>
      </c>
      <c r="BI34" s="23">
        <f>'QTR Raw'!AC15</f>
        <v>0</v>
      </c>
      <c r="BJ34" s="23">
        <f>'QTR Raw'!AD15</f>
        <v>0</v>
      </c>
      <c r="BK34" s="23">
        <f>'QTR Raw'!AE15</f>
        <v>0</v>
      </c>
      <c r="BL34" s="23">
        <f>'QTR Raw'!AF15</f>
        <v>0</v>
      </c>
      <c r="BM34" s="23">
        <f>'QTR Raw'!AG15</f>
        <v>0</v>
      </c>
      <c r="BN34" s="23">
        <f>'QTR Raw'!AH15</f>
        <v>0</v>
      </c>
      <c r="BO34" s="23">
        <f>'QTR Raw'!AI15</f>
        <v>0</v>
      </c>
      <c r="BP34" s="23">
        <f>'QTR Raw'!AJ15</f>
        <v>0</v>
      </c>
      <c r="BQ34" s="23">
        <f>'QTR Raw'!AK15</f>
        <v>0</v>
      </c>
      <c r="BR34" s="23">
        <f>'QTR Raw'!AL15</f>
        <v>0</v>
      </c>
      <c r="BS34" s="23">
        <f>'QTR Raw'!AM15</f>
        <v>0</v>
      </c>
      <c r="BT34" s="23">
        <f>'QTR Raw'!AN15</f>
        <v>0</v>
      </c>
      <c r="BU34" s="23">
        <f>'QTR Raw'!AO15</f>
        <v>0</v>
      </c>
      <c r="BV34" s="23">
        <f>'QTR Raw'!AP15</f>
        <v>0</v>
      </c>
      <c r="BW34" s="23">
        <f>'QTR Raw'!AQ15</f>
        <v>0</v>
      </c>
      <c r="BX34" s="23">
        <f>'QTR Raw'!AR15</f>
        <v>0</v>
      </c>
      <c r="BY34" s="23">
        <f>'QTR Raw'!AS15</f>
        <v>0</v>
      </c>
      <c r="BZ34" s="23">
        <f>'QTR Raw'!AT15</f>
        <v>0</v>
      </c>
      <c r="CA34" s="23">
        <f>'QTR Raw'!AU15</f>
        <v>0</v>
      </c>
      <c r="CB34" s="23">
        <f>'QTR Raw'!AV15</f>
        <v>0</v>
      </c>
      <c r="CC34" s="23">
        <f>'QTR Raw'!AW15</f>
        <v>0</v>
      </c>
      <c r="CD34" s="23">
        <f>'QTR Raw'!AX15</f>
        <v>0</v>
      </c>
      <c r="CE34" s="23">
        <f>'QTR Raw'!AY15</f>
        <v>0</v>
      </c>
      <c r="CF34" s="23">
        <f>'QTR Raw'!AZ15</f>
        <v>0</v>
      </c>
      <c r="CG34" s="23">
        <f>'QTR Raw'!BA15</f>
        <v>0</v>
      </c>
      <c r="CH34" s="23">
        <f>'QTR Raw'!BB15</f>
        <v>0</v>
      </c>
      <c r="CI34" s="23">
        <f>'QTR Raw'!BC15</f>
        <v>0</v>
      </c>
      <c r="CJ34" s="23">
        <f>'QTR Raw'!BD15</f>
        <v>0</v>
      </c>
      <c r="CK34" s="23">
        <f>'QTR Raw'!BE15</f>
        <v>0</v>
      </c>
      <c r="CL34" s="23">
        <f>'QTR Raw'!BF15</f>
        <v>0</v>
      </c>
      <c r="CM34" s="24"/>
      <c r="CN34" s="24"/>
      <c r="CO34" s="24"/>
      <c r="CP34" s="24"/>
      <c r="CQ34" s="24"/>
      <c r="CR34" s="24"/>
      <c r="CS34" s="24"/>
      <c r="CT34" s="24"/>
      <c r="CU34" s="24"/>
      <c r="CV34" s="24"/>
      <c r="CW34" s="24"/>
      <c r="CX34" s="24"/>
      <c r="CY34" s="24"/>
      <c r="CZ34" s="24"/>
      <c r="DA34" s="24"/>
      <c r="DB34" s="24"/>
      <c r="DE34" s="123"/>
      <c r="DF34" s="23">
        <v>0</v>
      </c>
    </row>
    <row r="35" spans="1:111" s="23" customFormat="1" outlineLevel="1" x14ac:dyDescent="0.2">
      <c r="A35" s="23" t="s">
        <v>11</v>
      </c>
      <c r="B35" s="23">
        <f>'Annual Raw'!C18</f>
        <v>23.588720800000001</v>
      </c>
      <c r="C35" s="23">
        <f>'Annual Raw'!D18</f>
        <v>32.18</v>
      </c>
      <c r="D35" s="23">
        <f>'Annual Raw'!E18</f>
        <v>53.54</v>
      </c>
      <c r="E35" s="23">
        <f>'Annual Raw'!F18</f>
        <v>54.82</v>
      </c>
      <c r="F35" s="23">
        <f>'Annual Raw'!G18</f>
        <v>85</v>
      </c>
      <c r="G35" s="23">
        <f>'Annual Raw'!H18</f>
        <v>109</v>
      </c>
      <c r="H35" s="23">
        <f>'Annual Raw'!I18</f>
        <v>210</v>
      </c>
      <c r="I35" s="23">
        <f>'Annual Raw'!J18</f>
        <v>155</v>
      </c>
      <c r="J35" s="23">
        <f>'Annual Raw'!K18</f>
        <v>101</v>
      </c>
      <c r="K35" s="23">
        <f>'Annual Raw'!L18</f>
        <v>92</v>
      </c>
      <c r="L35" s="23">
        <f>'Annual Raw'!M18</f>
        <v>118</v>
      </c>
      <c r="M35" s="23">
        <f>'Annual Raw'!N18</f>
        <v>152</v>
      </c>
      <c r="N35" s="23">
        <f>'Annual Raw'!O18</f>
        <v>170</v>
      </c>
      <c r="O35" s="23">
        <f>'Annual Raw'!P18</f>
        <v>88</v>
      </c>
      <c r="P35" s="23">
        <f>'Annual Raw'!Q18</f>
        <v>158</v>
      </c>
      <c r="Q35" s="23">
        <f>'Annual Raw'!R18</f>
        <v>198</v>
      </c>
      <c r="R35" s="23">
        <f>'Annual Raw'!S18</f>
        <v>342</v>
      </c>
      <c r="S35" s="23">
        <f>'Annual Raw'!T18</f>
        <v>305</v>
      </c>
      <c r="T35" s="23">
        <f>'Annual Raw'!U18</f>
        <v>489</v>
      </c>
      <c r="U35" s="23">
        <f>'Annual Raw'!V18</f>
        <v>528</v>
      </c>
      <c r="V35" s="23">
        <f>'Annual Raw'!W18</f>
        <v>355</v>
      </c>
      <c r="W35" s="23">
        <f>'Annual Raw'!X18</f>
        <v>553</v>
      </c>
      <c r="X35" s="23">
        <f>'Annual Raw'!Y18</f>
        <v>905</v>
      </c>
      <c r="Y35" s="23">
        <f>'Annual Raw'!Z18</f>
        <v>1007</v>
      </c>
      <c r="Z35" s="23">
        <f>'Annual Raw'!AA18</f>
        <v>1223</v>
      </c>
      <c r="AA35" s="23">
        <f>'Annual Raw'!AB18</f>
        <v>1351</v>
      </c>
      <c r="AB35" s="76">
        <f t="shared" si="258"/>
        <v>0</v>
      </c>
      <c r="AC35" s="76">
        <f t="shared" si="259"/>
        <v>0</v>
      </c>
      <c r="AD35" s="76">
        <f t="shared" si="260"/>
        <v>0</v>
      </c>
      <c r="AE35" s="76">
        <f t="shared" si="261"/>
        <v>0</v>
      </c>
      <c r="AI35" s="23">
        <f>'QTR Raw'!C18</f>
        <v>469</v>
      </c>
      <c r="AJ35" s="23">
        <f>'QTR Raw'!D18</f>
        <v>506</v>
      </c>
      <c r="AK35" s="23">
        <f>'QTR Raw'!E18</f>
        <v>541</v>
      </c>
      <c r="AL35" s="23">
        <f>'QTR Raw'!F18</f>
        <v>518</v>
      </c>
      <c r="AM35" s="23">
        <f>'QTR Raw'!G18</f>
        <v>584</v>
      </c>
      <c r="AN35" s="23">
        <f>'QTR Raw'!H18</f>
        <v>757</v>
      </c>
      <c r="AO35" s="23">
        <f>'QTR Raw'!I18</f>
        <v>644</v>
      </c>
      <c r="AP35" s="23">
        <f>'QTR Raw'!J18</f>
        <v>640</v>
      </c>
      <c r="AQ35" s="23">
        <f>'QTR Raw'!K18</f>
        <v>666</v>
      </c>
      <c r="AR35" s="23">
        <f>'QTR Raw'!L18</f>
        <v>769</v>
      </c>
      <c r="AS35" s="23">
        <f>'QTR Raw'!M18</f>
        <v>770</v>
      </c>
      <c r="AT35" s="23">
        <f>'QTR Raw'!N18</f>
        <v>736</v>
      </c>
      <c r="AU35" s="23">
        <f>'QTR Raw'!O18</f>
        <v>556</v>
      </c>
      <c r="AV35" s="23">
        <f>'QTR Raw'!P18</f>
        <v>582</v>
      </c>
      <c r="AW35" s="23">
        <f>'QTR Raw'!Q18</f>
        <v>530</v>
      </c>
      <c r="AX35" s="23">
        <f>'QTR Raw'!R18</f>
        <v>595</v>
      </c>
      <c r="AY35" s="23">
        <f>'QTR Raw'!S18</f>
        <v>740</v>
      </c>
      <c r="AZ35" s="23">
        <f>'QTR Raw'!T18</f>
        <v>520</v>
      </c>
      <c r="BA35" s="23">
        <f>'QTR Raw'!U18</f>
        <v>502</v>
      </c>
      <c r="BB35" s="23">
        <f>'QTR Raw'!V18</f>
        <v>474</v>
      </c>
      <c r="BC35" s="23">
        <f>'QTR Raw'!W18</f>
        <v>527</v>
      </c>
      <c r="BD35" s="23">
        <f>'QTR Raw'!X18</f>
        <v>480</v>
      </c>
      <c r="BE35" s="23">
        <f>'QTR Raw'!Y18</f>
        <v>496</v>
      </c>
      <c r="BF35" s="23">
        <f>'QTR Raw'!Z18</f>
        <v>492</v>
      </c>
      <c r="BG35" s="23">
        <f>'QTR Raw'!AA18</f>
        <v>603</v>
      </c>
      <c r="BH35" s="23">
        <f>'QTR Raw'!AB18</f>
        <v>602</v>
      </c>
      <c r="BI35" s="23">
        <f>'QTR Raw'!AC18</f>
        <v>625</v>
      </c>
      <c r="BJ35" s="23">
        <f>'QTR Raw'!AD18</f>
        <v>603</v>
      </c>
      <c r="BK35" s="23">
        <f>'QTR Raw'!AE18</f>
        <v>827</v>
      </c>
      <c r="BL35" s="23">
        <f>'QTR Raw'!AF18</f>
        <v>599</v>
      </c>
      <c r="BM35" s="23">
        <f>'QTR Raw'!AG18</f>
        <v>617</v>
      </c>
      <c r="BN35" s="23">
        <f>'QTR Raw'!AH18</f>
        <v>667</v>
      </c>
      <c r="BO35" s="23">
        <f>'QTR Raw'!AI18</f>
        <v>116</v>
      </c>
      <c r="BP35" s="23">
        <f>'QTR Raw'!AJ18</f>
        <v>151</v>
      </c>
      <c r="BQ35" s="23">
        <f>'QTR Raw'!AK18</f>
        <v>126</v>
      </c>
      <c r="BR35" s="23">
        <f>'QTR Raw'!AL18</f>
        <v>161</v>
      </c>
      <c r="BS35" s="23">
        <f>'QTR Raw'!AM18</f>
        <v>133</v>
      </c>
      <c r="BT35" s="23">
        <f>'QTR Raw'!AN18</f>
        <v>163</v>
      </c>
      <c r="BU35" s="23">
        <f>'QTR Raw'!AO18</f>
        <v>221</v>
      </c>
      <c r="BV35" s="23">
        <f>'QTR Raw'!AP18</f>
        <v>309</v>
      </c>
      <c r="BW35" s="23">
        <f>'QTR Raw'!AQ18</f>
        <v>376</v>
      </c>
      <c r="BX35" s="23">
        <f>'QTR Raw'!AR18</f>
        <v>363</v>
      </c>
      <c r="BY35" s="23">
        <f>'QTR Raw'!AS18</f>
        <v>360</v>
      </c>
      <c r="BZ35" s="23">
        <f>'QTR Raw'!AT18</f>
        <v>426</v>
      </c>
      <c r="CA35" s="23">
        <f>'QTR Raw'!AU18</f>
        <v>462</v>
      </c>
      <c r="CB35" s="23">
        <f>'QTR Raw'!AV18</f>
        <v>439</v>
      </c>
      <c r="CC35" s="23">
        <f>'QTR Raw'!AW18</f>
        <v>387</v>
      </c>
      <c r="CD35" s="23">
        <f>'QTR Raw'!AX18</f>
        <v>471</v>
      </c>
      <c r="CE35" s="23">
        <f>'QTR Raw'!AY18</f>
        <v>478</v>
      </c>
      <c r="CF35" s="23">
        <f>'QTR Raw'!AZ18</f>
        <v>458</v>
      </c>
      <c r="CG35" s="23">
        <f>'QTR Raw'!BA18</f>
        <v>439</v>
      </c>
      <c r="CH35" s="23">
        <f>'QTR Raw'!BB18</f>
        <v>520</v>
      </c>
      <c r="CI35" s="23">
        <f>'QTR Raw'!BC18</f>
        <v>516</v>
      </c>
      <c r="CJ35" s="23">
        <f>'QTR Raw'!BD18</f>
        <v>539</v>
      </c>
      <c r="CK35" s="23">
        <f>'QTR Raw'!BE18</f>
        <v>510</v>
      </c>
      <c r="CL35" s="23">
        <f>'QTR Raw'!BF18</f>
        <v>532</v>
      </c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E35" s="123"/>
      <c r="DF35" s="23">
        <v>2097</v>
      </c>
    </row>
    <row r="36" spans="1:111" s="22" customFormat="1" x14ac:dyDescent="0.2">
      <c r="A36" s="33" t="s">
        <v>348</v>
      </c>
      <c r="B36" s="22">
        <f t="shared" ref="B36:E36" si="264">+SUM(B30:B35)</f>
        <v>1150.4196745999998</v>
      </c>
      <c r="C36" s="22">
        <f t="shared" si="264"/>
        <v>1565.2500000000002</v>
      </c>
      <c r="D36" s="22">
        <f t="shared" si="264"/>
        <v>2399.62</v>
      </c>
      <c r="E36" s="22">
        <f t="shared" si="264"/>
        <v>3267.68</v>
      </c>
      <c r="F36" s="22">
        <f t="shared" ref="F36:AE36" si="265">+SUM(F30:F35)</f>
        <v>4794</v>
      </c>
      <c r="G36" s="22">
        <f t="shared" si="265"/>
        <v>6523</v>
      </c>
      <c r="H36" s="22">
        <f t="shared" si="265"/>
        <v>9503</v>
      </c>
      <c r="I36" s="22">
        <f t="shared" si="265"/>
        <v>11455</v>
      </c>
      <c r="J36" s="22">
        <f t="shared" si="265"/>
        <v>14936</v>
      </c>
      <c r="K36" s="22">
        <f t="shared" si="265"/>
        <v>14881</v>
      </c>
      <c r="L36" s="22">
        <f t="shared" si="265"/>
        <v>18531</v>
      </c>
      <c r="M36" s="22">
        <f t="shared" si="265"/>
        <v>23007</v>
      </c>
      <c r="N36" s="22">
        <f t="shared" si="265"/>
        <v>28814</v>
      </c>
      <c r="O36" s="22">
        <f t="shared" si="265"/>
        <v>36743</v>
      </c>
      <c r="P36" s="22">
        <f t="shared" si="265"/>
        <v>38436</v>
      </c>
      <c r="Q36" s="22">
        <f t="shared" si="265"/>
        <v>45408</v>
      </c>
      <c r="R36" s="22">
        <f t="shared" si="265"/>
        <v>50239</v>
      </c>
      <c r="S36" s="22">
        <f t="shared" si="265"/>
        <v>51629</v>
      </c>
      <c r="T36" s="22">
        <f t="shared" si="265"/>
        <v>62505</v>
      </c>
      <c r="U36" s="22">
        <f t="shared" si="265"/>
        <v>69035</v>
      </c>
      <c r="V36" s="22">
        <f t="shared" si="265"/>
        <v>72929</v>
      </c>
      <c r="W36" s="22">
        <f t="shared" si="265"/>
        <v>90150</v>
      </c>
      <c r="X36" s="22">
        <f t="shared" si="265"/>
        <v>112284</v>
      </c>
      <c r="Y36" s="22">
        <f t="shared" si="265"/>
        <v>117245</v>
      </c>
      <c r="Z36" s="22">
        <f t="shared" ref="Z36:AA36" si="266">+SUM(Z30:Z35)</f>
        <v>124069</v>
      </c>
      <c r="AA36" s="22">
        <f t="shared" ref="AA36" si="267">+SUM(AA30:AA35)</f>
        <v>138988</v>
      </c>
      <c r="AB36" s="21">
        <f t="shared" si="265"/>
        <v>113132.3310973776</v>
      </c>
      <c r="AC36" s="21">
        <f t="shared" si="265"/>
        <v>118136.19155135468</v>
      </c>
      <c r="AD36" s="21">
        <f t="shared" si="265"/>
        <v>133153.54088692024</v>
      </c>
      <c r="AE36" s="21">
        <f t="shared" si="265"/>
        <v>148793.43138331882</v>
      </c>
      <c r="AI36" s="22">
        <f t="shared" ref="AI36:BN36" si="268">+SUM(AI30:AI35)</f>
        <v>6373</v>
      </c>
      <c r="AJ36" s="22">
        <f t="shared" si="268"/>
        <v>6591</v>
      </c>
      <c r="AK36" s="22">
        <f t="shared" si="268"/>
        <v>6968</v>
      </c>
      <c r="AL36" s="22">
        <f t="shared" si="268"/>
        <v>7255</v>
      </c>
      <c r="AM36" s="22">
        <f t="shared" si="268"/>
        <v>7797</v>
      </c>
      <c r="AN36" s="22">
        <f t="shared" si="268"/>
        <v>9448</v>
      </c>
      <c r="AO36" s="22">
        <f t="shared" si="268"/>
        <v>8792</v>
      </c>
      <c r="AP36" s="22">
        <f t="shared" si="268"/>
        <v>8748</v>
      </c>
      <c r="AQ36" s="22">
        <f t="shared" si="268"/>
        <v>8868</v>
      </c>
      <c r="AR36" s="22">
        <f t="shared" si="268"/>
        <v>9180</v>
      </c>
      <c r="AS36" s="22">
        <f t="shared" si="268"/>
        <v>9191</v>
      </c>
      <c r="AT36" s="22">
        <f t="shared" si="268"/>
        <v>9107</v>
      </c>
      <c r="AU36" s="22">
        <f t="shared" si="268"/>
        <v>9532</v>
      </c>
      <c r="AV36" s="22">
        <f t="shared" si="268"/>
        <v>10072</v>
      </c>
      <c r="AW36" s="22">
        <f t="shared" si="268"/>
        <v>10298</v>
      </c>
      <c r="AX36" s="22">
        <f t="shared" si="268"/>
        <v>10656</v>
      </c>
      <c r="AY36" s="22">
        <f t="shared" si="268"/>
        <v>11142</v>
      </c>
      <c r="AZ36" s="22">
        <f t="shared" si="268"/>
        <v>11256</v>
      </c>
      <c r="BA36" s="22">
        <f t="shared" si="268"/>
        <v>11070</v>
      </c>
      <c r="BB36" s="22">
        <f t="shared" si="268"/>
        <v>10984</v>
      </c>
      <c r="BC36" s="22">
        <f t="shared" si="268"/>
        <v>11016</v>
      </c>
      <c r="BD36" s="22">
        <f t="shared" si="268"/>
        <v>11284</v>
      </c>
      <c r="BE36" s="22">
        <f t="shared" si="268"/>
        <v>11464</v>
      </c>
      <c r="BF36" s="22">
        <f t="shared" si="268"/>
        <v>11698</v>
      </c>
      <c r="BG36" s="22">
        <f t="shared" si="268"/>
        <v>12589</v>
      </c>
      <c r="BH36" s="22">
        <f t="shared" si="268"/>
        <v>13123</v>
      </c>
      <c r="BI36" s="22">
        <f t="shared" si="268"/>
        <v>14111</v>
      </c>
      <c r="BJ36" s="22">
        <f t="shared" si="268"/>
        <v>14100</v>
      </c>
      <c r="BK36" s="22">
        <f t="shared" si="268"/>
        <v>14394</v>
      </c>
      <c r="BL36" s="22">
        <f t="shared" si="268"/>
        <v>14659</v>
      </c>
      <c r="BM36" s="22">
        <f t="shared" si="268"/>
        <v>14919</v>
      </c>
      <c r="BN36" s="22">
        <f t="shared" si="268"/>
        <v>15132</v>
      </c>
      <c r="BO36" s="22">
        <f t="shared" ref="BO36:CH36" si="269">+SUM(BO30:BO35)</f>
        <v>15025</v>
      </c>
      <c r="BP36" s="22">
        <f t="shared" si="269"/>
        <v>14745</v>
      </c>
      <c r="BQ36" s="22">
        <f t="shared" si="269"/>
        <v>15523</v>
      </c>
      <c r="BR36" s="22">
        <f t="shared" si="269"/>
        <v>15983</v>
      </c>
      <c r="BS36" s="22">
        <f t="shared" si="269"/>
        <v>16721</v>
      </c>
      <c r="BT36" s="22">
        <f t="shared" si="269"/>
        <v>17324</v>
      </c>
      <c r="BU36" s="22">
        <f t="shared" si="269"/>
        <v>18112</v>
      </c>
      <c r="BV36" s="22">
        <f t="shared" si="269"/>
        <v>18574</v>
      </c>
      <c r="BW36" s="22">
        <f t="shared" si="269"/>
        <v>20277</v>
      </c>
      <c r="BX36" s="22">
        <f t="shared" si="269"/>
        <v>21430</v>
      </c>
      <c r="BY36" s="22">
        <f t="shared" si="269"/>
        <v>22523</v>
      </c>
      <c r="BZ36" s="22">
        <f t="shared" si="269"/>
        <v>22441</v>
      </c>
      <c r="CA36" s="22">
        <f t="shared" si="269"/>
        <v>23025</v>
      </c>
      <c r="CB36" s="22">
        <f t="shared" si="269"/>
        <v>23093</v>
      </c>
      <c r="CC36" s="22">
        <f t="shared" si="269"/>
        <v>22896</v>
      </c>
      <c r="CD36" s="22">
        <f t="shared" si="269"/>
        <v>22485</v>
      </c>
      <c r="CE36" s="22">
        <f t="shared" si="269"/>
        <v>23254</v>
      </c>
      <c r="CF36" s="22">
        <f t="shared" si="269"/>
        <v>24038</v>
      </c>
      <c r="CG36" s="22">
        <f t="shared" si="269"/>
        <v>23740</v>
      </c>
      <c r="CH36" s="22">
        <f t="shared" si="269"/>
        <v>23876</v>
      </c>
      <c r="CI36" s="22">
        <f t="shared" ref="CI36:CJ36" si="270">+SUM(CI30:CI35)</f>
        <v>25093</v>
      </c>
      <c r="CJ36" s="22">
        <f t="shared" si="270"/>
        <v>26051</v>
      </c>
      <c r="CK36" s="22">
        <f t="shared" ref="CK36" si="271">+SUM(CK30:CK35)</f>
        <v>26771</v>
      </c>
      <c r="CL36" s="22">
        <f t="shared" ref="CL36" si="272">+SUM(CL30:CL35)</f>
        <v>27314</v>
      </c>
      <c r="CM36" s="21">
        <f t="shared" ref="CM36:DB36" si="273">CM37*CM20</f>
        <v>27845.894864229231</v>
      </c>
      <c r="CN36" s="21">
        <f t="shared" si="273"/>
        <v>28133.327563668292</v>
      </c>
      <c r="CO36" s="21">
        <f t="shared" si="273"/>
        <v>28437.810048678024</v>
      </c>
      <c r="CP36" s="21">
        <f t="shared" si="273"/>
        <v>28715.298620802059</v>
      </c>
      <c r="CQ36" s="21">
        <f t="shared" si="273"/>
        <v>28857.202963206346</v>
      </c>
      <c r="CR36" s="21">
        <f t="shared" si="273"/>
        <v>29187.987868765777</v>
      </c>
      <c r="CS36" s="21">
        <f t="shared" si="273"/>
        <v>29829.1402548115</v>
      </c>
      <c r="CT36" s="21">
        <f t="shared" si="273"/>
        <v>30261.860464571069</v>
      </c>
      <c r="CU36" s="21">
        <f t="shared" si="273"/>
        <v>31736.508720074919</v>
      </c>
      <c r="CV36" s="21">
        <f t="shared" si="273"/>
        <v>32662.74927020412</v>
      </c>
      <c r="CW36" s="21">
        <f t="shared" si="273"/>
        <v>33760.711668067866</v>
      </c>
      <c r="CX36" s="21">
        <f t="shared" si="273"/>
        <v>34993.571228573339</v>
      </c>
      <c r="CY36" s="21">
        <f t="shared" si="273"/>
        <v>35400.34421829215</v>
      </c>
      <c r="CZ36" s="21">
        <f t="shared" si="273"/>
        <v>36557.195319160528</v>
      </c>
      <c r="DA36" s="21">
        <f t="shared" si="273"/>
        <v>37784.09023285134</v>
      </c>
      <c r="DB36" s="21">
        <f t="shared" si="273"/>
        <v>39051.801613014788</v>
      </c>
      <c r="DE36" s="126"/>
      <c r="DF36" s="22">
        <v>105229</v>
      </c>
      <c r="DG36" s="22">
        <v>26952.991138313409</v>
      </c>
    </row>
    <row r="37" spans="1:111" s="44" customFormat="1" x14ac:dyDescent="0.2">
      <c r="A37" s="43" t="s">
        <v>349</v>
      </c>
      <c r="B37" s="44">
        <f t="shared" ref="B37:E37" si="274">B36/B20</f>
        <v>0.60530376046542889</v>
      </c>
      <c r="C37" s="44">
        <f t="shared" si="274"/>
        <v>0.6011891273203539</v>
      </c>
      <c r="D37" s="44">
        <f t="shared" si="274"/>
        <v>0.65923988593343918</v>
      </c>
      <c r="E37" s="44">
        <f t="shared" si="274"/>
        <v>0.67333889695958127</v>
      </c>
      <c r="F37" s="44">
        <f t="shared" ref="F37:AE37" si="275">F36/F20</f>
        <v>0.67237026647966336</v>
      </c>
      <c r="G37" s="44">
        <f t="shared" si="275"/>
        <v>0.68511710954731642</v>
      </c>
      <c r="H37" s="44">
        <f t="shared" si="275"/>
        <v>0.68401353199452963</v>
      </c>
      <c r="I37" s="44">
        <f t="shared" si="275"/>
        <v>0.68625688952791752</v>
      </c>
      <c r="J37" s="44">
        <f t="shared" si="275"/>
        <v>0.68851703314433232</v>
      </c>
      <c r="K37" s="44">
        <f t="shared" si="275"/>
        <v>0.65433998768797819</v>
      </c>
      <c r="L37" s="44">
        <f t="shared" si="275"/>
        <v>0.67383004254390755</v>
      </c>
      <c r="M37" s="44">
        <f t="shared" si="275"/>
        <v>0.6820122131973676</v>
      </c>
      <c r="N37" s="44">
        <f t="shared" si="275"/>
        <v>0.71406621728786679</v>
      </c>
      <c r="O37" s="44">
        <f t="shared" si="275"/>
        <v>0.7329104581812379</v>
      </c>
      <c r="P37" s="44">
        <f t="shared" si="275"/>
        <v>0.72086873347212066</v>
      </c>
      <c r="Q37" s="44">
        <f t="shared" si="275"/>
        <v>0.72721449047901221</v>
      </c>
      <c r="R37" s="44">
        <f t="shared" si="275"/>
        <v>0.73358740727761229</v>
      </c>
      <c r="S37" s="44">
        <f t="shared" si="275"/>
        <v>0.73209778508834122</v>
      </c>
      <c r="T37" s="44">
        <f t="shared" si="275"/>
        <v>0.75603265799818564</v>
      </c>
      <c r="U37" s="44">
        <f t="shared" si="275"/>
        <v>0.76037272416869517</v>
      </c>
      <c r="V37" s="44">
        <f t="shared" si="275"/>
        <v>0.7258639222868063</v>
      </c>
      <c r="W37" s="44">
        <f t="shared" si="275"/>
        <v>0.74111524897033076</v>
      </c>
      <c r="X37" s="44">
        <f t="shared" si="275"/>
        <v>0.76504936395783796</v>
      </c>
      <c r="Y37" s="44">
        <f t="shared" si="275"/>
        <v>0.76296609618012623</v>
      </c>
      <c r="Z37" s="44">
        <f t="shared" ref="Z37:AA37" si="276">Z36/Z20</f>
        <v>0.76120620896987545</v>
      </c>
      <c r="AA37" s="44">
        <f t="shared" ref="AA37" si="277">AA36/AA20</f>
        <v>0.77799048418695771</v>
      </c>
      <c r="AB37" s="52">
        <f t="shared" si="275"/>
        <v>0.58855448795856458</v>
      </c>
      <c r="AC37" s="52">
        <f t="shared" si="275"/>
        <v>0.58335964303327803</v>
      </c>
      <c r="AD37" s="52">
        <f t="shared" si="275"/>
        <v>0.60938142705888065</v>
      </c>
      <c r="AE37" s="52">
        <f t="shared" si="275"/>
        <v>0.6116082468776457</v>
      </c>
      <c r="AI37" s="44">
        <f t="shared" ref="AI37:BN37" si="278">AI36/AI20</f>
        <v>0.66510123147568356</v>
      </c>
      <c r="AJ37" s="44">
        <f t="shared" si="278"/>
        <v>0.66859403530127814</v>
      </c>
      <c r="AK37" s="44">
        <f t="shared" si="278"/>
        <v>0.66845740598618575</v>
      </c>
      <c r="AL37" s="44">
        <f t="shared" si="278"/>
        <v>0.69399273005548112</v>
      </c>
      <c r="AM37" s="44">
        <f t="shared" si="278"/>
        <v>0.6920209461258543</v>
      </c>
      <c r="AN37" s="44">
        <f t="shared" si="278"/>
        <v>0.73359732898516961</v>
      </c>
      <c r="AO37" s="44">
        <f t="shared" si="278"/>
        <v>0.67495777675418389</v>
      </c>
      <c r="AP37" s="44">
        <f t="shared" si="278"/>
        <v>0.67945631067961165</v>
      </c>
      <c r="AQ37" s="44">
        <f t="shared" si="278"/>
        <v>0.69444009397024276</v>
      </c>
      <c r="AR37" s="44">
        <f t="shared" si="278"/>
        <v>0.68805276570229346</v>
      </c>
      <c r="AS37" s="44">
        <f t="shared" si="278"/>
        <v>0.66620759640475502</v>
      </c>
      <c r="AT37" s="44">
        <f t="shared" si="278"/>
        <v>0.6790694206248602</v>
      </c>
      <c r="AU37" s="44">
        <f t="shared" si="278"/>
        <v>0.66406576564023967</v>
      </c>
      <c r="AV37" s="44">
        <f t="shared" si="278"/>
        <v>0.64419571474256476</v>
      </c>
      <c r="AW37" s="44">
        <f t="shared" si="278"/>
        <v>0.64759149792478932</v>
      </c>
      <c r="AX37" s="44">
        <f t="shared" si="278"/>
        <v>0.64386706948640482</v>
      </c>
      <c r="AY37" s="44">
        <f t="shared" si="278"/>
        <v>0.66392563460850906</v>
      </c>
      <c r="AZ37" s="44">
        <f t="shared" si="278"/>
        <v>0.65025996533795494</v>
      </c>
      <c r="BA37" s="44">
        <f t="shared" si="278"/>
        <v>0.64088461761130089</v>
      </c>
      <c r="BB37" s="44">
        <f t="shared" si="278"/>
        <v>0.641588785046729</v>
      </c>
      <c r="BC37" s="44">
        <f t="shared" si="278"/>
        <v>0.64504040285747744</v>
      </c>
      <c r="BD37" s="44">
        <f t="shared" si="278"/>
        <v>0.64234075254738998</v>
      </c>
      <c r="BE37" s="44">
        <f t="shared" si="278"/>
        <v>0.64426211082387319</v>
      </c>
      <c r="BF37" s="44">
        <f t="shared" si="278"/>
        <v>0.64690593374993088</v>
      </c>
      <c r="BG37" s="44">
        <f t="shared" si="278"/>
        <v>0.65814512756168964</v>
      </c>
      <c r="BH37" s="44">
        <f t="shared" si="278"/>
        <v>0.63676063855597065</v>
      </c>
      <c r="BI37" s="44">
        <f t="shared" si="278"/>
        <v>0.65939252336448595</v>
      </c>
      <c r="BJ37" s="44">
        <f t="shared" si="278"/>
        <v>0.65462649148057017</v>
      </c>
      <c r="BK37" s="44">
        <f t="shared" si="278"/>
        <v>0.66018437829656473</v>
      </c>
      <c r="BL37" s="44">
        <f t="shared" si="278"/>
        <v>0.64779707455035573</v>
      </c>
      <c r="BM37" s="44">
        <f t="shared" si="278"/>
        <v>0.64606790230382816</v>
      </c>
      <c r="BN37" s="44">
        <f t="shared" si="278"/>
        <v>0.65036317531267462</v>
      </c>
      <c r="BO37" s="44">
        <f t="shared" ref="BO37:CH37" si="279">BO36/BO20</f>
        <v>0.63490386646946972</v>
      </c>
      <c r="BP37" s="44">
        <f t="shared" si="279"/>
        <v>0.6001221001221001</v>
      </c>
      <c r="BQ37" s="44">
        <f t="shared" si="279"/>
        <v>0.5987194816214757</v>
      </c>
      <c r="BR37" s="44">
        <f t="shared" si="279"/>
        <v>0.60746455854965609</v>
      </c>
      <c r="BS37" s="44">
        <f t="shared" si="279"/>
        <v>0.59940493260682537</v>
      </c>
      <c r="BT37" s="44">
        <f t="shared" si="279"/>
        <v>0.5852307276535369</v>
      </c>
      <c r="BU37" s="44">
        <f t="shared" si="279"/>
        <v>0.56836225562494114</v>
      </c>
      <c r="BV37" s="44">
        <f t="shared" si="279"/>
        <v>0.57547403643574169</v>
      </c>
      <c r="BW37" s="44">
        <f t="shared" si="279"/>
        <v>0.58825065274151433</v>
      </c>
      <c r="BX37" s="44">
        <f t="shared" si="279"/>
        <v>0.58651267173901145</v>
      </c>
      <c r="BY37" s="44">
        <f t="shared" si="279"/>
        <v>0.58779163839448823</v>
      </c>
      <c r="BZ37" s="44">
        <f t="shared" si="279"/>
        <v>0.59936967495526294</v>
      </c>
      <c r="CA37" s="44">
        <f t="shared" si="279"/>
        <v>0.60699127408852449</v>
      </c>
      <c r="CB37" s="44">
        <f t="shared" si="279"/>
        <v>0.59221931579217313</v>
      </c>
      <c r="CC37" s="44">
        <f t="shared" si="279"/>
        <v>0.58978387985883929</v>
      </c>
      <c r="CD37" s="44">
        <f t="shared" si="279"/>
        <v>0.59291195316826195</v>
      </c>
      <c r="CE37" s="44">
        <f t="shared" si="279"/>
        <v>0.59147907923184539</v>
      </c>
      <c r="CF37" s="44">
        <f t="shared" si="279"/>
        <v>0.58649294881178937</v>
      </c>
      <c r="CG37" s="44">
        <f t="shared" si="279"/>
        <v>0.56843214251508478</v>
      </c>
      <c r="CH37" s="44">
        <f t="shared" si="279"/>
        <v>0.58340867440439825</v>
      </c>
      <c r="CI37" s="44">
        <f t="shared" ref="CI37:CJ37" si="280">CI36/CI20</f>
        <v>0.59350978026916434</v>
      </c>
      <c r="CJ37" s="44">
        <f t="shared" si="280"/>
        <v>0.58554731400314675</v>
      </c>
      <c r="CK37" s="44">
        <f t="shared" ref="CK37" si="281">CK36/CK20</f>
        <v>0.5886453088238528</v>
      </c>
      <c r="CL37" s="44">
        <f t="shared" ref="CL37" si="282">CL36/CL20</f>
        <v>0.58863842075772599</v>
      </c>
      <c r="CM37" s="52">
        <f t="shared" ref="CM37:DB37" si="283">AVERAGE(CI37:CL37)</f>
        <v>0.58908520596347247</v>
      </c>
      <c r="CN37" s="52">
        <f t="shared" si="283"/>
        <v>0.58797906238704944</v>
      </c>
      <c r="CO37" s="52">
        <f t="shared" si="283"/>
        <v>0.58858699948302518</v>
      </c>
      <c r="CP37" s="52">
        <f t="shared" si="283"/>
        <v>0.58857242214781824</v>
      </c>
      <c r="CQ37" s="52">
        <f>AVERAGE(CM37:CP37)*0.99</f>
        <v>0.5826703632703879</v>
      </c>
      <c r="CR37" s="52">
        <f>AVERAGE(CN37:CQ37)*0.99</f>
        <v>0.58108268970384946</v>
      </c>
      <c r="CS37" s="52">
        <f t="shared" si="283"/>
        <v>0.58522811865127022</v>
      </c>
      <c r="CT37" s="52">
        <f t="shared" si="283"/>
        <v>0.58438839844333146</v>
      </c>
      <c r="CU37" s="52">
        <f>AVERAGE(CQ37:CT37)*1.03</f>
        <v>0.60084266429272604</v>
      </c>
      <c r="CV37" s="52">
        <f t="shared" ref="CV37:CX37" si="284">AVERAGE(CR37:CU37)*1.03</f>
        <v>0.60552203180597808</v>
      </c>
      <c r="CW37" s="52">
        <f t="shared" si="284"/>
        <v>0.61181516239727629</v>
      </c>
      <c r="CX37" s="52">
        <f t="shared" si="284"/>
        <v>0.61866132616187286</v>
      </c>
      <c r="CY37" s="52">
        <f t="shared" si="283"/>
        <v>0.60921029616446332</v>
      </c>
      <c r="CZ37" s="52">
        <f t="shared" si="283"/>
        <v>0.61130220413239766</v>
      </c>
      <c r="DA37" s="52">
        <f t="shared" si="283"/>
        <v>0.61274724721400253</v>
      </c>
      <c r="DB37" s="52">
        <f t="shared" si="283"/>
        <v>0.61298026841818409</v>
      </c>
      <c r="DE37" s="128"/>
      <c r="DF37" s="44">
        <v>0.58902322977889732</v>
      </c>
      <c r="DG37" s="44">
        <v>0.59953332476264332</v>
      </c>
    </row>
    <row r="38" spans="1:111" s="26" customFormat="1" x14ac:dyDescent="0.2">
      <c r="A38" s="34" t="s">
        <v>13</v>
      </c>
      <c r="B38" s="26">
        <f t="shared" ref="B38:E38" si="285">B26-B36</f>
        <v>750.1462061000002</v>
      </c>
      <c r="C38" s="26">
        <f t="shared" si="285"/>
        <v>1038.3399999999999</v>
      </c>
      <c r="D38" s="26">
        <f t="shared" si="285"/>
        <v>1240.3600000000001</v>
      </c>
      <c r="E38" s="26">
        <f t="shared" si="285"/>
        <v>1585.27</v>
      </c>
      <c r="F38" s="26">
        <f t="shared" ref="F38:AE38" si="286">F26-F36</f>
        <v>2336</v>
      </c>
      <c r="G38" s="26">
        <f t="shared" si="286"/>
        <v>2998</v>
      </c>
      <c r="H38" s="26">
        <f t="shared" si="286"/>
        <v>4390</v>
      </c>
      <c r="I38" s="26">
        <f t="shared" si="286"/>
        <v>5237</v>
      </c>
      <c r="J38" s="26">
        <f t="shared" si="286"/>
        <v>6757</v>
      </c>
      <c r="K38" s="26">
        <f t="shared" si="286"/>
        <v>7861</v>
      </c>
      <c r="L38" s="26">
        <f t="shared" si="286"/>
        <v>8970</v>
      </c>
      <c r="M38" s="26">
        <f t="shared" si="286"/>
        <v>10727</v>
      </c>
      <c r="N38" s="26">
        <f t="shared" si="286"/>
        <v>11538</v>
      </c>
      <c r="O38" s="26">
        <f t="shared" si="286"/>
        <v>13390</v>
      </c>
      <c r="P38" s="26">
        <f t="shared" si="286"/>
        <v>14883</v>
      </c>
      <c r="Q38" s="26">
        <f t="shared" si="286"/>
        <v>17033</v>
      </c>
      <c r="R38" s="26">
        <f t="shared" si="286"/>
        <v>18245</v>
      </c>
      <c r="S38" s="26">
        <f t="shared" si="286"/>
        <v>18893</v>
      </c>
      <c r="T38" s="26">
        <f t="shared" si="286"/>
        <v>20170</v>
      </c>
      <c r="U38" s="26">
        <f t="shared" si="286"/>
        <v>21756</v>
      </c>
      <c r="V38" s="26">
        <f t="shared" si="286"/>
        <v>27543</v>
      </c>
      <c r="W38" s="26">
        <f t="shared" si="286"/>
        <v>31491</v>
      </c>
      <c r="X38" s="26">
        <f t="shared" si="286"/>
        <v>34483</v>
      </c>
      <c r="Y38" s="26">
        <f t="shared" si="286"/>
        <v>36425</v>
      </c>
      <c r="Z38" s="26">
        <f t="shared" ref="Z38:AA38" si="287">Z26-Z36</f>
        <v>38921</v>
      </c>
      <c r="AA38" s="26">
        <f t="shared" ref="AA38" si="288">AA26-AA36</f>
        <v>39662</v>
      </c>
      <c r="AB38" s="27">
        <f t="shared" si="286"/>
        <v>45577.158292552936</v>
      </c>
      <c r="AC38" s="27">
        <f t="shared" si="286"/>
        <v>49087.577611092216</v>
      </c>
      <c r="AD38" s="27">
        <f t="shared" si="286"/>
        <v>47285.91464906343</v>
      </c>
      <c r="AE38" s="27">
        <f t="shared" si="286"/>
        <v>52107.624370690552</v>
      </c>
      <c r="AI38" s="26">
        <f t="shared" ref="AI38:BN38" si="289">AI26-AI36</f>
        <v>2659</v>
      </c>
      <c r="AJ38" s="26">
        <f t="shared" si="289"/>
        <v>2597</v>
      </c>
      <c r="AK38" s="26">
        <f t="shared" si="289"/>
        <v>2677</v>
      </c>
      <c r="AL38" s="26">
        <f t="shared" si="289"/>
        <v>2462</v>
      </c>
      <c r="AM38" s="26">
        <f t="shared" si="289"/>
        <v>2664</v>
      </c>
      <c r="AN38" s="26">
        <f t="shared" si="289"/>
        <v>2751</v>
      </c>
      <c r="AO38" s="26">
        <f t="shared" si="289"/>
        <v>3259</v>
      </c>
      <c r="AP38" s="26">
        <f t="shared" si="289"/>
        <v>3281</v>
      </c>
      <c r="AQ38" s="26">
        <f t="shared" si="289"/>
        <v>3211</v>
      </c>
      <c r="AR38" s="26">
        <f t="shared" si="289"/>
        <v>3483</v>
      </c>
      <c r="AS38" s="26">
        <f t="shared" si="289"/>
        <v>3689</v>
      </c>
      <c r="AT38" s="26">
        <f t="shared" si="289"/>
        <v>3449</v>
      </c>
      <c r="AU38" s="26">
        <f t="shared" si="289"/>
        <v>3760</v>
      </c>
      <c r="AV38" s="26">
        <f t="shared" si="289"/>
        <v>4351</v>
      </c>
      <c r="AW38" s="26">
        <f t="shared" si="289"/>
        <v>4328</v>
      </c>
      <c r="AX38" s="26">
        <f t="shared" si="289"/>
        <v>4639</v>
      </c>
      <c r="AY38" s="26">
        <f t="shared" si="289"/>
        <v>4447</v>
      </c>
      <c r="AZ38" s="26">
        <f t="shared" si="289"/>
        <v>4733</v>
      </c>
      <c r="BA38" s="26">
        <f t="shared" si="289"/>
        <v>4767</v>
      </c>
      <c r="BB38" s="26">
        <f t="shared" si="289"/>
        <v>4658</v>
      </c>
      <c r="BC38" s="26">
        <f t="shared" si="289"/>
        <v>4561</v>
      </c>
      <c r="BD38" s="26">
        <f t="shared" si="289"/>
        <v>4702</v>
      </c>
      <c r="BE38" s="26">
        <f t="shared" si="289"/>
        <v>4817</v>
      </c>
      <c r="BF38" s="26">
        <f t="shared" si="289"/>
        <v>4812</v>
      </c>
      <c r="BG38" s="26">
        <f t="shared" si="289"/>
        <v>4703</v>
      </c>
      <c r="BH38" s="26">
        <f t="shared" si="289"/>
        <v>5357</v>
      </c>
      <c r="BI38" s="26">
        <f t="shared" si="289"/>
        <v>4959</v>
      </c>
      <c r="BJ38" s="26">
        <f t="shared" si="289"/>
        <v>5149</v>
      </c>
      <c r="BK38" s="26">
        <f t="shared" si="289"/>
        <v>5152</v>
      </c>
      <c r="BL38" s="26">
        <f t="shared" si="289"/>
        <v>5639</v>
      </c>
      <c r="BM38" s="26">
        <f t="shared" si="289"/>
        <v>5801</v>
      </c>
      <c r="BN38" s="26">
        <f t="shared" si="289"/>
        <v>5676</v>
      </c>
      <c r="BO38" s="26">
        <f t="shared" ref="BO38:CT38" si="290">BO26-BO36</f>
        <v>6121</v>
      </c>
      <c r="BP38" s="26">
        <f t="shared" si="290"/>
        <v>7083</v>
      </c>
      <c r="BQ38" s="26">
        <f t="shared" si="290"/>
        <v>7415</v>
      </c>
      <c r="BR38" s="26">
        <f t="shared" si="290"/>
        <v>7271</v>
      </c>
      <c r="BS38" s="26">
        <f t="shared" si="290"/>
        <v>7432</v>
      </c>
      <c r="BT38" s="26">
        <f t="shared" si="290"/>
        <v>7831</v>
      </c>
      <c r="BU38" s="26">
        <f t="shared" si="290"/>
        <v>8383</v>
      </c>
      <c r="BV38" s="26">
        <f t="shared" si="290"/>
        <v>7846</v>
      </c>
      <c r="BW38" s="26">
        <f t="shared" si="290"/>
        <v>7864</v>
      </c>
      <c r="BX38" s="26">
        <f t="shared" si="290"/>
        <v>8902</v>
      </c>
      <c r="BY38" s="26">
        <f t="shared" si="290"/>
        <v>9367</v>
      </c>
      <c r="BZ38" s="26">
        <f t="shared" si="290"/>
        <v>8998</v>
      </c>
      <c r="CA38" s="26">
        <f t="shared" si="290"/>
        <v>9064</v>
      </c>
      <c r="CB38" s="26">
        <f t="shared" si="290"/>
        <v>9440</v>
      </c>
      <c r="CC38" s="26">
        <f t="shared" si="290"/>
        <v>9137</v>
      </c>
      <c r="CD38" s="26">
        <f t="shared" si="290"/>
        <v>8784</v>
      </c>
      <c r="CE38" s="26">
        <f t="shared" si="290"/>
        <v>9437</v>
      </c>
      <c r="CF38" s="26">
        <f t="shared" si="290"/>
        <v>9809</v>
      </c>
      <c r="CG38" s="26">
        <f t="shared" si="290"/>
        <v>10115</v>
      </c>
      <c r="CH38" s="26">
        <f t="shared" si="290"/>
        <v>9874</v>
      </c>
      <c r="CI38" s="26">
        <f t="shared" ref="CI38:CJ38" si="291">CI26-CI36</f>
        <v>9943</v>
      </c>
      <c r="CJ38" s="26">
        <f t="shared" si="291"/>
        <v>10535</v>
      </c>
      <c r="CK38" s="26">
        <f t="shared" ref="CK38" si="292">CK26-CK36</f>
        <v>10634</v>
      </c>
      <c r="CL38" s="26">
        <f t="shared" ref="CL38" si="293">CL26-CL36</f>
        <v>11167</v>
      </c>
      <c r="CM38" s="27">
        <f t="shared" si="290"/>
        <v>11184.614269689177</v>
      </c>
      <c r="CN38" s="27">
        <f t="shared" si="290"/>
        <v>11338.509898761204</v>
      </c>
      <c r="CO38" s="27">
        <f t="shared" si="290"/>
        <v>11451.525376861377</v>
      </c>
      <c r="CP38" s="27">
        <f t="shared" si="290"/>
        <v>11602.508747241176</v>
      </c>
      <c r="CQ38" s="27">
        <f t="shared" si="290"/>
        <v>12034.236636616308</v>
      </c>
      <c r="CR38" s="27">
        <f t="shared" si="290"/>
        <v>12284.711100450928</v>
      </c>
      <c r="CS38" s="27">
        <f t="shared" si="290"/>
        <v>12263.248984598074</v>
      </c>
      <c r="CT38" s="27">
        <f t="shared" si="290"/>
        <v>12505.380889426906</v>
      </c>
      <c r="CU38" s="27">
        <f t="shared" ref="CU38:DB38" si="294">CU26-CU36</f>
        <v>11879.808139441469</v>
      </c>
      <c r="CV38" s="27">
        <f t="shared" si="294"/>
        <v>11880.897244114094</v>
      </c>
      <c r="CW38" s="27">
        <f t="shared" si="294"/>
        <v>11808.452188191513</v>
      </c>
      <c r="CX38" s="27">
        <f t="shared" si="294"/>
        <v>11716.757077316353</v>
      </c>
      <c r="CY38" s="27">
        <f t="shared" si="294"/>
        <v>12584.929591979089</v>
      </c>
      <c r="CZ38" s="27">
        <f t="shared" si="294"/>
        <v>12827.106159852126</v>
      </c>
      <c r="DA38" s="27">
        <f t="shared" si="294"/>
        <v>13137.489204076344</v>
      </c>
      <c r="DB38" s="27">
        <f t="shared" si="294"/>
        <v>13558.099414782984</v>
      </c>
      <c r="DE38" s="121"/>
      <c r="DF38" s="26">
        <v>42279</v>
      </c>
      <c r="DG38" s="26">
        <v>10115.702733033759</v>
      </c>
    </row>
    <row r="39" spans="1:111" s="168" customFormat="1" x14ac:dyDescent="0.2">
      <c r="A39" s="165" t="s">
        <v>14</v>
      </c>
      <c r="B39" s="166">
        <f t="shared" ref="B39:E39" si="295">B38/B20</f>
        <v>0.39469623953457106</v>
      </c>
      <c r="C39" s="166">
        <f t="shared" si="295"/>
        <v>0.3988108726796461</v>
      </c>
      <c r="D39" s="166">
        <f t="shared" si="295"/>
        <v>0.34076011406656082</v>
      </c>
      <c r="E39" s="166">
        <f t="shared" si="295"/>
        <v>0.32666110304041873</v>
      </c>
      <c r="F39" s="166">
        <f t="shared" ref="F39:AE39" si="296">F38/F20</f>
        <v>0.32762973352033659</v>
      </c>
      <c r="G39" s="166">
        <f t="shared" si="296"/>
        <v>0.31488289045268353</v>
      </c>
      <c r="H39" s="166">
        <f t="shared" si="296"/>
        <v>0.31598646800547037</v>
      </c>
      <c r="I39" s="166">
        <f t="shared" si="296"/>
        <v>0.31374311047208242</v>
      </c>
      <c r="J39" s="166">
        <f t="shared" si="296"/>
        <v>0.31148296685566773</v>
      </c>
      <c r="K39" s="166">
        <f t="shared" si="296"/>
        <v>0.34566001231202181</v>
      </c>
      <c r="L39" s="166">
        <f t="shared" si="296"/>
        <v>0.32616995745609251</v>
      </c>
      <c r="M39" s="166">
        <f t="shared" si="296"/>
        <v>0.31798778680263234</v>
      </c>
      <c r="N39" s="166">
        <f t="shared" si="296"/>
        <v>0.28593378271213321</v>
      </c>
      <c r="O39" s="166">
        <f t="shared" si="296"/>
        <v>0.2670895418187621</v>
      </c>
      <c r="P39" s="166">
        <f t="shared" si="296"/>
        <v>0.27913126652787934</v>
      </c>
      <c r="Q39" s="166">
        <f t="shared" si="296"/>
        <v>0.27278550952098779</v>
      </c>
      <c r="R39" s="166">
        <f t="shared" si="296"/>
        <v>0.26641259272238771</v>
      </c>
      <c r="S39" s="166">
        <f t="shared" si="296"/>
        <v>0.26790221491165878</v>
      </c>
      <c r="T39" s="166">
        <f t="shared" si="296"/>
        <v>0.24396734200181433</v>
      </c>
      <c r="U39" s="166">
        <f t="shared" si="296"/>
        <v>0.23962727583130486</v>
      </c>
      <c r="V39" s="166">
        <f t="shared" si="296"/>
        <v>0.2741360777131937</v>
      </c>
      <c r="W39" s="166">
        <f t="shared" si="296"/>
        <v>0.25888475102966929</v>
      </c>
      <c r="X39" s="166">
        <f t="shared" si="296"/>
        <v>0.23495063604216207</v>
      </c>
      <c r="Y39" s="166">
        <f t="shared" si="296"/>
        <v>0.23703390381987374</v>
      </c>
      <c r="Z39" s="166">
        <f t="shared" ref="Z39:AA39" si="297">Z38/Z20</f>
        <v>0.23879379103012455</v>
      </c>
      <c r="AA39" s="166">
        <f t="shared" ref="AA39" si="298">AA38/AA20</f>
        <v>0.22200951581304226</v>
      </c>
      <c r="AB39" s="167">
        <f t="shared" si="296"/>
        <v>0.23710853300097634</v>
      </c>
      <c r="AC39" s="167">
        <f t="shared" si="296"/>
        <v>0.24239575845922651</v>
      </c>
      <c r="AD39" s="167">
        <f t="shared" si="296"/>
        <v>0.21640549666720307</v>
      </c>
      <c r="AE39" s="167">
        <f t="shared" si="296"/>
        <v>0.21418588504902109</v>
      </c>
      <c r="AI39" s="166">
        <f t="shared" ref="AI39:BN39" si="299">AI38/AI20</f>
        <v>0.2774994781882697</v>
      </c>
      <c r="AJ39" s="166">
        <f t="shared" si="299"/>
        <v>0.26344086021505375</v>
      </c>
      <c r="AK39" s="166">
        <f t="shared" si="299"/>
        <v>0.25681120491174214</v>
      </c>
      <c r="AL39" s="166">
        <f t="shared" si="299"/>
        <v>0.23550793954467189</v>
      </c>
      <c r="AM39" s="166">
        <f t="shared" si="299"/>
        <v>0.23644270879559776</v>
      </c>
      <c r="AN39" s="166">
        <f t="shared" si="299"/>
        <v>0.21360354064756581</v>
      </c>
      <c r="AO39" s="166">
        <f t="shared" si="299"/>
        <v>0.25019192384461847</v>
      </c>
      <c r="AP39" s="166">
        <f t="shared" si="299"/>
        <v>0.25483495145631069</v>
      </c>
      <c r="AQ39" s="166">
        <f t="shared" si="299"/>
        <v>0.25144870790916207</v>
      </c>
      <c r="AR39" s="166">
        <f t="shared" si="299"/>
        <v>0.26105531404587018</v>
      </c>
      <c r="AS39" s="166">
        <f t="shared" si="299"/>
        <v>0.26739634676717888</v>
      </c>
      <c r="AT39" s="166">
        <f t="shared" si="299"/>
        <v>0.25717694429945565</v>
      </c>
      <c r="AU39" s="166">
        <f t="shared" si="299"/>
        <v>0.2619478890901491</v>
      </c>
      <c r="AV39" s="166">
        <f t="shared" si="299"/>
        <v>0.27828589702590339</v>
      </c>
      <c r="AW39" s="166">
        <f t="shared" si="299"/>
        <v>0.27216702301597284</v>
      </c>
      <c r="AX39" s="166">
        <f t="shared" si="299"/>
        <v>0.28030211480362538</v>
      </c>
      <c r="AY39" s="166">
        <f t="shared" si="299"/>
        <v>0.2649862948397092</v>
      </c>
      <c r="AZ39" s="166">
        <f t="shared" si="299"/>
        <v>0.27342576545349506</v>
      </c>
      <c r="BA39" s="166">
        <f t="shared" si="299"/>
        <v>0.27597985294969024</v>
      </c>
      <c r="BB39" s="166">
        <f t="shared" si="299"/>
        <v>0.27207943925233646</v>
      </c>
      <c r="BC39" s="166">
        <f t="shared" si="299"/>
        <v>0.26706874341257758</v>
      </c>
      <c r="BD39" s="166">
        <f t="shared" si="299"/>
        <v>0.26766095520009109</v>
      </c>
      <c r="BE39" s="166">
        <f t="shared" si="299"/>
        <v>0.27070922782960549</v>
      </c>
      <c r="BF39" s="166">
        <f t="shared" si="299"/>
        <v>0.26610628767350553</v>
      </c>
      <c r="BG39" s="166">
        <f t="shared" si="299"/>
        <v>0.24586992890004183</v>
      </c>
      <c r="BH39" s="166">
        <f t="shared" si="299"/>
        <v>0.2599349798631666</v>
      </c>
      <c r="BI39" s="166">
        <f t="shared" si="299"/>
        <v>0.23172897196261683</v>
      </c>
      <c r="BJ39" s="166">
        <f t="shared" si="299"/>
        <v>0.23905473791726636</v>
      </c>
      <c r="BK39" s="166">
        <f t="shared" si="299"/>
        <v>0.23629775718937762</v>
      </c>
      <c r="BL39" s="166">
        <f t="shared" si="299"/>
        <v>0.24919351274912724</v>
      </c>
      <c r="BM39" s="166">
        <f t="shared" si="299"/>
        <v>0.25121254113978869</v>
      </c>
      <c r="BN39" s="166">
        <f t="shared" si="299"/>
        <v>0.24395065973266858</v>
      </c>
      <c r="BO39" s="166">
        <f t="shared" ref="BO39:CT39" si="300">BO38/BO20</f>
        <v>0.25865201774772872</v>
      </c>
      <c r="BP39" s="166">
        <f t="shared" si="300"/>
        <v>0.28827838827838825</v>
      </c>
      <c r="BQ39" s="166">
        <f t="shared" si="300"/>
        <v>0.28599529448065725</v>
      </c>
      <c r="BR39" s="166">
        <f t="shared" si="300"/>
        <v>0.27634829538976091</v>
      </c>
      <c r="BS39" s="166">
        <f t="shared" si="300"/>
        <v>0.26641812446228852</v>
      </c>
      <c r="BT39" s="166">
        <f t="shared" si="300"/>
        <v>0.26454293628808867</v>
      </c>
      <c r="BU39" s="166">
        <f t="shared" si="300"/>
        <v>0.26306210186085921</v>
      </c>
      <c r="BV39" s="166">
        <f t="shared" si="300"/>
        <v>0.24309084149213037</v>
      </c>
      <c r="BW39" s="166">
        <f t="shared" si="300"/>
        <v>0.22814041195242241</v>
      </c>
      <c r="BX39" s="166">
        <f t="shared" si="300"/>
        <v>0.24363676172751655</v>
      </c>
      <c r="BY39" s="166">
        <f t="shared" si="300"/>
        <v>0.24445430346051464</v>
      </c>
      <c r="BZ39" s="166">
        <f t="shared" si="300"/>
        <v>0.2403247776501696</v>
      </c>
      <c r="CA39" s="166">
        <f t="shared" si="300"/>
        <v>0.23894761816887669</v>
      </c>
      <c r="CB39" s="166">
        <f t="shared" si="300"/>
        <v>0.24208852643996512</v>
      </c>
      <c r="CC39" s="166">
        <f t="shared" si="300"/>
        <v>0.23536230390767884</v>
      </c>
      <c r="CD39" s="166">
        <f t="shared" si="300"/>
        <v>0.2316272446800095</v>
      </c>
      <c r="CE39" s="166">
        <f t="shared" si="300"/>
        <v>0.24003560981813557</v>
      </c>
      <c r="CF39" s="166">
        <f t="shared" si="300"/>
        <v>0.23932562338359439</v>
      </c>
      <c r="CG39" s="166">
        <f t="shared" si="300"/>
        <v>0.2421942342687482</v>
      </c>
      <c r="CH39" s="166">
        <f t="shared" si="300"/>
        <v>0.24127061698228466</v>
      </c>
      <c r="CI39" s="166">
        <f t="shared" ref="CI39:CJ39" si="301">CI38/CI20</f>
        <v>0.23517585562572435</v>
      </c>
      <c r="CJ39" s="166">
        <f t="shared" si="301"/>
        <v>0.23679478534502135</v>
      </c>
      <c r="CK39" s="166">
        <f t="shared" ref="CK39" si="302">CK38/CK20</f>
        <v>0.2338222036544339</v>
      </c>
      <c r="CL39" s="166">
        <f t="shared" ref="CL39" si="303">CL38/CL20</f>
        <v>0.24065773027024698</v>
      </c>
      <c r="CM39" s="167">
        <f t="shared" si="300"/>
        <v>0.23661264372385668</v>
      </c>
      <c r="CN39" s="167">
        <f t="shared" si="300"/>
        <v>0.23697184074838992</v>
      </c>
      <c r="CO39" s="167">
        <f t="shared" si="300"/>
        <v>0.23701610459923184</v>
      </c>
      <c r="CP39" s="167">
        <f t="shared" si="300"/>
        <v>0.2378145798354315</v>
      </c>
      <c r="CQ39" s="167">
        <f t="shared" si="300"/>
        <v>0.24298935145168093</v>
      </c>
      <c r="CR39" s="167">
        <f t="shared" si="300"/>
        <v>0.24456749127690428</v>
      </c>
      <c r="CS39" s="167">
        <f t="shared" si="300"/>
        <v>0.2405968817908119</v>
      </c>
      <c r="CT39" s="167">
        <f t="shared" si="300"/>
        <v>0.24149207608870707</v>
      </c>
      <c r="CU39" s="167">
        <f t="shared" ref="CU39:DB39" si="304">CU38/CU20</f>
        <v>0.22491117837650967</v>
      </c>
      <c r="CV39" s="167">
        <f t="shared" si="304"/>
        <v>0.22025534285004947</v>
      </c>
      <c r="CW39" s="167">
        <f t="shared" si="304"/>
        <v>0.21399401067756962</v>
      </c>
      <c r="CX39" s="167">
        <f t="shared" si="304"/>
        <v>0.20714389007116404</v>
      </c>
      <c r="CY39" s="167">
        <f t="shared" si="304"/>
        <v>0.21657610549382331</v>
      </c>
      <c r="CZ39" s="167">
        <f t="shared" si="304"/>
        <v>0.21449233727315165</v>
      </c>
      <c r="DA39" s="167">
        <f t="shared" si="304"/>
        <v>0.21305158587892709</v>
      </c>
      <c r="DB39" s="167">
        <f t="shared" si="304"/>
        <v>0.21281597967926644</v>
      </c>
      <c r="DE39" s="169"/>
      <c r="DF39" s="168">
        <v>0.23665827036104115</v>
      </c>
      <c r="DG39" s="168">
        <v>0.22501031001436331</v>
      </c>
    </row>
    <row r="40" spans="1:111" s="38" customFormat="1" x14ac:dyDescent="0.2">
      <c r="A40" s="39" t="s">
        <v>449</v>
      </c>
      <c r="B40" s="39"/>
      <c r="C40" s="39">
        <f t="shared" ref="C40:E40" si="305">+IF(B38&lt;0,1-C38/B38,C38/B38-1)</f>
        <v>0.38418349857198542</v>
      </c>
      <c r="D40" s="39">
        <f t="shared" si="305"/>
        <v>0.19456054856790672</v>
      </c>
      <c r="E40" s="39">
        <f t="shared" si="305"/>
        <v>0.27807249508207277</v>
      </c>
      <c r="F40" s="39">
        <f t="shared" ref="F40:Y40" si="306">+IF(E38&lt;0,1-F38/E38,F38/E38-1)</f>
        <v>0.47356601714534441</v>
      </c>
      <c r="G40" s="39">
        <f t="shared" si="306"/>
        <v>0.28339041095890405</v>
      </c>
      <c r="H40" s="39">
        <f t="shared" si="306"/>
        <v>0.46430953969312871</v>
      </c>
      <c r="I40" s="39">
        <f t="shared" si="306"/>
        <v>0.19293849658314355</v>
      </c>
      <c r="J40" s="39">
        <f t="shared" si="306"/>
        <v>0.29024250525109796</v>
      </c>
      <c r="K40" s="39">
        <f t="shared" si="306"/>
        <v>0.16338611809974846</v>
      </c>
      <c r="L40" s="39">
        <f t="shared" si="306"/>
        <v>0.14107619895687562</v>
      </c>
      <c r="M40" s="39">
        <f t="shared" si="306"/>
        <v>0.19587513935340017</v>
      </c>
      <c r="N40" s="39">
        <f t="shared" si="306"/>
        <v>7.5603617041111182E-2</v>
      </c>
      <c r="O40" s="39">
        <f t="shared" si="306"/>
        <v>0.16051308719015434</v>
      </c>
      <c r="P40" s="39">
        <f t="shared" si="306"/>
        <v>0.1115011202389844</v>
      </c>
      <c r="Q40" s="39">
        <f t="shared" si="306"/>
        <v>0.14446012228717331</v>
      </c>
      <c r="R40" s="39">
        <f t="shared" si="306"/>
        <v>7.115599131098449E-2</v>
      </c>
      <c r="S40" s="39">
        <f t="shared" si="306"/>
        <v>3.5516579884899979E-2</v>
      </c>
      <c r="T40" s="39">
        <f t="shared" si="306"/>
        <v>6.759117133329795E-2</v>
      </c>
      <c r="U40" s="39">
        <f t="shared" si="306"/>
        <v>7.8631631135349433E-2</v>
      </c>
      <c r="V40" s="39">
        <f t="shared" si="306"/>
        <v>0.26599558742415885</v>
      </c>
      <c r="W40" s="39">
        <f t="shared" si="306"/>
        <v>0.14333950550049024</v>
      </c>
      <c r="X40" s="39">
        <f t="shared" si="306"/>
        <v>9.501127306214463E-2</v>
      </c>
      <c r="Y40" s="39">
        <f t="shared" si="306"/>
        <v>5.6317605776759594E-2</v>
      </c>
      <c r="Z40" s="39">
        <f t="shared" ref="Z40:AE40" si="307">+IF(Y38&lt;0,1-Z38/Y38,Z38/Y38-1)</f>
        <v>6.8524365133836751E-2</v>
      </c>
      <c r="AA40" s="39">
        <f t="shared" si="307"/>
        <v>1.9038565298938881E-2</v>
      </c>
      <c r="AB40" s="40">
        <f t="shared" si="307"/>
        <v>0.14913918341366883</v>
      </c>
      <c r="AC40" s="40">
        <f t="shared" si="307"/>
        <v>7.7021460969690647E-2</v>
      </c>
      <c r="AD40" s="40">
        <f t="shared" si="307"/>
        <v>-3.6703032614542108E-2</v>
      </c>
      <c r="AE40" s="40">
        <f t="shared" si="307"/>
        <v>0.1019692599246913</v>
      </c>
      <c r="AI40" s="39"/>
      <c r="AJ40" s="39"/>
      <c r="AK40" s="39"/>
      <c r="AL40" s="39"/>
      <c r="AM40" s="39">
        <f>+IF(AI38&lt;0,1-AM38/AI38,AM38/AI38-1)</f>
        <v>1.8804061677322181E-3</v>
      </c>
      <c r="AN40" s="39">
        <f t="shared" ref="AN40" si="308">+IF(AJ38&lt;0,1-AN38/AJ38,AN38/AJ38-1)</f>
        <v>5.9299191374662996E-2</v>
      </c>
      <c r="AO40" s="39">
        <f t="shared" ref="AO40" si="309">+IF(AK38&lt;0,1-AO38/AK38,AO38/AK38-1)</f>
        <v>0.2174075457601794</v>
      </c>
      <c r="AP40" s="39">
        <f t="shared" ref="AP40" si="310">+IF(AL38&lt;0,1-AP38/AL38,AP38/AL38-1)</f>
        <v>0.33265637692932581</v>
      </c>
      <c r="AQ40" s="39">
        <f t="shared" ref="AQ40" si="311">+IF(AM38&lt;0,1-AQ38/AM38,AQ38/AM38-1)</f>
        <v>0.20533033033033044</v>
      </c>
      <c r="AR40" s="39">
        <f t="shared" ref="AR40" si="312">+IF(AN38&lt;0,1-AR38/AN38,AR38/AN38-1)</f>
        <v>0.26608505997818965</v>
      </c>
      <c r="AS40" s="39">
        <f t="shared" ref="AS40" si="313">+IF(AO38&lt;0,1-AS38/AO38,AS38/AO38-1)</f>
        <v>0.1319423135931268</v>
      </c>
      <c r="AT40" s="39">
        <f t="shared" ref="AT40" si="314">+IF(AP38&lt;0,1-AT38/AP38,AT38/AP38-1)</f>
        <v>5.1203901249619044E-2</v>
      </c>
      <c r="AU40" s="39">
        <f t="shared" ref="AU40" si="315">+IF(AQ38&lt;0,1-AU38/AQ38,AU38/AQ38-1)</f>
        <v>0.17097477421364071</v>
      </c>
      <c r="AV40" s="39">
        <f t="shared" ref="AV40" si="316">+IF(AR38&lt;0,1-AV38/AR38,AV38/AR38-1)</f>
        <v>0.24921045076083836</v>
      </c>
      <c r="AW40" s="39">
        <f t="shared" ref="AW40" si="317">+IF(AS38&lt;0,1-AW38/AS38,AW38/AS38-1)</f>
        <v>0.17321767416644085</v>
      </c>
      <c r="AX40" s="39">
        <f t="shared" ref="AX40" si="318">+IF(AT38&lt;0,1-AX38/AT38,AX38/AT38-1)</f>
        <v>0.34502754421571469</v>
      </c>
      <c r="AY40" s="39">
        <f t="shared" ref="AY40" si="319">+IF(AU38&lt;0,1-AY38/AU38,AY38/AU38-1)</f>
        <v>0.18271276595744679</v>
      </c>
      <c r="AZ40" s="39">
        <f t="shared" ref="AZ40" si="320">+IF(AV38&lt;0,1-AZ38/AV38,AZ38/AV38-1)</f>
        <v>8.7795908986439963E-2</v>
      </c>
      <c r="BA40" s="39">
        <f t="shared" ref="BA40" si="321">+IF(AW38&lt;0,1-BA38/AW38,BA38/AW38-1)</f>
        <v>0.10143253234750471</v>
      </c>
      <c r="BB40" s="39">
        <f t="shared" ref="BB40" si="322">+IF(AX38&lt;0,1-BB38/AX38,BB38/AX38-1)</f>
        <v>4.0957102823884206E-3</v>
      </c>
      <c r="BC40" s="39">
        <f t="shared" ref="BC40" si="323">+IF(AY38&lt;0,1-BC38/AY38,BC38/AY38-1)</f>
        <v>2.5635259725657722E-2</v>
      </c>
      <c r="BD40" s="39">
        <f t="shared" ref="BD40" si="324">+IF(AZ38&lt;0,1-BD38/AZ38,BD38/AZ38-1)</f>
        <v>-6.5497570251425996E-3</v>
      </c>
      <c r="BE40" s="39">
        <f t="shared" ref="BE40" si="325">+IF(BA38&lt;0,1-BE38/BA38,BE38/BA38-1)</f>
        <v>1.0488777008600847E-2</v>
      </c>
      <c r="BF40" s="39">
        <f t="shared" ref="BF40" si="326">+IF(BB38&lt;0,1-BF38/BB38,BF38/BB38-1)</f>
        <v>3.3061399742378761E-2</v>
      </c>
      <c r="BG40" s="39">
        <f t="shared" ref="BG40" si="327">+IF(BC38&lt;0,1-BG38/BC38,BG38/BC38-1)</f>
        <v>3.1133523350142411E-2</v>
      </c>
      <c r="BH40" s="39">
        <f t="shared" ref="BH40" si="328">+IF(BD38&lt;0,1-BH38/BD38,BH38/BD38-1)</f>
        <v>0.13930242450021257</v>
      </c>
      <c r="BI40" s="39">
        <f t="shared" ref="BI40" si="329">+IF(BE38&lt;0,1-BI38/BE38,BI38/BE38-1)</f>
        <v>2.9478928793855053E-2</v>
      </c>
      <c r="BJ40" s="39">
        <f t="shared" ref="BJ40" si="330">+IF(BF38&lt;0,1-BJ38/BF38,BJ38/BF38-1)</f>
        <v>7.0033250207813813E-2</v>
      </c>
      <c r="BK40" s="39">
        <f t="shared" ref="BK40" si="331">+IF(BG38&lt;0,1-BK38/BG38,BK38/BG38-1)</f>
        <v>9.5470975972783423E-2</v>
      </c>
      <c r="BL40" s="39">
        <f t="shared" ref="BL40" si="332">+IF(BH38&lt;0,1-BL38/BH38,BL38/BH38-1)</f>
        <v>5.2641403770767203E-2</v>
      </c>
      <c r="BM40" s="39">
        <f t="shared" ref="BM40" si="333">+IF(BI38&lt;0,1-BM38/BI38,BM38/BI38-1)</f>
        <v>0.16979229683403907</v>
      </c>
      <c r="BN40" s="39">
        <f t="shared" ref="BN40" si="334">+IF(BJ38&lt;0,1-BN38/BJ38,BN38/BJ38-1)</f>
        <v>0.10234997086812969</v>
      </c>
      <c r="BO40" s="39">
        <f t="shared" ref="BO40" si="335">+IF(BK38&lt;0,1-BO38/BK38,BO38/BK38-1)</f>
        <v>0.1880822981366459</v>
      </c>
      <c r="BP40" s="39">
        <f t="shared" ref="BP40" si="336">+IF(BL38&lt;0,1-BP38/BL38,BP38/BL38-1)</f>
        <v>0.25607377194538028</v>
      </c>
      <c r="BQ40" s="39">
        <f t="shared" ref="BQ40" si="337">+IF(BM38&lt;0,1-BQ38/BM38,BQ38/BM38-1)</f>
        <v>0.27822789174280294</v>
      </c>
      <c r="BR40" s="39">
        <f t="shared" ref="BR40" si="338">+IF(BN38&lt;0,1-BR38/BN38,BR38/BN38-1)</f>
        <v>0.28100775193798455</v>
      </c>
      <c r="BS40" s="39">
        <f t="shared" ref="BS40" si="339">+IF(BO38&lt;0,1-BS38/BO38,BS38/BO38-1)</f>
        <v>0.21418068942983171</v>
      </c>
      <c r="BT40" s="39">
        <f t="shared" ref="BT40" si="340">+IF(BP38&lt;0,1-BT38/BP38,BT38/BP38-1)</f>
        <v>0.10560496964563049</v>
      </c>
      <c r="BU40" s="39">
        <f t="shared" ref="BU40" si="341">+IF(BQ38&lt;0,1-BU38/BQ38,BU38/BQ38-1)</f>
        <v>0.13054619015509106</v>
      </c>
      <c r="BV40" s="39">
        <f t="shared" ref="BV40" si="342">+IF(BR38&lt;0,1-BV38/BR38,BV38/BR38-1)</f>
        <v>7.9081281804428638E-2</v>
      </c>
      <c r="BW40" s="39">
        <f t="shared" ref="BW40" si="343">+IF(BS38&lt;0,1-BW38/BS38,BW38/BS38-1)</f>
        <v>5.8127018299246602E-2</v>
      </c>
      <c r="BX40" s="39">
        <f t="shared" ref="BX40" si="344">+IF(BT38&lt;0,1-BX38/BT38,BX38/BT38-1)</f>
        <v>0.13676414251053504</v>
      </c>
      <c r="BY40" s="39">
        <f t="shared" ref="BY40" si="345">+IF(BU38&lt;0,1-BY38/BU38,BY38/BU38-1)</f>
        <v>0.11738041274006927</v>
      </c>
      <c r="BZ40" s="39">
        <f t="shared" ref="BZ40" si="346">+IF(BV38&lt;0,1-BZ38/BV38,BZ38/BV38-1)</f>
        <v>0.14682640836094829</v>
      </c>
      <c r="CA40" s="39">
        <f t="shared" ref="CA40" si="347">+IF(BW38&lt;0,1-CA38/BW38,CA38/BW38-1)</f>
        <v>0.15259409969481186</v>
      </c>
      <c r="CB40" s="39">
        <f t="shared" ref="CB40" si="348">+IF(BX38&lt;0,1-CB38/BX38,CB38/BX38-1)</f>
        <v>6.0435857110761715E-2</v>
      </c>
      <c r="CC40" s="39">
        <f t="shared" ref="CC40" si="349">+IF(BY38&lt;0,1-CC38/BY38,CC38/BY38-1)</f>
        <v>-2.4554286324330099E-2</v>
      </c>
      <c r="CD40" s="39">
        <f t="shared" ref="CD40" si="350">+IF(BZ38&lt;0,1-CD38/BZ38,CD38/BZ38-1)</f>
        <v>-2.3783062902867358E-2</v>
      </c>
      <c r="CE40" s="39">
        <f t="shared" ref="CE40" si="351">+IF(CA38&lt;0,1-CE38/CA38,CE38/CA38-1)</f>
        <v>4.1151809355692848E-2</v>
      </c>
      <c r="CF40" s="39">
        <f t="shared" ref="CF40" si="352">+IF(CB38&lt;0,1-CF38/CB38,CF38/CB38-1)</f>
        <v>3.9088983050847403E-2</v>
      </c>
      <c r="CG40" s="39">
        <f t="shared" ref="CG40" si="353">+IF(CC38&lt;0,1-CG38/CC38,CG38/CC38-1)</f>
        <v>0.10703732078362704</v>
      </c>
      <c r="CH40" s="39">
        <f t="shared" ref="CH40:CL40" si="354">+IF(CD38&lt;0,1-CH38/CD38,CH38/CD38-1)</f>
        <v>0.12408925318761388</v>
      </c>
      <c r="CI40" s="39">
        <f t="shared" si="354"/>
        <v>5.3618734767404863E-2</v>
      </c>
      <c r="CJ40" s="39">
        <f t="shared" si="354"/>
        <v>7.4013660923641478E-2</v>
      </c>
      <c r="CK40" s="39">
        <f t="shared" si="354"/>
        <v>5.1309935739001444E-2</v>
      </c>
      <c r="CL40" s="39">
        <f t="shared" si="354"/>
        <v>0.13094996961717653</v>
      </c>
      <c r="CM40" s="40">
        <f t="shared" ref="CM40" si="355">+CM38/CI38-1</f>
        <v>0.12487320423304604</v>
      </c>
      <c r="CN40" s="40">
        <f t="shared" ref="CN40" si="356">+CN38/CJ38-1</f>
        <v>7.6270517205619726E-2</v>
      </c>
      <c r="CO40" s="40">
        <f t="shared" ref="CO40" si="357">+CO38/CK38-1</f>
        <v>7.6878444316473171E-2</v>
      </c>
      <c r="CP40" s="40">
        <f t="shared" ref="CP40" si="358">+CP38/CL38-1</f>
        <v>3.899961916729433E-2</v>
      </c>
      <c r="CQ40" s="40">
        <f t="shared" ref="CQ40" si="359">+CQ38/CM38-1</f>
        <v>7.5963492923457165E-2</v>
      </c>
      <c r="CR40" s="40">
        <f t="shared" ref="CR40" si="360">+CR38/CN38-1</f>
        <v>8.3450224953554253E-2</v>
      </c>
      <c r="CS40" s="40">
        <f t="shared" ref="CS40" si="361">+CS38/CO38-1</f>
        <v>7.0883448363730173E-2</v>
      </c>
      <c r="CT40" s="40">
        <f t="shared" ref="CT40" si="362">+CT38/CP38-1</f>
        <v>7.7816975781243247E-2</v>
      </c>
      <c r="CU40" s="40">
        <f t="shared" ref="CU40" si="363">+CU38/CQ38-1</f>
        <v>-1.2832429828158909E-2</v>
      </c>
      <c r="CV40" s="40">
        <f t="shared" ref="CV40" si="364">+CV38/CR38-1</f>
        <v>-3.2871253791390442E-2</v>
      </c>
      <c r="CW40" s="40">
        <f t="shared" ref="CW40" si="365">+CW38/CS38-1</f>
        <v>-3.7086158568398919E-2</v>
      </c>
      <c r="CX40" s="40">
        <f t="shared" ref="CX40" si="366">+CX38/CT38-1</f>
        <v>-6.3062758270507446E-2</v>
      </c>
      <c r="CY40" s="40">
        <f t="shared" ref="CY40" si="367">+CY38/CU38-1</f>
        <v>5.9354616190861353E-2</v>
      </c>
      <c r="CZ40" s="40">
        <f t="shared" ref="CZ40" si="368">+CZ38/CV38-1</f>
        <v>7.964120018012899E-2</v>
      </c>
      <c r="DA40" s="40">
        <f t="shared" ref="DA40" si="369">+DA38/CW38-1</f>
        <v>0.11254963772592252</v>
      </c>
      <c r="DB40" s="40">
        <f t="shared" ref="DB40" si="370">+DB38/CX38-1</f>
        <v>0.15715460560597183</v>
      </c>
      <c r="DE40" s="122"/>
      <c r="DF40" s="38">
        <v>8.6277331003828284E-2</v>
      </c>
      <c r="DG40" s="38">
        <v>2.4478704986202082E-2</v>
      </c>
    </row>
    <row r="41" spans="1:111" s="38" customFormat="1" x14ac:dyDescent="0.2">
      <c r="A41" s="39" t="s">
        <v>450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40"/>
      <c r="AC41" s="40"/>
      <c r="AD41" s="40"/>
      <c r="AE41" s="40"/>
      <c r="AI41" s="39"/>
      <c r="AJ41" s="39">
        <f>+IF(AI38&lt;0,1-AJ38/AI38,AJ38/AI38-1)</f>
        <v>-2.3317036479879705E-2</v>
      </c>
      <c r="AK41" s="39">
        <f t="shared" ref="AK41:AM41" si="371">+IF(AJ38&lt;0,1-AK38/AJ38,AK38/AJ38-1)</f>
        <v>3.0804774740084806E-2</v>
      </c>
      <c r="AL41" s="39">
        <f t="shared" si="371"/>
        <v>-8.0313784086664231E-2</v>
      </c>
      <c r="AM41" s="39">
        <f t="shared" si="371"/>
        <v>8.2047116165719025E-2</v>
      </c>
      <c r="AN41" s="39">
        <f t="shared" ref="AN41" si="372">+IF(AM38&lt;0,1-AN38/AM38,AN38/AM38-1)</f>
        <v>3.2657657657657602E-2</v>
      </c>
      <c r="AO41" s="39">
        <f t="shared" ref="AO41" si="373">+IF(AN38&lt;0,1-AO38/AN38,AO38/AN38-1)</f>
        <v>0.18466012359142137</v>
      </c>
      <c r="AP41" s="39">
        <f t="shared" ref="AP41" si="374">+IF(AO38&lt;0,1-AP38/AO38,AP38/AO38-1)</f>
        <v>6.7505369745319843E-3</v>
      </c>
      <c r="AQ41" s="39">
        <f t="shared" ref="AQ41" si="375">+IF(AP38&lt;0,1-AQ38/AP38,AQ38/AP38-1)</f>
        <v>-2.1334958854007935E-2</v>
      </c>
      <c r="AR41" s="39">
        <f t="shared" ref="AR41" si="376">+IF(AQ38&lt;0,1-AR38/AQ38,AR38/AQ38-1)</f>
        <v>8.4708813453752807E-2</v>
      </c>
      <c r="AS41" s="39">
        <f t="shared" ref="AS41" si="377">+IF(AR38&lt;0,1-AS38/AR38,AS38/AR38-1)</f>
        <v>5.9144415733562994E-2</v>
      </c>
      <c r="AT41" s="39">
        <f t="shared" ref="AT41" si="378">+IF(AS38&lt;0,1-AT38/AS38,AT38/AS38-1)</f>
        <v>-6.5058281377066929E-2</v>
      </c>
      <c r="AU41" s="39">
        <f t="shared" ref="AU41" si="379">+IF(AT38&lt;0,1-AU38/AT38,AU38/AT38-1)</f>
        <v>9.017106407654385E-2</v>
      </c>
      <c r="AV41" s="39">
        <f t="shared" ref="AV41" si="380">+IF(AU38&lt;0,1-AV38/AU38,AV38/AU38-1)</f>
        <v>0.15718085106382973</v>
      </c>
      <c r="AW41" s="39">
        <f t="shared" ref="AW41" si="381">+IF(AV38&lt;0,1-AW38/AV38,AW38/AV38-1)</f>
        <v>-5.2861411169845551E-3</v>
      </c>
      <c r="AX41" s="39">
        <f t="shared" ref="AX41" si="382">+IF(AW38&lt;0,1-AX38/AW38,AX38/AW38-1)</f>
        <v>7.1857670979667221E-2</v>
      </c>
      <c r="AY41" s="39">
        <f t="shared" ref="AY41" si="383">+IF(AX38&lt;0,1-AY38/AX38,AY38/AX38-1)</f>
        <v>-4.1388230222030642E-2</v>
      </c>
      <c r="AZ41" s="39">
        <f t="shared" ref="AZ41" si="384">+IF(AY38&lt;0,1-AZ38/AY38,AZ38/AY38-1)</f>
        <v>6.4313020013492261E-2</v>
      </c>
      <c r="BA41" s="39">
        <f t="shared" ref="BA41" si="385">+IF(AZ38&lt;0,1-BA38/AZ38,BA38/AZ38-1)</f>
        <v>7.1836044791886433E-3</v>
      </c>
      <c r="BB41" s="39">
        <f t="shared" ref="BB41" si="386">+IF(BA38&lt;0,1-BB38/BA38,BB38/BA38-1)</f>
        <v>-2.2865533878749789E-2</v>
      </c>
      <c r="BC41" s="39">
        <f t="shared" ref="BC41" si="387">+IF(BB38&lt;0,1-BC38/BB38,BC38/BB38-1)</f>
        <v>-2.0824388149420336E-2</v>
      </c>
      <c r="BD41" s="39">
        <f t="shared" ref="BD41" si="388">+IF(BC38&lt;0,1-BD38/BC38,BD38/BC38-1)</f>
        <v>3.0914273185704833E-2</v>
      </c>
      <c r="BE41" s="39">
        <f t="shared" ref="BE41" si="389">+IF(BD38&lt;0,1-BE38/BD38,BE38/BD38-1)</f>
        <v>2.4457677584006854E-2</v>
      </c>
      <c r="BF41" s="39">
        <f t="shared" ref="BF41" si="390">+IF(BE38&lt;0,1-BF38/BE38,BF38/BE38-1)</f>
        <v>-1.0379904504878024E-3</v>
      </c>
      <c r="BG41" s="39">
        <f t="shared" ref="BG41" si="391">+IF(BF38&lt;0,1-BG38/BF38,BG38/BF38-1)</f>
        <v>-2.2651704073150425E-2</v>
      </c>
      <c r="BH41" s="39">
        <f t="shared" ref="BH41" si="392">+IF(BG38&lt;0,1-BH38/BG38,BH38/BG38-1)</f>
        <v>0.13906017435679363</v>
      </c>
      <c r="BI41" s="39">
        <f t="shared" ref="BI41" si="393">+IF(BH38&lt;0,1-BI38/BH38,BI38/BH38-1)</f>
        <v>-7.4295314541721114E-2</v>
      </c>
      <c r="BJ41" s="39">
        <f t="shared" ref="BJ41" si="394">+IF(BI38&lt;0,1-BJ38/BI38,BJ38/BI38-1)</f>
        <v>3.8314176245210829E-2</v>
      </c>
      <c r="BK41" s="39">
        <f t="shared" ref="BK41" si="395">+IF(BJ38&lt;0,1-BK38/BJ38,BK38/BJ38-1)</f>
        <v>5.8263740532149555E-4</v>
      </c>
      <c r="BL41" s="39">
        <f t="shared" ref="BL41" si="396">+IF(BK38&lt;0,1-BL38/BK38,BL38/BK38-1)</f>
        <v>9.4526397515527938E-2</v>
      </c>
      <c r="BM41" s="39">
        <f t="shared" ref="BM41" si="397">+IF(BL38&lt;0,1-BM38/BL38,BM38/BL38-1)</f>
        <v>2.8728497960631261E-2</v>
      </c>
      <c r="BN41" s="39">
        <f t="shared" ref="BN41" si="398">+IF(BM38&lt;0,1-BN38/BM38,BN38/BM38-1)</f>
        <v>-2.1548008963971688E-2</v>
      </c>
      <c r="BO41" s="39">
        <f t="shared" ref="BO41" si="399">+IF(BN38&lt;0,1-BO38/BN38,BO38/BN38-1)</f>
        <v>7.8400281888654E-2</v>
      </c>
      <c r="BP41" s="39">
        <f t="shared" ref="BP41" si="400">+IF(BO38&lt;0,1-BP38/BO38,BP38/BO38-1)</f>
        <v>0.15716386211403366</v>
      </c>
      <c r="BQ41" s="39">
        <f t="shared" ref="BQ41" si="401">+IF(BP38&lt;0,1-BQ38/BP38,BQ38/BP38-1)</f>
        <v>4.6872794013836039E-2</v>
      </c>
      <c r="BR41" s="39">
        <f t="shared" ref="BR41" si="402">+IF(BQ38&lt;0,1-BR38/BQ38,BR38/BQ38-1)</f>
        <v>-1.9420094403236665E-2</v>
      </c>
      <c r="BS41" s="39">
        <f t="shared" ref="BS41" si="403">+IF(BR38&lt;0,1-BS38/BR38,BS38/BR38-1)</f>
        <v>2.214275890524009E-2</v>
      </c>
      <c r="BT41" s="39">
        <f t="shared" ref="BT41" si="404">+IF(BS38&lt;0,1-BT38/BS38,BT38/BS38-1)</f>
        <v>5.3686759956943053E-2</v>
      </c>
      <c r="BU41" s="39">
        <f t="shared" ref="BU41" si="405">+IF(BT38&lt;0,1-BU38/BT38,BU38/BT38-1)</f>
        <v>7.0489081854169244E-2</v>
      </c>
      <c r="BV41" s="39">
        <f t="shared" ref="BV41" si="406">+IF(BU38&lt;0,1-BV38/BU38,BV38/BU38-1)</f>
        <v>-6.4058213050220636E-2</v>
      </c>
      <c r="BW41" s="39">
        <f t="shared" ref="BW41" si="407">+IF(BV38&lt;0,1-BW38/BV38,BW38/BV38-1)</f>
        <v>2.2941626306398621E-3</v>
      </c>
      <c r="BX41" s="39">
        <f t="shared" ref="BX41" si="408">+IF(BW38&lt;0,1-BX38/BW38,BX38/BW38-1)</f>
        <v>0.1319938962360121</v>
      </c>
      <c r="BY41" s="39">
        <f t="shared" ref="BY41" si="409">+IF(BX38&lt;0,1-BY38/BX38,BY38/BX38-1)</f>
        <v>5.2235452707256824E-2</v>
      </c>
      <c r="BZ41" s="39">
        <f t="shared" ref="BZ41" si="410">+IF(BY38&lt;0,1-BZ38/BY38,BZ38/BY38-1)</f>
        <v>-3.9393615885555677E-2</v>
      </c>
      <c r="CA41" s="39">
        <f t="shared" ref="CA41" si="411">+IF(BZ38&lt;0,1-CA38/BZ38,CA38/BZ38-1)</f>
        <v>7.3349633251833524E-3</v>
      </c>
      <c r="CB41" s="39">
        <f t="shared" ref="CB41" si="412">+IF(CA38&lt;0,1-CB38/CA38,CB38/CA38-1)</f>
        <v>4.1482789055604652E-2</v>
      </c>
      <c r="CC41" s="39">
        <f t="shared" ref="CC41" si="413">+IF(CB38&lt;0,1-CC38/CB38,CC38/CB38-1)</f>
        <v>-3.2097457627118686E-2</v>
      </c>
      <c r="CD41" s="39">
        <f t="shared" ref="CD41" si="414">+IF(CC38&lt;0,1-CD38/CC38,CD38/CC38-1)</f>
        <v>-3.8634124986319351E-2</v>
      </c>
      <c r="CE41" s="39">
        <f t="shared" ref="CE41" si="415">+IF(CD38&lt;0,1-CE38/CD38,CE38/CD38-1)</f>
        <v>7.4339708561020013E-2</v>
      </c>
      <c r="CF41" s="39">
        <f t="shared" ref="CF41" si="416">+IF(CE38&lt;0,1-CF38/CE38,CF38/CE38-1)</f>
        <v>3.9419306983151436E-2</v>
      </c>
      <c r="CG41" s="39">
        <f t="shared" ref="CG41" si="417">+IF(CF38&lt;0,1-CG38/CF38,CG38/CF38-1)</f>
        <v>3.119584055459268E-2</v>
      </c>
      <c r="CH41" s="39">
        <f t="shared" ref="CH41:CI41" si="418">+IF(CG38&lt;0,1-CH38/CG38,CH38/CG38-1)</f>
        <v>-2.3826000988630747E-2</v>
      </c>
      <c r="CI41" s="39">
        <f t="shared" si="418"/>
        <v>6.9880494227263501E-3</v>
      </c>
      <c r="CJ41" s="39">
        <f>+IF(CI38&gt;1,CJ38/CI38-1,1-CJ38/CI38)</f>
        <v>5.9539374434275372E-2</v>
      </c>
      <c r="CK41" s="39">
        <f>+IF(CJ38&gt;1,CK38/CJ38-1,1-CK38/CJ38)</f>
        <v>9.3972472710013299E-3</v>
      </c>
      <c r="CL41" s="39">
        <f>+IF(CK38&gt;1,CL38/CK38-1,1-CL38/CK38)</f>
        <v>5.0122249388752982E-2</v>
      </c>
      <c r="CM41" s="40">
        <f t="shared" ref="CM41" si="419">+CM38/CL38-1</f>
        <v>1.5773502005171913E-3</v>
      </c>
      <c r="CN41" s="40">
        <f t="shared" ref="CN41" si="420">+CN38/CM38-1</f>
        <v>1.3759583063055691E-2</v>
      </c>
      <c r="CO41" s="40">
        <f t="shared" ref="CO41" si="421">+CO38/CN38-1</f>
        <v>9.9674012819375157E-3</v>
      </c>
      <c r="CP41" s="40">
        <f t="shared" ref="CP41" si="422">+CP38/CO38-1</f>
        <v>1.3184564100505947E-2</v>
      </c>
      <c r="CQ41" s="40">
        <f t="shared" ref="CQ41" si="423">+CQ38/CP38-1</f>
        <v>3.720987406950127E-2</v>
      </c>
      <c r="CR41" s="40">
        <f t="shared" ref="CR41" si="424">+CR38/CQ38-1</f>
        <v>2.0813489995078482E-2</v>
      </c>
      <c r="CS41" s="40">
        <f t="shared" ref="CS41" si="425">+CS38/CR38-1</f>
        <v>-1.7470590620617399E-3</v>
      </c>
      <c r="CT41" s="40">
        <f t="shared" ref="CT41" si="426">+CT38/CS38-1</f>
        <v>1.974451510630959E-2</v>
      </c>
      <c r="CU41" s="40">
        <f t="shared" ref="CU41" si="427">+CU38/CT38-1</f>
        <v>-5.0024285986710604E-2</v>
      </c>
      <c r="CV41" s="40">
        <f t="shared" ref="CV41" si="428">+CV38/CU38-1</f>
        <v>9.1676958065445291E-5</v>
      </c>
      <c r="CW41" s="40">
        <f t="shared" ref="CW41" si="429">+CW38/CV38-1</f>
        <v>-6.0976081548446137E-3</v>
      </c>
      <c r="CX41" s="40">
        <f t="shared" ref="CX41" si="430">+CX38/CW38-1</f>
        <v>-7.7652099880504144E-3</v>
      </c>
      <c r="CY41" s="40">
        <f t="shared" ref="CY41" si="431">+CY38/CX38-1</f>
        <v>7.409665566451995E-2</v>
      </c>
      <c r="CZ41" s="40">
        <f t="shared" ref="CZ41" si="432">+CZ38/CY38-1</f>
        <v>1.9243378844756132E-2</v>
      </c>
      <c r="DA41" s="40">
        <f t="shared" ref="DA41" si="433">+DA38/CZ38-1</f>
        <v>2.4197433182216344E-2</v>
      </c>
      <c r="DB41" s="40">
        <f t="shared" ref="DB41" si="434">+DB38/DA38-1</f>
        <v>3.2016027124584179E-2</v>
      </c>
      <c r="DE41" s="122"/>
      <c r="DG41" s="38">
        <v>-4.8739633906925039E-2</v>
      </c>
    </row>
    <row r="42" spans="1:111" s="23" customFormat="1" x14ac:dyDescent="0.2">
      <c r="A42" s="23" t="s">
        <v>15</v>
      </c>
      <c r="B42" s="23">
        <f>'Annual Raw'!C27</f>
        <v>112.8945152</v>
      </c>
      <c r="C42" s="23">
        <f>'Annual Raw'!D27</f>
        <v>160.65</v>
      </c>
      <c r="D42" s="23">
        <f>'Annual Raw'!E27</f>
        <v>190.34</v>
      </c>
      <c r="E42" s="23">
        <f>'Annual Raw'!F27</f>
        <v>236.73</v>
      </c>
      <c r="F42" s="23">
        <f>'Annual Raw'!G27</f>
        <v>287</v>
      </c>
      <c r="G42" s="23">
        <f>'Annual Raw'!H27</f>
        <v>437</v>
      </c>
      <c r="H42" s="23">
        <f>'Annual Raw'!I27</f>
        <v>514</v>
      </c>
      <c r="I42" s="23">
        <f>'Annual Raw'!J27</f>
        <v>598</v>
      </c>
      <c r="J42" s="23">
        <f>'Annual Raw'!K27</f>
        <v>761</v>
      </c>
      <c r="K42" s="23">
        <f>'Annual Raw'!L27</f>
        <v>905</v>
      </c>
      <c r="L42" s="23">
        <f>'Annual Raw'!M27</f>
        <v>854</v>
      </c>
      <c r="M42" s="23">
        <f>'Annual Raw'!N27</f>
        <v>928</v>
      </c>
      <c r="N42" s="23">
        <f>'Annual Raw'!O27</f>
        <v>1099</v>
      </c>
      <c r="O42" s="23">
        <f>'Annual Raw'!P27</f>
        <v>1317</v>
      </c>
      <c r="P42" s="23">
        <f>'Annual Raw'!Q27</f>
        <v>1017</v>
      </c>
      <c r="Q42" s="23">
        <f>'Annual Raw'!R27</f>
        <v>1459</v>
      </c>
      <c r="R42" s="23">
        <f>'Annual Raw'!S27</f>
        <v>1703</v>
      </c>
      <c r="S42" s="23">
        <f>'Annual Raw'!T27</f>
        <v>1863</v>
      </c>
      <c r="T42" s="23">
        <f>'Annual Raw'!U27</f>
        <v>2011</v>
      </c>
      <c r="U42" s="23">
        <f>'Annual Raw'!V27</f>
        <v>2893</v>
      </c>
      <c r="V42" s="23">
        <f>'Annual Raw'!W27</f>
        <v>3267</v>
      </c>
      <c r="W42" s="23">
        <f>'Annual Raw'!X27</f>
        <v>3476</v>
      </c>
      <c r="X42" s="23">
        <f>'Annual Raw'!Y27</f>
        <v>4225</v>
      </c>
      <c r="Y42" s="23">
        <f>'Annual Raw'!Z27</f>
        <v>4678</v>
      </c>
      <c r="Z42" s="23">
        <f>'Annual Raw'!AA27</f>
        <v>4812</v>
      </c>
      <c r="AA42" s="23">
        <f>'Annual Raw'!AB27</f>
        <v>4902</v>
      </c>
      <c r="AB42" s="76">
        <f>+SUM(CM42:CP42)</f>
        <v>5950.263295104246</v>
      </c>
      <c r="AC42" s="76">
        <f>+SUM(CQ42:CT42)</f>
        <v>6601.9744253245372</v>
      </c>
      <c r="AD42" s="76">
        <f>+SUM(CU42:CX42)</f>
        <v>6016.7857041261777</v>
      </c>
      <c r="AE42" s="76">
        <f>+SUM(CY42:DB42)</f>
        <v>4103.7564832688649</v>
      </c>
      <c r="AI42" s="23">
        <f>'QTR Raw'!C28</f>
        <v>0</v>
      </c>
      <c r="AJ42" s="23">
        <f>'QTR Raw'!D28</f>
        <v>0</v>
      </c>
      <c r="AK42" s="23">
        <f>'QTR Raw'!E28</f>
        <v>0</v>
      </c>
      <c r="AL42" s="23">
        <f>'QTR Raw'!F28</f>
        <v>0</v>
      </c>
      <c r="AM42" s="23">
        <f>'QTR Raw'!G28</f>
        <v>0</v>
      </c>
      <c r="AN42" s="23">
        <f>'QTR Raw'!H28</f>
        <v>0</v>
      </c>
      <c r="AO42" s="23">
        <f>'QTR Raw'!I28</f>
        <v>0</v>
      </c>
      <c r="AP42" s="23">
        <f>'QTR Raw'!J28</f>
        <v>0</v>
      </c>
      <c r="AQ42" s="23">
        <f>'QTR Raw'!K28</f>
        <v>0</v>
      </c>
      <c r="AR42" s="23">
        <f>'QTR Raw'!L28</f>
        <v>0</v>
      </c>
      <c r="AS42" s="23">
        <f>'QTR Raw'!M28</f>
        <v>0</v>
      </c>
      <c r="AT42" s="23">
        <f>'QTR Raw'!N28</f>
        <v>0</v>
      </c>
      <c r="AU42" s="23">
        <f>'QTR Raw'!O28</f>
        <v>313</v>
      </c>
      <c r="AV42" s="23">
        <f>'QTR Raw'!P28</f>
        <v>358</v>
      </c>
      <c r="AW42" s="23">
        <f>'QTR Raw'!Q28</f>
        <v>369</v>
      </c>
      <c r="AX42" s="23">
        <f>'QTR Raw'!R28</f>
        <v>419</v>
      </c>
      <c r="AY42" s="23">
        <f>'QTR Raw'!S28</f>
        <v>400</v>
      </c>
      <c r="AZ42" s="23">
        <f>'QTR Raw'!T28</f>
        <v>424</v>
      </c>
      <c r="BA42" s="23">
        <f>'QTR Raw'!U28</f>
        <v>433</v>
      </c>
      <c r="BB42" s="23">
        <f>'QTR Raw'!V28</f>
        <v>446</v>
      </c>
      <c r="BC42" s="23">
        <f>'QTR Raw'!W28</f>
        <v>450</v>
      </c>
      <c r="BD42" s="23">
        <f>'QTR Raw'!X28</f>
        <v>456</v>
      </c>
      <c r="BE42" s="23">
        <f>'QTR Raw'!Y28</f>
        <v>498</v>
      </c>
      <c r="BF42" s="23">
        <f>'QTR Raw'!Z28</f>
        <v>458</v>
      </c>
      <c r="BG42" s="23">
        <f>'QTR Raw'!AA28</f>
        <v>436</v>
      </c>
      <c r="BH42" s="23">
        <f>'QTR Raw'!AB28</f>
        <v>463</v>
      </c>
      <c r="BI42" s="23">
        <f>'QTR Raw'!AC28</f>
        <v>580</v>
      </c>
      <c r="BJ42" s="23">
        <f>'QTR Raw'!AD28</f>
        <v>531</v>
      </c>
      <c r="BK42" s="23">
        <f>'QTR Raw'!AE28</f>
        <v>681</v>
      </c>
      <c r="BL42" s="23">
        <f>'QTR Raw'!AF28</f>
        <v>727</v>
      </c>
      <c r="BM42" s="23">
        <f>'QTR Raw'!AG28</f>
        <v>737</v>
      </c>
      <c r="BN42" s="23">
        <f>'QTR Raw'!AH28</f>
        <v>749</v>
      </c>
      <c r="BO42" s="23">
        <f>'QTR Raw'!AI28</f>
        <v>756</v>
      </c>
      <c r="BP42" s="23">
        <f>'QTR Raw'!AJ28</f>
        <v>855</v>
      </c>
      <c r="BQ42" s="23">
        <f>'QTR Raw'!AK28</f>
        <v>826</v>
      </c>
      <c r="BR42" s="23">
        <f>'QTR Raw'!AL28</f>
        <v>831</v>
      </c>
      <c r="BS42" s="23">
        <f>'QTR Raw'!AM28</f>
        <v>829</v>
      </c>
      <c r="BT42" s="23">
        <f>'QTR Raw'!AN28</f>
        <v>859</v>
      </c>
      <c r="BU42" s="23">
        <f>'QTR Raw'!AO28</f>
        <v>899</v>
      </c>
      <c r="BV42" s="23">
        <f>'QTR Raw'!AP28</f>
        <v>890</v>
      </c>
      <c r="BW42" s="23">
        <f>'QTR Raw'!AQ28</f>
        <v>950</v>
      </c>
      <c r="BX42" s="23">
        <f>'QTR Raw'!AR28</f>
        <v>1029</v>
      </c>
      <c r="BY42" s="23">
        <f>'QTR Raw'!AS28</f>
        <v>1125</v>
      </c>
      <c r="BZ42" s="23">
        <f>'QTR Raw'!AT28</f>
        <v>1121</v>
      </c>
      <c r="CA42" s="23">
        <f>'QTR Raw'!AU28</f>
        <v>1173</v>
      </c>
      <c r="CB42" s="23">
        <f>'QTR Raw'!AV28</f>
        <v>1166</v>
      </c>
      <c r="CC42" s="23">
        <f>'QTR Raw'!AW28</f>
        <v>1176</v>
      </c>
      <c r="CD42" s="23">
        <f>'QTR Raw'!AX28</f>
        <v>1163</v>
      </c>
      <c r="CE42" s="23">
        <f>'QTR Raw'!AY28</f>
        <v>1149</v>
      </c>
      <c r="CF42" s="23">
        <f>'QTR Raw'!AZ28</f>
        <v>1160</v>
      </c>
      <c r="CG42" s="23">
        <f>'QTR Raw'!BA28</f>
        <v>1203</v>
      </c>
      <c r="CH42" s="23">
        <f>'QTR Raw'!BB28</f>
        <v>1299</v>
      </c>
      <c r="CI42" s="23">
        <f>'QTR Raw'!BC28</f>
        <v>1140</v>
      </c>
      <c r="CJ42" s="23">
        <f>'QTR Raw'!BD28</f>
        <v>1182</v>
      </c>
      <c r="CK42" s="23">
        <f>'QTR Raw'!BE28</f>
        <v>1155</v>
      </c>
      <c r="CL42" s="23">
        <f>'QTR Raw'!BF28</f>
        <v>1424</v>
      </c>
      <c r="CM42" s="24">
        <f t="shared" ref="CM42:DB42" si="435">CM43*CL144</f>
        <v>1411.8664872829779</v>
      </c>
      <c r="CN42" s="24">
        <f t="shared" si="435"/>
        <v>1465.5215658984584</v>
      </c>
      <c r="CO42" s="24">
        <f t="shared" si="435"/>
        <v>1514.2817228694751</v>
      </c>
      <c r="CP42" s="24">
        <f t="shared" si="435"/>
        <v>1558.5935190533348</v>
      </c>
      <c r="CQ42" s="24">
        <f t="shared" si="435"/>
        <v>1598.862775819819</v>
      </c>
      <c r="CR42" s="24">
        <f t="shared" si="435"/>
        <v>1635.4582916909558</v>
      </c>
      <c r="CS42" s="24">
        <f t="shared" si="435"/>
        <v>1668.7152199139091</v>
      </c>
      <c r="CT42" s="24">
        <f t="shared" si="435"/>
        <v>1698.9381378998528</v>
      </c>
      <c r="CU42" s="24">
        <f t="shared" si="435"/>
        <v>1726.4038366397215</v>
      </c>
      <c r="CV42" s="24">
        <f t="shared" si="435"/>
        <v>1568.9050177932249</v>
      </c>
      <c r="CW42" s="24">
        <f t="shared" si="435"/>
        <v>1425.7747246714653</v>
      </c>
      <c r="CX42" s="24">
        <f t="shared" si="435"/>
        <v>1295.7021250217654</v>
      </c>
      <c r="CY42" s="24">
        <f t="shared" si="435"/>
        <v>1177.4959730561689</v>
      </c>
      <c r="CZ42" s="24">
        <f t="shared" si="435"/>
        <v>1070.0736996477517</v>
      </c>
      <c r="DA42" s="24">
        <f t="shared" si="435"/>
        <v>972.45149782198484</v>
      </c>
      <c r="DB42" s="24">
        <f t="shared" si="435"/>
        <v>883.73531274295988</v>
      </c>
      <c r="DE42" s="123"/>
      <c r="DF42" s="23">
        <v>4901</v>
      </c>
      <c r="DG42" s="23">
        <v>1221.105052831211</v>
      </c>
    </row>
    <row r="43" spans="1:111" s="46" customFormat="1" x14ac:dyDescent="0.2">
      <c r="A43" s="46" t="s">
        <v>483</v>
      </c>
      <c r="B43" s="46">
        <f t="shared" ref="B43:D43" si="436">+B42/B144</f>
        <v>0.2917074420940548</v>
      </c>
      <c r="C43" s="46">
        <f t="shared" si="436"/>
        <v>0.28304878693377028</v>
      </c>
      <c r="D43" s="46">
        <f t="shared" si="436"/>
        <v>0.27172019985724483</v>
      </c>
      <c r="E43" s="46">
        <f t="shared" ref="E43:AE43" si="437">+E42/E144</f>
        <v>0.30222522948077973</v>
      </c>
      <c r="F43" s="46">
        <f t="shared" si="437"/>
        <v>0.23621399176954733</v>
      </c>
      <c r="G43" s="46">
        <f t="shared" si="437"/>
        <v>0.27075588599752171</v>
      </c>
      <c r="H43" s="46">
        <f t="shared" si="437"/>
        <v>0.2318448353631033</v>
      </c>
      <c r="I43" s="46">
        <f t="shared" si="437"/>
        <v>0.21635311143270622</v>
      </c>
      <c r="J43" s="46">
        <f t="shared" si="437"/>
        <v>0.19082246740220662</v>
      </c>
      <c r="K43" s="46">
        <f t="shared" si="437"/>
        <v>0.22456575682382135</v>
      </c>
      <c r="L43" s="46">
        <f t="shared" si="437"/>
        <v>0.19773095623987033</v>
      </c>
      <c r="M43" s="46">
        <f t="shared" si="437"/>
        <v>0.2078853046594982</v>
      </c>
      <c r="N43" s="46">
        <f t="shared" si="437"/>
        <v>0.22451481103166496</v>
      </c>
      <c r="O43" s="46">
        <f t="shared" si="437"/>
        <v>0.21470492337789371</v>
      </c>
      <c r="P43" s="46">
        <f t="shared" si="437"/>
        <v>0.13120887627402916</v>
      </c>
      <c r="Q43" s="46">
        <f t="shared" si="437"/>
        <v>0.15163167740594471</v>
      </c>
      <c r="R43" s="46">
        <f t="shared" si="437"/>
        <v>0.1617744846584972</v>
      </c>
      <c r="S43" s="46">
        <f t="shared" si="437"/>
        <v>0.17977419666119848</v>
      </c>
      <c r="T43" s="46">
        <f t="shared" si="437"/>
        <v>0.16524239934264584</v>
      </c>
      <c r="U43" s="46">
        <f t="shared" si="437"/>
        <v>0.16645569620253164</v>
      </c>
      <c r="V43" s="46">
        <f t="shared" si="437"/>
        <v>0.17771854430724038</v>
      </c>
      <c r="W43" s="46">
        <f t="shared" si="437"/>
        <v>0.18485428632205914</v>
      </c>
      <c r="X43" s="46">
        <f t="shared" si="437"/>
        <v>0.20052206929283342</v>
      </c>
      <c r="Y43" s="46">
        <f t="shared" si="437"/>
        <v>0.23858825929514968</v>
      </c>
      <c r="Z43" s="46">
        <f t="shared" si="437"/>
        <v>0.25529205793410792</v>
      </c>
      <c r="AA43" s="46">
        <f t="shared" ref="AA43" si="438">+AA42/AA144</f>
        <v>0.24870624048706241</v>
      </c>
      <c r="AB43" s="110">
        <f t="shared" si="437"/>
        <v>0.33951573022559794</v>
      </c>
      <c r="AC43" s="110">
        <f t="shared" si="437"/>
        <v>0.34887219189238983</v>
      </c>
      <c r="AD43" s="110">
        <f t="shared" si="437"/>
        <v>0.46616538497271692</v>
      </c>
      <c r="AE43" s="110">
        <f t="shared" si="437"/>
        <v>0.4661653849727167</v>
      </c>
      <c r="AI43" s="46" t="e">
        <f t="shared" ref="AI43:BN43" si="439">+AI42/AH144</f>
        <v>#DIV/0!</v>
      </c>
      <c r="AJ43" s="46" t="e">
        <f t="shared" si="439"/>
        <v>#DIV/0!</v>
      </c>
      <c r="AK43" s="46">
        <f t="shared" si="439"/>
        <v>0</v>
      </c>
      <c r="AL43" s="46">
        <f t="shared" si="439"/>
        <v>0</v>
      </c>
      <c r="AM43" s="46">
        <f t="shared" si="439"/>
        <v>0</v>
      </c>
      <c r="AN43" s="46">
        <f t="shared" si="439"/>
        <v>0</v>
      </c>
      <c r="AO43" s="46">
        <f t="shared" si="439"/>
        <v>0</v>
      </c>
      <c r="AP43" s="46">
        <f t="shared" si="439"/>
        <v>0</v>
      </c>
      <c r="AQ43" s="46">
        <f t="shared" si="439"/>
        <v>0</v>
      </c>
      <c r="AR43" s="46">
        <f t="shared" si="439"/>
        <v>0</v>
      </c>
      <c r="AS43" s="46">
        <f t="shared" si="439"/>
        <v>0</v>
      </c>
      <c r="AT43" s="46">
        <f t="shared" si="439"/>
        <v>0</v>
      </c>
      <c r="AU43" s="46">
        <f t="shared" si="439"/>
        <v>3.205981767899211E-2</v>
      </c>
      <c r="AV43" s="46">
        <f t="shared" si="439"/>
        <v>3.6669056642425486E-2</v>
      </c>
      <c r="AW43" s="46">
        <f t="shared" si="439"/>
        <v>3.4801471281712723E-2</v>
      </c>
      <c r="AX43" s="46">
        <f t="shared" si="439"/>
        <v>3.9517117796849952E-2</v>
      </c>
      <c r="AY43" s="46">
        <f t="shared" si="439"/>
        <v>4.1571398877572233E-2</v>
      </c>
      <c r="AZ43" s="46">
        <f t="shared" si="439"/>
        <v>4.4065682810226561E-2</v>
      </c>
      <c r="BA43" s="46">
        <f t="shared" si="439"/>
        <v>4.4161142274349821E-2</v>
      </c>
      <c r="BB43" s="46">
        <f t="shared" si="439"/>
        <v>4.5486996430392654E-2</v>
      </c>
      <c r="BC43" s="46">
        <f t="shared" si="439"/>
        <v>4.274722143060701E-2</v>
      </c>
      <c r="BD43" s="46">
        <f t="shared" si="439"/>
        <v>4.3317184383015107E-2</v>
      </c>
      <c r="BE43" s="46">
        <f t="shared" si="439"/>
        <v>4.8790046046830605E-2</v>
      </c>
      <c r="BF43" s="46">
        <f t="shared" si="439"/>
        <v>4.4871166846281965E-2</v>
      </c>
      <c r="BG43" s="46">
        <f t="shared" si="439"/>
        <v>4.207275885361382E-2</v>
      </c>
      <c r="BH43" s="46">
        <f t="shared" si="439"/>
        <v>4.4678181993631189E-2</v>
      </c>
      <c r="BI43" s="46">
        <f t="shared" si="439"/>
        <v>5.5779957684170031E-2</v>
      </c>
      <c r="BJ43" s="46">
        <f t="shared" si="439"/>
        <v>5.1067512983266013E-2</v>
      </c>
      <c r="BK43" s="46">
        <f t="shared" si="439"/>
        <v>5.5957271980279374E-2</v>
      </c>
      <c r="BL43" s="46">
        <f t="shared" si="439"/>
        <v>5.9737058340180775E-2</v>
      </c>
      <c r="BM43" s="46">
        <f t="shared" si="439"/>
        <v>5.5913815340262497E-2</v>
      </c>
      <c r="BN43" s="46">
        <f t="shared" si="439"/>
        <v>5.6824216675517791E-2</v>
      </c>
      <c r="BO43" s="46">
        <f t="shared" ref="BO43:CL43" si="440">+BO42/BN144</f>
        <v>5.273805371468434E-2</v>
      </c>
      <c r="BP43" s="46">
        <f t="shared" si="440"/>
        <v>5.9644227415416813E-2</v>
      </c>
      <c r="BQ43" s="46">
        <f t="shared" si="440"/>
        <v>5.8648111332007952E-2</v>
      </c>
      <c r="BR43" s="46">
        <f t="shared" si="440"/>
        <v>5.9003124112468046E-2</v>
      </c>
      <c r="BS43" s="46">
        <f t="shared" si="440"/>
        <v>5.6656642974302895E-2</v>
      </c>
      <c r="BT43" s="46">
        <f t="shared" si="440"/>
        <v>5.8706943685073808E-2</v>
      </c>
      <c r="BU43" s="46">
        <f t="shared" si="440"/>
        <v>6.0710426796326308E-2</v>
      </c>
      <c r="BV43" s="46">
        <f t="shared" si="440"/>
        <v>6.010264721772015E-2</v>
      </c>
      <c r="BW43" s="46">
        <f t="shared" si="440"/>
        <v>6.4267352185089971E-2</v>
      </c>
      <c r="BX43" s="46">
        <f t="shared" si="440"/>
        <v>6.9611689893113241E-2</v>
      </c>
      <c r="BY43" s="46">
        <f t="shared" si="440"/>
        <v>7.6286702380145108E-2</v>
      </c>
      <c r="BZ43" s="46">
        <f t="shared" si="440"/>
        <v>7.6015460771682378E-2</v>
      </c>
      <c r="CA43" s="46">
        <f t="shared" si="440"/>
        <v>7.7707850281550181E-2</v>
      </c>
      <c r="CB43" s="46">
        <f t="shared" si="440"/>
        <v>7.7244120569725072E-2</v>
      </c>
      <c r="CC43" s="46">
        <f t="shared" si="440"/>
        <v>8.34693732699269E-2</v>
      </c>
      <c r="CD43" s="46">
        <f t="shared" si="440"/>
        <v>8.2546667613031449E-2</v>
      </c>
      <c r="CE43" s="46">
        <f t="shared" si="440"/>
        <v>8.3460448899542378E-2</v>
      </c>
      <c r="CF43" s="46">
        <f t="shared" si="440"/>
        <v>8.4259461029999275E-2</v>
      </c>
      <c r="CG43" s="46">
        <f t="shared" si="440"/>
        <v>8.0018624451243844E-2</v>
      </c>
      <c r="CH43" s="46">
        <f t="shared" si="440"/>
        <v>8.6404150591991483E-2</v>
      </c>
      <c r="CI43" s="46">
        <f t="shared" si="440"/>
        <v>6.04806621040904E-2</v>
      </c>
      <c r="CJ43" s="46">
        <f t="shared" si="440"/>
        <v>6.6745722513975939E-2</v>
      </c>
      <c r="CK43" s="46">
        <f t="shared" si="440"/>
        <v>7.8230831752912483E-2</v>
      </c>
      <c r="CL43" s="46">
        <f t="shared" si="440"/>
        <v>9.1229418924979183E-2</v>
      </c>
      <c r="CM43" s="47">
        <f t="shared" ref="CM43" si="441">CL43</f>
        <v>9.1229418924979183E-2</v>
      </c>
      <c r="CN43" s="47">
        <f t="shared" ref="CN43" si="442">CM43</f>
        <v>9.1229418924979183E-2</v>
      </c>
      <c r="CO43" s="47">
        <f t="shared" ref="CO43" si="443">CN43</f>
        <v>9.1229418924979183E-2</v>
      </c>
      <c r="CP43" s="47">
        <f t="shared" ref="CP43" si="444">CO43</f>
        <v>9.1229418924979183E-2</v>
      </c>
      <c r="CQ43" s="47">
        <f t="shared" ref="CQ43" si="445">CP43</f>
        <v>9.1229418924979183E-2</v>
      </c>
      <c r="CR43" s="47">
        <f t="shared" ref="CR43" si="446">CQ43</f>
        <v>9.1229418924979183E-2</v>
      </c>
      <c r="CS43" s="47">
        <f t="shared" ref="CS43" si="447">CR43</f>
        <v>9.1229418924979183E-2</v>
      </c>
      <c r="CT43" s="47">
        <f t="shared" ref="CT43" si="448">CS43</f>
        <v>9.1229418924979183E-2</v>
      </c>
      <c r="CU43" s="47">
        <f t="shared" ref="CU43" si="449">CT43</f>
        <v>9.1229418924979183E-2</v>
      </c>
      <c r="CV43" s="47">
        <f t="shared" ref="CV43" si="450">CU43</f>
        <v>9.1229418924979183E-2</v>
      </c>
      <c r="CW43" s="47">
        <f t="shared" ref="CW43" si="451">CV43</f>
        <v>9.1229418924979183E-2</v>
      </c>
      <c r="CX43" s="47">
        <f t="shared" ref="CX43" si="452">CW43</f>
        <v>9.1229418924979183E-2</v>
      </c>
      <c r="CY43" s="47">
        <f t="shared" ref="CY43" si="453">CX43</f>
        <v>9.1229418924979183E-2</v>
      </c>
      <c r="CZ43" s="47">
        <f t="shared" ref="CZ43" si="454">CY43</f>
        <v>9.1229418924979183E-2</v>
      </c>
      <c r="DA43" s="47">
        <f t="shared" ref="DA43" si="455">CZ43</f>
        <v>9.1229418924979183E-2</v>
      </c>
      <c r="DB43" s="47">
        <f t="shared" ref="DB43" si="456">DA43</f>
        <v>9.1229418924979183E-2</v>
      </c>
      <c r="DE43" s="130"/>
      <c r="DF43" s="46">
        <v>0.31668389764797106</v>
      </c>
      <c r="DG43" s="46">
        <v>7.8230831752912483E-2</v>
      </c>
    </row>
    <row r="44" spans="1:111" s="26" customFormat="1" x14ac:dyDescent="0.2">
      <c r="A44" s="34" t="s">
        <v>16</v>
      </c>
      <c r="B44" s="26">
        <f>B38-B42</f>
        <v>637.2516909000002</v>
      </c>
      <c r="C44" s="26">
        <f t="shared" ref="C44:T44" si="457">C38-C42</f>
        <v>877.68999999999994</v>
      </c>
      <c r="D44" s="26">
        <f>D38-D42</f>
        <v>1050.0200000000002</v>
      </c>
      <c r="E44" s="26">
        <f t="shared" si="457"/>
        <v>1348.54</v>
      </c>
      <c r="F44" s="26">
        <f t="shared" si="457"/>
        <v>2049</v>
      </c>
      <c r="G44" s="26">
        <f t="shared" si="457"/>
        <v>2561</v>
      </c>
      <c r="H44" s="26">
        <f t="shared" si="457"/>
        <v>3876</v>
      </c>
      <c r="I44" s="26">
        <f t="shared" si="457"/>
        <v>4639</v>
      </c>
      <c r="J44" s="26">
        <f t="shared" si="457"/>
        <v>5996</v>
      </c>
      <c r="K44" s="26">
        <f t="shared" si="457"/>
        <v>6956</v>
      </c>
      <c r="L44" s="26">
        <f t="shared" si="457"/>
        <v>8116</v>
      </c>
      <c r="M44" s="26">
        <f t="shared" si="457"/>
        <v>9799</v>
      </c>
      <c r="N44" s="26">
        <f t="shared" si="457"/>
        <v>10439</v>
      </c>
      <c r="O44" s="26">
        <f t="shared" si="457"/>
        <v>12073</v>
      </c>
      <c r="P44" s="26">
        <f t="shared" si="457"/>
        <v>13866</v>
      </c>
      <c r="Q44" s="26">
        <f t="shared" si="457"/>
        <v>15574</v>
      </c>
      <c r="R44" s="26">
        <f t="shared" si="457"/>
        <v>16542</v>
      </c>
      <c r="S44" s="26">
        <f t="shared" si="457"/>
        <v>17030</v>
      </c>
      <c r="T44" s="26">
        <f t="shared" si="457"/>
        <v>18159</v>
      </c>
      <c r="U44" s="26">
        <f t="shared" ref="U44:Z44" si="458">U38-U42</f>
        <v>18863</v>
      </c>
      <c r="V44" s="26">
        <f t="shared" si="458"/>
        <v>24276</v>
      </c>
      <c r="W44" s="26">
        <f t="shared" si="458"/>
        <v>28015</v>
      </c>
      <c r="X44" s="26">
        <f t="shared" si="458"/>
        <v>30258</v>
      </c>
      <c r="Y44" s="26">
        <f t="shared" si="458"/>
        <v>31747</v>
      </c>
      <c r="Z44" s="26">
        <f t="shared" si="458"/>
        <v>34109</v>
      </c>
      <c r="AA44" s="26">
        <f t="shared" ref="AA44" si="459">AA38-AA42</f>
        <v>34760</v>
      </c>
      <c r="AB44" s="27">
        <f t="shared" ref="AB44:AD44" si="460">AB38-AB42</f>
        <v>39626.89499744869</v>
      </c>
      <c r="AC44" s="27">
        <f t="shared" si="460"/>
        <v>42485.603185767679</v>
      </c>
      <c r="AD44" s="27">
        <f t="shared" si="460"/>
        <v>41269.128944937256</v>
      </c>
      <c r="AE44" s="27">
        <f t="shared" ref="AE44" si="461">AE38-AE42</f>
        <v>48003.867887421686</v>
      </c>
      <c r="AI44" s="26">
        <f t="shared" ref="AI44" si="462">AI38-AI42</f>
        <v>2659</v>
      </c>
      <c r="AJ44" s="26">
        <f t="shared" ref="AJ44" si="463">AJ38-AJ42</f>
        <v>2597</v>
      </c>
      <c r="AK44" s="26">
        <f t="shared" ref="AK44:AM44" si="464">AK38-AK42</f>
        <v>2677</v>
      </c>
      <c r="AL44" s="26">
        <f t="shared" si="464"/>
        <v>2462</v>
      </c>
      <c r="AM44" s="26">
        <f t="shared" si="464"/>
        <v>2664</v>
      </c>
      <c r="AN44" s="26">
        <f t="shared" ref="AN44:AO44" si="465">AN38-AN42</f>
        <v>2751</v>
      </c>
      <c r="AO44" s="26">
        <f t="shared" si="465"/>
        <v>3259</v>
      </c>
      <c r="AP44" s="26">
        <f t="shared" ref="AP44:CD44" si="466">AP38-AP42</f>
        <v>3281</v>
      </c>
      <c r="AQ44" s="26">
        <f t="shared" si="466"/>
        <v>3211</v>
      </c>
      <c r="AR44" s="26">
        <f t="shared" si="466"/>
        <v>3483</v>
      </c>
      <c r="AS44" s="26">
        <f t="shared" si="466"/>
        <v>3689</v>
      </c>
      <c r="AT44" s="26">
        <f t="shared" si="466"/>
        <v>3449</v>
      </c>
      <c r="AU44" s="26">
        <f t="shared" si="466"/>
        <v>3447</v>
      </c>
      <c r="AV44" s="26">
        <f t="shared" si="466"/>
        <v>3993</v>
      </c>
      <c r="AW44" s="26">
        <f t="shared" si="466"/>
        <v>3959</v>
      </c>
      <c r="AX44" s="26">
        <f t="shared" si="466"/>
        <v>4220</v>
      </c>
      <c r="AY44" s="26">
        <f t="shared" si="466"/>
        <v>4047</v>
      </c>
      <c r="AZ44" s="26">
        <f t="shared" si="466"/>
        <v>4309</v>
      </c>
      <c r="BA44" s="26">
        <f t="shared" si="466"/>
        <v>4334</v>
      </c>
      <c r="BB44" s="26">
        <f t="shared" si="466"/>
        <v>4212</v>
      </c>
      <c r="BC44" s="26">
        <f t="shared" si="466"/>
        <v>4111</v>
      </c>
      <c r="BD44" s="26">
        <f t="shared" si="466"/>
        <v>4246</v>
      </c>
      <c r="BE44" s="26">
        <f t="shared" si="466"/>
        <v>4319</v>
      </c>
      <c r="BF44" s="26">
        <f t="shared" si="466"/>
        <v>4354</v>
      </c>
      <c r="BG44" s="26">
        <f t="shared" si="466"/>
        <v>4267</v>
      </c>
      <c r="BH44" s="26">
        <f t="shared" si="466"/>
        <v>4894</v>
      </c>
      <c r="BI44" s="26">
        <f t="shared" si="466"/>
        <v>4379</v>
      </c>
      <c r="BJ44" s="26">
        <f t="shared" si="466"/>
        <v>4618</v>
      </c>
      <c r="BK44" s="26">
        <f t="shared" si="466"/>
        <v>4471</v>
      </c>
      <c r="BL44" s="26">
        <f t="shared" si="466"/>
        <v>4912</v>
      </c>
      <c r="BM44" s="26">
        <f t="shared" si="466"/>
        <v>5064</v>
      </c>
      <c r="BN44" s="26">
        <f t="shared" si="466"/>
        <v>4927</v>
      </c>
      <c r="BO44" s="26">
        <f t="shared" si="466"/>
        <v>5365</v>
      </c>
      <c r="BP44" s="26">
        <f t="shared" si="466"/>
        <v>6228</v>
      </c>
      <c r="BQ44" s="26">
        <f t="shared" si="466"/>
        <v>6589</v>
      </c>
      <c r="BR44" s="26">
        <f t="shared" si="466"/>
        <v>6440</v>
      </c>
      <c r="BS44" s="26">
        <f t="shared" si="466"/>
        <v>6603</v>
      </c>
      <c r="BT44" s="26">
        <f t="shared" si="466"/>
        <v>6972</v>
      </c>
      <c r="BU44" s="26">
        <f t="shared" si="466"/>
        <v>7484</v>
      </c>
      <c r="BV44" s="26">
        <f t="shared" si="466"/>
        <v>6956</v>
      </c>
      <c r="BW44" s="26">
        <f t="shared" si="466"/>
        <v>6914</v>
      </c>
      <c r="BX44" s="26">
        <f t="shared" si="466"/>
        <v>7873</v>
      </c>
      <c r="BY44" s="26">
        <f t="shared" si="466"/>
        <v>8242</v>
      </c>
      <c r="BZ44" s="26">
        <f t="shared" si="466"/>
        <v>7877</v>
      </c>
      <c r="CA44" s="26">
        <f t="shared" si="466"/>
        <v>7891</v>
      </c>
      <c r="CB44" s="26">
        <f t="shared" si="466"/>
        <v>8274</v>
      </c>
      <c r="CC44" s="26">
        <f t="shared" si="466"/>
        <v>7961</v>
      </c>
      <c r="CD44" s="26">
        <f t="shared" si="466"/>
        <v>7621</v>
      </c>
      <c r="CE44" s="26">
        <f t="shared" ref="CE44:CF44" si="467">CE38-CE42</f>
        <v>8288</v>
      </c>
      <c r="CF44" s="26">
        <f t="shared" si="467"/>
        <v>8649</v>
      </c>
      <c r="CG44" s="26">
        <f t="shared" ref="CG44:CH44" si="468">CG38-CG42</f>
        <v>8912</v>
      </c>
      <c r="CH44" s="26">
        <f t="shared" si="468"/>
        <v>8575</v>
      </c>
      <c r="CI44" s="26">
        <f t="shared" ref="CI44:CJ44" si="469">CI38-CI42</f>
        <v>8803</v>
      </c>
      <c r="CJ44" s="26">
        <f t="shared" si="469"/>
        <v>9353</v>
      </c>
      <c r="CK44" s="26">
        <f t="shared" ref="CK44" si="470">CK38-CK42</f>
        <v>9479</v>
      </c>
      <c r="CL44" s="26">
        <f t="shared" ref="CL44" si="471">CL38-CL42</f>
        <v>9743</v>
      </c>
      <c r="CM44" s="27">
        <f t="shared" ref="CM44:DB44" si="472">CM38-CM42</f>
        <v>9772.7477824061989</v>
      </c>
      <c r="CN44" s="27">
        <f t="shared" si="472"/>
        <v>9872.9883328627457</v>
      </c>
      <c r="CO44" s="27">
        <f t="shared" si="472"/>
        <v>9937.2436539919017</v>
      </c>
      <c r="CP44" s="27">
        <f t="shared" si="472"/>
        <v>10043.915228187841</v>
      </c>
      <c r="CQ44" s="27">
        <f t="shared" si="472"/>
        <v>10435.373860796488</v>
      </c>
      <c r="CR44" s="27">
        <f t="shared" si="472"/>
        <v>10649.252808759971</v>
      </c>
      <c r="CS44" s="27">
        <f t="shared" si="472"/>
        <v>10594.533764684165</v>
      </c>
      <c r="CT44" s="27">
        <f t="shared" si="472"/>
        <v>10806.442751527053</v>
      </c>
      <c r="CU44" s="27">
        <f t="shared" si="472"/>
        <v>10153.404302801748</v>
      </c>
      <c r="CV44" s="27">
        <f t="shared" si="472"/>
        <v>10311.992226320868</v>
      </c>
      <c r="CW44" s="27">
        <f t="shared" si="472"/>
        <v>10382.677463520049</v>
      </c>
      <c r="CX44" s="27">
        <f t="shared" si="472"/>
        <v>10421.054952294588</v>
      </c>
      <c r="CY44" s="27">
        <f t="shared" si="472"/>
        <v>11407.43361892292</v>
      </c>
      <c r="CZ44" s="27">
        <f t="shared" si="472"/>
        <v>11757.032460204375</v>
      </c>
      <c r="DA44" s="27">
        <f t="shared" si="472"/>
        <v>12165.037706254359</v>
      </c>
      <c r="DB44" s="27">
        <f t="shared" si="472"/>
        <v>12674.364102040025</v>
      </c>
      <c r="DE44" s="121"/>
      <c r="DF44" s="26">
        <v>37378</v>
      </c>
      <c r="DG44" s="26">
        <v>8894.5976802025471</v>
      </c>
    </row>
    <row r="45" spans="1:111" s="23" customFormat="1" x14ac:dyDescent="0.2">
      <c r="A45" s="23" t="s">
        <v>17</v>
      </c>
      <c r="B45" s="23">
        <f>'Annual Raw'!C23</f>
        <v>59.371491499999998</v>
      </c>
      <c r="C45" s="23">
        <f>'Annual Raw'!D23</f>
        <v>66.41</v>
      </c>
      <c r="D45" s="23">
        <f>'Annual Raw'!E23</f>
        <v>106.51</v>
      </c>
      <c r="E45" s="23">
        <f>'Annual Raw'!F23</f>
        <v>123.38</v>
      </c>
      <c r="F45" s="23">
        <f>'Annual Raw'!G23</f>
        <v>124</v>
      </c>
      <c r="G45" s="23">
        <f>'Annual Raw'!H23</f>
        <v>232</v>
      </c>
      <c r="H45" s="23">
        <f>'Annual Raw'!I23</f>
        <v>372</v>
      </c>
      <c r="I45" s="23">
        <f>'Annual Raw'!J23</f>
        <v>706</v>
      </c>
      <c r="J45" s="23">
        <f>'Annual Raw'!K23</f>
        <v>914</v>
      </c>
      <c r="K45" s="23">
        <f>'Annual Raw'!L23</f>
        <v>945</v>
      </c>
      <c r="L45" s="23">
        <f>'Annual Raw'!M23</f>
        <v>1211</v>
      </c>
      <c r="M45" s="23">
        <f>'Annual Raw'!N23</f>
        <v>1904</v>
      </c>
      <c r="N45" s="23">
        <f>'Annual Raw'!O23</f>
        <v>2365</v>
      </c>
      <c r="O45" s="23">
        <f>'Annual Raw'!P23</f>
        <v>2664</v>
      </c>
      <c r="P45" s="23">
        <f>'Annual Raw'!Q23</f>
        <v>3430</v>
      </c>
      <c r="Q45" s="23">
        <f>'Annual Raw'!R23</f>
        <v>3169</v>
      </c>
      <c r="R45" s="23">
        <f>'Annual Raw'!S23</f>
        <v>3439</v>
      </c>
      <c r="S45" s="23">
        <f>'Annual Raw'!T23</f>
        <v>3311</v>
      </c>
      <c r="T45" s="23">
        <f>'Annual Raw'!U23</f>
        <v>2882</v>
      </c>
      <c r="U45" s="23">
        <f>'Annual Raw'!V23</f>
        <v>3314</v>
      </c>
      <c r="V45" s="23">
        <f>'Annual Raw'!W23</f>
        <v>2547</v>
      </c>
      <c r="W45" s="23">
        <f>'Annual Raw'!X23</f>
        <v>2295</v>
      </c>
      <c r="X45" s="23">
        <f>'Annual Raw'!Y23</f>
        <v>3348</v>
      </c>
      <c r="Y45" s="23">
        <f>'Annual Raw'!Z23</f>
        <v>4711</v>
      </c>
      <c r="Z45" s="23">
        <f>'Annual Raw'!AA23</f>
        <v>3915</v>
      </c>
      <c r="AA45" s="23">
        <f>'Annual Raw'!AB23</f>
        <v>6940</v>
      </c>
      <c r="AB45" s="76">
        <f t="shared" ref="AB45:AB46" si="473">+SUM(CM45:CP45)</f>
        <v>0</v>
      </c>
      <c r="AC45" s="76">
        <f t="shared" ref="AC45:AC46" si="474">+SUM(CQ45:CT45)</f>
        <v>0</v>
      </c>
      <c r="AD45" s="76">
        <f t="shared" ref="AD45:AD46" si="475">+SUM(CU45:CX45)</f>
        <v>0</v>
      </c>
      <c r="AE45" s="76">
        <f t="shared" ref="AE45:AE46" si="476">+SUM(CY45:DB45)</f>
        <v>0</v>
      </c>
      <c r="AI45" s="23">
        <f>'QTR Raw'!C23</f>
        <v>510</v>
      </c>
      <c r="AJ45" s="23">
        <f>'QTR Raw'!D23</f>
        <v>706</v>
      </c>
      <c r="AK45" s="23">
        <f>'QTR Raw'!E23</f>
        <v>503</v>
      </c>
      <c r="AL45" s="23">
        <f>'QTR Raw'!F23</f>
        <v>674</v>
      </c>
      <c r="AM45" s="23">
        <f>'QTR Raw'!G23</f>
        <v>577</v>
      </c>
      <c r="AN45" s="23">
        <f>'QTR Raw'!H23</f>
        <v>596</v>
      </c>
      <c r="AO45" s="23">
        <f>'QTR Raw'!I23</f>
        <v>731</v>
      </c>
      <c r="AP45" s="23">
        <f>'QTR Raw'!J23</f>
        <v>851</v>
      </c>
      <c r="AQ45" s="23">
        <f>'QTR Raw'!K23</f>
        <v>829</v>
      </c>
      <c r="AR45" s="23">
        <f>'QTR Raw'!L23</f>
        <v>877</v>
      </c>
      <c r="AS45" s="23">
        <f>'QTR Raw'!M23</f>
        <v>840</v>
      </c>
      <c r="AT45" s="23">
        <f>'QTR Raw'!N23</f>
        <v>881</v>
      </c>
      <c r="AU45" s="23">
        <f>'QTR Raw'!O23</f>
        <v>756</v>
      </c>
      <c r="AV45" s="23">
        <f>'QTR Raw'!P23</f>
        <v>793</v>
      </c>
      <c r="AW45" s="23">
        <f>'QTR Raw'!Q23</f>
        <v>802</v>
      </c>
      <c r="AX45" s="23">
        <f>'QTR Raw'!R23</f>
        <v>772</v>
      </c>
      <c r="AY45" s="23">
        <f>'QTR Raw'!S23</f>
        <v>753</v>
      </c>
      <c r="AZ45" s="23">
        <f>'QTR Raw'!T23</f>
        <v>760</v>
      </c>
      <c r="BA45" s="23">
        <f>'QTR Raw'!U23</f>
        <v>820</v>
      </c>
      <c r="BB45" s="23">
        <f>'QTR Raw'!V23</f>
        <v>746</v>
      </c>
      <c r="BC45" s="23">
        <f>'QTR Raw'!W23</f>
        <v>814</v>
      </c>
      <c r="BD45" s="23">
        <f>'QTR Raw'!X23</f>
        <v>883</v>
      </c>
      <c r="BE45" s="23">
        <f>'QTR Raw'!Y23</f>
        <v>962</v>
      </c>
      <c r="BF45" s="23">
        <f>'QTR Raw'!Z23</f>
        <v>652</v>
      </c>
      <c r="BG45" s="23">
        <f>'QTR Raw'!AA23</f>
        <v>726</v>
      </c>
      <c r="BH45" s="23">
        <f>'QTR Raw'!AB23</f>
        <v>739</v>
      </c>
      <c r="BI45" s="23">
        <f>'QTR Raw'!AC23</f>
        <v>753</v>
      </c>
      <c r="BJ45" s="23">
        <f>'QTR Raw'!AD23</f>
        <v>665</v>
      </c>
      <c r="BK45" s="23">
        <f>'QTR Raw'!AE23</f>
        <v>736</v>
      </c>
      <c r="BL45" s="23">
        <f>'QTR Raw'!AF23</f>
        <v>626</v>
      </c>
      <c r="BM45" s="23">
        <f>'QTR Raw'!AG23</f>
        <v>827</v>
      </c>
      <c r="BN45" s="23">
        <f>'QTR Raw'!AH23</f>
        <v>614</v>
      </c>
      <c r="BO45" s="23">
        <f>'QTR Raw'!AI23</f>
        <v>475</v>
      </c>
      <c r="BP45" s="23">
        <f>'QTR Raw'!AJ23</f>
        <v>570</v>
      </c>
      <c r="BQ45" s="23">
        <f>'QTR Raw'!AK23</f>
        <v>611</v>
      </c>
      <c r="BR45" s="23">
        <f>'QTR Raw'!AL23</f>
        <v>545</v>
      </c>
      <c r="BS45" s="23">
        <f>'QTR Raw'!AM23</f>
        <v>622</v>
      </c>
      <c r="BT45" s="23">
        <f>'QTR Raw'!AN23</f>
        <v>524</v>
      </c>
      <c r="BU45" s="23">
        <f>'QTR Raw'!AO23</f>
        <v>512</v>
      </c>
      <c r="BV45" s="23">
        <f>'QTR Raw'!AP23</f>
        <v>637</v>
      </c>
      <c r="BW45" s="23">
        <f>'QTR Raw'!AQ23</f>
        <v>676</v>
      </c>
      <c r="BX45" s="23">
        <f>'QTR Raw'!AR23</f>
        <v>584</v>
      </c>
      <c r="BY45" s="23">
        <f>'QTR Raw'!AS23</f>
        <v>769</v>
      </c>
      <c r="BZ45" s="23">
        <f>'QTR Raw'!AT23</f>
        <v>671</v>
      </c>
      <c r="CA45" s="23">
        <f>'QTR Raw'!AU23</f>
        <v>561</v>
      </c>
      <c r="CB45" s="23">
        <f>'QTR Raw'!AV23</f>
        <v>632</v>
      </c>
      <c r="CC45" s="23">
        <f>'QTR Raw'!AW23</f>
        <v>789</v>
      </c>
      <c r="CD45" s="23">
        <f>'QTR Raw'!AX23</f>
        <v>2729</v>
      </c>
      <c r="CE45" s="23">
        <f>'QTR Raw'!AY23</f>
        <v>838</v>
      </c>
      <c r="CF45" s="23">
        <f>'QTR Raw'!AZ23</f>
        <v>712</v>
      </c>
      <c r="CG45" s="23">
        <f>'QTR Raw'!BA23</f>
        <v>859</v>
      </c>
      <c r="CH45" s="23">
        <f>'QTR Raw'!BB23</f>
        <v>1190</v>
      </c>
      <c r="CI45" s="23">
        <f>'QTR Raw'!BC23</f>
        <v>1042</v>
      </c>
      <c r="CJ45" s="23">
        <f>'QTR Raw'!BD23</f>
        <v>982</v>
      </c>
      <c r="CK45" s="23">
        <f>'QTR Raw'!BE23</f>
        <v>1139</v>
      </c>
      <c r="CL45" s="23">
        <f>'QTR Raw'!BF23</f>
        <v>1159</v>
      </c>
      <c r="CM45" s="24"/>
      <c r="CN45" s="24"/>
      <c r="CO45" s="24"/>
      <c r="CP45" s="24"/>
      <c r="CQ45" s="24"/>
      <c r="CR45" s="24"/>
      <c r="CS45" s="24"/>
      <c r="CT45" s="24"/>
      <c r="CU45" s="24"/>
      <c r="CV45" s="24"/>
      <c r="CW45" s="24"/>
      <c r="CX45" s="24"/>
      <c r="CY45" s="24"/>
      <c r="CZ45" s="24"/>
      <c r="DA45" s="24"/>
      <c r="DB45" s="24"/>
      <c r="DE45" s="123"/>
      <c r="DF45" s="23">
        <v>4322</v>
      </c>
    </row>
    <row r="46" spans="1:111" s="23" customFormat="1" x14ac:dyDescent="0.2">
      <c r="A46" s="23" t="s">
        <v>18</v>
      </c>
      <c r="B46" s="23">
        <f>'Annual Raw'!C25</f>
        <v>0.59394829999999998</v>
      </c>
      <c r="C46" s="23">
        <f>'Annual Raw'!D25</f>
        <v>0.71</v>
      </c>
      <c r="D46" s="23">
        <f>'Annual Raw'!E25</f>
        <v>0.76</v>
      </c>
      <c r="E46" s="23">
        <f>'Annual Raw'!F25</f>
        <v>0.75</v>
      </c>
      <c r="F46" s="23">
        <f>'Annual Raw'!G25</f>
        <v>1</v>
      </c>
      <c r="G46" s="23">
        <f>'Annual Raw'!H25</f>
        <v>1</v>
      </c>
      <c r="H46" s="23">
        <f>'Annual Raw'!I25</f>
        <v>1</v>
      </c>
      <c r="I46" s="23">
        <f>'Annual Raw'!J25</f>
        <v>1</v>
      </c>
      <c r="J46" s="23">
        <f>'Annual Raw'!K25</f>
        <v>3</v>
      </c>
      <c r="K46" s="23">
        <f>'Annual Raw'!L25</f>
        <v>2</v>
      </c>
      <c r="L46" s="23">
        <f>'Annual Raw'!M25</f>
        <v>2</v>
      </c>
      <c r="M46" s="23">
        <f>'Annual Raw'!N25</f>
        <v>4</v>
      </c>
      <c r="N46" s="23">
        <f>'Annual Raw'!O25</f>
        <v>5</v>
      </c>
      <c r="O46" s="23">
        <f>'Annual Raw'!P25</f>
        <v>9</v>
      </c>
      <c r="P46" s="23">
        <f>'Annual Raw'!Q25</f>
        <v>12</v>
      </c>
      <c r="Q46" s="23">
        <f>'Annual Raw'!R25</f>
        <v>0</v>
      </c>
      <c r="R46" s="23">
        <f>'Annual Raw'!S25</f>
        <v>0</v>
      </c>
      <c r="S46" s="23">
        <f>'Annual Raw'!T25</f>
        <v>0</v>
      </c>
      <c r="T46" s="23">
        <f>'Annual Raw'!U25</f>
        <v>0</v>
      </c>
      <c r="U46" s="23">
        <f>'Annual Raw'!V25</f>
        <v>170</v>
      </c>
      <c r="V46" s="23">
        <f>'Annual Raw'!W25</f>
        <v>195</v>
      </c>
      <c r="W46" s="23">
        <f>'Annual Raw'!X25</f>
        <v>200</v>
      </c>
      <c r="X46" s="23">
        <f>'Annual Raw'!Y25</f>
        <v>284</v>
      </c>
      <c r="Y46" s="23">
        <f>'Annual Raw'!Z25</f>
        <v>470</v>
      </c>
      <c r="Z46" s="23">
        <f>'Annual Raw'!AA25</f>
        <v>416</v>
      </c>
      <c r="AA46" s="23">
        <f>'Annual Raw'!AB25</f>
        <v>416</v>
      </c>
      <c r="AB46" s="76">
        <f t="shared" si="473"/>
        <v>-2836.8805828328987</v>
      </c>
      <c r="AC46" s="76">
        <f t="shared" si="474"/>
        <v>-3844.9620551422367</v>
      </c>
      <c r="AD46" s="76">
        <f t="shared" si="475"/>
        <v>-5644.8516239497785</v>
      </c>
      <c r="AE46" s="76">
        <f t="shared" si="476"/>
        <v>-7708.8456676011083</v>
      </c>
      <c r="AI46" s="23">
        <f>'QTR Raw'!C25</f>
        <v>0</v>
      </c>
      <c r="AJ46" s="23">
        <f>'QTR Raw'!D25</f>
        <v>0</v>
      </c>
      <c r="AK46" s="23">
        <f>'QTR Raw'!E25</f>
        <v>0</v>
      </c>
      <c r="AL46" s="23">
        <f>'QTR Raw'!F25</f>
        <v>0</v>
      </c>
      <c r="AM46" s="23">
        <f>'QTR Raw'!G25</f>
        <v>0</v>
      </c>
      <c r="AN46" s="23">
        <f>'QTR Raw'!H25</f>
        <v>0</v>
      </c>
      <c r="AO46" s="23">
        <f>'QTR Raw'!I25</f>
        <v>0</v>
      </c>
      <c r="AP46" s="23">
        <f>'QTR Raw'!J25</f>
        <v>0</v>
      </c>
      <c r="AQ46" s="23">
        <f>'QTR Raw'!K25</f>
        <v>0</v>
      </c>
      <c r="AR46" s="23">
        <f>'QTR Raw'!L25</f>
        <v>0</v>
      </c>
      <c r="AS46" s="23">
        <f>'QTR Raw'!M25</f>
        <v>0</v>
      </c>
      <c r="AT46" s="23">
        <f>'QTR Raw'!N25</f>
        <v>0</v>
      </c>
      <c r="AU46" s="23">
        <f>'QTR Raw'!O25</f>
        <v>0</v>
      </c>
      <c r="AV46" s="23">
        <f>'QTR Raw'!P25</f>
        <v>0</v>
      </c>
      <c r="AW46" s="23">
        <f>'QTR Raw'!Q25</f>
        <v>0</v>
      </c>
      <c r="AX46" s="23">
        <f>'QTR Raw'!R25</f>
        <v>0</v>
      </c>
      <c r="AY46" s="23">
        <f>'QTR Raw'!S25</f>
        <v>0</v>
      </c>
      <c r="AZ46" s="23">
        <f>'QTR Raw'!T25</f>
        <v>0</v>
      </c>
      <c r="BA46" s="23">
        <f>'QTR Raw'!U25</f>
        <v>0</v>
      </c>
      <c r="BB46" s="23">
        <f>'QTR Raw'!V25</f>
        <v>0</v>
      </c>
      <c r="BC46" s="23">
        <f>'QTR Raw'!W25</f>
        <v>0</v>
      </c>
      <c r="BD46" s="23">
        <f>'QTR Raw'!X25</f>
        <v>0</v>
      </c>
      <c r="BE46" s="23">
        <f>'QTR Raw'!Y25</f>
        <v>0</v>
      </c>
      <c r="BF46" s="23">
        <f>'QTR Raw'!Z25</f>
        <v>0</v>
      </c>
      <c r="BG46" s="23">
        <f>'QTR Raw'!AA25</f>
        <v>0</v>
      </c>
      <c r="BH46" s="23">
        <f>'QTR Raw'!AB25</f>
        <v>0</v>
      </c>
      <c r="BI46" s="23">
        <f>'QTR Raw'!AC25</f>
        <v>0</v>
      </c>
      <c r="BJ46" s="23">
        <f>'QTR Raw'!AD25</f>
        <v>0</v>
      </c>
      <c r="BK46" s="23">
        <f>'QTR Raw'!AE25</f>
        <v>40</v>
      </c>
      <c r="BL46" s="23">
        <f>'QTR Raw'!AF25</f>
        <v>42</v>
      </c>
      <c r="BM46" s="23">
        <f>'QTR Raw'!AG25</f>
        <v>42</v>
      </c>
      <c r="BN46" s="23">
        <f>'QTR Raw'!AH25</f>
        <v>45</v>
      </c>
      <c r="BO46" s="23">
        <f>'QTR Raw'!AI25</f>
        <v>48</v>
      </c>
      <c r="BP46" s="23">
        <f>'QTR Raw'!AJ25</f>
        <v>48</v>
      </c>
      <c r="BQ46" s="23">
        <f>'QTR Raw'!AK25</f>
        <v>49</v>
      </c>
      <c r="BR46" s="23">
        <f>'QTR Raw'!AL25</f>
        <v>50</v>
      </c>
      <c r="BS46" s="23">
        <f>'QTR Raw'!AM25</f>
        <v>49</v>
      </c>
      <c r="BT46" s="23">
        <f>'QTR Raw'!AN25</f>
        <v>48</v>
      </c>
      <c r="BU46" s="23">
        <f>'QTR Raw'!AO25</f>
        <v>53</v>
      </c>
      <c r="BV46" s="23">
        <f>'QTR Raw'!AP25</f>
        <v>50</v>
      </c>
      <c r="BW46" s="23">
        <f>'QTR Raw'!AQ25</f>
        <v>56</v>
      </c>
      <c r="BX46" s="23">
        <f>'QTR Raw'!AR25</f>
        <v>66</v>
      </c>
      <c r="BY46" s="23">
        <f>'QTR Raw'!AS25</f>
        <v>80</v>
      </c>
      <c r="BZ46" s="23">
        <f>'QTR Raw'!AT25</f>
        <v>82</v>
      </c>
      <c r="CA46" s="23">
        <f>'QTR Raw'!AU25</f>
        <v>90</v>
      </c>
      <c r="CB46" s="23">
        <f>'QTR Raw'!AV25</f>
        <v>138</v>
      </c>
      <c r="CC46" s="23">
        <f>'QTR Raw'!AW25</f>
        <v>131</v>
      </c>
      <c r="CD46" s="23">
        <f>'QTR Raw'!AX25</f>
        <v>110</v>
      </c>
      <c r="CE46" s="23">
        <f>'QTR Raw'!AY25</f>
        <v>105</v>
      </c>
      <c r="CF46" s="23">
        <f>'QTR Raw'!AZ25</f>
        <v>108</v>
      </c>
      <c r="CG46" s="23">
        <f>'QTR Raw'!BA25</f>
        <v>101</v>
      </c>
      <c r="CH46" s="23">
        <f>'QTR Raw'!BB25</f>
        <v>102</v>
      </c>
      <c r="CI46" s="23">
        <f>'QTR Raw'!BC25</f>
        <v>105</v>
      </c>
      <c r="CJ46" s="23">
        <f>'QTR Raw'!BD25</f>
        <v>106</v>
      </c>
      <c r="CK46" s="23">
        <f>'QTR Raw'!BE25</f>
        <v>100</v>
      </c>
      <c r="CL46" s="23">
        <f>'QTR Raw'!BF25</f>
        <v>105</v>
      </c>
      <c r="CM46" s="24">
        <f t="shared" ref="CM46:DB46" si="477">CM47*CL178</f>
        <v>-562.41600000000005</v>
      </c>
      <c r="CN46" s="24">
        <f t="shared" si="477"/>
        <v>-643.40454436061907</v>
      </c>
      <c r="CO46" s="24">
        <f t="shared" si="477"/>
        <v>-756.49454093793577</v>
      </c>
      <c r="CP46" s="24">
        <f t="shared" si="477"/>
        <v>-874.56549753434376</v>
      </c>
      <c r="CQ46" s="24">
        <f t="shared" si="477"/>
        <v>-809.30274748951206</v>
      </c>
      <c r="CR46" s="24">
        <f t="shared" si="477"/>
        <v>-908.54932932509928</v>
      </c>
      <c r="CS46" s="24">
        <f t="shared" si="477"/>
        <v>-1011.6853174731236</v>
      </c>
      <c r="CT46" s="24">
        <f t="shared" si="477"/>
        <v>-1115.4246608545018</v>
      </c>
      <c r="CU46" s="24">
        <f t="shared" si="477"/>
        <v>-1221.7801460568071</v>
      </c>
      <c r="CV46" s="24">
        <f t="shared" si="477"/>
        <v>-1348.095839149983</v>
      </c>
      <c r="CW46" s="24">
        <f t="shared" si="477"/>
        <v>-1474.5989452231784</v>
      </c>
      <c r="CX46" s="24">
        <f t="shared" si="477"/>
        <v>-1600.37669351981</v>
      </c>
      <c r="CY46" s="24">
        <f t="shared" si="477"/>
        <v>-1725.1372575639866</v>
      </c>
      <c r="CZ46" s="24">
        <f t="shared" si="477"/>
        <v>-1858.182561567118</v>
      </c>
      <c r="DA46" s="24">
        <f t="shared" si="477"/>
        <v>-1993.5853770051308</v>
      </c>
      <c r="DB46" s="24">
        <f t="shared" si="477"/>
        <v>-2131.9404714648731</v>
      </c>
      <c r="DE46" s="123"/>
      <c r="DF46" s="23">
        <v>416</v>
      </c>
      <c r="DG46" s="23">
        <v>-1095.0665501910541</v>
      </c>
    </row>
    <row r="47" spans="1:111" s="46" customFormat="1" x14ac:dyDescent="0.2">
      <c r="A47" s="46" t="s">
        <v>482</v>
      </c>
      <c r="B47" s="46" t="e">
        <f t="shared" ref="B47:D47" si="478">+B46/B138</f>
        <v>#DIV/0!</v>
      </c>
      <c r="C47" s="46" t="e">
        <f t="shared" si="478"/>
        <v>#DIV/0!</v>
      </c>
      <c r="D47" s="46" t="e">
        <f t="shared" si="478"/>
        <v>#DIV/0!</v>
      </c>
      <c r="E47" s="46" t="e">
        <f t="shared" ref="E47:AE47" si="479">+E46/E138</f>
        <v>#DIV/0!</v>
      </c>
      <c r="F47" s="46" t="e">
        <f t="shared" si="479"/>
        <v>#DIV/0!</v>
      </c>
      <c r="G47" s="46" t="e">
        <f t="shared" si="479"/>
        <v>#DIV/0!</v>
      </c>
      <c r="H47" s="46" t="e">
        <f t="shared" si="479"/>
        <v>#DIV/0!</v>
      </c>
      <c r="I47" s="46" t="e">
        <f t="shared" si="479"/>
        <v>#DIV/0!</v>
      </c>
      <c r="J47" s="46" t="e">
        <f t="shared" si="479"/>
        <v>#DIV/0!</v>
      </c>
      <c r="K47" s="46" t="e">
        <f t="shared" si="479"/>
        <v>#DIV/0!</v>
      </c>
      <c r="L47" s="46" t="e">
        <f t="shared" si="479"/>
        <v>#DIV/0!</v>
      </c>
      <c r="M47" s="46" t="e">
        <f t="shared" si="479"/>
        <v>#DIV/0!</v>
      </c>
      <c r="N47" s="46" t="e">
        <f t="shared" si="479"/>
        <v>#DIV/0!</v>
      </c>
      <c r="O47" s="46" t="e">
        <f t="shared" si="479"/>
        <v>#DIV/0!</v>
      </c>
      <c r="P47" s="46" t="e">
        <f t="shared" si="479"/>
        <v>#DIV/0!</v>
      </c>
      <c r="Q47" s="46" t="e">
        <f t="shared" si="479"/>
        <v>#DIV/0!</v>
      </c>
      <c r="R47" s="46" t="e">
        <f t="shared" si="479"/>
        <v>#DIV/0!</v>
      </c>
      <c r="S47" s="46" t="e">
        <f t="shared" si="479"/>
        <v>#DIV/0!</v>
      </c>
      <c r="T47" s="46" t="e">
        <f t="shared" si="479"/>
        <v>#DIV/0!</v>
      </c>
      <c r="U47" s="46" t="e">
        <f t="shared" si="479"/>
        <v>#DIV/0!</v>
      </c>
      <c r="V47" s="46" t="e">
        <f t="shared" si="479"/>
        <v>#DIV/0!</v>
      </c>
      <c r="W47" s="46" t="e">
        <f t="shared" si="479"/>
        <v>#DIV/0!</v>
      </c>
      <c r="X47" s="46" t="e">
        <f t="shared" si="479"/>
        <v>#DIV/0!</v>
      </c>
      <c r="Y47" s="46" t="e">
        <f t="shared" si="479"/>
        <v>#DIV/0!</v>
      </c>
      <c r="Z47" s="46" t="e">
        <f t="shared" si="479"/>
        <v>#DIV/0!</v>
      </c>
      <c r="AA47" s="46" t="e">
        <f t="shared" ref="AA47" si="480">+AA46/AA138</f>
        <v>#DIV/0!</v>
      </c>
      <c r="AB47" s="110" t="e">
        <f t="shared" si="479"/>
        <v>#DIV/0!</v>
      </c>
      <c r="AC47" s="110" t="e">
        <f t="shared" si="479"/>
        <v>#DIV/0!</v>
      </c>
      <c r="AD47" s="110" t="e">
        <f t="shared" si="479"/>
        <v>#DIV/0!</v>
      </c>
      <c r="AE47" s="110" t="e">
        <f t="shared" si="479"/>
        <v>#DIV/0!</v>
      </c>
      <c r="AI47" s="46" t="e">
        <f t="shared" ref="AI47:BN47" si="481">(AI46-AI45)/AH178</f>
        <v>#DIV/0!</v>
      </c>
      <c r="AJ47" s="46" t="e">
        <f t="shared" si="481"/>
        <v>#DIV/0!</v>
      </c>
      <c r="AK47" s="46">
        <f t="shared" si="481"/>
        <v>2.2350588758053767E-2</v>
      </c>
      <c r="AL47" s="46">
        <f t="shared" si="481"/>
        <v>2.752104289730662E-2</v>
      </c>
      <c r="AM47" s="46">
        <f t="shared" si="481"/>
        <v>2.4479232955750711E-2</v>
      </c>
      <c r="AN47" s="46">
        <f t="shared" si="481"/>
        <v>2.3456386173958961E-2</v>
      </c>
      <c r="AO47" s="46">
        <f t="shared" si="481"/>
        <v>2.8244658243499091E-2</v>
      </c>
      <c r="AP47" s="46">
        <f t="shared" si="481"/>
        <v>2.9633790879226733E-2</v>
      </c>
      <c r="AQ47" s="46">
        <f t="shared" si="481"/>
        <v>2.858029373233124E-2</v>
      </c>
      <c r="AR47" s="46">
        <f t="shared" si="481"/>
        <v>2.7441671736519898E-2</v>
      </c>
      <c r="AS47" s="46">
        <f t="shared" si="481"/>
        <v>2.6001361976103511E-2</v>
      </c>
      <c r="AT47" s="46">
        <f t="shared" si="481"/>
        <v>2.4990793890859099E-2</v>
      </c>
      <c r="AU47" s="46">
        <f t="shared" si="481"/>
        <v>2.4198969303159311E-2</v>
      </c>
      <c r="AV47" s="46">
        <f t="shared" si="481"/>
        <v>2.3604091423225376E-2</v>
      </c>
      <c r="AW47" s="46">
        <f t="shared" si="481"/>
        <v>2.6270964360587002E-2</v>
      </c>
      <c r="AX47" s="46">
        <f t="shared" si="481"/>
        <v>2.282853323090904E-2</v>
      </c>
      <c r="AY47" s="46">
        <f t="shared" si="481"/>
        <v>2.2976931526913217E-2</v>
      </c>
      <c r="AZ47" s="46">
        <f t="shared" si="481"/>
        <v>2.107914948805922E-2</v>
      </c>
      <c r="BA47" s="46">
        <f t="shared" si="481"/>
        <v>2.4198784158649591E-2</v>
      </c>
      <c r="BB47" s="46">
        <f t="shared" si="481"/>
        <v>1.9830891557248615E-2</v>
      </c>
      <c r="BC47" s="46">
        <f t="shared" si="481"/>
        <v>2.4973155391931279E-2</v>
      </c>
      <c r="BD47" s="46">
        <f t="shared" si="481"/>
        <v>2.4454869080527328E-2</v>
      </c>
      <c r="BE47" s="46">
        <f t="shared" si="481"/>
        <v>2.7128394574321084E-2</v>
      </c>
      <c r="BF47" s="46">
        <f t="shared" si="481"/>
        <v>1.6129231520263486E-2</v>
      </c>
      <c r="BG47" s="46">
        <f t="shared" si="481"/>
        <v>2.7683508102955195E-2</v>
      </c>
      <c r="BH47" s="46">
        <f t="shared" si="481"/>
        <v>2.5379802836818358E-2</v>
      </c>
      <c r="BI47" s="46">
        <f t="shared" si="481"/>
        <v>2.9609531673941251E-2</v>
      </c>
      <c r="BJ47" s="46">
        <f t="shared" si="481"/>
        <v>2.3318217372411843E-2</v>
      </c>
      <c r="BK47" s="46">
        <f t="shared" si="481"/>
        <v>2.6569956098492078E-2</v>
      </c>
      <c r="BL47" s="46">
        <f t="shared" si="481"/>
        <v>1.957658727890519E-2</v>
      </c>
      <c r="BM47" s="46">
        <f t="shared" si="481"/>
        <v>3.926767045170327E-2</v>
      </c>
      <c r="BN47" s="46">
        <f t="shared" si="481"/>
        <v>2.3548234984493606E-2</v>
      </c>
      <c r="BO47" s="46">
        <f t="shared" ref="BO47:CL47" si="482">(BO46-BO45)/BN178</f>
        <v>1.8323034672159285E-2</v>
      </c>
      <c r="BP47" s="46">
        <f t="shared" si="482"/>
        <v>1.9142229190349982E-2</v>
      </c>
      <c r="BQ47" s="46">
        <f t="shared" si="482"/>
        <v>2.1606243512360155E-2</v>
      </c>
      <c r="BR47" s="46">
        <f t="shared" si="482"/>
        <v>1.6310312132033045E-2</v>
      </c>
      <c r="BS47" s="46">
        <f t="shared" si="482"/>
        <v>2.1178296865759904E-2</v>
      </c>
      <c r="BT47" s="46">
        <f t="shared" si="482"/>
        <v>1.5232951417110195E-2</v>
      </c>
      <c r="BU47" s="46">
        <f t="shared" si="482"/>
        <v>1.9922739702244022E-2</v>
      </c>
      <c r="BV47" s="46">
        <f t="shared" si="482"/>
        <v>2.1305592459952252E-2</v>
      </c>
      <c r="BW47" s="46">
        <f t="shared" si="482"/>
        <v>2.5678194243114516E-2</v>
      </c>
      <c r="BX47" s="46">
        <f t="shared" si="482"/>
        <v>1.8340769548350112E-2</v>
      </c>
      <c r="BY47" s="46">
        <f t="shared" si="482"/>
        <v>2.5856569219799602E-2</v>
      </c>
      <c r="BZ47" s="46">
        <f t="shared" si="482"/>
        <v>1.8292773555605997E-2</v>
      </c>
      <c r="CA47" s="46">
        <f t="shared" si="482"/>
        <v>2.4682947280159313E-2</v>
      </c>
      <c r="CB47" s="46">
        <f t="shared" si="482"/>
        <v>1.9964677720285106E-2</v>
      </c>
      <c r="CC47" s="46">
        <f t="shared" si="482"/>
        <v>2.8250042933195947E-2</v>
      </c>
      <c r="CD47" s="46">
        <f t="shared" si="482"/>
        <v>8.8752067183026237E-2</v>
      </c>
      <c r="CE47" s="46">
        <f t="shared" si="482"/>
        <v>2.6461138587054619E-2</v>
      </c>
      <c r="CF47" s="46">
        <f t="shared" si="482"/>
        <v>1.8244456855081484E-2</v>
      </c>
      <c r="CG47" s="46">
        <f t="shared" si="482"/>
        <v>2.5931374225992954E-2</v>
      </c>
      <c r="CH47" s="46">
        <f t="shared" si="482"/>
        <v>3.0645956611595457E-2</v>
      </c>
      <c r="CI47" s="46">
        <f t="shared" si="482"/>
        <v>2.5367517665213741E-2</v>
      </c>
      <c r="CJ47" s="46">
        <f t="shared" si="482"/>
        <v>1.971461758735743E-2</v>
      </c>
      <c r="CK47" s="46">
        <f t="shared" si="482"/>
        <v>2.3380890229083216E-2</v>
      </c>
      <c r="CL47" s="46">
        <f t="shared" si="482"/>
        <v>2.1174968768751481E-2</v>
      </c>
      <c r="CM47" s="47">
        <v>1.6E-2</v>
      </c>
      <c r="CN47" s="47">
        <f t="shared" ref="CN47" si="483">+CM47</f>
        <v>1.6E-2</v>
      </c>
      <c r="CO47" s="47">
        <f t="shared" ref="CO47" si="484">+CN47</f>
        <v>1.6E-2</v>
      </c>
      <c r="CP47" s="47">
        <f t="shared" ref="CP47" si="485">+CO47</f>
        <v>1.6E-2</v>
      </c>
      <c r="CQ47" s="47">
        <v>1.2999999999999999E-2</v>
      </c>
      <c r="CR47" s="47">
        <f t="shared" ref="CR47" si="486">+CQ47</f>
        <v>1.2999999999999999E-2</v>
      </c>
      <c r="CS47" s="47">
        <f t="shared" ref="CS47" si="487">+CR47</f>
        <v>1.2999999999999999E-2</v>
      </c>
      <c r="CT47" s="47">
        <f t="shared" ref="CT47" si="488">+CS47</f>
        <v>1.2999999999999999E-2</v>
      </c>
      <c r="CU47" s="47">
        <f t="shared" ref="CU47" si="489">+CT47</f>
        <v>1.2999999999999999E-2</v>
      </c>
      <c r="CV47" s="47">
        <f t="shared" ref="CV47" si="490">+CU47</f>
        <v>1.2999999999999999E-2</v>
      </c>
      <c r="CW47" s="47">
        <f t="shared" ref="CW47" si="491">+CV47</f>
        <v>1.2999999999999999E-2</v>
      </c>
      <c r="CX47" s="47">
        <f t="shared" ref="CX47" si="492">+CW47</f>
        <v>1.2999999999999999E-2</v>
      </c>
      <c r="CY47" s="47">
        <f t="shared" ref="CY47" si="493">+CX47</f>
        <v>1.2999999999999999E-2</v>
      </c>
      <c r="CZ47" s="47">
        <f t="shared" ref="CZ47" si="494">+CY47</f>
        <v>1.2999999999999999E-2</v>
      </c>
      <c r="DA47" s="47">
        <f t="shared" ref="DA47" si="495">+CZ47</f>
        <v>1.2999999999999999E-2</v>
      </c>
      <c r="DB47" s="47">
        <f t="shared" ref="DB47" si="496">+DA47</f>
        <v>1.2999999999999999E-2</v>
      </c>
      <c r="DE47" s="130"/>
      <c r="DG47" s="46">
        <v>2.1999999999999999E-2</v>
      </c>
    </row>
    <row r="48" spans="1:111" s="26" customFormat="1" x14ac:dyDescent="0.2">
      <c r="A48" s="26" t="s">
        <v>20</v>
      </c>
      <c r="B48" s="26">
        <f>B44+B45-B46</f>
        <v>696.02923410000028</v>
      </c>
      <c r="C48" s="26">
        <f t="shared" ref="C48:T48" si="497">C44+C45-C46</f>
        <v>943.38999999999987</v>
      </c>
      <c r="D48" s="26">
        <f>D44+D45-D46</f>
        <v>1155.7700000000002</v>
      </c>
      <c r="E48" s="26">
        <f t="shared" si="497"/>
        <v>1471.17</v>
      </c>
      <c r="F48" s="26">
        <f t="shared" si="497"/>
        <v>2172</v>
      </c>
      <c r="G48" s="26">
        <f t="shared" si="497"/>
        <v>2792</v>
      </c>
      <c r="H48" s="26">
        <f t="shared" si="497"/>
        <v>4247</v>
      </c>
      <c r="I48" s="26">
        <f t="shared" si="497"/>
        <v>5344</v>
      </c>
      <c r="J48" s="26">
        <f t="shared" si="497"/>
        <v>6907</v>
      </c>
      <c r="K48" s="26">
        <f t="shared" si="497"/>
        <v>7899</v>
      </c>
      <c r="L48" s="26">
        <f t="shared" si="497"/>
        <v>9325</v>
      </c>
      <c r="M48" s="26">
        <f t="shared" si="497"/>
        <v>11699</v>
      </c>
      <c r="N48" s="26">
        <f t="shared" si="497"/>
        <v>12799</v>
      </c>
      <c r="O48" s="26">
        <f t="shared" si="497"/>
        <v>14728</v>
      </c>
      <c r="P48" s="26">
        <f t="shared" si="497"/>
        <v>17284</v>
      </c>
      <c r="Q48" s="26">
        <f t="shared" si="497"/>
        <v>18743</v>
      </c>
      <c r="R48" s="26">
        <f t="shared" si="497"/>
        <v>19981</v>
      </c>
      <c r="S48" s="26">
        <f t="shared" si="497"/>
        <v>20341</v>
      </c>
      <c r="T48" s="26">
        <f t="shared" si="497"/>
        <v>21041</v>
      </c>
      <c r="U48" s="26">
        <f t="shared" ref="U48:Z48" si="498">U44+U45-U46</f>
        <v>22007</v>
      </c>
      <c r="V48" s="26">
        <f t="shared" si="498"/>
        <v>26628</v>
      </c>
      <c r="W48" s="26">
        <f t="shared" si="498"/>
        <v>30110</v>
      </c>
      <c r="X48" s="26">
        <f t="shared" si="498"/>
        <v>33322</v>
      </c>
      <c r="Y48" s="26">
        <f t="shared" si="498"/>
        <v>35988</v>
      </c>
      <c r="Z48" s="26">
        <f t="shared" si="498"/>
        <v>37608</v>
      </c>
      <c r="AA48" s="26">
        <f t="shared" ref="AA48" si="499">AA44+AA45-AA46</f>
        <v>41284</v>
      </c>
      <c r="AB48" s="27">
        <f t="shared" ref="AB48:AD48" si="500">AB44+AB45-AB46</f>
        <v>42463.775580281588</v>
      </c>
      <c r="AC48" s="27">
        <f t="shared" si="500"/>
        <v>46330.565240909913</v>
      </c>
      <c r="AD48" s="27">
        <f t="shared" si="500"/>
        <v>46913.980568887033</v>
      </c>
      <c r="AE48" s="27">
        <f t="shared" ref="AE48" si="501">AE44+AE45-AE46</f>
        <v>55712.713555022798</v>
      </c>
      <c r="AI48" s="26">
        <f>AI44+AI45-AI46</f>
        <v>3169</v>
      </c>
      <c r="AJ48" s="26">
        <f t="shared" ref="AJ48" si="502">AJ44+AJ45-AJ46</f>
        <v>3303</v>
      </c>
      <c r="AK48" s="26">
        <f t="shared" ref="AK48:AM48" si="503">AK44+AK45-AK46</f>
        <v>3180</v>
      </c>
      <c r="AL48" s="26">
        <f t="shared" si="503"/>
        <v>3136</v>
      </c>
      <c r="AM48" s="26">
        <f t="shared" si="503"/>
        <v>3241</v>
      </c>
      <c r="AN48" s="26">
        <f t="shared" ref="AN48:AO48" si="504">AN44+AN45-AN46</f>
        <v>3347</v>
      </c>
      <c r="AO48" s="26">
        <f t="shared" si="504"/>
        <v>3990</v>
      </c>
      <c r="AP48" s="26">
        <f t="shared" ref="AP48:CD48" si="505">AP44+AP45-AP46</f>
        <v>4132</v>
      </c>
      <c r="AQ48" s="26">
        <f t="shared" si="505"/>
        <v>4040</v>
      </c>
      <c r="AR48" s="26">
        <f t="shared" si="505"/>
        <v>4360</v>
      </c>
      <c r="AS48" s="26">
        <f t="shared" si="505"/>
        <v>4529</v>
      </c>
      <c r="AT48" s="26">
        <f t="shared" si="505"/>
        <v>4330</v>
      </c>
      <c r="AU48" s="26">
        <f t="shared" si="505"/>
        <v>4203</v>
      </c>
      <c r="AV48" s="26">
        <f t="shared" si="505"/>
        <v>4786</v>
      </c>
      <c r="AW48" s="26">
        <f t="shared" si="505"/>
        <v>4761</v>
      </c>
      <c r="AX48" s="26">
        <f t="shared" si="505"/>
        <v>4992</v>
      </c>
      <c r="AY48" s="26">
        <f t="shared" si="505"/>
        <v>4800</v>
      </c>
      <c r="AZ48" s="26">
        <f t="shared" si="505"/>
        <v>5069</v>
      </c>
      <c r="BA48" s="26">
        <f t="shared" si="505"/>
        <v>5154</v>
      </c>
      <c r="BB48" s="26">
        <f t="shared" si="505"/>
        <v>4958</v>
      </c>
      <c r="BC48" s="26">
        <f t="shared" si="505"/>
        <v>4925</v>
      </c>
      <c r="BD48" s="26">
        <f t="shared" si="505"/>
        <v>5129</v>
      </c>
      <c r="BE48" s="26">
        <f t="shared" si="505"/>
        <v>5281</v>
      </c>
      <c r="BF48" s="26">
        <f t="shared" si="505"/>
        <v>5006</v>
      </c>
      <c r="BG48" s="26">
        <f t="shared" si="505"/>
        <v>4993</v>
      </c>
      <c r="BH48" s="26">
        <f t="shared" si="505"/>
        <v>5633</v>
      </c>
      <c r="BI48" s="26">
        <f t="shared" si="505"/>
        <v>5132</v>
      </c>
      <c r="BJ48" s="26">
        <f t="shared" si="505"/>
        <v>5283</v>
      </c>
      <c r="BK48" s="26">
        <f t="shared" si="505"/>
        <v>5167</v>
      </c>
      <c r="BL48" s="26">
        <f t="shared" si="505"/>
        <v>5496</v>
      </c>
      <c r="BM48" s="26">
        <f t="shared" si="505"/>
        <v>5849</v>
      </c>
      <c r="BN48" s="26">
        <f t="shared" si="505"/>
        <v>5496</v>
      </c>
      <c r="BO48" s="26">
        <f t="shared" si="505"/>
        <v>5792</v>
      </c>
      <c r="BP48" s="26">
        <f t="shared" si="505"/>
        <v>6750</v>
      </c>
      <c r="BQ48" s="26">
        <f t="shared" si="505"/>
        <v>7151</v>
      </c>
      <c r="BR48" s="26">
        <f t="shared" si="505"/>
        <v>6935</v>
      </c>
      <c r="BS48" s="26">
        <f t="shared" si="505"/>
        <v>7176</v>
      </c>
      <c r="BT48" s="26">
        <f t="shared" si="505"/>
        <v>7448</v>
      </c>
      <c r="BU48" s="26">
        <f t="shared" si="505"/>
        <v>7943</v>
      </c>
      <c r="BV48" s="26">
        <f t="shared" si="505"/>
        <v>7543</v>
      </c>
      <c r="BW48" s="26">
        <f t="shared" si="505"/>
        <v>7534</v>
      </c>
      <c r="BX48" s="26">
        <f t="shared" si="505"/>
        <v>8391</v>
      </c>
      <c r="BY48" s="26">
        <f t="shared" si="505"/>
        <v>8931</v>
      </c>
      <c r="BZ48" s="26">
        <f t="shared" si="505"/>
        <v>8466</v>
      </c>
      <c r="CA48" s="26">
        <f t="shared" si="505"/>
        <v>8362</v>
      </c>
      <c r="CB48" s="26">
        <f t="shared" si="505"/>
        <v>8768</v>
      </c>
      <c r="CC48" s="26">
        <f t="shared" si="505"/>
        <v>8619</v>
      </c>
      <c r="CD48" s="26">
        <f t="shared" si="505"/>
        <v>10240</v>
      </c>
      <c r="CE48" s="26">
        <f t="shared" ref="CE48:CF48" si="506">CE44+CE45-CE46</f>
        <v>9021</v>
      </c>
      <c r="CF48" s="26">
        <f t="shared" si="506"/>
        <v>9253</v>
      </c>
      <c r="CG48" s="26">
        <f t="shared" ref="CG48:CH48" si="507">CG44+CG45-CG46</f>
        <v>9670</v>
      </c>
      <c r="CH48" s="26">
        <f t="shared" si="507"/>
        <v>9663</v>
      </c>
      <c r="CI48" s="26">
        <f t="shared" ref="CI48:CJ48" si="508">CI44+CI45-CI46</f>
        <v>9740</v>
      </c>
      <c r="CJ48" s="26">
        <f t="shared" si="508"/>
        <v>10229</v>
      </c>
      <c r="CK48" s="26">
        <f t="shared" ref="CK48" si="509">CK44+CK45-CK46</f>
        <v>10518</v>
      </c>
      <c r="CL48" s="26">
        <f t="shared" ref="CL48" si="510">CL44+CL45-CL46</f>
        <v>10797</v>
      </c>
      <c r="CM48" s="27">
        <f t="shared" ref="CM48:DB48" si="511">CM44+CM45-CM46</f>
        <v>10335.163782406198</v>
      </c>
      <c r="CN48" s="27">
        <f t="shared" si="511"/>
        <v>10516.392877223365</v>
      </c>
      <c r="CO48" s="27">
        <f t="shared" si="511"/>
        <v>10693.738194929838</v>
      </c>
      <c r="CP48" s="27">
        <f t="shared" si="511"/>
        <v>10918.480725722186</v>
      </c>
      <c r="CQ48" s="27">
        <f t="shared" si="511"/>
        <v>11244.676608285999</v>
      </c>
      <c r="CR48" s="27">
        <f t="shared" si="511"/>
        <v>11557.80213808507</v>
      </c>
      <c r="CS48" s="27">
        <f t="shared" si="511"/>
        <v>11606.219082157289</v>
      </c>
      <c r="CT48" s="27">
        <f t="shared" si="511"/>
        <v>11921.867412381554</v>
      </c>
      <c r="CU48" s="27">
        <f t="shared" si="511"/>
        <v>11375.184448858556</v>
      </c>
      <c r="CV48" s="27">
        <f t="shared" si="511"/>
        <v>11660.088065470851</v>
      </c>
      <c r="CW48" s="27">
        <f t="shared" si="511"/>
        <v>11857.276408743228</v>
      </c>
      <c r="CX48" s="27">
        <f t="shared" si="511"/>
        <v>12021.431645814399</v>
      </c>
      <c r="CY48" s="27">
        <f t="shared" si="511"/>
        <v>13132.570876486907</v>
      </c>
      <c r="CZ48" s="27">
        <f t="shared" si="511"/>
        <v>13615.215021771493</v>
      </c>
      <c r="DA48" s="27">
        <f t="shared" si="511"/>
        <v>14158.62308325949</v>
      </c>
      <c r="DB48" s="27">
        <f t="shared" si="511"/>
        <v>14806.304573504898</v>
      </c>
      <c r="DE48" s="121"/>
      <c r="DF48" s="26">
        <v>41284</v>
      </c>
      <c r="DG48" s="26">
        <v>9989.6642303936005</v>
      </c>
    </row>
    <row r="49" spans="1:111" s="23" customFormat="1" x14ac:dyDescent="0.2">
      <c r="A49" s="23" t="s">
        <v>21</v>
      </c>
      <c r="B49" s="23">
        <f>'Annual Raw'!C30</f>
        <v>72.709999999999994</v>
      </c>
      <c r="C49" s="23">
        <f>'Annual Raw'!D30</f>
        <v>135.43</v>
      </c>
      <c r="D49" s="23">
        <f>'Annual Raw'!E30</f>
        <v>201</v>
      </c>
      <c r="E49" s="23">
        <f>'Annual Raw'!F30</f>
        <v>227.54</v>
      </c>
      <c r="F49" s="23">
        <f>'Annual Raw'!G30</f>
        <v>326</v>
      </c>
      <c r="G49" s="23">
        <f>'Annual Raw'!H30</f>
        <v>313</v>
      </c>
      <c r="H49" s="23">
        <f>'Annual Raw'!I30</f>
        <v>386</v>
      </c>
      <c r="I49" s="23">
        <f>'Annual Raw'!J30</f>
        <v>685</v>
      </c>
      <c r="J49" s="23">
        <f>'Annual Raw'!K30</f>
        <v>919</v>
      </c>
      <c r="K49" s="23">
        <f>'Annual Raw'!L30</f>
        <v>1681</v>
      </c>
      <c r="L49" s="23">
        <f>'Annual Raw'!M30</f>
        <v>2490</v>
      </c>
      <c r="M49" s="23">
        <f>'Annual Raw'!N30</f>
        <v>3367</v>
      </c>
      <c r="N49" s="23">
        <f>'Annual Raw'!O30</f>
        <v>3370</v>
      </c>
      <c r="O49" s="23">
        <f>'Annual Raw'!P30</f>
        <v>4072</v>
      </c>
      <c r="P49" s="23">
        <f>'Annual Raw'!Q30</f>
        <v>4911</v>
      </c>
      <c r="Q49" s="23">
        <f>'Annual Raw'!R30</f>
        <v>5251</v>
      </c>
      <c r="R49" s="23">
        <f>'Annual Raw'!S30</f>
        <v>5598</v>
      </c>
      <c r="S49" s="23">
        <f>'Annual Raw'!T30</f>
        <v>4241</v>
      </c>
      <c r="T49" s="23">
        <f>'Annual Raw'!U30</f>
        <v>5631</v>
      </c>
      <c r="U49" s="23">
        <f>'Annual Raw'!V30</f>
        <v>5368</v>
      </c>
      <c r="V49" s="23">
        <f>'Annual Raw'!W30</f>
        <v>7205</v>
      </c>
      <c r="W49" s="23">
        <f>'Annual Raw'!X30</f>
        <v>7964</v>
      </c>
      <c r="X49" s="23">
        <f>'Annual Raw'!Y30</f>
        <v>9214</v>
      </c>
      <c r="Y49" s="23">
        <f>'Annual Raw'!Z30</f>
        <v>9740</v>
      </c>
      <c r="Z49" s="23">
        <f>'Annual Raw'!AA30</f>
        <v>10858</v>
      </c>
      <c r="AA49" s="23">
        <f>'Annual Raw'!AB30</f>
        <v>10521</v>
      </c>
      <c r="AB49" s="24">
        <f>+SUM(CM49:CP49)</f>
        <v>10544.009137761162</v>
      </c>
      <c r="AC49" s="24">
        <f>+SUM(CQ49:CT49)</f>
        <v>11744.058113069952</v>
      </c>
      <c r="AD49" s="24">
        <f>+SUM(CU49:CX49)</f>
        <v>11901.581073964921</v>
      </c>
      <c r="AE49" s="24">
        <f>+SUM(CY49:DB49)</f>
        <v>14137.746803385468</v>
      </c>
      <c r="AI49" s="23">
        <f>'QTR Raw'!C29</f>
        <v>880</v>
      </c>
      <c r="AJ49" s="23">
        <f>'QTR Raw'!D29</f>
        <v>934</v>
      </c>
      <c r="AK49" s="23">
        <f>'QTR Raw'!E29</f>
        <v>811</v>
      </c>
      <c r="AL49" s="23">
        <f>'QTR Raw'!F29</f>
        <v>742</v>
      </c>
      <c r="AM49" s="23">
        <f>'QTR Raw'!G29</f>
        <v>867</v>
      </c>
      <c r="AN49" s="23">
        <f>'QTR Raw'!H29</f>
        <v>940</v>
      </c>
      <c r="AO49" s="23">
        <f>'QTR Raw'!I29</f>
        <v>1115</v>
      </c>
      <c r="AP49" s="23">
        <f>'QTR Raw'!J29</f>
        <v>1140</v>
      </c>
      <c r="AQ49" s="23">
        <f>'QTR Raw'!K29</f>
        <v>1154</v>
      </c>
      <c r="AR49" s="23">
        <f>'QTR Raw'!L29</f>
        <v>1264</v>
      </c>
      <c r="AS49" s="23">
        <f>'QTR Raw'!M29</f>
        <v>1279</v>
      </c>
      <c r="AT49" s="23">
        <f>'QTR Raw'!N29</f>
        <v>1232</v>
      </c>
      <c r="AU49" s="23">
        <f>'QTR Raw'!O29</f>
        <v>1175</v>
      </c>
      <c r="AV49" s="23">
        <f>'QTR Raw'!P29</f>
        <v>1387</v>
      </c>
      <c r="AW49" s="23">
        <f>'QTR Raw'!Q29</f>
        <v>1296</v>
      </c>
      <c r="AX49" s="23">
        <f>'QTR Raw'!R29</f>
        <v>1394</v>
      </c>
      <c r="AY49" s="23">
        <f>'QTR Raw'!S29</f>
        <v>1362</v>
      </c>
      <c r="AZ49" s="23">
        <f>'QTR Raw'!T29</f>
        <v>1460</v>
      </c>
      <c r="BA49" s="23">
        <f>'QTR Raw'!U29</f>
        <v>1446</v>
      </c>
      <c r="BB49" s="23">
        <f>'QTR Raw'!V29</f>
        <v>1330</v>
      </c>
      <c r="BC49" s="23">
        <f>'QTR Raw'!W29</f>
        <v>1371</v>
      </c>
      <c r="BD49" s="23">
        <f>'QTR Raw'!X29</f>
        <v>1403</v>
      </c>
      <c r="BE49" s="23">
        <f>'QTR Raw'!Y29</f>
        <v>152</v>
      </c>
      <c r="BF49" s="23">
        <f>'QTR Raw'!Z29</f>
        <v>1316</v>
      </c>
      <c r="BG49" s="23">
        <f>'QTR Raw'!AA29</f>
        <v>1381</v>
      </c>
      <c r="BH49" s="23">
        <f>'QTR Raw'!AB29</f>
        <v>1523</v>
      </c>
      <c r="BI49" s="23">
        <f>'QTR Raw'!AC29</f>
        <v>1522</v>
      </c>
      <c r="BJ49" s="23">
        <f>'QTR Raw'!AD29</f>
        <v>1205</v>
      </c>
      <c r="BK49" s="23">
        <f>'QTR Raw'!AE29</f>
        <v>1365</v>
      </c>
      <c r="BL49" s="23">
        <f>'QTR Raw'!AF29</f>
        <v>1459</v>
      </c>
      <c r="BM49" s="23">
        <f>'QTR Raw'!AG29</f>
        <v>1383</v>
      </c>
      <c r="BN49" s="23">
        <f>'QTR Raw'!AH29</f>
        <v>1161</v>
      </c>
      <c r="BO49" s="23">
        <f>'QTR Raw'!AI29</f>
        <v>1520</v>
      </c>
      <c r="BP49" s="23">
        <f>'QTR Raw'!AJ29</f>
        <v>1892</v>
      </c>
      <c r="BQ49" s="23">
        <f>'QTR Raw'!AK29</f>
        <v>1936</v>
      </c>
      <c r="BR49" s="23">
        <f>'QTR Raw'!AL29</f>
        <v>1857</v>
      </c>
      <c r="BS49" s="23">
        <f>'QTR Raw'!AM29</f>
        <v>1975</v>
      </c>
      <c r="BT49" s="23">
        <f>'QTR Raw'!AN29</f>
        <v>2020</v>
      </c>
      <c r="BU49" s="23">
        <f>'QTR Raw'!AO29</f>
        <v>2121</v>
      </c>
      <c r="BV49" s="23">
        <f>'QTR Raw'!AP29</f>
        <v>1848</v>
      </c>
      <c r="BW49" s="23">
        <f>'QTR Raw'!AQ29</f>
        <v>2172</v>
      </c>
      <c r="BX49" s="23">
        <f>'QTR Raw'!AR29</f>
        <v>2365</v>
      </c>
      <c r="BY49" s="23">
        <f>'QTR Raw'!AS29</f>
        <v>2345</v>
      </c>
      <c r="BZ49" s="23">
        <f>'QTR Raw'!AT29</f>
        <v>2332</v>
      </c>
      <c r="CA49" s="23">
        <f>'QTR Raw'!AU29</f>
        <v>2417</v>
      </c>
      <c r="CB49" s="23">
        <f>'QTR Raw'!AV29</f>
        <v>2553</v>
      </c>
      <c r="CC49" s="23">
        <f>'QTR Raw'!AW29</f>
        <v>2506</v>
      </c>
      <c r="CD49" s="23">
        <f>'QTR Raw'!AX29</f>
        <v>2265</v>
      </c>
      <c r="CE49" s="23">
        <f>'QTR Raw'!AY29</f>
        <v>2647</v>
      </c>
      <c r="CF49" s="23">
        <f>'QTR Raw'!AZ29</f>
        <v>2737</v>
      </c>
      <c r="CG49" s="23">
        <f>'QTR Raw'!BA29</f>
        <v>2848</v>
      </c>
      <c r="CH49" s="23">
        <f>'QTR Raw'!BB29</f>
        <v>2625</v>
      </c>
      <c r="CI49" s="23">
        <f>'QTR Raw'!BC29</f>
        <v>2816</v>
      </c>
      <c r="CJ49" s="23">
        <f>'QTR Raw'!BD29</f>
        <v>2854</v>
      </c>
      <c r="CK49" s="23">
        <f>'QTR Raw'!BE29</f>
        <v>2563</v>
      </c>
      <c r="CL49" s="23">
        <f>'QTR Raw'!BF29</f>
        <v>2288</v>
      </c>
      <c r="CM49" s="24">
        <f t="shared" ref="CM49:DB49" si="512">+CM48*CM50</f>
        <v>2665.7382532214165</v>
      </c>
      <c r="CN49" s="24">
        <f t="shared" si="512"/>
        <v>2630.4860077668063</v>
      </c>
      <c r="CO49" s="24">
        <f t="shared" si="512"/>
        <v>2597.6404483995716</v>
      </c>
      <c r="CP49" s="24">
        <f t="shared" si="512"/>
        <v>2650.1444283733672</v>
      </c>
      <c r="CQ49" s="24">
        <f t="shared" si="512"/>
        <v>2849.6659312394131</v>
      </c>
      <c r="CR49" s="24">
        <f t="shared" si="512"/>
        <v>2916.0011162398196</v>
      </c>
      <c r="CS49" s="24">
        <f t="shared" si="512"/>
        <v>2934.4991252810823</v>
      </c>
      <c r="CT49" s="24">
        <f t="shared" si="512"/>
        <v>3043.8919403096374</v>
      </c>
      <c r="CU49" s="24">
        <f t="shared" si="512"/>
        <v>2883.2660903866031</v>
      </c>
      <c r="CV49" s="24">
        <f t="shared" si="512"/>
        <v>2955.6154577835132</v>
      </c>
      <c r="CW49" s="24">
        <f t="shared" si="512"/>
        <v>3009.1093850627062</v>
      </c>
      <c r="CX49" s="24">
        <f t="shared" si="512"/>
        <v>3053.5901407320989</v>
      </c>
      <c r="CY49" s="24">
        <f t="shared" si="512"/>
        <v>3331.5391018849705</v>
      </c>
      <c r="CZ49" s="24">
        <f t="shared" si="512"/>
        <v>3454.7119178936987</v>
      </c>
      <c r="DA49" s="24">
        <f t="shared" si="512"/>
        <v>3593.5078099971661</v>
      </c>
      <c r="DB49" s="24">
        <f t="shared" si="512"/>
        <v>3757.9879736096345</v>
      </c>
      <c r="DE49" s="123"/>
      <c r="DF49" s="23">
        <v>10521</v>
      </c>
      <c r="DG49" s="23">
        <v>2745.8089835876572</v>
      </c>
    </row>
    <row r="50" spans="1:111" s="90" customFormat="1" x14ac:dyDescent="0.2">
      <c r="A50" s="90" t="s">
        <v>106</v>
      </c>
      <c r="B50" s="90">
        <f t="shared" ref="B50:E50" si="513">B49/B48</f>
        <v>0.10446400300127848</v>
      </c>
      <c r="C50" s="90">
        <f t="shared" si="513"/>
        <v>0.14355674747453337</v>
      </c>
      <c r="D50" s="90">
        <f t="shared" si="513"/>
        <v>0.17391003400330513</v>
      </c>
      <c r="E50" s="90">
        <f t="shared" si="513"/>
        <v>0.15466601412481221</v>
      </c>
      <c r="F50" s="90">
        <f t="shared" ref="F50:T50" si="514">F49/F48</f>
        <v>0.15009208103130756</v>
      </c>
      <c r="G50" s="90">
        <f t="shared" si="514"/>
        <v>0.11210601719197708</v>
      </c>
      <c r="H50" s="90">
        <f t="shared" si="514"/>
        <v>9.0887685425005887E-2</v>
      </c>
      <c r="I50" s="90">
        <f t="shared" si="514"/>
        <v>0.12818113772455089</v>
      </c>
      <c r="J50" s="90">
        <f t="shared" si="514"/>
        <v>0.13305342406254525</v>
      </c>
      <c r="K50" s="90">
        <f t="shared" si="514"/>
        <v>0.21281174832257246</v>
      </c>
      <c r="L50" s="90">
        <f t="shared" si="514"/>
        <v>0.26702412868632708</v>
      </c>
      <c r="M50" s="90">
        <f t="shared" si="514"/>
        <v>0.2878023762714762</v>
      </c>
      <c r="N50" s="90">
        <f t="shared" si="514"/>
        <v>0.263301820454723</v>
      </c>
      <c r="O50" s="90">
        <f t="shared" si="514"/>
        <v>0.27648017381857687</v>
      </c>
      <c r="P50" s="90">
        <f t="shared" si="514"/>
        <v>0.28413561675538068</v>
      </c>
      <c r="Q50" s="90">
        <f t="shared" si="514"/>
        <v>0.28015792562556691</v>
      </c>
      <c r="R50" s="90">
        <f t="shared" si="514"/>
        <v>0.28016615784995746</v>
      </c>
      <c r="S50" s="90">
        <f t="shared" si="514"/>
        <v>0.20849515756354162</v>
      </c>
      <c r="T50" s="90">
        <f t="shared" si="514"/>
        <v>0.26762036024903757</v>
      </c>
      <c r="U50" s="90">
        <f t="shared" ref="U50:Z50" si="515">U49/U48</f>
        <v>0.24392238833098559</v>
      </c>
      <c r="V50" s="90">
        <f t="shared" si="515"/>
        <v>0.27057984076911523</v>
      </c>
      <c r="W50" s="90">
        <f t="shared" si="515"/>
        <v>0.26449684490202591</v>
      </c>
      <c r="X50" s="90">
        <f t="shared" si="515"/>
        <v>0.27651401476502013</v>
      </c>
      <c r="Y50" s="90">
        <f t="shared" si="515"/>
        <v>0.27064577081249308</v>
      </c>
      <c r="Z50" s="90">
        <f t="shared" si="515"/>
        <v>0.28871516698574773</v>
      </c>
      <c r="AA50" s="90">
        <f t="shared" ref="AA50" si="516">AA49/AA48</f>
        <v>0.25484449181280883</v>
      </c>
      <c r="AB50" s="91">
        <f t="shared" ref="AB50:AD50" si="517">AB49/AB48</f>
        <v>0.24830597358981338</v>
      </c>
      <c r="AC50" s="91">
        <f t="shared" si="517"/>
        <v>0.25348402403474118</v>
      </c>
      <c r="AD50" s="91">
        <f t="shared" si="517"/>
        <v>0.25368943179931214</v>
      </c>
      <c r="AE50" s="91">
        <f t="shared" ref="AE50" si="518">AE49/AE48</f>
        <v>0.25376159051062547</v>
      </c>
      <c r="AI50" s="90">
        <f t="shared" ref="AI50" si="519">AI49/AI48</f>
        <v>0.27769012306721363</v>
      </c>
      <c r="AJ50" s="90">
        <f t="shared" ref="AJ50" si="520">AJ49/AJ48</f>
        <v>0.28277323645171054</v>
      </c>
      <c r="AK50" s="90">
        <f t="shared" ref="AK50:AM50" si="521">AK49/AK48</f>
        <v>0.2550314465408805</v>
      </c>
      <c r="AL50" s="90">
        <f t="shared" si="521"/>
        <v>0.23660714285714285</v>
      </c>
      <c r="AM50" s="90">
        <f t="shared" si="521"/>
        <v>0.26751002776920701</v>
      </c>
      <c r="AN50" s="90">
        <f t="shared" ref="AN50:AO50" si="522">AN49/AN48</f>
        <v>0.28084852106363906</v>
      </c>
      <c r="AO50" s="90">
        <f t="shared" si="522"/>
        <v>0.27944862155388472</v>
      </c>
      <c r="AP50" s="90">
        <f t="shared" ref="AP50:CD50" si="523">AP49/AP48</f>
        <v>0.27589545014520811</v>
      </c>
      <c r="AQ50" s="90">
        <f t="shared" si="523"/>
        <v>0.28564356435643562</v>
      </c>
      <c r="AR50" s="90">
        <f t="shared" si="523"/>
        <v>0.28990825688073396</v>
      </c>
      <c r="AS50" s="90">
        <f t="shared" si="523"/>
        <v>0.28240229631265179</v>
      </c>
      <c r="AT50" s="90">
        <f t="shared" si="523"/>
        <v>0.28452655889145495</v>
      </c>
      <c r="AU50" s="90">
        <f t="shared" si="523"/>
        <v>0.2795622174637164</v>
      </c>
      <c r="AV50" s="90">
        <f t="shared" si="523"/>
        <v>0.28980359381529464</v>
      </c>
      <c r="AW50" s="90">
        <f t="shared" si="523"/>
        <v>0.27221172022684309</v>
      </c>
      <c r="AX50" s="90">
        <f t="shared" si="523"/>
        <v>0.27924679487179488</v>
      </c>
      <c r="AY50" s="90">
        <f t="shared" si="523"/>
        <v>0.28375</v>
      </c>
      <c r="AZ50" s="90">
        <f t="shared" si="523"/>
        <v>0.28802525152890118</v>
      </c>
      <c r="BA50" s="90">
        <f t="shared" si="523"/>
        <v>0.28055878928987193</v>
      </c>
      <c r="BB50" s="90">
        <f t="shared" si="523"/>
        <v>0.26825332795482049</v>
      </c>
      <c r="BC50" s="90">
        <f t="shared" si="523"/>
        <v>0.27837563451776648</v>
      </c>
      <c r="BD50" s="90">
        <f t="shared" si="523"/>
        <v>0.273542600896861</v>
      </c>
      <c r="BE50" s="90">
        <f t="shared" si="523"/>
        <v>2.8782427570535882E-2</v>
      </c>
      <c r="BF50" s="90">
        <f t="shared" si="523"/>
        <v>0.2628845385537355</v>
      </c>
      <c r="BG50" s="90">
        <f t="shared" si="523"/>
        <v>0.27658722211095532</v>
      </c>
      <c r="BH50" s="90">
        <f t="shared" si="523"/>
        <v>0.27037102787147166</v>
      </c>
      <c r="BI50" s="90">
        <f t="shared" si="523"/>
        <v>0.29657053780202652</v>
      </c>
      <c r="BJ50" s="90">
        <f t="shared" si="523"/>
        <v>0.22809010032178687</v>
      </c>
      <c r="BK50" s="90">
        <f t="shared" si="523"/>
        <v>0.26417650474162957</v>
      </c>
      <c r="BL50" s="90">
        <f t="shared" si="523"/>
        <v>0.26546579330422126</v>
      </c>
      <c r="BM50" s="90">
        <f t="shared" si="523"/>
        <v>0.23645067532911609</v>
      </c>
      <c r="BN50" s="90">
        <f t="shared" si="523"/>
        <v>0.21124454148471616</v>
      </c>
      <c r="BO50" s="90">
        <f t="shared" si="523"/>
        <v>0.26243093922651933</v>
      </c>
      <c r="BP50" s="90">
        <f t="shared" si="523"/>
        <v>0.28029629629629632</v>
      </c>
      <c r="BQ50" s="90">
        <f t="shared" si="523"/>
        <v>0.27073136624248356</v>
      </c>
      <c r="BR50" s="90">
        <f t="shared" si="523"/>
        <v>0.26777217015140592</v>
      </c>
      <c r="BS50" s="90">
        <f t="shared" si="523"/>
        <v>0.27522296544035674</v>
      </c>
      <c r="BT50" s="90">
        <f t="shared" si="523"/>
        <v>0.2712137486573577</v>
      </c>
      <c r="BU50" s="90">
        <f t="shared" si="523"/>
        <v>0.2670275714465567</v>
      </c>
      <c r="BV50" s="90">
        <f t="shared" si="523"/>
        <v>0.24499535993636484</v>
      </c>
      <c r="BW50" s="90">
        <f t="shared" si="523"/>
        <v>0.28829307140960975</v>
      </c>
      <c r="BX50" s="90">
        <f t="shared" si="523"/>
        <v>0.28184960076272197</v>
      </c>
      <c r="BY50" s="90">
        <f t="shared" si="523"/>
        <v>0.26256858134587391</v>
      </c>
      <c r="BZ50" s="90">
        <f t="shared" si="523"/>
        <v>0.27545476021733994</v>
      </c>
      <c r="CA50" s="90">
        <f t="shared" si="523"/>
        <v>0.28904568285099258</v>
      </c>
      <c r="CB50" s="90">
        <f t="shared" si="523"/>
        <v>0.29117244525547448</v>
      </c>
      <c r="CC50" s="90">
        <f t="shared" si="523"/>
        <v>0.29075298758556678</v>
      </c>
      <c r="CD50" s="90">
        <f t="shared" si="523"/>
        <v>0.22119140625</v>
      </c>
      <c r="CE50" s="90">
        <f t="shared" ref="CE50:CF50" si="524">CE49/CE48</f>
        <v>0.29342644939585411</v>
      </c>
      <c r="CF50" s="90">
        <f t="shared" si="524"/>
        <v>0.29579595806765374</v>
      </c>
      <c r="CG50" s="90">
        <f t="shared" ref="CG50:CH50" si="525">CG49/CG48</f>
        <v>0.29451913133402274</v>
      </c>
      <c r="CH50" s="90">
        <f t="shared" si="525"/>
        <v>0.27165476560074509</v>
      </c>
      <c r="CI50" s="90">
        <f t="shared" ref="CI50:CJ50" si="526">CI49/CI48</f>
        <v>0.28911704312114989</v>
      </c>
      <c r="CJ50" s="90">
        <f t="shared" si="526"/>
        <v>0.27901065597810148</v>
      </c>
      <c r="CK50" s="90">
        <f t="shared" ref="CK50" si="527">CK49/CK48</f>
        <v>0.24367750522913101</v>
      </c>
      <c r="CL50" s="90">
        <f t="shared" ref="CL50" si="528">CL49/CL48</f>
        <v>0.21191071593961286</v>
      </c>
      <c r="CM50" s="91">
        <f t="shared" ref="CM50:CP50" si="529">AVERAGE(CI50:CL50)+0.2%</f>
        <v>0.25792898006699883</v>
      </c>
      <c r="CN50" s="91">
        <f t="shared" si="529"/>
        <v>0.25013196430346102</v>
      </c>
      <c r="CO50" s="91">
        <f t="shared" si="529"/>
        <v>0.24291229138480092</v>
      </c>
      <c r="CP50" s="91">
        <f t="shared" si="529"/>
        <v>0.24272098792371843</v>
      </c>
      <c r="CQ50" s="91">
        <f>AVERAGE(CM50:CP50)+0.5%</f>
        <v>0.2534235559197448</v>
      </c>
      <c r="CR50" s="91">
        <f t="shared" ref="CR50:CT50" si="530">AVERAGE(CN50:CQ50)+0.5%</f>
        <v>0.25229719988293131</v>
      </c>
      <c r="CS50" s="91">
        <f t="shared" si="530"/>
        <v>0.25283850877779884</v>
      </c>
      <c r="CT50" s="91">
        <f t="shared" si="530"/>
        <v>0.25532006312604838</v>
      </c>
      <c r="CU50" s="91">
        <f t="shared" ref="CU50:DB50" si="531">AVERAGE(CQ50:CT50)</f>
        <v>0.25346983192663086</v>
      </c>
      <c r="CV50" s="91">
        <f t="shared" si="531"/>
        <v>0.25348140092835236</v>
      </c>
      <c r="CW50" s="91">
        <f t="shared" si="531"/>
        <v>0.25377745118970763</v>
      </c>
      <c r="CX50" s="91">
        <f t="shared" si="531"/>
        <v>0.25401218679268478</v>
      </c>
      <c r="CY50" s="91">
        <f t="shared" si="531"/>
        <v>0.25368521770934394</v>
      </c>
      <c r="CZ50" s="91">
        <f t="shared" si="531"/>
        <v>0.25373906415502218</v>
      </c>
      <c r="DA50" s="91">
        <f t="shared" si="531"/>
        <v>0.25380347996168962</v>
      </c>
      <c r="DB50" s="91">
        <f t="shared" si="531"/>
        <v>0.25380998715468517</v>
      </c>
      <c r="DE50" s="127"/>
      <c r="DF50" s="90">
        <v>0.25484449181280883</v>
      </c>
      <c r="DG50" s="90">
        <v>0.27486499248228186</v>
      </c>
    </row>
    <row r="51" spans="1:111" s="26" customFormat="1" x14ac:dyDescent="0.2">
      <c r="A51" s="26" t="s">
        <v>22</v>
      </c>
      <c r="B51" s="26">
        <f t="shared" ref="B51:E51" si="532">B48-B49</f>
        <v>623.31923410000024</v>
      </c>
      <c r="C51" s="26">
        <f t="shared" si="532"/>
        <v>807.95999999999981</v>
      </c>
      <c r="D51" s="26">
        <f t="shared" si="532"/>
        <v>954.77000000000021</v>
      </c>
      <c r="E51" s="26">
        <f t="shared" si="532"/>
        <v>1243.6300000000001</v>
      </c>
      <c r="F51" s="26">
        <f t="shared" ref="F51:T51" si="533">F48-F49</f>
        <v>1846</v>
      </c>
      <c r="G51" s="26">
        <f t="shared" si="533"/>
        <v>2479</v>
      </c>
      <c r="H51" s="26">
        <f t="shared" si="533"/>
        <v>3861</v>
      </c>
      <c r="I51" s="26">
        <f t="shared" si="533"/>
        <v>4659</v>
      </c>
      <c r="J51" s="26">
        <f t="shared" si="533"/>
        <v>5988</v>
      </c>
      <c r="K51" s="26">
        <f t="shared" si="533"/>
        <v>6218</v>
      </c>
      <c r="L51" s="26">
        <f t="shared" si="533"/>
        <v>6835</v>
      </c>
      <c r="M51" s="26">
        <f t="shared" si="533"/>
        <v>8332</v>
      </c>
      <c r="N51" s="26">
        <f t="shared" si="533"/>
        <v>9429</v>
      </c>
      <c r="O51" s="26">
        <f t="shared" si="533"/>
        <v>10656</v>
      </c>
      <c r="P51" s="26">
        <f t="shared" si="533"/>
        <v>12373</v>
      </c>
      <c r="Q51" s="26">
        <f t="shared" si="533"/>
        <v>13492</v>
      </c>
      <c r="R51" s="26">
        <f t="shared" si="533"/>
        <v>14383</v>
      </c>
      <c r="S51" s="26">
        <f t="shared" si="533"/>
        <v>16100</v>
      </c>
      <c r="T51" s="26">
        <f t="shared" si="533"/>
        <v>15410</v>
      </c>
      <c r="U51" s="26">
        <f t="shared" ref="U51:Z51" si="534">U48-U49</f>
        <v>16639</v>
      </c>
      <c r="V51" s="26">
        <f t="shared" si="534"/>
        <v>19423</v>
      </c>
      <c r="W51" s="26">
        <f t="shared" si="534"/>
        <v>22146</v>
      </c>
      <c r="X51" s="26">
        <f t="shared" si="534"/>
        <v>24108</v>
      </c>
      <c r="Y51" s="26">
        <f t="shared" si="534"/>
        <v>26248</v>
      </c>
      <c r="Z51" s="26">
        <f t="shared" si="534"/>
        <v>26750</v>
      </c>
      <c r="AA51" s="26">
        <f t="shared" ref="AA51" si="535">AA48-AA49</f>
        <v>30763</v>
      </c>
      <c r="AB51" s="27">
        <f t="shared" ref="AB51:AD51" si="536">AB48-AB49</f>
        <v>31919.766442520428</v>
      </c>
      <c r="AC51" s="27">
        <f t="shared" si="536"/>
        <v>34586.507127839963</v>
      </c>
      <c r="AD51" s="27">
        <f t="shared" si="536"/>
        <v>35012.399494922109</v>
      </c>
      <c r="AE51" s="27">
        <f t="shared" ref="AE51" si="537">AE48-AE49</f>
        <v>41574.96675163733</v>
      </c>
      <c r="AI51" s="26">
        <f>AI48-AI49</f>
        <v>2289</v>
      </c>
      <c r="AJ51" s="26">
        <f t="shared" ref="AJ51" si="538">AJ48-AJ49</f>
        <v>2369</v>
      </c>
      <c r="AK51" s="26">
        <f t="shared" ref="AK51:AM51" si="539">AK48-AK49</f>
        <v>2369</v>
      </c>
      <c r="AL51" s="26">
        <f t="shared" si="539"/>
        <v>2394</v>
      </c>
      <c r="AM51" s="26">
        <f t="shared" si="539"/>
        <v>2374</v>
      </c>
      <c r="AN51" s="26">
        <f t="shared" ref="AN51:AO51" si="540">AN48-AN49</f>
        <v>2407</v>
      </c>
      <c r="AO51" s="26">
        <f t="shared" si="540"/>
        <v>2875</v>
      </c>
      <c r="AP51" s="26">
        <f t="shared" ref="AP51:CD51" si="541">AP48-AP49</f>
        <v>2992</v>
      </c>
      <c r="AQ51" s="26">
        <f t="shared" si="541"/>
        <v>2886</v>
      </c>
      <c r="AR51" s="26">
        <f t="shared" si="541"/>
        <v>3096</v>
      </c>
      <c r="AS51" s="26">
        <f t="shared" si="541"/>
        <v>3250</v>
      </c>
      <c r="AT51" s="26">
        <f t="shared" si="541"/>
        <v>3098</v>
      </c>
      <c r="AU51" s="26">
        <f t="shared" si="541"/>
        <v>3028</v>
      </c>
      <c r="AV51" s="26">
        <f t="shared" si="541"/>
        <v>3399</v>
      </c>
      <c r="AW51" s="26">
        <f t="shared" si="541"/>
        <v>3465</v>
      </c>
      <c r="AX51" s="26">
        <f t="shared" si="541"/>
        <v>3598</v>
      </c>
      <c r="AY51" s="26">
        <f t="shared" si="541"/>
        <v>3438</v>
      </c>
      <c r="AZ51" s="26">
        <f t="shared" si="541"/>
        <v>3609</v>
      </c>
      <c r="BA51" s="26">
        <f t="shared" si="541"/>
        <v>3708</v>
      </c>
      <c r="BB51" s="26">
        <f t="shared" si="541"/>
        <v>3628</v>
      </c>
      <c r="BC51" s="26">
        <f t="shared" si="541"/>
        <v>3554</v>
      </c>
      <c r="BD51" s="26">
        <f t="shared" si="541"/>
        <v>3726</v>
      </c>
      <c r="BE51" s="26">
        <f t="shared" si="541"/>
        <v>5129</v>
      </c>
      <c r="BF51" s="26">
        <f t="shared" si="541"/>
        <v>3690</v>
      </c>
      <c r="BG51" s="26">
        <f t="shared" si="541"/>
        <v>3612</v>
      </c>
      <c r="BH51" s="26">
        <f t="shared" si="541"/>
        <v>4110</v>
      </c>
      <c r="BI51" s="26">
        <f t="shared" si="541"/>
        <v>3610</v>
      </c>
      <c r="BJ51" s="26">
        <f t="shared" si="541"/>
        <v>4078</v>
      </c>
      <c r="BK51" s="26">
        <f t="shared" si="541"/>
        <v>3802</v>
      </c>
      <c r="BL51" s="26">
        <f t="shared" si="541"/>
        <v>4037</v>
      </c>
      <c r="BM51" s="26">
        <f t="shared" si="541"/>
        <v>4466</v>
      </c>
      <c r="BN51" s="26">
        <f t="shared" si="541"/>
        <v>4335</v>
      </c>
      <c r="BO51" s="26">
        <f t="shared" si="541"/>
        <v>4272</v>
      </c>
      <c r="BP51" s="26">
        <f t="shared" si="541"/>
        <v>4858</v>
      </c>
      <c r="BQ51" s="26">
        <f t="shared" si="541"/>
        <v>5215</v>
      </c>
      <c r="BR51" s="26">
        <f t="shared" si="541"/>
        <v>5078</v>
      </c>
      <c r="BS51" s="26">
        <f t="shared" si="541"/>
        <v>5201</v>
      </c>
      <c r="BT51" s="26">
        <f t="shared" si="541"/>
        <v>5428</v>
      </c>
      <c r="BU51" s="26">
        <f t="shared" si="541"/>
        <v>5822</v>
      </c>
      <c r="BV51" s="26">
        <f t="shared" si="541"/>
        <v>5695</v>
      </c>
      <c r="BW51" s="26">
        <f t="shared" si="541"/>
        <v>5362</v>
      </c>
      <c r="BX51" s="26">
        <f t="shared" si="541"/>
        <v>6026</v>
      </c>
      <c r="BY51" s="26">
        <f t="shared" si="541"/>
        <v>6586</v>
      </c>
      <c r="BZ51" s="26">
        <f t="shared" si="541"/>
        <v>6134</v>
      </c>
      <c r="CA51" s="26">
        <f t="shared" si="541"/>
        <v>5945</v>
      </c>
      <c r="CB51" s="26">
        <f t="shared" si="541"/>
        <v>6215</v>
      </c>
      <c r="CC51" s="26">
        <f t="shared" si="541"/>
        <v>6113</v>
      </c>
      <c r="CD51" s="26">
        <f t="shared" si="541"/>
        <v>7975</v>
      </c>
      <c r="CE51" s="26">
        <f t="shared" ref="CE51:CF51" si="542">CE48-CE49</f>
        <v>6374</v>
      </c>
      <c r="CF51" s="26">
        <f t="shared" si="542"/>
        <v>6516</v>
      </c>
      <c r="CG51" s="26">
        <f t="shared" ref="CG51:CH51" si="543">CG48-CG49</f>
        <v>6822</v>
      </c>
      <c r="CH51" s="26">
        <f t="shared" si="543"/>
        <v>7038</v>
      </c>
      <c r="CI51" s="26">
        <f t="shared" ref="CI51:CJ51" si="544">CI48-CI49</f>
        <v>6924</v>
      </c>
      <c r="CJ51" s="26">
        <f t="shared" si="544"/>
        <v>7375</v>
      </c>
      <c r="CK51" s="26">
        <f t="shared" ref="CK51" si="545">CK48-CK49</f>
        <v>7955</v>
      </c>
      <c r="CL51" s="26">
        <f t="shared" ref="CL51" si="546">CL48-CL49</f>
        <v>8509</v>
      </c>
      <c r="CM51" s="27">
        <f t="shared" ref="CM51:DB51" si="547">CM48-CM49</f>
        <v>7669.4255291847821</v>
      </c>
      <c r="CN51" s="27">
        <f t="shared" si="547"/>
        <v>7885.9068694565585</v>
      </c>
      <c r="CO51" s="27">
        <f t="shared" si="547"/>
        <v>8096.0977465302658</v>
      </c>
      <c r="CP51" s="27">
        <f t="shared" si="547"/>
        <v>8268.3362973488183</v>
      </c>
      <c r="CQ51" s="27">
        <f t="shared" si="547"/>
        <v>8395.0106770465864</v>
      </c>
      <c r="CR51" s="27">
        <f t="shared" si="547"/>
        <v>8641.8010218452509</v>
      </c>
      <c r="CS51" s="27">
        <f t="shared" si="547"/>
        <v>8671.719956876208</v>
      </c>
      <c r="CT51" s="27">
        <f t="shared" si="547"/>
        <v>8877.9754720719175</v>
      </c>
      <c r="CU51" s="27">
        <f t="shared" si="547"/>
        <v>8491.9183584719522</v>
      </c>
      <c r="CV51" s="27">
        <f t="shared" si="547"/>
        <v>8704.4726076873376</v>
      </c>
      <c r="CW51" s="27">
        <f t="shared" si="547"/>
        <v>8848.1670236805221</v>
      </c>
      <c r="CX51" s="27">
        <f t="shared" si="547"/>
        <v>8967.8415050822987</v>
      </c>
      <c r="CY51" s="27">
        <f t="shared" si="547"/>
        <v>9801.0317746019355</v>
      </c>
      <c r="CZ51" s="27">
        <f t="shared" si="547"/>
        <v>10160.503103877794</v>
      </c>
      <c r="DA51" s="27">
        <f t="shared" si="547"/>
        <v>10565.115273262323</v>
      </c>
      <c r="DB51" s="27">
        <f t="shared" si="547"/>
        <v>11048.316599895265</v>
      </c>
      <c r="DE51" s="121"/>
      <c r="DF51" s="26">
        <v>30763</v>
      </c>
      <c r="DG51" s="26">
        <v>7243.8552468059434</v>
      </c>
    </row>
    <row r="52" spans="1:111" s="45" customFormat="1" x14ac:dyDescent="0.2">
      <c r="A52" s="45" t="s">
        <v>107</v>
      </c>
      <c r="B52" s="45">
        <f t="shared" ref="B52:E52" si="548">+B51/B20</f>
        <v>0.32796507631212696</v>
      </c>
      <c r="C52" s="45">
        <f t="shared" si="548"/>
        <v>0.31032535844737452</v>
      </c>
      <c r="D52" s="45">
        <f t="shared" si="548"/>
        <v>0.26230089176314159</v>
      </c>
      <c r="E52" s="45">
        <f t="shared" si="548"/>
        <v>0.25626268558299592</v>
      </c>
      <c r="F52" s="45">
        <f t="shared" ref="F52:AE52" si="549">+F51/F20</f>
        <v>0.25890603085553998</v>
      </c>
      <c r="G52" s="45">
        <f t="shared" si="549"/>
        <v>0.26037180968385676</v>
      </c>
      <c r="H52" s="45">
        <f t="shared" si="549"/>
        <v>0.27790973871733965</v>
      </c>
      <c r="I52" s="45">
        <f t="shared" si="549"/>
        <v>0.27911574406901507</v>
      </c>
      <c r="J52" s="45">
        <f t="shared" si="549"/>
        <v>0.27603374360392752</v>
      </c>
      <c r="K52" s="45">
        <f t="shared" si="549"/>
        <v>0.27341482719197957</v>
      </c>
      <c r="L52" s="45">
        <f t="shared" si="549"/>
        <v>0.2485364168575688</v>
      </c>
      <c r="M52" s="45">
        <f t="shared" si="549"/>
        <v>0.24699116618248651</v>
      </c>
      <c r="N52" s="45">
        <f t="shared" si="549"/>
        <v>0.23366871530531325</v>
      </c>
      <c r="O52" s="45">
        <f t="shared" si="549"/>
        <v>0.21255460475136137</v>
      </c>
      <c r="P52" s="45">
        <f t="shared" si="549"/>
        <v>0.23205611508092799</v>
      </c>
      <c r="Q52" s="45">
        <f t="shared" si="549"/>
        <v>0.2160759757210807</v>
      </c>
      <c r="R52" s="45">
        <f t="shared" si="549"/>
        <v>0.21001985865311606</v>
      </c>
      <c r="S52" s="45">
        <f t="shared" si="549"/>
        <v>0.22829755253679704</v>
      </c>
      <c r="T52" s="45">
        <f t="shared" si="549"/>
        <v>0.18639250075597219</v>
      </c>
      <c r="U52" s="45">
        <f t="shared" si="549"/>
        <v>0.18326706391602693</v>
      </c>
      <c r="V52" s="45">
        <f t="shared" si="549"/>
        <v>0.19331754120550998</v>
      </c>
      <c r="W52" s="45">
        <f t="shared" si="549"/>
        <v>0.1820603250548746</v>
      </c>
      <c r="X52" s="45">
        <f t="shared" si="549"/>
        <v>0.16426035825492105</v>
      </c>
      <c r="Y52" s="45">
        <f t="shared" si="549"/>
        <v>0.17080757467300059</v>
      </c>
      <c r="Z52" s="45">
        <f t="shared" ref="Z52:AA52" si="550">+Z51/Z20</f>
        <v>0.16412049819007302</v>
      </c>
      <c r="AA52" s="45">
        <f t="shared" ref="AA52" si="551">+AA51/AA20</f>
        <v>0.17219703330534564</v>
      </c>
      <c r="AB52" s="48">
        <f t="shared" si="549"/>
        <v>0.16605793951301384</v>
      </c>
      <c r="AC52" s="48">
        <f t="shared" si="549"/>
        <v>0.17078908831332881</v>
      </c>
      <c r="AD52" s="48">
        <f t="shared" si="549"/>
        <v>0.16023536307675548</v>
      </c>
      <c r="AE52" s="48">
        <f t="shared" si="549"/>
        <v>0.17089190223363579</v>
      </c>
      <c r="AI52" s="45">
        <f t="shared" ref="AI52:BN52" si="552">+AI51/AI20</f>
        <v>0.23888541014402004</v>
      </c>
      <c r="AJ52" s="45">
        <f t="shared" si="552"/>
        <v>0.24031243659971596</v>
      </c>
      <c r="AK52" s="45">
        <f t="shared" si="552"/>
        <v>0.22726400613967768</v>
      </c>
      <c r="AL52" s="45">
        <f t="shared" si="552"/>
        <v>0.22900325234360053</v>
      </c>
      <c r="AM52" s="45">
        <f t="shared" si="552"/>
        <v>0.21070382533061152</v>
      </c>
      <c r="AN52" s="45">
        <f t="shared" si="552"/>
        <v>0.18689339234412611</v>
      </c>
      <c r="AO52" s="45">
        <f t="shared" si="552"/>
        <v>0.22071242131122371</v>
      </c>
      <c r="AP52" s="45">
        <f t="shared" si="552"/>
        <v>0.23238834951456311</v>
      </c>
      <c r="AQ52" s="45">
        <f t="shared" si="552"/>
        <v>0.22599843382928739</v>
      </c>
      <c r="AR52" s="45">
        <f t="shared" si="552"/>
        <v>0.2320491680407735</v>
      </c>
      <c r="AS52" s="45">
        <f t="shared" si="552"/>
        <v>0.23557552913888083</v>
      </c>
      <c r="AT52" s="45">
        <f t="shared" si="552"/>
        <v>0.2310043993736485</v>
      </c>
      <c r="AU52" s="45">
        <f t="shared" si="552"/>
        <v>0.21095165110770517</v>
      </c>
      <c r="AV52" s="45">
        <f t="shared" si="552"/>
        <v>0.21739686600575631</v>
      </c>
      <c r="AW52" s="45">
        <f t="shared" si="552"/>
        <v>0.21789711985913721</v>
      </c>
      <c r="AX52" s="45">
        <f t="shared" si="552"/>
        <v>0.21740181268882175</v>
      </c>
      <c r="AY52" s="45">
        <f t="shared" si="552"/>
        <v>0.20486235252055773</v>
      </c>
      <c r="AZ52" s="45">
        <f t="shared" si="552"/>
        <v>0.20849220103986135</v>
      </c>
      <c r="BA52" s="45">
        <f t="shared" si="552"/>
        <v>0.2146702946795577</v>
      </c>
      <c r="BB52" s="45">
        <f t="shared" si="552"/>
        <v>0.21191588785046728</v>
      </c>
      <c r="BC52" s="45">
        <f t="shared" si="552"/>
        <v>0.20810399344185501</v>
      </c>
      <c r="BD52" s="45">
        <f t="shared" si="552"/>
        <v>0.21210223714920021</v>
      </c>
      <c r="BE52" s="45">
        <f t="shared" si="552"/>
        <v>0.28824322805440034</v>
      </c>
      <c r="BF52" s="45">
        <f t="shared" si="552"/>
        <v>0.20405906099651608</v>
      </c>
      <c r="BG52" s="45">
        <f t="shared" si="552"/>
        <v>0.18883312421580928</v>
      </c>
      <c r="BH52" s="45">
        <f t="shared" si="552"/>
        <v>0.19942743461594448</v>
      </c>
      <c r="BI52" s="45">
        <f t="shared" si="552"/>
        <v>0.16869158878504673</v>
      </c>
      <c r="BJ52" s="45">
        <f t="shared" si="552"/>
        <v>0.189330981011189</v>
      </c>
      <c r="BK52" s="45">
        <f t="shared" si="552"/>
        <v>0.17437967252212999</v>
      </c>
      <c r="BL52" s="45">
        <f t="shared" si="552"/>
        <v>0.17839939900128154</v>
      </c>
      <c r="BM52" s="45">
        <f t="shared" si="552"/>
        <v>0.19340031179629308</v>
      </c>
      <c r="BN52" s="45">
        <f t="shared" si="552"/>
        <v>0.18631538230111316</v>
      </c>
      <c r="BO52" s="45">
        <f t="shared" ref="BO52:CT52" si="553">+BO51/BO20</f>
        <v>0.18051975491231778</v>
      </c>
      <c r="BP52" s="45">
        <f t="shared" si="553"/>
        <v>0.19772079772079773</v>
      </c>
      <c r="BQ52" s="45">
        <f t="shared" si="553"/>
        <v>0.20114166698808192</v>
      </c>
      <c r="BR52" s="45">
        <f t="shared" si="553"/>
        <v>0.19299912584090304</v>
      </c>
      <c r="BS52" s="45">
        <f t="shared" si="553"/>
        <v>0.18644250071694868</v>
      </c>
      <c r="BT52" s="45">
        <f t="shared" si="553"/>
        <v>0.18336598878454158</v>
      </c>
      <c r="BU52" s="45">
        <f t="shared" si="553"/>
        <v>0.18269683371512851</v>
      </c>
      <c r="BV52" s="45">
        <f t="shared" si="553"/>
        <v>0.1764468955260875</v>
      </c>
      <c r="BW52" s="45">
        <f t="shared" si="553"/>
        <v>0.15555555555555556</v>
      </c>
      <c r="BX52" s="45">
        <f t="shared" si="553"/>
        <v>0.16492418851606547</v>
      </c>
      <c r="BY52" s="45">
        <f t="shared" si="553"/>
        <v>0.17187744663082624</v>
      </c>
      <c r="BZ52" s="45">
        <f t="shared" si="553"/>
        <v>0.16383109425496115</v>
      </c>
      <c r="CA52" s="45">
        <f t="shared" si="553"/>
        <v>0.1567236970447895</v>
      </c>
      <c r="CB52" s="45">
        <f t="shared" si="553"/>
        <v>0.15938349489665077</v>
      </c>
      <c r="CC52" s="45">
        <f t="shared" si="553"/>
        <v>0.15746631977537931</v>
      </c>
      <c r="CD52" s="45">
        <f t="shared" si="553"/>
        <v>0.21029454420800042</v>
      </c>
      <c r="CE52" s="45">
        <f t="shared" si="553"/>
        <v>0.16212641485438128</v>
      </c>
      <c r="CF52" s="45">
        <f t="shared" si="553"/>
        <v>0.15898111550285463</v>
      </c>
      <c r="CG52" s="45">
        <f t="shared" si="553"/>
        <v>0.16334642275644096</v>
      </c>
      <c r="CH52" s="45">
        <f t="shared" si="553"/>
        <v>0.17197312156383629</v>
      </c>
      <c r="CI52" s="45">
        <f t="shared" ref="CI52:CJ52" si="554">+CI51/CI20</f>
        <v>0.16376924714397217</v>
      </c>
      <c r="CJ52" s="45">
        <f t="shared" si="554"/>
        <v>0.16576758822207238</v>
      </c>
      <c r="CK52" s="45">
        <f t="shared" ref="CK52" si="555">+CK51/CK20</f>
        <v>0.17491589524835638</v>
      </c>
      <c r="CL52" s="45">
        <f t="shared" ref="CL52" si="556">+CL51/CL20</f>
        <v>0.18337571656394122</v>
      </c>
      <c r="CM52" s="48">
        <f t="shared" si="553"/>
        <v>0.1622481568471722</v>
      </c>
      <c r="CN52" s="48">
        <f t="shared" si="553"/>
        <v>0.16481335585636908</v>
      </c>
      <c r="CO52" s="48">
        <f t="shared" si="553"/>
        <v>0.16756768091476337</v>
      </c>
      <c r="CP52" s="48">
        <f t="shared" si="553"/>
        <v>0.16947463391997936</v>
      </c>
      <c r="CQ52" s="48">
        <f t="shared" si="553"/>
        <v>0.16950790161785029</v>
      </c>
      <c r="CR52" s="48">
        <f t="shared" si="553"/>
        <v>0.17204341060566752</v>
      </c>
      <c r="CS52" s="48">
        <f t="shared" si="553"/>
        <v>0.17013344375605127</v>
      </c>
      <c r="CT52" s="48">
        <f t="shared" si="553"/>
        <v>0.17144305696661749</v>
      </c>
      <c r="CU52" s="48">
        <f t="shared" ref="CU52:DB52" si="557">+CU51/CU20</f>
        <v>0.16077089312074008</v>
      </c>
      <c r="CV52" s="48">
        <f t="shared" si="557"/>
        <v>0.16136883933449053</v>
      </c>
      <c r="CW52" s="48">
        <f t="shared" si="557"/>
        <v>0.16034741203727523</v>
      </c>
      <c r="CX52" s="48">
        <f t="shared" si="557"/>
        <v>0.15854502765963882</v>
      </c>
      <c r="CY52" s="48">
        <f t="shared" si="557"/>
        <v>0.16866755400184127</v>
      </c>
      <c r="CZ52" s="48">
        <f t="shared" si="557"/>
        <v>0.1699019273297247</v>
      </c>
      <c r="DA52" s="48">
        <f t="shared" si="557"/>
        <v>0.17133521702638513</v>
      </c>
      <c r="DB52" s="48">
        <f t="shared" si="557"/>
        <v>0.17342093822160159</v>
      </c>
      <c r="DE52" s="129"/>
      <c r="DF52" s="45">
        <v>0.17219703330534564</v>
      </c>
      <c r="DG52" s="45">
        <v>0.1611298945608842</v>
      </c>
    </row>
    <row r="53" spans="1:111" s="39" customFormat="1" x14ac:dyDescent="0.2">
      <c r="A53" s="39" t="s">
        <v>451</v>
      </c>
      <c r="C53" s="39">
        <f t="shared" ref="C53:E53" si="558">+IF(B51&lt;0,1-C51/B51,C51/B51-1)</f>
        <v>0.29622183272845604</v>
      </c>
      <c r="D53" s="39">
        <f t="shared" si="558"/>
        <v>0.18170453982870494</v>
      </c>
      <c r="E53" s="39">
        <f t="shared" si="558"/>
        <v>0.30254406820490787</v>
      </c>
      <c r="F53" s="39">
        <f t="shared" ref="F53:AE53" si="559">+IF(E51&lt;0,1-F51/E51,F51/E51-1)</f>
        <v>0.48436432057766354</v>
      </c>
      <c r="G53" s="39">
        <f t="shared" si="559"/>
        <v>0.34290357529794147</v>
      </c>
      <c r="H53" s="39">
        <f t="shared" si="559"/>
        <v>0.55748285599031866</v>
      </c>
      <c r="I53" s="39">
        <f t="shared" si="559"/>
        <v>0.20668220668220671</v>
      </c>
      <c r="J53" s="39">
        <f t="shared" si="559"/>
        <v>0.28525434642627179</v>
      </c>
      <c r="K53" s="39">
        <f t="shared" si="559"/>
        <v>3.8410153640614508E-2</v>
      </c>
      <c r="L53" s="39">
        <f t="shared" si="559"/>
        <v>9.9228047603731051E-2</v>
      </c>
      <c r="M53" s="39">
        <f t="shared" si="559"/>
        <v>0.21901975128017548</v>
      </c>
      <c r="N53" s="39">
        <f t="shared" si="559"/>
        <v>0.13166106577052328</v>
      </c>
      <c r="O53" s="39">
        <f t="shared" si="559"/>
        <v>0.13013044861597201</v>
      </c>
      <c r="P53" s="39">
        <f t="shared" si="559"/>
        <v>0.16112987987987992</v>
      </c>
      <c r="Q53" s="39">
        <f t="shared" si="559"/>
        <v>9.0438858805463429E-2</v>
      </c>
      <c r="R53" s="39">
        <f t="shared" si="559"/>
        <v>6.6039134301808522E-2</v>
      </c>
      <c r="S53" s="39">
        <f t="shared" si="559"/>
        <v>0.11937704234165336</v>
      </c>
      <c r="T53" s="39">
        <f t="shared" si="559"/>
        <v>-4.2857142857142816E-2</v>
      </c>
      <c r="U53" s="39">
        <f t="shared" si="559"/>
        <v>7.975340687865029E-2</v>
      </c>
      <c r="V53" s="39">
        <f t="shared" si="559"/>
        <v>0.16731774746078498</v>
      </c>
      <c r="W53" s="39">
        <f t="shared" si="559"/>
        <v>0.14019461463213712</v>
      </c>
      <c r="X53" s="39">
        <f t="shared" si="559"/>
        <v>8.8593876998103394E-2</v>
      </c>
      <c r="Y53" s="39">
        <f t="shared" si="559"/>
        <v>8.8767214202754241E-2</v>
      </c>
      <c r="Z53" s="39">
        <f t="shared" ref="Z53:AA53" si="560">+IF(Y51&lt;0,1-Z51/Y51,Z51/Y51-1)</f>
        <v>1.9125266686985665E-2</v>
      </c>
      <c r="AA53" s="39">
        <f t="shared" si="560"/>
        <v>0.15001869158878511</v>
      </c>
      <c r="AB53" s="40">
        <f t="shared" si="559"/>
        <v>3.7602523893002227E-2</v>
      </c>
      <c r="AC53" s="40">
        <f t="shared" si="559"/>
        <v>8.3545118982047528E-2</v>
      </c>
      <c r="AD53" s="40">
        <f t="shared" si="559"/>
        <v>1.2313829942640631E-2</v>
      </c>
      <c r="AE53" s="40">
        <f t="shared" si="559"/>
        <v>0.18743551859868957</v>
      </c>
      <c r="AM53" s="39">
        <f>+IF(AI51&lt;0,1-AM51/AI51,AM51/AI51-1)</f>
        <v>3.7134119702927126E-2</v>
      </c>
      <c r="AN53" s="39">
        <f t="shared" ref="AN53" si="561">+IF(AJ51&lt;0,1-AN51/AJ51,AN51/AJ51-1)</f>
        <v>1.6040523427606646E-2</v>
      </c>
      <c r="AO53" s="39">
        <f t="shared" ref="AO53" si="562">+IF(AK51&lt;0,1-AO51/AK51,AO51/AK51-1)</f>
        <v>0.21359223300970864</v>
      </c>
      <c r="AP53" s="39">
        <f t="shared" ref="AP53" si="563">+IF(AL51&lt;0,1-AP51/AL51,AP51/AL51-1)</f>
        <v>0.24979114452798656</v>
      </c>
      <c r="AQ53" s="39">
        <f t="shared" ref="AQ53" si="564">+IF(AM51&lt;0,1-AQ51/AM51,AQ51/AM51-1)</f>
        <v>0.21566975568660496</v>
      </c>
      <c r="AR53" s="39">
        <f t="shared" ref="AR53" si="565">+IF(AN51&lt;0,1-AR51/AN51,AR51/AN51-1)</f>
        <v>0.28624844204403832</v>
      </c>
      <c r="AS53" s="39">
        <f t="shared" ref="AS53" si="566">+IF(AO51&lt;0,1-AS51/AO51,AS51/AO51-1)</f>
        <v>0.13043478260869557</v>
      </c>
      <c r="AT53" s="39">
        <f t="shared" ref="AT53" si="567">+IF(AP51&lt;0,1-AT51/AP51,AT51/AP51-1)</f>
        <v>3.5427807486630991E-2</v>
      </c>
      <c r="AU53" s="39">
        <f t="shared" ref="AU53" si="568">+IF(AQ51&lt;0,1-AU51/AQ51,AU51/AQ51-1)</f>
        <v>4.9203049203049298E-2</v>
      </c>
      <c r="AV53" s="39">
        <f t="shared" ref="AV53" si="569">+IF(AR51&lt;0,1-AV51/AR51,AV51/AR51-1)</f>
        <v>9.7868217054263518E-2</v>
      </c>
      <c r="AW53" s="39">
        <f t="shared" ref="AW53" si="570">+IF(AS51&lt;0,1-AW51/AS51,AW51/AS51-1)</f>
        <v>6.615384615384623E-2</v>
      </c>
      <c r="AX53" s="39">
        <f t="shared" ref="AX53" si="571">+IF(AT51&lt;0,1-AX51/AT51,AX51/AT51-1)</f>
        <v>0.16139444803098768</v>
      </c>
      <c r="AY53" s="39">
        <f t="shared" ref="AY53" si="572">+IF(AU51&lt;0,1-AY51/AU51,AY51/AU51-1)</f>
        <v>0.13540290620871853</v>
      </c>
      <c r="AZ53" s="39">
        <f t="shared" ref="AZ53" si="573">+IF(AV51&lt;0,1-AZ51/AV51,AZ51/AV51-1)</f>
        <v>6.1782877316857832E-2</v>
      </c>
      <c r="BA53" s="39">
        <f t="shared" ref="BA53" si="574">+IF(AW51&lt;0,1-BA51/AW51,BA51/AW51-1)</f>
        <v>7.0129870129870042E-2</v>
      </c>
      <c r="BB53" s="39">
        <f t="shared" ref="BB53" si="575">+IF(AX51&lt;0,1-BB51/AX51,BB51/AX51-1)</f>
        <v>8.3379655364090866E-3</v>
      </c>
      <c r="BC53" s="39">
        <f t="shared" ref="BC53" si="576">+IF(AY51&lt;0,1-BC51/AY51,BC51/AY51-1)</f>
        <v>3.3740546829551965E-2</v>
      </c>
      <c r="BD53" s="39">
        <f t="shared" ref="BD53" si="577">+IF(AZ51&lt;0,1-BD51/AZ51,BD51/AZ51-1)</f>
        <v>3.2418952618453956E-2</v>
      </c>
      <c r="BE53" s="39">
        <f t="shared" ref="BE53" si="578">+IF(BA51&lt;0,1-BE51/BA51,BE51/BA51-1)</f>
        <v>0.3832254584681769</v>
      </c>
      <c r="BF53" s="39">
        <f t="shared" ref="BF53" si="579">+IF(BB51&lt;0,1-BF51/BB51,BF51/BB51-1)</f>
        <v>1.7089305402425481E-2</v>
      </c>
      <c r="BG53" s="39">
        <f t="shared" ref="BG53" si="580">+IF(BC51&lt;0,1-BG51/BC51,BG51/BC51-1)</f>
        <v>1.6319639842431011E-2</v>
      </c>
      <c r="BH53" s="39">
        <f t="shared" ref="BH53" si="581">+IF(BD51&lt;0,1-BH51/BD51,BH51/BD51-1)</f>
        <v>0.1030595813204509</v>
      </c>
      <c r="BI53" s="39">
        <f t="shared" ref="BI53" si="582">+IF(BE51&lt;0,1-BI51/BE51,BI51/BE51-1)</f>
        <v>-0.29615909534022222</v>
      </c>
      <c r="BJ53" s="39">
        <f t="shared" ref="BJ53" si="583">+IF(BF51&lt;0,1-BJ51/BF51,BJ51/BF51-1)</f>
        <v>0.1051490514905149</v>
      </c>
      <c r="BK53" s="39">
        <f t="shared" ref="BK53" si="584">+IF(BG51&lt;0,1-BK51/BG51,BK51/BG51-1)</f>
        <v>5.2602436323366586E-2</v>
      </c>
      <c r="BL53" s="39">
        <f t="shared" ref="BL53" si="585">+IF(BH51&lt;0,1-BL51/BH51,BL51/BH51-1)</f>
        <v>-1.7761557177615517E-2</v>
      </c>
      <c r="BM53" s="39">
        <f t="shared" ref="BM53" si="586">+IF(BI51&lt;0,1-BM51/BI51,BM51/BI51-1)</f>
        <v>0.2371191135734072</v>
      </c>
      <c r="BN53" s="39">
        <f t="shared" ref="BN53" si="587">+IF(BJ51&lt;0,1-BN51/BJ51,BN51/BJ51-1)</f>
        <v>6.3021088769004363E-2</v>
      </c>
      <c r="BO53" s="39">
        <f t="shared" ref="BO53" si="588">+IF(BK51&lt;0,1-BO51/BK51,BO51/BK51-1)</f>
        <v>0.12361914781693839</v>
      </c>
      <c r="BP53" s="39">
        <f t="shared" ref="BP53" si="589">+IF(BL51&lt;0,1-BP51/BL51,BP51/BL51-1)</f>
        <v>0.20336883824622243</v>
      </c>
      <c r="BQ53" s="39">
        <f t="shared" ref="BQ53" si="590">+IF(BM51&lt;0,1-BQ51/BM51,BQ51/BM51-1)</f>
        <v>0.16771159874608155</v>
      </c>
      <c r="BR53" s="39">
        <f t="shared" ref="BR53" si="591">+IF(BN51&lt;0,1-BR51/BN51,BR51/BN51-1)</f>
        <v>0.17139561707035766</v>
      </c>
      <c r="BS53" s="39">
        <f t="shared" ref="BS53" si="592">+IF(BO51&lt;0,1-BS51/BO51,BS51/BO51-1)</f>
        <v>0.21746254681647947</v>
      </c>
      <c r="BT53" s="39">
        <f t="shared" ref="BT53" si="593">+IF(BP51&lt;0,1-BT51/BP51,BT51/BP51-1)</f>
        <v>0.11733223548785499</v>
      </c>
      <c r="BU53" s="39">
        <f t="shared" ref="BU53" si="594">+IF(BQ51&lt;0,1-BU51/BQ51,BU51/BQ51-1)</f>
        <v>0.1163950143815915</v>
      </c>
      <c r="BV53" s="39">
        <f t="shared" ref="BV53" si="595">+IF(BR51&lt;0,1-BV51/BR51,BV51/BR51-1)</f>
        <v>0.12150452934226075</v>
      </c>
      <c r="BW53" s="39">
        <f t="shared" ref="BW53" si="596">+IF(BS51&lt;0,1-BW51/BS51,BW51/BS51-1)</f>
        <v>3.0955585464333746E-2</v>
      </c>
      <c r="BX53" s="39">
        <f t="shared" ref="BX53" si="597">+IF(BT51&lt;0,1-BX51/BT51,BX51/BT51-1)</f>
        <v>0.11016949152542366</v>
      </c>
      <c r="BY53" s="39">
        <f t="shared" ref="BY53" si="598">+IF(BU51&lt;0,1-BY51/BU51,BY51/BU51-1)</f>
        <v>0.131226382686362</v>
      </c>
      <c r="BZ53" s="39">
        <f t="shared" ref="BZ53" si="599">+IF(BV51&lt;0,1-BZ51/BV51,BZ51/BV51-1)</f>
        <v>7.7085162423178311E-2</v>
      </c>
      <c r="CA53" s="39">
        <f t="shared" ref="CA53" si="600">+IF(BW51&lt;0,1-CA51/BW51,CA51/BW51-1)</f>
        <v>0.10872808653487498</v>
      </c>
      <c r="CB53" s="39">
        <f t="shared" ref="CB53" si="601">+IF(BX51&lt;0,1-CB51/BX51,CB51/BX51-1)</f>
        <v>3.1364088947892554E-2</v>
      </c>
      <c r="CC53" s="39">
        <f t="shared" ref="CC53" si="602">+IF(BY51&lt;0,1-CC51/BY51,CC51/BY51-1)</f>
        <v>-7.1819010021257235E-2</v>
      </c>
      <c r="CD53" s="39">
        <f t="shared" ref="CD53" si="603">+IF(BZ51&lt;0,1-CD51/BZ51,CD51/BZ51-1)</f>
        <v>0.30013042060645589</v>
      </c>
      <c r="CE53" s="39">
        <f t="shared" ref="CE53" si="604">+IF(CA51&lt;0,1-CE51/CA51,CE51/CA51-1)</f>
        <v>7.2161480235491959E-2</v>
      </c>
      <c r="CF53" s="39">
        <f t="shared" ref="CF53" si="605">+IF(CB51&lt;0,1-CF51/CB51,CF51/CB51-1)</f>
        <v>4.843121480289625E-2</v>
      </c>
      <c r="CG53" s="39">
        <f t="shared" ref="CG53" si="606">+IF(CC51&lt;0,1-CG51/CC51,CG51/CC51-1)</f>
        <v>0.11598233273351877</v>
      </c>
      <c r="CH53" s="39">
        <f t="shared" ref="CH53:CL53" si="607">+IF(CD51&lt;0,1-CH51/CD51,CH51/CD51-1)</f>
        <v>-0.11749216300940435</v>
      </c>
      <c r="CI53" s="39">
        <f t="shared" si="607"/>
        <v>8.6288045183558149E-2</v>
      </c>
      <c r="CJ53" s="39">
        <f t="shared" si="607"/>
        <v>0.13182934315530992</v>
      </c>
      <c r="CK53" s="39">
        <f t="shared" si="607"/>
        <v>0.16608032834945763</v>
      </c>
      <c r="CL53" s="39">
        <f t="shared" si="607"/>
        <v>0.20900824097755044</v>
      </c>
      <c r="CM53" s="40">
        <f t="shared" ref="CM53" si="608">+CM51/CI51-1</f>
        <v>0.10765822200820074</v>
      </c>
      <c r="CN53" s="40">
        <f t="shared" ref="CN53" si="609">+CN51/CJ51-1</f>
        <v>6.9275507722923235E-2</v>
      </c>
      <c r="CO53" s="40">
        <f t="shared" ref="CO53" si="610">+CO51/CK51-1</f>
        <v>1.773698887872599E-2</v>
      </c>
      <c r="CP53" s="40">
        <f t="shared" ref="CP53" si="611">+CP51/CL51-1</f>
        <v>-2.8283429621716039E-2</v>
      </c>
      <c r="CQ53" s="40">
        <f t="shared" ref="CQ53" si="612">+CQ51/CM51-1</f>
        <v>9.460749636341137E-2</v>
      </c>
      <c r="CR53" s="40">
        <f t="shared" ref="CR53" si="613">+CR51/CN51-1</f>
        <v>9.5853801585762843E-2</v>
      </c>
      <c r="CS53" s="40">
        <f t="shared" ref="CS53" si="614">+CS51/CO51-1</f>
        <v>7.1098722911619561E-2</v>
      </c>
      <c r="CT53" s="40">
        <f t="shared" ref="CT53" si="615">+CT51/CP51-1</f>
        <v>7.3731782646355937E-2</v>
      </c>
      <c r="CU53" s="40">
        <f t="shared" ref="CU53" si="616">+CU51/CQ51-1</f>
        <v>1.1543485190594005E-2</v>
      </c>
      <c r="CV53" s="40">
        <f t="shared" ref="CV53" si="617">+CV51/CR51-1</f>
        <v>7.2521440477120169E-3</v>
      </c>
      <c r="CW53" s="40">
        <f t="shared" ref="CW53" si="618">+CW51/CS51-1</f>
        <v>2.0347412933278797E-2</v>
      </c>
      <c r="CX53" s="40">
        <f t="shared" ref="CX53" si="619">+CX51/CT51-1</f>
        <v>1.0122356531968357E-2</v>
      </c>
      <c r="CY53" s="40">
        <f t="shared" ref="CY53" si="620">+CY51/CU51-1</f>
        <v>0.15415991544760299</v>
      </c>
      <c r="CZ53" s="40">
        <f t="shared" ref="CZ53" si="621">+CZ51/CV51-1</f>
        <v>0.16727383286892827</v>
      </c>
      <c r="DA53" s="40">
        <f t="shared" ref="DA53" si="622">+DA51/CW51-1</f>
        <v>0.19404564188116002</v>
      </c>
      <c r="DB53" s="40">
        <f t="shared" ref="DB53" si="623">+DB51/CX51-1</f>
        <v>0.23199284840548406</v>
      </c>
      <c r="DE53" s="122"/>
      <c r="DF53" s="39">
        <v>0.15001869158878511</v>
      </c>
      <c r="DG53" s="39">
        <v>2.9249111509795922E-2</v>
      </c>
    </row>
    <row r="54" spans="1:111" s="39" customFormat="1" x14ac:dyDescent="0.2">
      <c r="A54" s="39" t="s">
        <v>452</v>
      </c>
      <c r="AB54" s="40"/>
      <c r="AC54" s="40"/>
      <c r="AD54" s="40"/>
      <c r="AE54" s="40"/>
      <c r="AJ54" s="39">
        <f>+IF(AI51&lt;0,1-AJ51/AI51,AJ51/AI51-1)</f>
        <v>3.4949759720401818E-2</v>
      </c>
      <c r="AK54" s="39">
        <f t="shared" ref="AK54:AM54" si="624">+IF(AJ51&lt;0,1-AK51/AJ51,AK51/AJ51-1)</f>
        <v>0</v>
      </c>
      <c r="AL54" s="39">
        <f t="shared" si="624"/>
        <v>1.0552975939214893E-2</v>
      </c>
      <c r="AM54" s="39">
        <f t="shared" si="624"/>
        <v>-8.3542188805346695E-3</v>
      </c>
      <c r="AN54" s="39">
        <f t="shared" ref="AN54" si="625">+IF(AM51&lt;0,1-AN51/AM51,AN51/AM51-1)</f>
        <v>1.3900589721988155E-2</v>
      </c>
      <c r="AO54" s="39">
        <f t="shared" ref="AO54" si="626">+IF(AN51&lt;0,1-AO51/AN51,AO51/AN51-1)</f>
        <v>0.19443290402991265</v>
      </c>
      <c r="AP54" s="39">
        <f t="shared" ref="AP54" si="627">+IF(AO51&lt;0,1-AP51/AO51,AP51/AO51-1)</f>
        <v>4.0695652173913022E-2</v>
      </c>
      <c r="AQ54" s="39">
        <f t="shared" ref="AQ54" si="628">+IF(AP51&lt;0,1-AQ51/AP51,AQ51/AP51-1)</f>
        <v>-3.5427807486630991E-2</v>
      </c>
      <c r="AR54" s="39">
        <f t="shared" ref="AR54" si="629">+IF(AQ51&lt;0,1-AR51/AQ51,AR51/AQ51-1)</f>
        <v>7.2765072765072825E-2</v>
      </c>
      <c r="AS54" s="39">
        <f t="shared" ref="AS54" si="630">+IF(AR51&lt;0,1-AS51/AR51,AS51/AR51-1)</f>
        <v>4.9741602067183477E-2</v>
      </c>
      <c r="AT54" s="39">
        <f t="shared" ref="AT54" si="631">+IF(AS51&lt;0,1-AT51/AS51,AT51/AS51-1)</f>
        <v>-4.6769230769230785E-2</v>
      </c>
      <c r="AU54" s="39">
        <f t="shared" ref="AU54" si="632">+IF(AT51&lt;0,1-AU51/AT51,AU51/AT51-1)</f>
        <v>-2.2595222724338337E-2</v>
      </c>
      <c r="AV54" s="39">
        <f t="shared" ref="AV54" si="633">+IF(AU51&lt;0,1-AV51/AU51,AV51/AU51-1)</f>
        <v>0.12252311756935264</v>
      </c>
      <c r="AW54" s="39">
        <f t="shared" ref="AW54" si="634">+IF(AV51&lt;0,1-AW51/AV51,AW51/AV51-1)</f>
        <v>1.9417475728155331E-2</v>
      </c>
      <c r="AX54" s="39">
        <f t="shared" ref="AX54" si="635">+IF(AW51&lt;0,1-AX51/AW51,AX51/AW51-1)</f>
        <v>3.8383838383838409E-2</v>
      </c>
      <c r="AY54" s="39">
        <f t="shared" ref="AY54" si="636">+IF(AX51&lt;0,1-AY51/AX51,AY51/AX51-1)</f>
        <v>-4.4469149527515239E-2</v>
      </c>
      <c r="AZ54" s="39">
        <f t="shared" ref="AZ54" si="637">+IF(AY51&lt;0,1-AZ51/AY51,AZ51/AY51-1)</f>
        <v>4.9738219895288038E-2</v>
      </c>
      <c r="BA54" s="39">
        <f t="shared" ref="BA54" si="638">+IF(AZ51&lt;0,1-BA51/AZ51,BA51/AZ51-1)</f>
        <v>2.7431421446383997E-2</v>
      </c>
      <c r="BB54" s="39">
        <f t="shared" ref="BB54" si="639">+IF(BA51&lt;0,1-BB51/BA51,BB51/BA51-1)</f>
        <v>-2.1574973031283751E-2</v>
      </c>
      <c r="BC54" s="39">
        <f t="shared" ref="BC54" si="640">+IF(BB51&lt;0,1-BC51/BB51,BC51/BB51-1)</f>
        <v>-2.0396912899669273E-2</v>
      </c>
      <c r="BD54" s="39">
        <f t="shared" ref="BD54" si="641">+IF(BC51&lt;0,1-BD51/BC51,BD51/BC51-1)</f>
        <v>4.8396173325830016E-2</v>
      </c>
      <c r="BE54" s="39">
        <f t="shared" ref="BE54" si="642">+IF(BD51&lt;0,1-BE51/BD51,BE51/BD51-1)</f>
        <v>0.37654320987654311</v>
      </c>
      <c r="BF54" s="39">
        <f t="shared" ref="BF54" si="643">+IF(BE51&lt;0,1-BF51/BE51,BF51/BE51-1)</f>
        <v>-0.28056151296549037</v>
      </c>
      <c r="BG54" s="39">
        <f t="shared" ref="BG54" si="644">+IF(BF51&lt;0,1-BG51/BF51,BG51/BF51-1)</f>
        <v>-2.1138211382113803E-2</v>
      </c>
      <c r="BH54" s="39">
        <f t="shared" ref="BH54" si="645">+IF(BG51&lt;0,1-BH51/BG51,BH51/BG51-1)</f>
        <v>0.13787375415282388</v>
      </c>
      <c r="BI54" s="39">
        <f t="shared" ref="BI54" si="646">+IF(BH51&lt;0,1-BI51/BH51,BI51/BH51-1)</f>
        <v>-0.12165450121654497</v>
      </c>
      <c r="BJ54" s="39">
        <f t="shared" ref="BJ54" si="647">+IF(BI51&lt;0,1-BJ51/BI51,BJ51/BI51-1)</f>
        <v>0.12963988919667591</v>
      </c>
      <c r="BK54" s="39">
        <f t="shared" ref="BK54" si="648">+IF(BJ51&lt;0,1-BK51/BJ51,BK51/BJ51-1)</f>
        <v>-6.7680235409514511E-2</v>
      </c>
      <c r="BL54" s="39">
        <f t="shared" ref="BL54" si="649">+IF(BK51&lt;0,1-BL51/BK51,BL51/BK51-1)</f>
        <v>6.1809573908469195E-2</v>
      </c>
      <c r="BM54" s="39">
        <f t="shared" ref="BM54" si="650">+IF(BL51&lt;0,1-BM51/BL51,BM51/BL51-1)</f>
        <v>0.10626702997275195</v>
      </c>
      <c r="BN54" s="39">
        <f t="shared" ref="BN54" si="651">+IF(BM51&lt;0,1-BN51/BM51,BN51/BM51-1)</f>
        <v>-2.9332736229288003E-2</v>
      </c>
      <c r="BO54" s="39">
        <f t="shared" ref="BO54" si="652">+IF(BN51&lt;0,1-BO51/BN51,BO51/BN51-1)</f>
        <v>-1.453287197231834E-2</v>
      </c>
      <c r="BP54" s="39">
        <f t="shared" ref="BP54" si="653">+IF(BO51&lt;0,1-BP51/BO51,BP51/BO51-1)</f>
        <v>0.13717228464419473</v>
      </c>
      <c r="BQ54" s="39">
        <f t="shared" ref="BQ54" si="654">+IF(BP51&lt;0,1-BQ51/BP51,BQ51/BP51-1)</f>
        <v>7.3487031700288252E-2</v>
      </c>
      <c r="BR54" s="39">
        <f t="shared" ref="BR54" si="655">+IF(BQ51&lt;0,1-BR51/BQ51,BR51/BQ51-1)</f>
        <v>-2.6270373921380652E-2</v>
      </c>
      <c r="BS54" s="39">
        <f t="shared" ref="BS54" si="656">+IF(BR51&lt;0,1-BS51/BR51,BS51/BR51-1)</f>
        <v>2.4222134698700382E-2</v>
      </c>
      <c r="BT54" s="39">
        <f t="shared" ref="BT54" si="657">+IF(BS51&lt;0,1-BT51/BS51,BT51/BS51-1)</f>
        <v>4.3645452797538953E-2</v>
      </c>
      <c r="BU54" s="39">
        <f t="shared" ref="BU54" si="658">+IF(BT51&lt;0,1-BU51/BT51,BU51/BT51-1)</f>
        <v>7.2586588061901214E-2</v>
      </c>
      <c r="BV54" s="39">
        <f t="shared" ref="BV54" si="659">+IF(BU51&lt;0,1-BV51/BU51,BV51/BU51-1)</f>
        <v>-2.181380968739266E-2</v>
      </c>
      <c r="BW54" s="39">
        <f t="shared" ref="BW54" si="660">+IF(BV51&lt;0,1-BW51/BV51,BW51/BV51-1)</f>
        <v>-5.8472344161545231E-2</v>
      </c>
      <c r="BX54" s="39">
        <f t="shared" ref="BX54" si="661">+IF(BW51&lt;0,1-BX51/BW51,BX51/BW51-1)</f>
        <v>0.12383439015292796</v>
      </c>
      <c r="BY54" s="39">
        <f t="shared" ref="BY54" si="662">+IF(BX51&lt;0,1-BY51/BX51,BY51/BX51-1)</f>
        <v>9.2930633919681371E-2</v>
      </c>
      <c r="BZ54" s="39">
        <f t="shared" ref="BZ54" si="663">+IF(BY51&lt;0,1-BZ51/BY51,BZ51/BY51-1)</f>
        <v>-6.8630428180989966E-2</v>
      </c>
      <c r="CA54" s="39">
        <f t="shared" ref="CA54" si="664">+IF(BZ51&lt;0,1-CA51/BZ51,CA51/BZ51-1)</f>
        <v>-3.0811868275187448E-2</v>
      </c>
      <c r="CB54" s="39">
        <f t="shared" ref="CB54" si="665">+IF(CA51&lt;0,1-CB51/CA51,CB51/CA51-1)</f>
        <v>4.541631623212794E-2</v>
      </c>
      <c r="CC54" s="39">
        <f t="shared" ref="CC54" si="666">+IF(CB51&lt;0,1-CC51/CB51,CC51/CB51-1)</f>
        <v>-1.6411906677393451E-2</v>
      </c>
      <c r="CD54" s="39">
        <f t="shared" ref="CD54" si="667">+IF(CC51&lt;0,1-CD51/CC51,CD51/CC51-1)</f>
        <v>0.30459676100114508</v>
      </c>
      <c r="CE54" s="39">
        <f t="shared" ref="CE54" si="668">+IF(CD51&lt;0,1-CE51/CD51,CE51/CD51-1)</f>
        <v>-0.20075235109717871</v>
      </c>
      <c r="CF54" s="39">
        <f t="shared" ref="CF54" si="669">+IF(CE51&lt;0,1-CF51/CE51,CF51/CE51-1)</f>
        <v>2.2278004392845885E-2</v>
      </c>
      <c r="CG54" s="39">
        <f t="shared" ref="CG54" si="670">+IF(CF51&lt;0,1-CG51/CF51,CG51/CF51-1)</f>
        <v>4.6961325966850875E-2</v>
      </c>
      <c r="CH54" s="39">
        <f t="shared" ref="CH54:CL54" si="671">+IF(CG51&lt;0,1-CH51/CG51,CH51/CG51-1)</f>
        <v>3.1662269129287601E-2</v>
      </c>
      <c r="CI54" s="39">
        <f t="shared" si="671"/>
        <v>-1.6197783461210591E-2</v>
      </c>
      <c r="CJ54" s="39">
        <f t="shared" si="671"/>
        <v>6.5135759676487659E-2</v>
      </c>
      <c r="CK54" s="39">
        <f t="shared" si="671"/>
        <v>7.8644067796610262E-2</v>
      </c>
      <c r="CL54" s="39">
        <f t="shared" si="671"/>
        <v>6.9641734758013829E-2</v>
      </c>
      <c r="CM54" s="40">
        <f t="shared" ref="CM54" si="672">+CM51/CL51-1</f>
        <v>-9.8668994102152796E-2</v>
      </c>
      <c r="CN54" s="40">
        <f t="shared" ref="CN54" si="673">+CN51/CM51-1</f>
        <v>2.8226539190972177E-2</v>
      </c>
      <c r="CO54" s="40">
        <f t="shared" ref="CO54" si="674">+CO51/CN51-1</f>
        <v>2.6653989268857758E-2</v>
      </c>
      <c r="CP54" s="40">
        <f t="shared" ref="CP54" si="675">+CP51/CO51-1</f>
        <v>2.1274267704137984E-2</v>
      </c>
      <c r="CQ54" s="40">
        <f t="shared" ref="CQ54" si="676">+CQ51/CP51-1</f>
        <v>1.5320419385745687E-2</v>
      </c>
      <c r="CR54" s="40">
        <f t="shared" ref="CR54" si="677">+CR51/CQ51-1</f>
        <v>2.9397263957439801E-2</v>
      </c>
      <c r="CS54" s="40">
        <f t="shared" ref="CS54" si="678">+CS51/CR51-1</f>
        <v>3.4621180186082956E-3</v>
      </c>
      <c r="CT54" s="40">
        <f t="shared" ref="CT54" si="679">+CT51/CS51-1</f>
        <v>2.3784845015914158E-2</v>
      </c>
      <c r="CU54" s="40">
        <f t="shared" ref="CU54" si="680">+CU51/CT51-1</f>
        <v>-4.3484814168997521E-2</v>
      </c>
      <c r="CV54" s="40">
        <f t="shared" ref="CV54" si="681">+CV51/CU51-1</f>
        <v>2.5030180489586495E-2</v>
      </c>
      <c r="CW54" s="40">
        <f t="shared" ref="CW54" si="682">+CW51/CV51-1</f>
        <v>1.6508112836874256E-2</v>
      </c>
      <c r="CX54" s="40">
        <f t="shared" ref="CX54" si="683">+CX51/CW51-1</f>
        <v>1.3525341585606254E-2</v>
      </c>
      <c r="CY54" s="40">
        <f t="shared" ref="CY54" si="684">+CY51/CX51-1</f>
        <v>9.2908674740454167E-2</v>
      </c>
      <c r="CZ54" s="40">
        <f t="shared" ref="CZ54" si="685">+CZ51/CY51-1</f>
        <v>3.6676886428159694E-2</v>
      </c>
      <c r="DA54" s="40">
        <f t="shared" ref="DA54" si="686">+DA51/CZ51-1</f>
        <v>3.9822060507034074E-2</v>
      </c>
      <c r="DB54" s="40">
        <f t="shared" ref="DB54" si="687">+DB51/DA51-1</f>
        <v>4.5735547046590552E-2</v>
      </c>
      <c r="DE54" s="122"/>
      <c r="DG54" s="39">
        <v>-8.9395946347461508E-2</v>
      </c>
    </row>
    <row r="55" spans="1:111" s="75" customFormat="1" x14ac:dyDescent="0.2">
      <c r="A55" s="23" t="s">
        <v>23</v>
      </c>
      <c r="B55" s="75">
        <f>'Annual Raw'!C32</f>
        <v>0</v>
      </c>
      <c r="C55" s="75">
        <f>'Annual Raw'!D32</f>
        <v>0</v>
      </c>
      <c r="D55" s="75">
        <f>'Annual Raw'!E32</f>
        <v>0</v>
      </c>
      <c r="E55" s="75">
        <f>'Annual Raw'!F32</f>
        <v>0</v>
      </c>
      <c r="F55" s="75">
        <f>'Annual Raw'!G32</f>
        <v>0</v>
      </c>
      <c r="G55" s="75">
        <f>'Annual Raw'!H32</f>
        <v>-21</v>
      </c>
      <c r="H55" s="75">
        <f>'Annual Raw'!I32</f>
        <v>-11</v>
      </c>
      <c r="I55" s="75">
        <f>'Annual Raw'!J32</f>
        <v>0</v>
      </c>
      <c r="J55" s="75">
        <f>'Annual Raw'!K32</f>
        <v>0</v>
      </c>
      <c r="K55" s="75">
        <f>'Annual Raw'!L32</f>
        <v>0</v>
      </c>
      <c r="L55" s="75">
        <f>'Annual Raw'!M32</f>
        <v>0</v>
      </c>
      <c r="M55" s="75">
        <f>'Annual Raw'!N32</f>
        <v>0</v>
      </c>
      <c r="N55" s="75">
        <f>'Annual Raw'!O32</f>
        <v>0</v>
      </c>
      <c r="O55" s="75">
        <f>'Annual Raw'!P32</f>
        <v>0</v>
      </c>
      <c r="P55" s="75">
        <f>'Annual Raw'!Q32</f>
        <v>0</v>
      </c>
      <c r="Q55" s="75">
        <f>'Annual Raw'!R32</f>
        <v>0</v>
      </c>
      <c r="R55" s="75">
        <f>'Annual Raw'!S32</f>
        <v>0</v>
      </c>
      <c r="S55" s="75">
        <f>'Annual Raw'!T32</f>
        <v>0</v>
      </c>
      <c r="T55" s="75">
        <f>'Annual Raw'!U32</f>
        <v>-6</v>
      </c>
      <c r="U55" s="75">
        <f>'Annual Raw'!V32</f>
        <v>-45</v>
      </c>
      <c r="V55" s="75">
        <f>'Annual Raw'!W32</f>
        <v>-72</v>
      </c>
      <c r="W55" s="75">
        <f>'Annual Raw'!X32</f>
        <v>-36</v>
      </c>
      <c r="X55" s="75">
        <f>'Annual Raw'!Y32</f>
        <v>-13</v>
      </c>
      <c r="Y55" s="75">
        <f>'Annual Raw'!Z32</f>
        <v>-15</v>
      </c>
      <c r="Z55" s="75">
        <f>'Annual Raw'!AA32</f>
        <v>-37</v>
      </c>
      <c r="AA55" s="75">
        <f>'Annual Raw'!AB32</f>
        <v>-34</v>
      </c>
      <c r="AB55" s="76">
        <f t="shared" ref="AB55:AB56" si="688">+SUM(CM55:CP55)</f>
        <v>-32</v>
      </c>
      <c r="AC55" s="76">
        <f t="shared" ref="AC55:AC56" si="689">+SUM(CQ55:CT55)</f>
        <v>-32</v>
      </c>
      <c r="AD55" s="76">
        <f t="shared" ref="AD55:AD56" si="690">+SUM(CU55:CX55)</f>
        <v>-32</v>
      </c>
      <c r="AE55" s="76">
        <f t="shared" ref="AE55:AE56" si="691">+SUM(CY55:DB55)</f>
        <v>-32</v>
      </c>
      <c r="AI55" s="75">
        <f>'QTR Raw'!C34</f>
        <v>0</v>
      </c>
      <c r="AJ55" s="75">
        <f>'QTR Raw'!D34</f>
        <v>0</v>
      </c>
      <c r="AK55" s="75">
        <f>'QTR Raw'!E34</f>
        <v>0</v>
      </c>
      <c r="AL55" s="75">
        <f>'QTR Raw'!F34</f>
        <v>0</v>
      </c>
      <c r="AM55" s="75">
        <f>'QTR Raw'!G34</f>
        <v>0</v>
      </c>
      <c r="AN55" s="75">
        <f>'QTR Raw'!H34</f>
        <v>0</v>
      </c>
      <c r="AO55" s="75">
        <f>'QTR Raw'!I34</f>
        <v>0</v>
      </c>
      <c r="AP55" s="75">
        <f>'QTR Raw'!J34</f>
        <v>0</v>
      </c>
      <c r="AQ55" s="75">
        <f>'QTR Raw'!K34</f>
        <v>0</v>
      </c>
      <c r="AR55" s="75">
        <f>'QTR Raw'!L34</f>
        <v>0</v>
      </c>
      <c r="AS55" s="75">
        <f>'QTR Raw'!M34</f>
        <v>0</v>
      </c>
      <c r="AT55" s="75">
        <f>'QTR Raw'!N34</f>
        <v>0</v>
      </c>
      <c r="AU55" s="75">
        <f>'QTR Raw'!O34</f>
        <v>0</v>
      </c>
      <c r="AV55" s="75">
        <f>'QTR Raw'!P34</f>
        <v>0</v>
      </c>
      <c r="AW55" s="75">
        <f>'QTR Raw'!Q34</f>
        <v>0</v>
      </c>
      <c r="AX55" s="75">
        <f>'QTR Raw'!R34</f>
        <v>0</v>
      </c>
      <c r="AY55" s="75">
        <f>'QTR Raw'!S34</f>
        <v>0</v>
      </c>
      <c r="AZ55" s="75">
        <f>'QTR Raw'!T34</f>
        <v>0</v>
      </c>
      <c r="BA55" s="75">
        <f>'QTR Raw'!U34</f>
        <v>0</v>
      </c>
      <c r="BB55" s="75">
        <f>'QTR Raw'!V34</f>
        <v>0</v>
      </c>
      <c r="BC55" s="75">
        <f>'QTR Raw'!W34</f>
        <v>0</v>
      </c>
      <c r="BD55" s="75">
        <f>'QTR Raw'!X34</f>
        <v>0</v>
      </c>
      <c r="BE55" s="75">
        <f>'QTR Raw'!Y34</f>
        <v>0</v>
      </c>
      <c r="BF55" s="75">
        <f>'QTR Raw'!Z34</f>
        <v>0</v>
      </c>
      <c r="BG55" s="75">
        <f>'QTR Raw'!AA34</f>
        <v>0</v>
      </c>
      <c r="BH55" s="75">
        <f>'QTR Raw'!AB34</f>
        <v>0</v>
      </c>
      <c r="BI55" s="75">
        <f>'QTR Raw'!AC34</f>
        <v>-1</v>
      </c>
      <c r="BJ55" s="75">
        <f>'QTR Raw'!AD34</f>
        <v>-4</v>
      </c>
      <c r="BK55" s="75">
        <f>'QTR Raw'!AE34</f>
        <v>-4</v>
      </c>
      <c r="BL55" s="75">
        <f>'QTR Raw'!AF34</f>
        <v>-18</v>
      </c>
      <c r="BM55" s="75">
        <f>'QTR Raw'!AG34</f>
        <v>-9</v>
      </c>
      <c r="BN55" s="75">
        <f>'QTR Raw'!AH34</f>
        <v>-14</v>
      </c>
      <c r="BO55" s="75">
        <f>'QTR Raw'!AI34</f>
        <v>-39</v>
      </c>
      <c r="BP55" s="75">
        <f>'QTR Raw'!AJ34</f>
        <v>-13</v>
      </c>
      <c r="BQ55" s="75">
        <f>'QTR Raw'!AK34</f>
        <v>-18</v>
      </c>
      <c r="BR55" s="75">
        <f>'QTR Raw'!AL34</f>
        <v>-2</v>
      </c>
      <c r="BS55" s="75">
        <f>'QTR Raw'!AM34</f>
        <v>-6</v>
      </c>
      <c r="BT55" s="75">
        <f>'QTR Raw'!AN34</f>
        <v>-7</v>
      </c>
      <c r="BU55" s="75">
        <f>'QTR Raw'!AO34</f>
        <v>-13</v>
      </c>
      <c r="BV55" s="75">
        <f>'QTR Raw'!AP34</f>
        <v>-9</v>
      </c>
      <c r="BW55" s="75">
        <f>'QTR Raw'!AQ34</f>
        <v>-2</v>
      </c>
      <c r="BX55" s="75">
        <f>'QTR Raw'!AR34</f>
        <v>-5</v>
      </c>
      <c r="BY55" s="75">
        <f>'QTR Raw'!AS34</f>
        <v>0</v>
      </c>
      <c r="BZ55" s="75">
        <f>'QTR Raw'!AT34</f>
        <v>-6</v>
      </c>
      <c r="CA55" s="75">
        <f>'QTR Raw'!AU34</f>
        <v>0</v>
      </c>
      <c r="CB55" s="75">
        <f>'QTR Raw'!AV34</f>
        <v>-3</v>
      </c>
      <c r="CC55" s="75">
        <f>'QTR Raw'!AW34</f>
        <v>-7</v>
      </c>
      <c r="CD55" s="75">
        <f>'QTR Raw'!AX34</f>
        <v>-6</v>
      </c>
      <c r="CE55" s="75">
        <f>'QTR Raw'!AY34</f>
        <v>-6</v>
      </c>
      <c r="CF55" s="75">
        <f>'QTR Raw'!AZ34</f>
        <v>-10</v>
      </c>
      <c r="CG55" s="75">
        <f>'QTR Raw'!BA34</f>
        <v>-16</v>
      </c>
      <c r="CH55" s="75">
        <f>'QTR Raw'!BB34</f>
        <v>-5</v>
      </c>
      <c r="CI55" s="75">
        <f>'QTR Raw'!BC34</f>
        <v>-3</v>
      </c>
      <c r="CJ55" s="75">
        <f>'QTR Raw'!BD34</f>
        <v>-11</v>
      </c>
      <c r="CK55" s="75">
        <f>'QTR Raw'!BE34</f>
        <v>-12</v>
      </c>
      <c r="CL55" s="75">
        <f>'QTR Raw'!BF34</f>
        <v>-8</v>
      </c>
      <c r="CM55" s="76">
        <f t="shared" ref="CM55:CM56" si="692">+CL55</f>
        <v>-8</v>
      </c>
      <c r="CN55" s="76">
        <f t="shared" ref="CN55:CN56" si="693">+CM55</f>
        <v>-8</v>
      </c>
      <c r="CO55" s="76">
        <f t="shared" ref="CO55:CO56" si="694">+CN55</f>
        <v>-8</v>
      </c>
      <c r="CP55" s="76">
        <f t="shared" ref="CP55:CP56" si="695">+CO55</f>
        <v>-8</v>
      </c>
      <c r="CQ55" s="76">
        <f t="shared" ref="CQ55:CQ56" si="696">+CP55</f>
        <v>-8</v>
      </c>
      <c r="CR55" s="76">
        <f t="shared" ref="CR55:CR56" si="697">+CQ55</f>
        <v>-8</v>
      </c>
      <c r="CS55" s="76">
        <f t="shared" ref="CS55:CS56" si="698">+CR55</f>
        <v>-8</v>
      </c>
      <c r="CT55" s="76">
        <f t="shared" ref="CT55:CT56" si="699">+CS55</f>
        <v>-8</v>
      </c>
      <c r="CU55" s="76">
        <f t="shared" ref="CU55:CU56" si="700">+CT55</f>
        <v>-8</v>
      </c>
      <c r="CV55" s="76">
        <f t="shared" ref="CV55:CV56" si="701">+CU55</f>
        <v>-8</v>
      </c>
      <c r="CW55" s="76">
        <f t="shared" ref="CW55:CW56" si="702">+CV55</f>
        <v>-8</v>
      </c>
      <c r="CX55" s="76">
        <f t="shared" ref="CX55:CX56" si="703">+CW55</f>
        <v>-8</v>
      </c>
      <c r="CY55" s="76">
        <f t="shared" ref="CY55:CY56" si="704">+CX55</f>
        <v>-8</v>
      </c>
      <c r="CZ55" s="76">
        <f t="shared" ref="CZ55:CZ56" si="705">+CY55</f>
        <v>-8</v>
      </c>
      <c r="DA55" s="76">
        <f t="shared" ref="DA55:DA56" si="706">+CZ55</f>
        <v>-8</v>
      </c>
      <c r="DB55" s="76">
        <f t="shared" ref="DB55:DB56" si="707">+DA55</f>
        <v>-8</v>
      </c>
      <c r="DE55" s="131"/>
      <c r="DF55" s="75">
        <v>-34</v>
      </c>
      <c r="DG55" s="75">
        <v>-12</v>
      </c>
    </row>
    <row r="56" spans="1:111" s="75" customFormat="1" x14ac:dyDescent="0.2">
      <c r="A56" s="23" t="s">
        <v>24</v>
      </c>
      <c r="B56" s="75">
        <f>'Annual Raw'!C33+'Annual Raw'!C28</f>
        <v>0</v>
      </c>
      <c r="C56" s="75">
        <f>'Annual Raw'!D33+'Annual Raw'!D28</f>
        <v>0</v>
      </c>
      <c r="D56" s="75">
        <f>'Annual Raw'!E33+'Annual Raw'!E28</f>
        <v>0</v>
      </c>
      <c r="E56" s="75">
        <f>'Annual Raw'!F33+'Annual Raw'!F28</f>
        <v>0</v>
      </c>
      <c r="F56" s="75">
        <f>'Annual Raw'!G33+'Annual Raw'!G28</f>
        <v>0</v>
      </c>
      <c r="G56" s="75">
        <f>'Annual Raw'!H33+'Annual Raw'!H28</f>
        <v>0</v>
      </c>
      <c r="H56" s="75">
        <f>'Annual Raw'!I33+'Annual Raw'!I28</f>
        <v>0</v>
      </c>
      <c r="I56" s="75">
        <f>'Annual Raw'!J33+'Annual Raw'!J28</f>
        <v>0</v>
      </c>
      <c r="J56" s="75">
        <f>'Annual Raw'!K33+'Annual Raw'!K28</f>
        <v>0</v>
      </c>
      <c r="K56" s="75">
        <f>'Annual Raw'!L33+'Annual Raw'!L28</f>
        <v>0</v>
      </c>
      <c r="L56" s="75">
        <f>'Annual Raw'!M33+'Annual Raw'!M28</f>
        <v>0</v>
      </c>
      <c r="M56" s="75">
        <f>'Annual Raw'!N33+'Annual Raw'!N28</f>
        <v>0</v>
      </c>
      <c r="N56" s="75">
        <f>'Annual Raw'!O33+'Annual Raw'!O28</f>
        <v>0</v>
      </c>
      <c r="O56" s="75">
        <f>'Annual Raw'!P33+'Annual Raw'!P28</f>
        <v>0</v>
      </c>
      <c r="P56" s="75">
        <f>'Annual Raw'!Q33+'Annual Raw'!Q28</f>
        <v>-1</v>
      </c>
      <c r="Q56" s="75">
        <f>'Annual Raw'!R33+'Annual Raw'!R28</f>
        <v>-3</v>
      </c>
      <c r="R56" s="75">
        <f>'Annual Raw'!S33+'Annual Raw'!S28</f>
        <v>-30</v>
      </c>
      <c r="S56" s="75">
        <f>'Annual Raw'!T33+'Annual Raw'!T28</f>
        <v>-71</v>
      </c>
      <c r="T56" s="75">
        <f>'Annual Raw'!U33+'Annual Raw'!U28</f>
        <v>0</v>
      </c>
      <c r="U56" s="75">
        <f>'Annual Raw'!V33+'Annual Raw'!V28</f>
        <v>0</v>
      </c>
      <c r="V56" s="75">
        <f>'Annual Raw'!W33+'Annual Raw'!W28</f>
        <v>0</v>
      </c>
      <c r="W56" s="75">
        <f>'Annual Raw'!X33+'Annual Raw'!X28</f>
        <v>0</v>
      </c>
      <c r="X56" s="75">
        <f>'Annual Raw'!Y33+'Annual Raw'!Y28</f>
        <v>0</v>
      </c>
      <c r="Y56" s="75">
        <f>'Annual Raw'!Z33+'Annual Raw'!Z28</f>
        <v>0</v>
      </c>
      <c r="Z56" s="75">
        <f>'Annual Raw'!AA33+'Annual Raw'!AA28</f>
        <v>0</v>
      </c>
      <c r="AA56" s="75">
        <f>'Annual Raw'!AB33+'Annual Raw'!AB28</f>
        <v>0</v>
      </c>
      <c r="AB56" s="76">
        <f t="shared" si="688"/>
        <v>0</v>
      </c>
      <c r="AC56" s="76">
        <f t="shared" si="689"/>
        <v>0</v>
      </c>
      <c r="AD56" s="76">
        <f t="shared" si="690"/>
        <v>0</v>
      </c>
      <c r="AE56" s="76">
        <f t="shared" si="691"/>
        <v>0</v>
      </c>
      <c r="AI56" s="75">
        <f>'QTR Raw'!C35</f>
        <v>0</v>
      </c>
      <c r="AJ56" s="75">
        <f>'QTR Raw'!D35</f>
        <v>0</v>
      </c>
      <c r="AK56" s="75">
        <f>'QTR Raw'!E35</f>
        <v>0</v>
      </c>
      <c r="AL56" s="75">
        <f>'QTR Raw'!F35</f>
        <v>0</v>
      </c>
      <c r="AM56" s="75">
        <f>'QTR Raw'!G35</f>
        <v>0</v>
      </c>
      <c r="AN56" s="75">
        <f>'QTR Raw'!H35</f>
        <v>0</v>
      </c>
      <c r="AO56" s="75">
        <f>'QTR Raw'!I35</f>
        <v>0</v>
      </c>
      <c r="AP56" s="75">
        <f>'QTR Raw'!J35</f>
        <v>0</v>
      </c>
      <c r="AQ56" s="75">
        <f>'QTR Raw'!K35</f>
        <v>0</v>
      </c>
      <c r="AR56" s="75">
        <f>'QTR Raw'!L35</f>
        <v>0</v>
      </c>
      <c r="AS56" s="75">
        <f>'QTR Raw'!M35</f>
        <v>0</v>
      </c>
      <c r="AT56" s="75">
        <f>'QTR Raw'!N35</f>
        <v>-1</v>
      </c>
      <c r="AU56" s="75">
        <f>'QTR Raw'!O35</f>
        <v>0</v>
      </c>
      <c r="AV56" s="75">
        <f>'QTR Raw'!P35</f>
        <v>-1</v>
      </c>
      <c r="AW56" s="75">
        <f>'QTR Raw'!Q35</f>
        <v>0</v>
      </c>
      <c r="AX56" s="75">
        <f>'QTR Raw'!R35</f>
        <v>-1</v>
      </c>
      <c r="AY56" s="75">
        <f>'QTR Raw'!S35</f>
        <v>-2</v>
      </c>
      <c r="AZ56" s="75">
        <f>'QTR Raw'!T35</f>
        <v>-3</v>
      </c>
      <c r="BA56" s="75">
        <f>'QTR Raw'!U35</f>
        <v>0</v>
      </c>
      <c r="BB56" s="75">
        <f>'QTR Raw'!V35</f>
        <v>-25</v>
      </c>
      <c r="BC56" s="75">
        <f>'QTR Raw'!W35</f>
        <v>-71</v>
      </c>
      <c r="BD56" s="75">
        <f>'QTR Raw'!X35</f>
        <v>0</v>
      </c>
      <c r="BE56" s="75">
        <f>'QTR Raw'!Y35</f>
        <v>0</v>
      </c>
      <c r="BF56" s="75">
        <f>'QTR Raw'!Z35</f>
        <v>0</v>
      </c>
      <c r="BG56" s="75">
        <f>'QTR Raw'!AA35</f>
        <v>0</v>
      </c>
      <c r="BH56" s="75">
        <f>'QTR Raw'!AB35</f>
        <v>0</v>
      </c>
      <c r="BI56" s="75">
        <f>'QTR Raw'!AC35</f>
        <v>0</v>
      </c>
      <c r="BJ56" s="75">
        <f>'QTR Raw'!AD35</f>
        <v>0</v>
      </c>
      <c r="BK56" s="75">
        <f>'QTR Raw'!AE35</f>
        <v>0</v>
      </c>
      <c r="BL56" s="75">
        <f>'QTR Raw'!AF35</f>
        <v>0</v>
      </c>
      <c r="BM56" s="75">
        <f>'QTR Raw'!AG35</f>
        <v>0</v>
      </c>
      <c r="BN56" s="75">
        <f>'QTR Raw'!AH35</f>
        <v>0</v>
      </c>
      <c r="BO56" s="75">
        <f>'QTR Raw'!AI35</f>
        <v>0</v>
      </c>
      <c r="BP56" s="75">
        <f>'QTR Raw'!AJ35</f>
        <v>0</v>
      </c>
      <c r="BQ56" s="75">
        <f>'QTR Raw'!AK35</f>
        <v>0</v>
      </c>
      <c r="BR56" s="75">
        <f>'QTR Raw'!AL35</f>
        <v>0</v>
      </c>
      <c r="BS56" s="75">
        <f>'QTR Raw'!AM35</f>
        <v>0</v>
      </c>
      <c r="BT56" s="75">
        <f>'QTR Raw'!AN35</f>
        <v>0</v>
      </c>
      <c r="BU56" s="75">
        <f>'QTR Raw'!AO35</f>
        <v>0</v>
      </c>
      <c r="BV56" s="75">
        <f>'QTR Raw'!AP35</f>
        <v>0</v>
      </c>
      <c r="BW56" s="75">
        <f>'QTR Raw'!AQ35</f>
        <v>0</v>
      </c>
      <c r="BX56" s="75">
        <f>'QTR Raw'!AR35</f>
        <v>0</v>
      </c>
      <c r="BY56" s="75">
        <f>'QTR Raw'!AS35</f>
        <v>0</v>
      </c>
      <c r="BZ56" s="75">
        <f>'QTR Raw'!AT35</f>
        <v>0</v>
      </c>
      <c r="CA56" s="75">
        <f>'QTR Raw'!AU35</f>
        <v>0</v>
      </c>
      <c r="CB56" s="75">
        <f>'QTR Raw'!AV35</f>
        <v>0</v>
      </c>
      <c r="CC56" s="75">
        <f>'QTR Raw'!AW35</f>
        <v>0</v>
      </c>
      <c r="CD56" s="75">
        <f>'QTR Raw'!AX35</f>
        <v>0</v>
      </c>
      <c r="CE56" s="75">
        <f>'QTR Raw'!AY35</f>
        <v>0</v>
      </c>
      <c r="CF56" s="75">
        <f>'QTR Raw'!AZ35</f>
        <v>0</v>
      </c>
      <c r="CG56" s="75">
        <f>'QTR Raw'!BA35</f>
        <v>0</v>
      </c>
      <c r="CH56" s="75">
        <f>'QTR Raw'!BB35</f>
        <v>0</v>
      </c>
      <c r="CI56" s="75">
        <f>'QTR Raw'!BC35</f>
        <v>0</v>
      </c>
      <c r="CJ56" s="75">
        <f>'QTR Raw'!BD35</f>
        <v>0</v>
      </c>
      <c r="CK56" s="75">
        <f>'QTR Raw'!BE35</f>
        <v>0</v>
      </c>
      <c r="CL56" s="75">
        <f>'QTR Raw'!BF35</f>
        <v>0</v>
      </c>
      <c r="CM56" s="76">
        <f t="shared" si="692"/>
        <v>0</v>
      </c>
      <c r="CN56" s="76">
        <f t="shared" si="693"/>
        <v>0</v>
      </c>
      <c r="CO56" s="76">
        <f t="shared" si="694"/>
        <v>0</v>
      </c>
      <c r="CP56" s="76">
        <f t="shared" si="695"/>
        <v>0</v>
      </c>
      <c r="CQ56" s="76">
        <f t="shared" si="696"/>
        <v>0</v>
      </c>
      <c r="CR56" s="76">
        <f t="shared" si="697"/>
        <v>0</v>
      </c>
      <c r="CS56" s="76">
        <f t="shared" si="698"/>
        <v>0</v>
      </c>
      <c r="CT56" s="76">
        <f t="shared" si="699"/>
        <v>0</v>
      </c>
      <c r="CU56" s="76">
        <f t="shared" si="700"/>
        <v>0</v>
      </c>
      <c r="CV56" s="76">
        <f t="shared" si="701"/>
        <v>0</v>
      </c>
      <c r="CW56" s="76">
        <f t="shared" si="702"/>
        <v>0</v>
      </c>
      <c r="CX56" s="76">
        <f t="shared" si="703"/>
        <v>0</v>
      </c>
      <c r="CY56" s="76">
        <f t="shared" si="704"/>
        <v>0</v>
      </c>
      <c r="CZ56" s="76">
        <f t="shared" si="705"/>
        <v>0</v>
      </c>
      <c r="DA56" s="76">
        <f t="shared" si="706"/>
        <v>0</v>
      </c>
      <c r="DB56" s="76">
        <f t="shared" si="707"/>
        <v>0</v>
      </c>
      <c r="DE56" s="131"/>
      <c r="DF56" s="75">
        <v>0</v>
      </c>
      <c r="DG56" s="75">
        <v>0</v>
      </c>
    </row>
    <row r="57" spans="1:111" s="23" customFormat="1" x14ac:dyDescent="0.2">
      <c r="A57" s="23" t="s">
        <v>19</v>
      </c>
      <c r="B57" s="75">
        <f>'Annual Raw'!C29+'Annual Raw'!C31+'Annual Raw'!C34+'Annual Raw'!C36</f>
        <v>5.4943999999999997</v>
      </c>
      <c r="C57" s="75">
        <f>'Annual Raw'!D29+'Annual Raw'!D31+'Annual Raw'!D34+'Annual Raw'!D36</f>
        <v>0</v>
      </c>
      <c r="D57" s="75">
        <f>'Annual Raw'!E29+'Annual Raw'!E31+'Annual Raw'!E34+'Annual Raw'!E36</f>
        <v>0</v>
      </c>
      <c r="E57" s="75">
        <f>'Annual Raw'!F29+'Annual Raw'!F31+'Annual Raw'!F34+'Annual Raw'!F36</f>
        <v>0</v>
      </c>
      <c r="F57" s="75">
        <f>'Annual Raw'!G29+'Annual Raw'!G31+'Annual Raw'!G34+'Annual Raw'!G36</f>
        <v>45</v>
      </c>
      <c r="G57" s="75">
        <f>'Annual Raw'!H29+'Annual Raw'!H31+'Annual Raw'!H34+'Annual Raw'!H36</f>
        <v>0</v>
      </c>
      <c r="H57" s="75">
        <f>'Annual Raw'!I29+'Annual Raw'!I31+'Annual Raw'!I34+'Annual Raw'!I36</f>
        <v>6</v>
      </c>
      <c r="I57" s="75">
        <f>'Annual Raw'!J29+'Annual Raw'!J31+'Annual Raw'!J34+'Annual Raw'!J36</f>
        <v>0</v>
      </c>
      <c r="J57" s="75">
        <f>'Annual Raw'!K29+'Annual Raw'!K31+'Annual Raw'!K34+'Annual Raw'!K36</f>
        <v>0</v>
      </c>
      <c r="K57" s="75">
        <f>'Annual Raw'!L29+'Annual Raw'!L31+'Annual Raw'!L34+'Annual Raw'!L36</f>
        <v>48</v>
      </c>
      <c r="L57" s="75">
        <f>'Annual Raw'!M29+'Annual Raw'!M31+'Annual Raw'!M34+'Annual Raw'!M36</f>
        <v>0</v>
      </c>
      <c r="M57" s="75">
        <f>'Annual Raw'!N29+'Annual Raw'!N31+'Annual Raw'!N34+'Annual Raw'!N36</f>
        <v>0</v>
      </c>
      <c r="N57" s="75">
        <f>'Annual Raw'!O29+'Annual Raw'!O31+'Annual Raw'!O34+'Annual Raw'!O36</f>
        <v>0</v>
      </c>
      <c r="O57" s="75">
        <f>'Annual Raw'!P29+'Annual Raw'!P31+'Annual Raw'!P34+'Annual Raw'!P36</f>
        <v>0</v>
      </c>
      <c r="P57" s="75">
        <f>'Annual Raw'!Q29+'Annual Raw'!Q31+'Annual Raw'!Q34+'Annual Raw'!Q36</f>
        <v>0</v>
      </c>
      <c r="Q57" s="75">
        <f>'Annual Raw'!R29+'Annual Raw'!R31+'Annual Raw'!R34+'Annual Raw'!R36</f>
        <v>0</v>
      </c>
      <c r="R57" s="75">
        <f>'Annual Raw'!S29+'Annual Raw'!S31+'Annual Raw'!S34+'Annual Raw'!S36</f>
        <v>0</v>
      </c>
      <c r="S57" s="75">
        <f>'Annual Raw'!T29+'Annual Raw'!T31+'Annual Raw'!T34+'Annual Raw'!T36</f>
        <v>0</v>
      </c>
      <c r="T57" s="75">
        <f>'Annual Raw'!U29+'Annual Raw'!U31+'Annual Raw'!U34+'Annual Raw'!U36</f>
        <v>0</v>
      </c>
      <c r="U57" s="75">
        <f>'Annual Raw'!V29+'Annual Raw'!V31+'Annual Raw'!V34+'Annual Raw'!V36</f>
        <v>0</v>
      </c>
      <c r="V57" s="75">
        <f>'Annual Raw'!W29+'Annual Raw'!W31+'Annual Raw'!W34+'Annual Raw'!W36</f>
        <v>0</v>
      </c>
      <c r="W57" s="75">
        <f>'Annual Raw'!X29+'Annual Raw'!X31+'Annual Raw'!X34+'Annual Raw'!X36</f>
        <v>0</v>
      </c>
      <c r="X57" s="75">
        <f>'Annual Raw'!Y29+'Annual Raw'!Y31+'Annual Raw'!Y34+'Annual Raw'!Y36</f>
        <v>0</v>
      </c>
      <c r="Y57" s="75">
        <f>'Annual Raw'!Z29+'Annual Raw'!Z31+'Annual Raw'!Z34+'Annual Raw'!Z36</f>
        <v>0</v>
      </c>
      <c r="Z57" s="75">
        <f>'Annual Raw'!AA29+'Annual Raw'!AA31+'Annual Raw'!AA34+'Annual Raw'!AA36</f>
        <v>0</v>
      </c>
      <c r="AA57" s="75">
        <f>'Annual Raw'!AB29+'Annual Raw'!AB31+'Annual Raw'!AB34+'Annual Raw'!AB36</f>
        <v>-1289</v>
      </c>
      <c r="AB57" s="76">
        <f>+SUM(CM57:CP57)</f>
        <v>0</v>
      </c>
      <c r="AC57" s="76">
        <f>+SUM(CQ57:CT57)</f>
        <v>0</v>
      </c>
      <c r="AD57" s="76">
        <f>+SUM(CU57:CX57)</f>
        <v>0</v>
      </c>
      <c r="AE57" s="76">
        <f>+SUM(CY57:DB57)</f>
        <v>0</v>
      </c>
      <c r="AI57" s="75">
        <f>'QTR Raw'!C26+'QTR Raw'!C31+'QTR Raw'!C32+'QTR Raw'!C33+'QTR Raw'!C36+'QTR Raw'!C37+'QTR Raw'!C39</f>
        <v>0</v>
      </c>
      <c r="AJ57" s="75">
        <f>'QTR Raw'!D26+'QTR Raw'!D31+'QTR Raw'!D32+'QTR Raw'!D33+'QTR Raw'!D36+'QTR Raw'!D37+'QTR Raw'!D39</f>
        <v>0</v>
      </c>
      <c r="AK57" s="75">
        <f>'QTR Raw'!E26+'QTR Raw'!E31+'QTR Raw'!E32+'QTR Raw'!E33+'QTR Raw'!E36+'QTR Raw'!E37+'QTR Raw'!E39</f>
        <v>0</v>
      </c>
      <c r="AL57" s="75">
        <f>'QTR Raw'!F26+'QTR Raw'!F31+'QTR Raw'!F32+'QTR Raw'!F33+'QTR Raw'!F36+'QTR Raw'!F37+'QTR Raw'!F39</f>
        <v>0</v>
      </c>
      <c r="AM57" s="75">
        <f>'QTR Raw'!G26+'QTR Raw'!G31+'QTR Raw'!G32+'QTR Raw'!G33+'QTR Raw'!G36+'QTR Raw'!G37+'QTR Raw'!G39</f>
        <v>0</v>
      </c>
      <c r="AN57" s="75">
        <f>'QTR Raw'!H26+'QTR Raw'!H31+'QTR Raw'!H32+'QTR Raw'!H33+'QTR Raw'!H36+'QTR Raw'!H37+'QTR Raw'!H39</f>
        <v>0</v>
      </c>
      <c r="AO57" s="75">
        <f>'QTR Raw'!I26+'QTR Raw'!I31+'QTR Raw'!I32+'QTR Raw'!I33+'QTR Raw'!I36+'QTR Raw'!I37+'QTR Raw'!I39</f>
        <v>0</v>
      </c>
      <c r="AP57" s="75">
        <f>'QTR Raw'!J26+'QTR Raw'!J31+'QTR Raw'!J32+'QTR Raw'!J33+'QTR Raw'!J36+'QTR Raw'!J37+'QTR Raw'!J39</f>
        <v>0</v>
      </c>
      <c r="AQ57" s="75">
        <f>'QTR Raw'!K26+'QTR Raw'!K31+'QTR Raw'!K32+'QTR Raw'!K33+'QTR Raw'!K36+'QTR Raw'!K37+'QTR Raw'!K39</f>
        <v>0</v>
      </c>
      <c r="AR57" s="75">
        <f>'QTR Raw'!L26+'QTR Raw'!L31+'QTR Raw'!L32+'QTR Raw'!L33+'QTR Raw'!L36+'QTR Raw'!L37+'QTR Raw'!L39</f>
        <v>0</v>
      </c>
      <c r="AS57" s="75">
        <f>'QTR Raw'!M26+'QTR Raw'!M31+'QTR Raw'!M32+'QTR Raw'!M33+'QTR Raw'!M36+'QTR Raw'!M37+'QTR Raw'!M39</f>
        <v>0</v>
      </c>
      <c r="AT57" s="75">
        <f>'QTR Raw'!N26+'QTR Raw'!N31+'QTR Raw'!N32+'QTR Raw'!N33+'QTR Raw'!N36+'QTR Raw'!N37+'QTR Raw'!N39</f>
        <v>0</v>
      </c>
      <c r="AU57" s="75">
        <f>'QTR Raw'!O26+'QTR Raw'!O31+'QTR Raw'!O32+'QTR Raw'!O33+'QTR Raw'!O36+'QTR Raw'!O37+'QTR Raw'!O39</f>
        <v>0</v>
      </c>
      <c r="AV57" s="75">
        <f>'QTR Raw'!P26+'QTR Raw'!P31+'QTR Raw'!P32+'QTR Raw'!P33+'QTR Raw'!P36+'QTR Raw'!P37+'QTR Raw'!P39</f>
        <v>0</v>
      </c>
      <c r="AW57" s="75">
        <f>'QTR Raw'!Q26+'QTR Raw'!Q31+'QTR Raw'!Q32+'QTR Raw'!Q33+'QTR Raw'!Q36+'QTR Raw'!Q37+'QTR Raw'!Q39</f>
        <v>0</v>
      </c>
      <c r="AX57" s="75">
        <f>'QTR Raw'!R26+'QTR Raw'!R31+'QTR Raw'!R32+'QTR Raw'!R33+'QTR Raw'!R36+'QTR Raw'!R37+'QTR Raw'!R39</f>
        <v>0</v>
      </c>
      <c r="AY57" s="75">
        <f>'QTR Raw'!S26+'QTR Raw'!S31+'QTR Raw'!S32+'QTR Raw'!S33+'QTR Raw'!S36+'QTR Raw'!S37+'QTR Raw'!S39</f>
        <v>0</v>
      </c>
      <c r="AZ57" s="75">
        <f>'QTR Raw'!T26+'QTR Raw'!T31+'QTR Raw'!T32+'QTR Raw'!T33+'QTR Raw'!T36+'QTR Raw'!T37+'QTR Raw'!T39</f>
        <v>0</v>
      </c>
      <c r="BA57" s="75">
        <f>'QTR Raw'!U26+'QTR Raw'!U31+'QTR Raw'!U32+'QTR Raw'!U33+'QTR Raw'!U36+'QTR Raw'!U37+'QTR Raw'!U39</f>
        <v>0</v>
      </c>
      <c r="BB57" s="75">
        <f>'QTR Raw'!V26+'QTR Raw'!V31+'QTR Raw'!V32+'QTR Raw'!V33+'QTR Raw'!V36+'QTR Raw'!V37+'QTR Raw'!V39</f>
        <v>0</v>
      </c>
      <c r="BC57" s="75">
        <f>'QTR Raw'!W26+'QTR Raw'!W31+'QTR Raw'!W32+'QTR Raw'!W33+'QTR Raw'!W36+'QTR Raw'!W37+'QTR Raw'!W39</f>
        <v>0</v>
      </c>
      <c r="BD57" s="75">
        <f>'QTR Raw'!X26+'QTR Raw'!X31+'QTR Raw'!X32+'QTR Raw'!X33+'QTR Raw'!X36+'QTR Raw'!X37+'QTR Raw'!X39</f>
        <v>0</v>
      </c>
      <c r="BE57" s="75">
        <f>'QTR Raw'!Y26+'QTR Raw'!Y31+'QTR Raw'!Y32+'QTR Raw'!Y33+'QTR Raw'!Y36+'QTR Raw'!Y37+'QTR Raw'!Y39</f>
        <v>0</v>
      </c>
      <c r="BF57" s="75">
        <f>'QTR Raw'!Z26+'QTR Raw'!Z31+'QTR Raw'!Z32+'QTR Raw'!Z33+'QTR Raw'!Z36+'QTR Raw'!Z37+'QTR Raw'!Z39</f>
        <v>0</v>
      </c>
      <c r="BG57" s="75">
        <f>'QTR Raw'!AA26+'QTR Raw'!AA31+'QTR Raw'!AA32+'QTR Raw'!AA33+'QTR Raw'!AA36+'QTR Raw'!AA37+'QTR Raw'!AA39</f>
        <v>0</v>
      </c>
      <c r="BH57" s="75">
        <f>'QTR Raw'!AB26+'QTR Raw'!AB31+'QTR Raw'!AB32+'QTR Raw'!AB33+'QTR Raw'!AB36+'QTR Raw'!AB37+'QTR Raw'!AB39</f>
        <v>0</v>
      </c>
      <c r="BI57" s="75">
        <f>'QTR Raw'!AC26+'QTR Raw'!AC31+'QTR Raw'!AC32+'QTR Raw'!AC33+'QTR Raw'!AC36+'QTR Raw'!AC37+'QTR Raw'!AC39</f>
        <v>0</v>
      </c>
      <c r="BJ57" s="75">
        <f>'QTR Raw'!AD26+'QTR Raw'!AD31+'QTR Raw'!AD32+'QTR Raw'!AD33+'QTR Raw'!AD36+'QTR Raw'!AD37+'QTR Raw'!AD39</f>
        <v>0</v>
      </c>
      <c r="BK57" s="75">
        <f>'QTR Raw'!AE26+'QTR Raw'!AE31+'QTR Raw'!AE32+'QTR Raw'!AE33+'QTR Raw'!AE36+'QTR Raw'!AE37+'QTR Raw'!AE39</f>
        <v>0</v>
      </c>
      <c r="BL57" s="75">
        <f>'QTR Raw'!AF26+'QTR Raw'!AF31+'QTR Raw'!AF32+'QTR Raw'!AF33+'QTR Raw'!AF36+'QTR Raw'!AF37+'QTR Raw'!AF39</f>
        <v>0</v>
      </c>
      <c r="BM57" s="75">
        <f>'QTR Raw'!AG26+'QTR Raw'!AG31+'QTR Raw'!AG32+'QTR Raw'!AG33+'QTR Raw'!AG36+'QTR Raw'!AG37+'QTR Raw'!AG39</f>
        <v>0</v>
      </c>
      <c r="BN57" s="75">
        <f>'QTR Raw'!AH26+'QTR Raw'!AH31+'QTR Raw'!AH32+'QTR Raw'!AH33+'QTR Raw'!AH36+'QTR Raw'!AH37+'QTR Raw'!AH39</f>
        <v>0</v>
      </c>
      <c r="BO57" s="75">
        <f>'QTR Raw'!AI26+'QTR Raw'!AI31+'QTR Raw'!AI32+'QTR Raw'!AI33+'QTR Raw'!AI36+'QTR Raw'!AI37+'QTR Raw'!AI39</f>
        <v>0</v>
      </c>
      <c r="BP57" s="75">
        <f>'QTR Raw'!AJ26+'QTR Raw'!AJ31+'QTR Raw'!AJ32+'QTR Raw'!AJ33+'QTR Raw'!AJ36+'QTR Raw'!AJ37+'QTR Raw'!AJ39</f>
        <v>0</v>
      </c>
      <c r="BQ57" s="75">
        <f>'QTR Raw'!AK26+'QTR Raw'!AK31+'QTR Raw'!AK32+'QTR Raw'!AK33+'QTR Raw'!AK36+'QTR Raw'!AK37+'QTR Raw'!AK39</f>
        <v>0</v>
      </c>
      <c r="BR57" s="75">
        <f>'QTR Raw'!AL26+'QTR Raw'!AL31+'QTR Raw'!AL32+'QTR Raw'!AL33+'QTR Raw'!AL36+'QTR Raw'!AL37+'QTR Raw'!AL39</f>
        <v>0</v>
      </c>
      <c r="BS57" s="75">
        <f>'QTR Raw'!AM26+'QTR Raw'!AM31+'QTR Raw'!AM32+'QTR Raw'!AM33+'QTR Raw'!AM36+'QTR Raw'!AM37+'QTR Raw'!AM39</f>
        <v>0</v>
      </c>
      <c r="BT57" s="75">
        <f>'QTR Raw'!AN26+'QTR Raw'!AN31+'QTR Raw'!AN32+'QTR Raw'!AN33+'QTR Raw'!AN36+'QTR Raw'!AN37+'QTR Raw'!AN39</f>
        <v>0</v>
      </c>
      <c r="BU57" s="75">
        <f>'QTR Raw'!AO26+'QTR Raw'!AO31+'QTR Raw'!AO32+'QTR Raw'!AO33+'QTR Raw'!AO36+'QTR Raw'!AO37+'QTR Raw'!AO39</f>
        <v>0</v>
      </c>
      <c r="BV57" s="75">
        <f>'QTR Raw'!AP26+'QTR Raw'!AP31+'QTR Raw'!AP32+'QTR Raw'!AP33+'QTR Raw'!AP36+'QTR Raw'!AP37+'QTR Raw'!AP39</f>
        <v>0</v>
      </c>
      <c r="BW57" s="75">
        <f>'QTR Raw'!AQ26+'QTR Raw'!AQ31+'QTR Raw'!AQ32+'QTR Raw'!AQ33+'QTR Raw'!AQ36+'QTR Raw'!AQ37+'QTR Raw'!AQ39</f>
        <v>0</v>
      </c>
      <c r="BX57" s="75">
        <f>'QTR Raw'!AR26+'QTR Raw'!AR31+'QTR Raw'!AR32+'QTR Raw'!AR33+'QTR Raw'!AR36+'QTR Raw'!AR37+'QTR Raw'!AR39</f>
        <v>0</v>
      </c>
      <c r="BY57" s="75">
        <f>'QTR Raw'!AS26+'QTR Raw'!AS31+'QTR Raw'!AS32+'QTR Raw'!AS33+'QTR Raw'!AS36+'QTR Raw'!AS37+'QTR Raw'!AS39</f>
        <v>0</v>
      </c>
      <c r="BZ57" s="75">
        <f>'QTR Raw'!AT26+'QTR Raw'!AT31+'QTR Raw'!AT32+'QTR Raw'!AT33+'QTR Raw'!AT36+'QTR Raw'!AT37+'QTR Raw'!AT39</f>
        <v>0</v>
      </c>
      <c r="CA57" s="75">
        <f>'QTR Raw'!AU26+'QTR Raw'!AU31+'QTR Raw'!AU32+'QTR Raw'!AU33+'QTR Raw'!AU36+'QTR Raw'!AU37+'QTR Raw'!AU39</f>
        <v>0</v>
      </c>
      <c r="CB57" s="75">
        <f>'QTR Raw'!AV26+'QTR Raw'!AV31+'QTR Raw'!AV32+'QTR Raw'!AV33+'QTR Raw'!AV36+'QTR Raw'!AV37+'QTR Raw'!AV39</f>
        <v>0</v>
      </c>
      <c r="CC57" s="75">
        <f>'QTR Raw'!AW26+'QTR Raw'!AW31+'QTR Raw'!AW32+'QTR Raw'!AW33+'QTR Raw'!AW36+'QTR Raw'!AW37+'QTR Raw'!AW39</f>
        <v>0</v>
      </c>
      <c r="CD57" s="75">
        <f>'QTR Raw'!AX26+'QTR Raw'!AX31+'QTR Raw'!AX32+'QTR Raw'!AX33+'QTR Raw'!AX36+'QTR Raw'!AX37+'QTR Raw'!AX39</f>
        <v>0</v>
      </c>
      <c r="CE57" s="75">
        <f>'QTR Raw'!AY26+'QTR Raw'!AY31+'QTR Raw'!AY32+'QTR Raw'!AY33+'QTR Raw'!AY36+'QTR Raw'!AY37+'QTR Raw'!AY39</f>
        <v>0</v>
      </c>
      <c r="CF57" s="75">
        <f>'QTR Raw'!AZ26+'QTR Raw'!AZ31+'QTR Raw'!AZ32+'QTR Raw'!AZ33+'QTR Raw'!AZ36+'QTR Raw'!AZ37+'QTR Raw'!AZ39</f>
        <v>0</v>
      </c>
      <c r="CG57" s="75">
        <f>'QTR Raw'!BA26+'QTR Raw'!BA31+'QTR Raw'!BA32+'QTR Raw'!BA33+'QTR Raw'!BA36+'QTR Raw'!BA37+'QTR Raw'!BA39</f>
        <v>0</v>
      </c>
      <c r="CH57" s="75">
        <f>'QTR Raw'!BB26+'QTR Raw'!BB31+'QTR Raw'!BB32+'QTR Raw'!BB33+'QTR Raw'!BB36+'QTR Raw'!BB37+'QTR Raw'!BB39</f>
        <v>0</v>
      </c>
      <c r="CI57" s="75">
        <f>'QTR Raw'!BC26+'QTR Raw'!BC31+'QTR Raw'!BC32+'QTR Raw'!BC33+'QTR Raw'!BC36+'QTR Raw'!BC37+'QTR Raw'!BC39</f>
        <v>0</v>
      </c>
      <c r="CJ57" s="75">
        <f>'QTR Raw'!BD26+'QTR Raw'!BD31+'QTR Raw'!BD32+'QTR Raw'!BD33+'QTR Raw'!BD36+'QTR Raw'!BD37+'QTR Raw'!BD39</f>
        <v>0</v>
      </c>
      <c r="CK57" s="75">
        <f>'QTR Raw'!BE26+'QTR Raw'!BE31+'QTR Raw'!BE32+'QTR Raw'!BE33+'QTR Raw'!BE36+'QTR Raw'!BE37+'QTR Raw'!BE39</f>
        <v>-1289</v>
      </c>
      <c r="CL57" s="75">
        <f>'QTR Raw'!BF26+'QTR Raw'!BF31+'QTR Raw'!BF32+'QTR Raw'!BF33+'QTR Raw'!BF36+'QTR Raw'!BF37+'QTR Raw'!BF39</f>
        <v>0</v>
      </c>
      <c r="CM57" s="24"/>
      <c r="CN57" s="24"/>
      <c r="CO57" s="24"/>
      <c r="CP57" s="24"/>
      <c r="CQ57" s="24"/>
      <c r="CR57" s="24"/>
      <c r="CS57" s="24"/>
      <c r="CT57" s="24"/>
      <c r="CU57" s="24"/>
      <c r="CV57" s="24"/>
      <c r="CW57" s="24"/>
      <c r="CX57" s="24"/>
      <c r="CY57" s="24"/>
      <c r="CZ57" s="24"/>
      <c r="DA57" s="24"/>
      <c r="DB57" s="24"/>
      <c r="DE57" s="123"/>
      <c r="DF57" s="23">
        <v>-1289</v>
      </c>
    </row>
    <row r="58" spans="1:111" s="26" customFormat="1" x14ac:dyDescent="0.2">
      <c r="A58" s="35" t="s">
        <v>25</v>
      </c>
      <c r="B58" s="26">
        <f>B51+B55+B56+B57</f>
        <v>628.81363410000029</v>
      </c>
      <c r="C58" s="26">
        <f>C51+C55+C56+C57</f>
        <v>807.95999999999981</v>
      </c>
      <c r="D58" s="26">
        <f>D51+D55+D56+D57</f>
        <v>954.77000000000021</v>
      </c>
      <c r="E58" s="26">
        <f t="shared" ref="E58:U58" si="708">E51+E55+E56+E57</f>
        <v>1243.6300000000001</v>
      </c>
      <c r="F58" s="26">
        <f t="shared" si="708"/>
        <v>1891</v>
      </c>
      <c r="G58" s="26">
        <f t="shared" si="708"/>
        <v>2458</v>
      </c>
      <c r="H58" s="26">
        <f t="shared" si="708"/>
        <v>3856</v>
      </c>
      <c r="I58" s="26">
        <f t="shared" si="708"/>
        <v>4659</v>
      </c>
      <c r="J58" s="26">
        <f t="shared" si="708"/>
        <v>5988</v>
      </c>
      <c r="K58" s="26">
        <f t="shared" si="708"/>
        <v>6266</v>
      </c>
      <c r="L58" s="26">
        <f t="shared" si="708"/>
        <v>6835</v>
      </c>
      <c r="M58" s="26">
        <f t="shared" si="708"/>
        <v>8332</v>
      </c>
      <c r="N58" s="26">
        <f t="shared" si="708"/>
        <v>9429</v>
      </c>
      <c r="O58" s="26">
        <f t="shared" si="708"/>
        <v>10656</v>
      </c>
      <c r="P58" s="26">
        <f t="shared" si="708"/>
        <v>12372</v>
      </c>
      <c r="Q58" s="26">
        <f t="shared" si="708"/>
        <v>13489</v>
      </c>
      <c r="R58" s="26">
        <f t="shared" si="708"/>
        <v>14353</v>
      </c>
      <c r="S58" s="26">
        <f t="shared" si="708"/>
        <v>16029</v>
      </c>
      <c r="T58" s="26">
        <f t="shared" si="708"/>
        <v>15404</v>
      </c>
      <c r="U58" s="26">
        <f t="shared" si="708"/>
        <v>16594</v>
      </c>
      <c r="V58" s="26">
        <f t="shared" ref="V58:AA58" si="709">V51+V55+V56+V57</f>
        <v>19351</v>
      </c>
      <c r="W58" s="26">
        <f t="shared" si="709"/>
        <v>22110</v>
      </c>
      <c r="X58" s="26">
        <f t="shared" si="709"/>
        <v>24095</v>
      </c>
      <c r="Y58" s="26">
        <f t="shared" si="709"/>
        <v>26233</v>
      </c>
      <c r="Z58" s="26">
        <f t="shared" si="709"/>
        <v>26713</v>
      </c>
      <c r="AA58" s="26">
        <f t="shared" si="709"/>
        <v>29440</v>
      </c>
      <c r="AB58" s="27">
        <f t="shared" ref="AB58:AD58" si="710">AB51+AB55+AB56+AB57</f>
        <v>31887.766442520428</v>
      </c>
      <c r="AC58" s="27">
        <f t="shared" si="710"/>
        <v>34554.507127839963</v>
      </c>
      <c r="AD58" s="27">
        <f t="shared" si="710"/>
        <v>34980.399494922109</v>
      </c>
      <c r="AE58" s="27">
        <f t="shared" ref="AE58" si="711">AE51+AE55+AE56+AE57</f>
        <v>41542.96675163733</v>
      </c>
      <c r="AI58" s="26">
        <f t="shared" ref="AI58" si="712">AI51+AI55+AI56+AI57</f>
        <v>2289</v>
      </c>
      <c r="AJ58" s="26">
        <f t="shared" ref="AJ58" si="713">AJ51+AJ55+AJ56+AJ57</f>
        <v>2369</v>
      </c>
      <c r="AK58" s="26">
        <f t="shared" ref="AK58:AM58" si="714">AK51+AK55+AK56+AK57</f>
        <v>2369</v>
      </c>
      <c r="AL58" s="26">
        <f t="shared" si="714"/>
        <v>2394</v>
      </c>
      <c r="AM58" s="26">
        <f t="shared" si="714"/>
        <v>2374</v>
      </c>
      <c r="AN58" s="26">
        <f t="shared" ref="AN58:AO58" si="715">AN51+AN55+AN56+AN57</f>
        <v>2407</v>
      </c>
      <c r="AO58" s="26">
        <f t="shared" si="715"/>
        <v>2875</v>
      </c>
      <c r="AP58" s="26">
        <f t="shared" ref="AP58:CD58" si="716">AP51+AP55+AP56+AP57</f>
        <v>2992</v>
      </c>
      <c r="AQ58" s="26">
        <f t="shared" si="716"/>
        <v>2886</v>
      </c>
      <c r="AR58" s="26">
        <f t="shared" si="716"/>
        <v>3096</v>
      </c>
      <c r="AS58" s="26">
        <f t="shared" si="716"/>
        <v>3250</v>
      </c>
      <c r="AT58" s="26">
        <f t="shared" si="716"/>
        <v>3097</v>
      </c>
      <c r="AU58" s="26">
        <f t="shared" si="716"/>
        <v>3028</v>
      </c>
      <c r="AV58" s="26">
        <f t="shared" si="716"/>
        <v>3398</v>
      </c>
      <c r="AW58" s="26">
        <f t="shared" si="716"/>
        <v>3465</v>
      </c>
      <c r="AX58" s="26">
        <f t="shared" si="716"/>
        <v>3597</v>
      </c>
      <c r="AY58" s="26">
        <f t="shared" si="716"/>
        <v>3436</v>
      </c>
      <c r="AZ58" s="26">
        <f t="shared" si="716"/>
        <v>3606</v>
      </c>
      <c r="BA58" s="26">
        <f t="shared" si="716"/>
        <v>3708</v>
      </c>
      <c r="BB58" s="26">
        <f t="shared" si="716"/>
        <v>3603</v>
      </c>
      <c r="BC58" s="26">
        <f t="shared" si="716"/>
        <v>3483</v>
      </c>
      <c r="BD58" s="26">
        <f t="shared" si="716"/>
        <v>3726</v>
      </c>
      <c r="BE58" s="26">
        <f t="shared" si="716"/>
        <v>5129</v>
      </c>
      <c r="BF58" s="26">
        <f t="shared" si="716"/>
        <v>3690</v>
      </c>
      <c r="BG58" s="26">
        <f t="shared" si="716"/>
        <v>3612</v>
      </c>
      <c r="BH58" s="26">
        <f t="shared" si="716"/>
        <v>4110</v>
      </c>
      <c r="BI58" s="26">
        <f t="shared" si="716"/>
        <v>3609</v>
      </c>
      <c r="BJ58" s="26">
        <f t="shared" si="716"/>
        <v>4074</v>
      </c>
      <c r="BK58" s="26">
        <f t="shared" si="716"/>
        <v>3798</v>
      </c>
      <c r="BL58" s="26">
        <f t="shared" si="716"/>
        <v>4019</v>
      </c>
      <c r="BM58" s="26">
        <f t="shared" si="716"/>
        <v>4457</v>
      </c>
      <c r="BN58" s="26">
        <f t="shared" si="716"/>
        <v>4321</v>
      </c>
      <c r="BO58" s="26">
        <f t="shared" si="716"/>
        <v>4233</v>
      </c>
      <c r="BP58" s="26">
        <f t="shared" si="716"/>
        <v>4845</v>
      </c>
      <c r="BQ58" s="26">
        <f t="shared" si="716"/>
        <v>5197</v>
      </c>
      <c r="BR58" s="26">
        <f t="shared" si="716"/>
        <v>5076</v>
      </c>
      <c r="BS58" s="26">
        <f t="shared" si="716"/>
        <v>5195</v>
      </c>
      <c r="BT58" s="26">
        <f t="shared" si="716"/>
        <v>5421</v>
      </c>
      <c r="BU58" s="26">
        <f t="shared" si="716"/>
        <v>5809</v>
      </c>
      <c r="BV58" s="26">
        <f t="shared" si="716"/>
        <v>5686</v>
      </c>
      <c r="BW58" s="26">
        <f t="shared" si="716"/>
        <v>5360</v>
      </c>
      <c r="BX58" s="26">
        <f t="shared" si="716"/>
        <v>6021</v>
      </c>
      <c r="BY58" s="26">
        <f t="shared" si="716"/>
        <v>6586</v>
      </c>
      <c r="BZ58" s="26">
        <f t="shared" si="716"/>
        <v>6128</v>
      </c>
      <c r="CA58" s="26">
        <f t="shared" si="716"/>
        <v>5945</v>
      </c>
      <c r="CB58" s="26">
        <f t="shared" si="716"/>
        <v>6212</v>
      </c>
      <c r="CC58" s="26">
        <f t="shared" si="716"/>
        <v>6106</v>
      </c>
      <c r="CD58" s="26">
        <f t="shared" si="716"/>
        <v>7969</v>
      </c>
      <c r="CE58" s="26">
        <f t="shared" ref="CE58:CF58" si="717">CE51+CE55+CE56+CE57</f>
        <v>6368</v>
      </c>
      <c r="CF58" s="26">
        <f t="shared" si="717"/>
        <v>6506</v>
      </c>
      <c r="CG58" s="26">
        <f t="shared" ref="CG58:CH58" si="718">CG51+CG55+CG56+CG57</f>
        <v>6806</v>
      </c>
      <c r="CH58" s="26">
        <f t="shared" si="718"/>
        <v>7033</v>
      </c>
      <c r="CI58" s="26">
        <f t="shared" ref="CI58:CJ58" si="719">CI51+CI55+CI56+CI57</f>
        <v>6921</v>
      </c>
      <c r="CJ58" s="26">
        <f t="shared" si="719"/>
        <v>7364</v>
      </c>
      <c r="CK58" s="26">
        <f t="shared" ref="CK58" si="720">CK51+CK55+CK56+CK57</f>
        <v>6654</v>
      </c>
      <c r="CL58" s="26">
        <f t="shared" ref="CL58" si="721">CL51+CL55+CL56+CL57</f>
        <v>8501</v>
      </c>
      <c r="CM58" s="27">
        <f t="shared" ref="CM58:DB58" si="722">CM51+CM55+CM56+CM57</f>
        <v>7661.4255291847821</v>
      </c>
      <c r="CN58" s="27">
        <f t="shared" si="722"/>
        <v>7877.9068694565585</v>
      </c>
      <c r="CO58" s="27">
        <f t="shared" si="722"/>
        <v>8088.0977465302658</v>
      </c>
      <c r="CP58" s="27">
        <f t="shared" si="722"/>
        <v>8260.3362973488183</v>
      </c>
      <c r="CQ58" s="27">
        <f t="shared" si="722"/>
        <v>8387.0106770465864</v>
      </c>
      <c r="CR58" s="27">
        <f t="shared" si="722"/>
        <v>8633.8010218452509</v>
      </c>
      <c r="CS58" s="27">
        <f t="shared" si="722"/>
        <v>8663.719956876208</v>
      </c>
      <c r="CT58" s="27">
        <f t="shared" si="722"/>
        <v>8869.9754720719175</v>
      </c>
      <c r="CU58" s="27">
        <f t="shared" si="722"/>
        <v>8483.9183584719522</v>
      </c>
      <c r="CV58" s="27">
        <f t="shared" si="722"/>
        <v>8696.4726076873376</v>
      </c>
      <c r="CW58" s="27">
        <f t="shared" si="722"/>
        <v>8840.1670236805221</v>
      </c>
      <c r="CX58" s="27">
        <f t="shared" si="722"/>
        <v>8959.8415050822987</v>
      </c>
      <c r="CY58" s="27">
        <f t="shared" si="722"/>
        <v>9793.0317746019355</v>
      </c>
      <c r="CZ58" s="27">
        <f t="shared" si="722"/>
        <v>10152.503103877794</v>
      </c>
      <c r="DA58" s="27">
        <f t="shared" si="722"/>
        <v>10557.115273262323</v>
      </c>
      <c r="DB58" s="27">
        <f t="shared" si="722"/>
        <v>11040.316599895265</v>
      </c>
      <c r="DE58" s="121"/>
      <c r="DF58" s="26">
        <v>29440</v>
      </c>
      <c r="DG58" s="26">
        <v>7231.8552468059434</v>
      </c>
    </row>
    <row r="59" spans="1:111" s="25" customFormat="1" x14ac:dyDescent="0.2">
      <c r="A59" s="151" t="s">
        <v>486</v>
      </c>
      <c r="AB59" s="17"/>
      <c r="AC59" s="17"/>
      <c r="AD59" s="17"/>
      <c r="AE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E59" s="119"/>
    </row>
    <row r="60" spans="1:111" s="1" customFormat="1" x14ac:dyDescent="0.2">
      <c r="AB60" s="20"/>
      <c r="AC60" s="20"/>
      <c r="AD60" s="20"/>
      <c r="AE60" s="20"/>
      <c r="BV60" s="183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E60" s="119"/>
    </row>
    <row r="61" spans="1:111" s="22" customFormat="1" x14ac:dyDescent="0.2">
      <c r="A61" s="22" t="s">
        <v>434</v>
      </c>
      <c r="B61" s="22">
        <f>'Annual Raw'!C35</f>
        <v>623.31923410000002</v>
      </c>
      <c r="C61" s="22">
        <f>'Annual Raw'!D35</f>
        <v>807.96</v>
      </c>
      <c r="D61" s="22">
        <f>'Annual Raw'!E35</f>
        <v>954.77</v>
      </c>
      <c r="E61" s="22">
        <f>'Annual Raw'!F35</f>
        <v>1243.6300000000001</v>
      </c>
      <c r="F61" s="22">
        <f>'Annual Raw'!G35</f>
        <v>1891</v>
      </c>
      <c r="G61" s="22">
        <f>'Annual Raw'!H35</f>
        <v>2458</v>
      </c>
      <c r="H61" s="22">
        <f>'Annual Raw'!I35</f>
        <v>3856</v>
      </c>
      <c r="I61" s="22">
        <f>'Annual Raw'!J35</f>
        <v>4659</v>
      </c>
      <c r="J61" s="22">
        <f>'Annual Raw'!K35</f>
        <v>5988</v>
      </c>
      <c r="K61" s="22">
        <f>'Annual Raw'!L35</f>
        <v>6266</v>
      </c>
      <c r="L61" s="22">
        <f>'Annual Raw'!M35</f>
        <v>6835</v>
      </c>
      <c r="M61" s="22">
        <f>'Annual Raw'!N35</f>
        <v>8332</v>
      </c>
      <c r="N61" s="22">
        <f>'Annual Raw'!O35</f>
        <v>9429</v>
      </c>
      <c r="O61" s="22">
        <f>'Annual Raw'!P35</f>
        <v>10656</v>
      </c>
      <c r="P61" s="22">
        <f>'Annual Raw'!Q35</f>
        <v>12372</v>
      </c>
      <c r="Q61" s="22">
        <f>'Annual Raw'!R35</f>
        <v>13489</v>
      </c>
      <c r="R61" s="22">
        <f>'Annual Raw'!S35</f>
        <v>14353</v>
      </c>
      <c r="S61" s="22">
        <f>'Annual Raw'!T35</f>
        <v>16029</v>
      </c>
      <c r="T61" s="22">
        <f>'Annual Raw'!U35</f>
        <v>15404</v>
      </c>
      <c r="U61" s="22">
        <f>'Annual Raw'!V35</f>
        <v>16594</v>
      </c>
      <c r="V61" s="22">
        <f>'Annual Raw'!W35</f>
        <v>19351</v>
      </c>
      <c r="W61" s="22">
        <f>'Annual Raw'!X35</f>
        <v>22110</v>
      </c>
      <c r="X61" s="22">
        <f>'Annual Raw'!Y35</f>
        <v>24095</v>
      </c>
      <c r="Y61" s="22">
        <f>'Annual Raw'!Z35</f>
        <v>26233</v>
      </c>
      <c r="Z61" s="22">
        <f>'Annual Raw'!AA35</f>
        <v>26713</v>
      </c>
      <c r="AA61" s="22">
        <f>'Annual Raw'!AB35</f>
        <v>29440</v>
      </c>
      <c r="AB61" s="21">
        <f t="shared" ref="AB61:AD61" si="723">+AB58</f>
        <v>31887.766442520428</v>
      </c>
      <c r="AC61" s="21">
        <f t="shared" si="723"/>
        <v>34554.507127839963</v>
      </c>
      <c r="AD61" s="21">
        <f t="shared" si="723"/>
        <v>34980.399494922109</v>
      </c>
      <c r="AE61" s="21">
        <f t="shared" ref="AE61" si="724">+AE58</f>
        <v>41542.96675163733</v>
      </c>
      <c r="AI61" s="22">
        <f>'QTR Raw'!C42</f>
        <v>2289</v>
      </c>
      <c r="AJ61" s="22">
        <f>'QTR Raw'!D42</f>
        <v>2369</v>
      </c>
      <c r="AK61" s="22">
        <f>'QTR Raw'!E42</f>
        <v>2369</v>
      </c>
      <c r="AL61" s="22">
        <f>'QTR Raw'!F42</f>
        <v>2394</v>
      </c>
      <c r="AM61" s="22">
        <f>'QTR Raw'!G42</f>
        <v>2374</v>
      </c>
      <c r="AN61" s="22">
        <f>'QTR Raw'!H42</f>
        <v>2407</v>
      </c>
      <c r="AO61" s="22">
        <f>'QTR Raw'!I42</f>
        <v>2875</v>
      </c>
      <c r="AP61" s="22">
        <f>'QTR Raw'!J42</f>
        <v>2992</v>
      </c>
      <c r="AQ61" s="22">
        <f>'QTR Raw'!K42</f>
        <v>2886</v>
      </c>
      <c r="AR61" s="22">
        <f>'QTR Raw'!L42</f>
        <v>3096</v>
      </c>
      <c r="AS61" s="22">
        <f>'QTR Raw'!M42</f>
        <v>3250</v>
      </c>
      <c r="AT61" s="22">
        <f>'QTR Raw'!N42</f>
        <v>3097</v>
      </c>
      <c r="AU61" s="22">
        <f>'QTR Raw'!O42</f>
        <v>3028</v>
      </c>
      <c r="AV61" s="22">
        <f>'QTR Raw'!P42</f>
        <v>3398</v>
      </c>
      <c r="AW61" s="22">
        <f>'QTR Raw'!Q42</f>
        <v>3465</v>
      </c>
      <c r="AX61" s="22">
        <f>'QTR Raw'!R42</f>
        <v>3597</v>
      </c>
      <c r="AY61" s="22">
        <f>'QTR Raw'!S42</f>
        <v>3436</v>
      </c>
      <c r="AZ61" s="22">
        <f>'QTR Raw'!T42</f>
        <v>3606</v>
      </c>
      <c r="BA61" s="22">
        <f>'QTR Raw'!U42</f>
        <v>3708</v>
      </c>
      <c r="BB61" s="22">
        <f>'QTR Raw'!V42</f>
        <v>3603</v>
      </c>
      <c r="BC61" s="22">
        <f>'QTR Raw'!W42</f>
        <v>3483</v>
      </c>
      <c r="BD61" s="22">
        <f>'QTR Raw'!X42</f>
        <v>3726</v>
      </c>
      <c r="BE61" s="22">
        <f>'QTR Raw'!Y42</f>
        <v>5129</v>
      </c>
      <c r="BF61" s="22">
        <f>'QTR Raw'!Z42</f>
        <v>3690</v>
      </c>
      <c r="BG61" s="22">
        <f>'QTR Raw'!AA42</f>
        <v>3612</v>
      </c>
      <c r="BH61" s="22">
        <f>'QTR Raw'!AB42</f>
        <v>4110</v>
      </c>
      <c r="BI61" s="22">
        <f>'QTR Raw'!AC42</f>
        <v>3609</v>
      </c>
      <c r="BJ61" s="22">
        <f>'QTR Raw'!AD42</f>
        <v>4074</v>
      </c>
      <c r="BK61" s="22">
        <f>'QTR Raw'!AE42</f>
        <v>3798</v>
      </c>
      <c r="BL61" s="22">
        <f>'QTR Raw'!AF42</f>
        <v>4019</v>
      </c>
      <c r="BM61" s="22">
        <f>'QTR Raw'!AG42</f>
        <v>4457</v>
      </c>
      <c r="BN61" s="22">
        <f>'QTR Raw'!AH42</f>
        <v>4321</v>
      </c>
      <c r="BO61" s="22">
        <f>'QTR Raw'!AI42</f>
        <v>4233</v>
      </c>
      <c r="BP61" s="22">
        <f>'QTR Raw'!AJ42</f>
        <v>4845</v>
      </c>
      <c r="BQ61" s="22">
        <f>'QTR Raw'!AK42</f>
        <v>5197</v>
      </c>
      <c r="BR61" s="22">
        <f>'QTR Raw'!AL42</f>
        <v>5076</v>
      </c>
      <c r="BS61" s="22">
        <f>'QTR Raw'!AM42</f>
        <v>5195</v>
      </c>
      <c r="BT61" s="22">
        <f>'QTR Raw'!AN42</f>
        <v>5421</v>
      </c>
      <c r="BU61" s="22">
        <f>'QTR Raw'!AO42</f>
        <v>5809</v>
      </c>
      <c r="BV61" s="22">
        <f>'QTR Raw'!AP42</f>
        <v>5686</v>
      </c>
      <c r="BW61" s="22">
        <f>'QTR Raw'!AQ42</f>
        <v>5360</v>
      </c>
      <c r="BX61" s="22">
        <f>'QTR Raw'!AR42</f>
        <v>6021</v>
      </c>
      <c r="BY61" s="22">
        <f>'QTR Raw'!AS42</f>
        <v>6586</v>
      </c>
      <c r="BZ61" s="22">
        <f>'QTR Raw'!AT42</f>
        <v>6128</v>
      </c>
      <c r="CA61" s="22">
        <f>'QTR Raw'!AU42</f>
        <v>5945</v>
      </c>
      <c r="CB61" s="22">
        <f>'QTR Raw'!AV42</f>
        <v>6212</v>
      </c>
      <c r="CC61" s="22">
        <f>'QTR Raw'!AW42</f>
        <v>6106</v>
      </c>
      <c r="CD61" s="22">
        <f>'QTR Raw'!AX42</f>
        <v>7969</v>
      </c>
      <c r="CE61" s="22">
        <f>'QTR Raw'!AY42</f>
        <v>6368</v>
      </c>
      <c r="CF61" s="22">
        <f>'QTR Raw'!AZ42</f>
        <v>6506</v>
      </c>
      <c r="CG61" s="22">
        <f>'QTR Raw'!BA42</f>
        <v>6806</v>
      </c>
      <c r="CH61" s="22">
        <f>'QTR Raw'!BB42</f>
        <v>7033</v>
      </c>
      <c r="CI61" s="22">
        <f>'QTR Raw'!BC42</f>
        <v>6921</v>
      </c>
      <c r="CJ61" s="22">
        <f>'QTR Raw'!BD42</f>
        <v>7364</v>
      </c>
      <c r="CK61" s="22">
        <f>'QTR Raw'!BE42</f>
        <v>6654</v>
      </c>
      <c r="CL61" s="22">
        <f>'QTR Raw'!BF42</f>
        <v>8501</v>
      </c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E61" s="119"/>
      <c r="DF61" s="22">
        <v>29440</v>
      </c>
    </row>
    <row r="62" spans="1:111" s="25" customFormat="1" x14ac:dyDescent="0.2">
      <c r="A62" s="36" t="s">
        <v>435</v>
      </c>
      <c r="B62" s="25">
        <f t="shared" ref="B62:V62" si="725">B61-B58</f>
        <v>-5.4944000000002688</v>
      </c>
      <c r="C62" s="25">
        <f>C61-C58</f>
        <v>0</v>
      </c>
      <c r="D62" s="25">
        <f t="shared" si="725"/>
        <v>0</v>
      </c>
      <c r="E62" s="25">
        <f t="shared" si="725"/>
        <v>0</v>
      </c>
      <c r="F62" s="25">
        <f t="shared" si="725"/>
        <v>0</v>
      </c>
      <c r="G62" s="25">
        <f t="shared" si="725"/>
        <v>0</v>
      </c>
      <c r="H62" s="25">
        <f t="shared" si="725"/>
        <v>0</v>
      </c>
      <c r="I62" s="25">
        <f t="shared" si="725"/>
        <v>0</v>
      </c>
      <c r="J62" s="25">
        <f t="shared" si="725"/>
        <v>0</v>
      </c>
      <c r="K62" s="25">
        <f t="shared" si="725"/>
        <v>0</v>
      </c>
      <c r="L62" s="25">
        <f t="shared" si="725"/>
        <v>0</v>
      </c>
      <c r="M62" s="25">
        <f t="shared" si="725"/>
        <v>0</v>
      </c>
      <c r="N62" s="25">
        <f t="shared" si="725"/>
        <v>0</v>
      </c>
      <c r="O62" s="25">
        <f t="shared" si="725"/>
        <v>0</v>
      </c>
      <c r="P62" s="25">
        <f t="shared" si="725"/>
        <v>0</v>
      </c>
      <c r="Q62" s="25">
        <f t="shared" si="725"/>
        <v>0</v>
      </c>
      <c r="R62" s="25">
        <f t="shared" si="725"/>
        <v>0</v>
      </c>
      <c r="S62" s="25">
        <f t="shared" si="725"/>
        <v>0</v>
      </c>
      <c r="T62" s="25">
        <f t="shared" si="725"/>
        <v>0</v>
      </c>
      <c r="U62" s="25">
        <f t="shared" si="725"/>
        <v>0</v>
      </c>
      <c r="V62" s="25">
        <f t="shared" si="725"/>
        <v>0</v>
      </c>
      <c r="W62" s="25">
        <f t="shared" ref="W62" si="726">W61-W58</f>
        <v>0</v>
      </c>
      <c r="X62" s="25">
        <f t="shared" ref="X62:Y62" si="727">X61-X58</f>
        <v>0</v>
      </c>
      <c r="Y62" s="25">
        <f t="shared" si="727"/>
        <v>0</v>
      </c>
      <c r="Z62" s="25">
        <f t="shared" ref="Z62:AA62" si="728">Z61-Z58</f>
        <v>0</v>
      </c>
      <c r="AA62" s="25">
        <f t="shared" ref="AA62" si="729">AA61-AA58</f>
        <v>0</v>
      </c>
      <c r="AB62" s="17">
        <f t="shared" ref="AB62:AD62" si="730">AB61-AB58</f>
        <v>0</v>
      </c>
      <c r="AC62" s="17">
        <f t="shared" si="730"/>
        <v>0</v>
      </c>
      <c r="AD62" s="17">
        <f t="shared" si="730"/>
        <v>0</v>
      </c>
      <c r="AE62" s="17">
        <f t="shared" ref="AE62" si="731">AE61-AE58</f>
        <v>0</v>
      </c>
      <c r="AI62" s="25">
        <f t="shared" ref="AI62" si="732">AI61-AI58</f>
        <v>0</v>
      </c>
      <c r="AJ62" s="25">
        <f t="shared" ref="AJ62" si="733">AJ61-AJ58</f>
        <v>0</v>
      </c>
      <c r="AK62" s="25">
        <f t="shared" ref="AK62:AM62" si="734">AK61-AK58</f>
        <v>0</v>
      </c>
      <c r="AL62" s="25">
        <f t="shared" si="734"/>
        <v>0</v>
      </c>
      <c r="AM62" s="25">
        <f t="shared" si="734"/>
        <v>0</v>
      </c>
      <c r="AN62" s="25">
        <f t="shared" ref="AN62:AO62" si="735">AN61-AN58</f>
        <v>0</v>
      </c>
      <c r="AO62" s="25">
        <f t="shared" si="735"/>
        <v>0</v>
      </c>
      <c r="AP62" s="25">
        <f t="shared" ref="AP62:CD62" si="736">AP61-AP58</f>
        <v>0</v>
      </c>
      <c r="AQ62" s="25">
        <f t="shared" si="736"/>
        <v>0</v>
      </c>
      <c r="AR62" s="25">
        <f t="shared" si="736"/>
        <v>0</v>
      </c>
      <c r="AS62" s="25">
        <f t="shared" si="736"/>
        <v>0</v>
      </c>
      <c r="AT62" s="25">
        <f t="shared" si="736"/>
        <v>0</v>
      </c>
      <c r="AU62" s="25">
        <f t="shared" si="736"/>
        <v>0</v>
      </c>
      <c r="AV62" s="25">
        <f t="shared" si="736"/>
        <v>0</v>
      </c>
      <c r="AW62" s="25">
        <f t="shared" si="736"/>
        <v>0</v>
      </c>
      <c r="AX62" s="25">
        <f t="shared" si="736"/>
        <v>0</v>
      </c>
      <c r="AY62" s="25">
        <f t="shared" si="736"/>
        <v>0</v>
      </c>
      <c r="AZ62" s="25">
        <f t="shared" si="736"/>
        <v>0</v>
      </c>
      <c r="BA62" s="25">
        <f t="shared" si="736"/>
        <v>0</v>
      </c>
      <c r="BB62" s="25">
        <f t="shared" si="736"/>
        <v>0</v>
      </c>
      <c r="BC62" s="25">
        <f t="shared" si="736"/>
        <v>0</v>
      </c>
      <c r="BD62" s="25">
        <f t="shared" si="736"/>
        <v>0</v>
      </c>
      <c r="BE62" s="25">
        <f t="shared" si="736"/>
        <v>0</v>
      </c>
      <c r="BF62" s="25">
        <f t="shared" si="736"/>
        <v>0</v>
      </c>
      <c r="BG62" s="25">
        <f t="shared" si="736"/>
        <v>0</v>
      </c>
      <c r="BH62" s="25">
        <f t="shared" si="736"/>
        <v>0</v>
      </c>
      <c r="BI62" s="25">
        <f t="shared" si="736"/>
        <v>0</v>
      </c>
      <c r="BJ62" s="25">
        <f t="shared" si="736"/>
        <v>0</v>
      </c>
      <c r="BK62" s="25">
        <f t="shared" si="736"/>
        <v>0</v>
      </c>
      <c r="BL62" s="25">
        <f t="shared" si="736"/>
        <v>0</v>
      </c>
      <c r="BM62" s="25">
        <f t="shared" si="736"/>
        <v>0</v>
      </c>
      <c r="BN62" s="25">
        <f t="shared" si="736"/>
        <v>0</v>
      </c>
      <c r="BO62" s="25">
        <f t="shared" si="736"/>
        <v>0</v>
      </c>
      <c r="BP62" s="25">
        <f t="shared" si="736"/>
        <v>0</v>
      </c>
      <c r="BQ62" s="25">
        <f t="shared" si="736"/>
        <v>0</v>
      </c>
      <c r="BR62" s="25">
        <f t="shared" si="736"/>
        <v>0</v>
      </c>
      <c r="BS62" s="25">
        <f t="shared" si="736"/>
        <v>0</v>
      </c>
      <c r="BT62" s="25">
        <f t="shared" si="736"/>
        <v>0</v>
      </c>
      <c r="BU62" s="25">
        <f t="shared" si="736"/>
        <v>0</v>
      </c>
      <c r="BV62" s="25">
        <f t="shared" si="736"/>
        <v>0</v>
      </c>
      <c r="BW62" s="25">
        <f t="shared" si="736"/>
        <v>0</v>
      </c>
      <c r="BX62" s="25">
        <f t="shared" si="736"/>
        <v>0</v>
      </c>
      <c r="BY62" s="25">
        <f t="shared" si="736"/>
        <v>0</v>
      </c>
      <c r="BZ62" s="25">
        <f t="shared" si="736"/>
        <v>0</v>
      </c>
      <c r="CA62" s="25">
        <f t="shared" si="736"/>
        <v>0</v>
      </c>
      <c r="CB62" s="25">
        <f t="shared" si="736"/>
        <v>0</v>
      </c>
      <c r="CC62" s="25">
        <f t="shared" si="736"/>
        <v>0</v>
      </c>
      <c r="CD62" s="25">
        <f t="shared" si="736"/>
        <v>0</v>
      </c>
      <c r="CE62" s="25">
        <f t="shared" ref="CE62:CF62" si="737">CE61-CE58</f>
        <v>0</v>
      </c>
      <c r="CF62" s="25">
        <f t="shared" si="737"/>
        <v>0</v>
      </c>
      <c r="CG62" s="25">
        <f t="shared" ref="CG62:CH62" si="738">CG61-CG58</f>
        <v>0</v>
      </c>
      <c r="CH62" s="25">
        <f t="shared" si="738"/>
        <v>0</v>
      </c>
      <c r="CI62" s="25">
        <f t="shared" ref="CI62:CJ62" si="739">CI61-CI58</f>
        <v>0</v>
      </c>
      <c r="CJ62" s="25">
        <f t="shared" si="739"/>
        <v>0</v>
      </c>
      <c r="CK62" s="25">
        <f t="shared" ref="CK62" si="740">CK61-CK58</f>
        <v>0</v>
      </c>
      <c r="CL62" s="25">
        <f t="shared" ref="CL62" si="741">CL61-CL58</f>
        <v>0</v>
      </c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E62" s="119"/>
      <c r="DF62" s="25">
        <v>0</v>
      </c>
    </row>
    <row r="63" spans="1:111" s="1" customFormat="1" x14ac:dyDescent="0.2">
      <c r="A63" s="150" t="s">
        <v>487</v>
      </c>
      <c r="AB63" s="20"/>
      <c r="AC63" s="20"/>
      <c r="AD63" s="20"/>
      <c r="AE63" s="20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E63" s="119"/>
    </row>
    <row r="64" spans="1:111" s="38" customFormat="1" x14ac:dyDescent="0.2">
      <c r="A64" s="38" t="s">
        <v>350</v>
      </c>
      <c r="B64" s="39">
        <f t="shared" ref="B64:AE64" si="742">(B58-B57)/B130</f>
        <v>0.4485475327971874</v>
      </c>
      <c r="C64" s="39">
        <f t="shared" si="742"/>
        <v>0.38838442347534735</v>
      </c>
      <c r="D64" s="39">
        <f t="shared" si="742"/>
        <v>0.32849588335070834</v>
      </c>
      <c r="E64" s="39">
        <f t="shared" si="742"/>
        <v>0.37199459191059903</v>
      </c>
      <c r="F64" s="39">
        <f t="shared" si="742"/>
        <v>0.34705771761609328</v>
      </c>
      <c r="G64" s="39">
        <f t="shared" si="742"/>
        <v>0.35285673270169393</v>
      </c>
      <c r="H64" s="39">
        <f t="shared" si="742"/>
        <v>0.34207019102621056</v>
      </c>
      <c r="I64" s="39">
        <f t="shared" si="742"/>
        <v>0.3377310619789779</v>
      </c>
      <c r="J64" s="39">
        <f t="shared" si="742"/>
        <v>0.32803769036923414</v>
      </c>
      <c r="K64" s="39">
        <f t="shared" si="742"/>
        <v>0.26977309210811751</v>
      </c>
      <c r="L64" s="39">
        <f t="shared" si="742"/>
        <v>0.26312750230982446</v>
      </c>
      <c r="M64" s="39">
        <f t="shared" si="742"/>
        <v>0.26592620962594155</v>
      </c>
      <c r="N64" s="39">
        <f t="shared" si="742"/>
        <v>0.24817076380481129</v>
      </c>
      <c r="O64" s="39">
        <f t="shared" si="742"/>
        <v>0.23929934875364922</v>
      </c>
      <c r="P64" s="39">
        <f t="shared" si="742"/>
        <v>0.24385052034058657</v>
      </c>
      <c r="Q64" s="39">
        <f t="shared" si="742"/>
        <v>0.2184665716506867</v>
      </c>
      <c r="R64" s="39">
        <f t="shared" si="742"/>
        <v>0.20806877156359629</v>
      </c>
      <c r="S64" s="39">
        <f t="shared" si="742"/>
        <v>0.24689247262141306</v>
      </c>
      <c r="T64" s="39">
        <f t="shared" si="742"/>
        <v>0.23717435486851018</v>
      </c>
      <c r="U64" s="39">
        <f t="shared" si="742"/>
        <v>0.25353705118411002</v>
      </c>
      <c r="V64" s="39">
        <f t="shared" si="742"/>
        <v>0.2534478919726002</v>
      </c>
      <c r="W64" s="39">
        <f t="shared" si="742"/>
        <v>0.29343065693430659</v>
      </c>
      <c r="X64" s="39">
        <f t="shared" si="742"/>
        <v>0.31953266938082669</v>
      </c>
      <c r="Y64" s="39">
        <f t="shared" si="742"/>
        <v>0.29770983703300197</v>
      </c>
      <c r="Z64" s="39">
        <f t="shared" si="742"/>
        <v>0.27878895405873633</v>
      </c>
      <c r="AA64" s="39">
        <f t="shared" ref="AA64" si="743">(AA58-AA57)/AA130</f>
        <v>0.3309460216258131</v>
      </c>
      <c r="AB64" s="40">
        <f t="shared" si="742"/>
        <v>0.2556343285860983</v>
      </c>
      <c r="AC64" s="40">
        <f t="shared" si="742"/>
        <v>0.21692246904642942</v>
      </c>
      <c r="AD64" s="40">
        <f t="shared" si="742"/>
        <v>0.18005640644247836</v>
      </c>
      <c r="AE64" s="40">
        <f t="shared" si="742"/>
        <v>0.17616564555514069</v>
      </c>
      <c r="AF64" s="39"/>
      <c r="AG64" s="39"/>
      <c r="AH64" s="39"/>
      <c r="AI64" s="39"/>
      <c r="AJ64" s="39"/>
      <c r="AK64" s="39"/>
      <c r="AL64" s="39">
        <f t="shared" ref="AL64:BQ64" si="744">(SUM(AI58:AL58)-SUM(AI57:AL57))/AL130</f>
        <v>0.23672638641103599</v>
      </c>
      <c r="AM64" s="39">
        <f t="shared" si="744"/>
        <v>0.22541556994142894</v>
      </c>
      <c r="AN64" s="39">
        <f t="shared" si="744"/>
        <v>0.22093104007037201</v>
      </c>
      <c r="AO64" s="39">
        <f t="shared" si="744"/>
        <v>0.21812736033337674</v>
      </c>
      <c r="AP64" s="39">
        <f t="shared" si="744"/>
        <v>0.22402693035977278</v>
      </c>
      <c r="AQ64" s="39">
        <f t="shared" si="744"/>
        <v>0.22135829895271342</v>
      </c>
      <c r="AR64" s="39">
        <f t="shared" si="744"/>
        <v>0.23425329168478906</v>
      </c>
      <c r="AS64" s="39">
        <f t="shared" si="744"/>
        <v>0.22707683162431266</v>
      </c>
      <c r="AT64" s="39">
        <f t="shared" si="744"/>
        <v>0.22513375819440132</v>
      </c>
      <c r="AU64" s="39">
        <f t="shared" si="744"/>
        <v>0.2157948469484868</v>
      </c>
      <c r="AV64" s="39">
        <f t="shared" si="744"/>
        <v>0.22273955881070712</v>
      </c>
      <c r="AW64" s="39">
        <f t="shared" si="744"/>
        <v>0.21358329222167408</v>
      </c>
      <c r="AX64" s="39">
        <f t="shared" si="744"/>
        <v>0.21845037574501167</v>
      </c>
      <c r="AY64" s="39">
        <f t="shared" si="744"/>
        <v>0.21319423135931267</v>
      </c>
      <c r="AZ64" s="39">
        <f t="shared" si="744"/>
        <v>0.21757038179714616</v>
      </c>
      <c r="BA64" s="39">
        <f t="shared" si="744"/>
        <v>0.20934440342608671</v>
      </c>
      <c r="BB64" s="39">
        <f t="shared" si="744"/>
        <v>0.20806877156359629</v>
      </c>
      <c r="BC64" s="39">
        <f t="shared" si="744"/>
        <v>0.19871662181742911</v>
      </c>
      <c r="BD64" s="39">
        <f t="shared" si="744"/>
        <v>0.2006356224955092</v>
      </c>
      <c r="BE64" s="39">
        <f t="shared" si="744"/>
        <v>0.20569297668357012</v>
      </c>
      <c r="BF64" s="39">
        <f t="shared" si="744"/>
        <v>0.24687706975956134</v>
      </c>
      <c r="BG64" s="39">
        <f t="shared" si="744"/>
        <v>0.23574815787553804</v>
      </c>
      <c r="BH64" s="39">
        <f t="shared" si="744"/>
        <v>0.25389881500583289</v>
      </c>
      <c r="BI64" s="39">
        <f t="shared" si="744"/>
        <v>0.21846502901522755</v>
      </c>
      <c r="BJ64" s="39">
        <f t="shared" si="744"/>
        <v>0.23718975180144114</v>
      </c>
      <c r="BK64" s="39">
        <f t="shared" si="744"/>
        <v>0.22679137695284091</v>
      </c>
      <c r="BL64" s="39">
        <f t="shared" si="744"/>
        <v>0.25610944961253118</v>
      </c>
      <c r="BM64" s="39">
        <f t="shared" si="744"/>
        <v>0.25159284680968941</v>
      </c>
      <c r="BN64" s="39">
        <f t="shared" si="744"/>
        <v>0.25355233002291827</v>
      </c>
      <c r="BO64" s="39">
        <f t="shared" si="744"/>
        <v>0.2443924630110644</v>
      </c>
      <c r="BP64" s="39">
        <f t="shared" si="744"/>
        <v>0.2514929577464789</v>
      </c>
      <c r="BQ64" s="39">
        <f t="shared" si="744"/>
        <v>0.24405160308148616</v>
      </c>
      <c r="BR64" s="39">
        <f t="shared" ref="BR64:CW64" si="745">(SUM(BO58:BR58)-SUM(BO57:BR57))/BR130</f>
        <v>0.2534478919726002</v>
      </c>
      <c r="BS64" s="39">
        <f t="shared" si="745"/>
        <v>0.24909866823633287</v>
      </c>
      <c r="BT64" s="39">
        <f t="shared" si="745"/>
        <v>0.29867455925878267</v>
      </c>
      <c r="BU64" s="39">
        <f t="shared" si="745"/>
        <v>0.28384907852352537</v>
      </c>
      <c r="BV64" s="39">
        <f t="shared" si="745"/>
        <v>0.29344392833443927</v>
      </c>
      <c r="BW64" s="39">
        <f t="shared" si="745"/>
        <v>0.27600049560153639</v>
      </c>
      <c r="BX64" s="39">
        <f t="shared" si="745"/>
        <v>0.2860179292581988</v>
      </c>
      <c r="BY64" s="39">
        <f t="shared" si="745"/>
        <v>0.27323344923585202</v>
      </c>
      <c r="BZ64" s="39">
        <f t="shared" si="745"/>
        <v>0.31953266938082669</v>
      </c>
      <c r="CA64" s="39">
        <f t="shared" si="745"/>
        <v>0.30337299636149079</v>
      </c>
      <c r="CB64" s="39">
        <f t="shared" si="745"/>
        <v>0.30793135895404122</v>
      </c>
      <c r="CC64" s="39">
        <f t="shared" si="745"/>
        <v>0.28076294403388818</v>
      </c>
      <c r="CD64" s="39">
        <f t="shared" si="745"/>
        <v>0.29769848835625767</v>
      </c>
      <c r="CE64" s="39">
        <f t="shared" si="745"/>
        <v>0.28211125693239064</v>
      </c>
      <c r="CF64" s="39">
        <f t="shared" si="745"/>
        <v>0.29790079922178125</v>
      </c>
      <c r="CG64" s="39">
        <f t="shared" si="745"/>
        <v>0.28425294801015738</v>
      </c>
      <c r="CH64" s="39">
        <f t="shared" si="745"/>
        <v>0.27878895405873633</v>
      </c>
      <c r="CI64" s="39">
        <f t="shared" si="745"/>
        <v>0.26539094209599079</v>
      </c>
      <c r="CJ64" s="39">
        <f t="shared" si="745"/>
        <v>0.27217652182328461</v>
      </c>
      <c r="CK64" s="39">
        <f t="shared" si="745"/>
        <v>0.26604778876927554</v>
      </c>
      <c r="CL64" s="39">
        <f t="shared" si="745"/>
        <v>0.3309460216258131</v>
      </c>
      <c r="CM64" s="40">
        <f t="shared" si="745"/>
        <v>0.3130867877948047</v>
      </c>
      <c r="CN64" s="40">
        <f t="shared" si="745"/>
        <v>0.29507278571881673</v>
      </c>
      <c r="CO64" s="40">
        <f t="shared" si="745"/>
        <v>0.27582921813000832</v>
      </c>
      <c r="CP64" s="40">
        <f t="shared" si="745"/>
        <v>0.2556343285860983</v>
      </c>
      <c r="CQ64" s="40">
        <f t="shared" si="745"/>
        <v>0.24497965244881387</v>
      </c>
      <c r="CR64" s="40">
        <f t="shared" si="745"/>
        <v>0.23539157486705267</v>
      </c>
      <c r="CS64" s="40">
        <f t="shared" si="745"/>
        <v>0.2256608033559645</v>
      </c>
      <c r="CT64" s="40">
        <f t="shared" si="745"/>
        <v>0.21692246904642942</v>
      </c>
      <c r="CU64" s="40">
        <f t="shared" si="745"/>
        <v>0.2065311016342557</v>
      </c>
      <c r="CV64" s="40">
        <f t="shared" si="745"/>
        <v>0.19670861245877977</v>
      </c>
      <c r="CW64" s="40">
        <f t="shared" si="745"/>
        <v>0.18827706972054969</v>
      </c>
      <c r="CX64" s="40">
        <f t="shared" ref="CX64:DB64" si="746">(SUM(CU58:CX58)-SUM(CU57:CX57))/CX130</f>
        <v>0.18005640644247836</v>
      </c>
      <c r="CY64" s="40">
        <f t="shared" si="746"/>
        <v>0.17783074955209383</v>
      </c>
      <c r="CZ64" s="40">
        <f t="shared" si="746"/>
        <v>0.17619973283356924</v>
      </c>
      <c r="DA64" s="40">
        <f t="shared" si="746"/>
        <v>0.17556260165409551</v>
      </c>
      <c r="DB64" s="40">
        <f t="shared" si="746"/>
        <v>0.17616564555514064</v>
      </c>
      <c r="DE64" s="122"/>
      <c r="DF64" s="38">
        <v>0.3309460216258131</v>
      </c>
      <c r="DG64" s="38">
        <v>0.25132995177807826</v>
      </c>
    </row>
    <row r="65" spans="1:111" s="38" customFormat="1" x14ac:dyDescent="0.2">
      <c r="A65" s="38" t="s">
        <v>351</v>
      </c>
      <c r="B65" s="39">
        <f t="shared" ref="B65:AE65" si="747">+B44/B139</f>
        <v>0.45857348544160842</v>
      </c>
      <c r="C65" s="39">
        <f t="shared" si="747"/>
        <v>0.42190346631030951</v>
      </c>
      <c r="D65" s="39">
        <f t="shared" si="747"/>
        <v>0.36126737060853481</v>
      </c>
      <c r="E65" s="39">
        <f t="shared" si="747"/>
        <v>0.40337526995579004</v>
      </c>
      <c r="F65" s="39">
        <f t="shared" si="747"/>
        <v>0.38522278623801465</v>
      </c>
      <c r="G65" s="39">
        <f t="shared" si="747"/>
        <v>0.36408871197042936</v>
      </c>
      <c r="H65" s="39">
        <f t="shared" si="747"/>
        <v>0.34425792699173996</v>
      </c>
      <c r="I65" s="39">
        <f t="shared" si="747"/>
        <v>0.3362812613265676</v>
      </c>
      <c r="J65" s="39">
        <f t="shared" si="747"/>
        <v>0.32847595047660788</v>
      </c>
      <c r="K65" s="39">
        <f t="shared" si="747"/>
        <v>0.30179183478675864</v>
      </c>
      <c r="L65" s="39">
        <f t="shared" si="747"/>
        <v>0.31244225438866646</v>
      </c>
      <c r="M65" s="39">
        <f t="shared" si="747"/>
        <v>0.31274735095110429</v>
      </c>
      <c r="N65" s="39">
        <f t="shared" si="747"/>
        <v>0.27475390851187032</v>
      </c>
      <c r="O65" s="39">
        <f t="shared" si="747"/>
        <v>0.2711205928587469</v>
      </c>
      <c r="P65" s="39">
        <f t="shared" si="747"/>
        <v>0.27329706717123936</v>
      </c>
      <c r="Q65" s="39">
        <f t="shared" si="747"/>
        <v>0.25223503498315625</v>
      </c>
      <c r="R65" s="39">
        <f t="shared" si="747"/>
        <v>0.23980168739671218</v>
      </c>
      <c r="S65" s="39">
        <f t="shared" si="747"/>
        <v>0.26230669706117921</v>
      </c>
      <c r="T65" s="39">
        <f t="shared" si="747"/>
        <v>0.27934344522044119</v>
      </c>
      <c r="U65" s="39">
        <f t="shared" si="747"/>
        <v>0.2864801652390499</v>
      </c>
      <c r="V65" s="39">
        <f t="shared" si="747"/>
        <v>0.31616785184027507</v>
      </c>
      <c r="W65" s="39">
        <f t="shared" si="747"/>
        <v>0.36990334847364531</v>
      </c>
      <c r="X65" s="39">
        <f t="shared" si="747"/>
        <v>0.39920839105481892</v>
      </c>
      <c r="Y65" s="39">
        <f t="shared" si="747"/>
        <v>0.35888131492974307</v>
      </c>
      <c r="Z65" s="39">
        <f t="shared" si="747"/>
        <v>0.35455235283722963</v>
      </c>
      <c r="AA65" s="39">
        <f t="shared" ref="AA65" si="748">+AA44/AA139</f>
        <v>0.3725736090120797</v>
      </c>
      <c r="AB65" s="40">
        <f t="shared" si="747"/>
        <v>0.3165472614884311</v>
      </c>
      <c r="AC65" s="40">
        <f t="shared" si="747"/>
        <v>0.26596842614946559</v>
      </c>
      <c r="AD65" s="40">
        <f t="shared" si="747"/>
        <v>0.21194123991314018</v>
      </c>
      <c r="AE65" s="40">
        <f t="shared" si="747"/>
        <v>0.20318010466919331</v>
      </c>
      <c r="AF65" s="39"/>
      <c r="AG65" s="39"/>
      <c r="AH65" s="39"/>
      <c r="AI65" s="39"/>
      <c r="AJ65" s="39"/>
      <c r="AK65" s="39"/>
      <c r="AL65" s="39">
        <f t="shared" ref="AL65:BQ65" si="749">+SUM(AI44:AL44)/AL139</f>
        <v>0.26120059300952331</v>
      </c>
      <c r="AM65" s="39">
        <f t="shared" si="749"/>
        <v>0.24661497237438049</v>
      </c>
      <c r="AN65" s="39">
        <f t="shared" si="749"/>
        <v>0.24431121090765989</v>
      </c>
      <c r="AO65" s="39">
        <f t="shared" si="749"/>
        <v>0.24169813777835655</v>
      </c>
      <c r="AP65" s="39">
        <f t="shared" si="749"/>
        <v>0.25152535240900487</v>
      </c>
      <c r="AQ65" s="39">
        <f t="shared" si="749"/>
        <v>0.24797683275150745</v>
      </c>
      <c r="AR65" s="39">
        <f t="shared" si="749"/>
        <v>0.26163457356371833</v>
      </c>
      <c r="AS65" s="39">
        <f t="shared" si="749"/>
        <v>0.25382672016644375</v>
      </c>
      <c r="AT65" s="39">
        <f t="shared" si="749"/>
        <v>0.25257929624016218</v>
      </c>
      <c r="AU65" s="39">
        <f t="shared" si="749"/>
        <v>0.24342890761537264</v>
      </c>
      <c r="AV65" s="39">
        <f t="shared" si="749"/>
        <v>0.25421571191908621</v>
      </c>
      <c r="AW65" s="39">
        <f t="shared" si="749"/>
        <v>0.24417036671600065</v>
      </c>
      <c r="AX65" s="39">
        <f t="shared" si="749"/>
        <v>0.25296385073853328</v>
      </c>
      <c r="AY65" s="39">
        <f t="shared" si="749"/>
        <v>0.24883399815894447</v>
      </c>
      <c r="AZ65" s="39">
        <f t="shared" si="749"/>
        <v>0.25507134593135367</v>
      </c>
      <c r="BA65" s="39">
        <f t="shared" si="749"/>
        <v>0.24674244524535624</v>
      </c>
      <c r="BB65" s="39">
        <f t="shared" si="749"/>
        <v>0.24502044011481255</v>
      </c>
      <c r="BC65" s="39">
        <f t="shared" si="749"/>
        <v>0.23412681984406264</v>
      </c>
      <c r="BD65" s="39">
        <f t="shared" si="749"/>
        <v>0.23356363133895261</v>
      </c>
      <c r="BE65" s="39">
        <f t="shared" si="749"/>
        <v>0.21791248919340894</v>
      </c>
      <c r="BF65" s="39">
        <f t="shared" si="749"/>
        <v>0.26230669706117921</v>
      </c>
      <c r="BG65" s="39">
        <f t="shared" si="749"/>
        <v>0.2507587253414264</v>
      </c>
      <c r="BH65" s="39">
        <f t="shared" si="749"/>
        <v>0.27374173049471212</v>
      </c>
      <c r="BI65" s="39">
        <f t="shared" si="749"/>
        <v>0.26024608045609238</v>
      </c>
      <c r="BJ65" s="39">
        <f t="shared" si="749"/>
        <v>0.27932806202504384</v>
      </c>
      <c r="BK65" s="39">
        <f t="shared" si="749"/>
        <v>0.26687401895238649</v>
      </c>
      <c r="BL65" s="39">
        <f t="shared" si="749"/>
        <v>0.30190042870517897</v>
      </c>
      <c r="BM65" s="39">
        <f t="shared" si="749"/>
        <v>0.29179038231963023</v>
      </c>
      <c r="BN65" s="39">
        <f t="shared" si="749"/>
        <v>0.29424093311463462</v>
      </c>
      <c r="BO65" s="39">
        <f t="shared" si="749"/>
        <v>0.28922470996189903</v>
      </c>
      <c r="BP65" s="39">
        <f t="shared" si="749"/>
        <v>0.30215303636923596</v>
      </c>
      <c r="BQ65" s="39">
        <f t="shared" si="749"/>
        <v>0.30156203103182783</v>
      </c>
      <c r="BR65" s="39">
        <f t="shared" ref="BR65:CW65" si="750">+SUM(BO44:BR44)/BR139</f>
        <v>0.320674116329348</v>
      </c>
      <c r="BS65" s="39">
        <f t="shared" si="750"/>
        <v>0.31545433475243057</v>
      </c>
      <c r="BT65" s="39">
        <f t="shared" si="750"/>
        <v>0.37817706260305906</v>
      </c>
      <c r="BU65" s="39">
        <f t="shared" si="750"/>
        <v>0.36108302585448482</v>
      </c>
      <c r="BV65" s="39">
        <f t="shared" si="750"/>
        <v>0.36990334847364531</v>
      </c>
      <c r="BW65" s="39">
        <f t="shared" si="750"/>
        <v>0.3492897306895531</v>
      </c>
      <c r="BX65" s="39">
        <f t="shared" si="750"/>
        <v>0.36375969233449912</v>
      </c>
      <c r="BY65" s="39">
        <f t="shared" si="750"/>
        <v>0.34492080107669126</v>
      </c>
      <c r="BZ65" s="39">
        <f t="shared" si="750"/>
        <v>0.40775776766277461</v>
      </c>
      <c r="CA65" s="39">
        <f t="shared" si="750"/>
        <v>0.39005382921458281</v>
      </c>
      <c r="CB65" s="39">
        <f t="shared" si="750"/>
        <v>0.39781156812972868</v>
      </c>
      <c r="CC65" s="39">
        <f t="shared" si="750"/>
        <v>0.36675452670181069</v>
      </c>
      <c r="CD65" s="39">
        <f t="shared" si="750"/>
        <v>0.35888131492974307</v>
      </c>
      <c r="CE65" s="39">
        <f t="shared" si="750"/>
        <v>0.33896803720380897</v>
      </c>
      <c r="CF65" s="39">
        <f t="shared" si="750"/>
        <v>0.35802047781569968</v>
      </c>
      <c r="CG65" s="39">
        <f t="shared" si="750"/>
        <v>0.34280388381334753</v>
      </c>
      <c r="CH65" s="39">
        <f t="shared" si="750"/>
        <v>0.35782667900169435</v>
      </c>
      <c r="CI65" s="39">
        <f t="shared" si="750"/>
        <v>0.33880570963112372</v>
      </c>
      <c r="CJ65" s="39">
        <f t="shared" si="750"/>
        <v>0.34356685687847011</v>
      </c>
      <c r="CK65" s="39">
        <f t="shared" si="750"/>
        <v>0.32799507237449954</v>
      </c>
      <c r="CL65" s="39">
        <f t="shared" si="750"/>
        <v>0.40063453272881228</v>
      </c>
      <c r="CM65" s="40">
        <f t="shared" si="750"/>
        <v>0.37983702282798321</v>
      </c>
      <c r="CN65" s="40">
        <f t="shared" si="750"/>
        <v>0.35712096556971218</v>
      </c>
      <c r="CO65" s="40">
        <f t="shared" si="750"/>
        <v>0.33633672381754864</v>
      </c>
      <c r="CP65" s="40">
        <f t="shared" si="750"/>
        <v>0.3165472614884311</v>
      </c>
      <c r="CQ65" s="40">
        <f t="shared" si="750"/>
        <v>0.30163199101389315</v>
      </c>
      <c r="CR65" s="40">
        <f t="shared" si="750"/>
        <v>0.2887775999257885</v>
      </c>
      <c r="CS65" s="40">
        <f t="shared" si="750"/>
        <v>0.27655113524321351</v>
      </c>
      <c r="CT65" s="40">
        <f t="shared" si="750"/>
        <v>0.26596842614946559</v>
      </c>
      <c r="CU65" s="40">
        <f t="shared" si="750"/>
        <v>0.25087880656566902</v>
      </c>
      <c r="CV65" s="40">
        <f t="shared" si="750"/>
        <v>0.23664058574275557</v>
      </c>
      <c r="CW65" s="40">
        <f t="shared" si="750"/>
        <v>0.2242385578965736</v>
      </c>
      <c r="CX65" s="40">
        <f t="shared" ref="CX65:DB65" si="751">+SUM(CU44:CX44)/CX139</f>
        <v>0.21194123991314018</v>
      </c>
      <c r="CY65" s="40">
        <f t="shared" si="751"/>
        <v>0.20792428663221849</v>
      </c>
      <c r="CZ65" s="40">
        <f t="shared" si="751"/>
        <v>0.20482219226909226</v>
      </c>
      <c r="DA65" s="40">
        <f t="shared" si="751"/>
        <v>0.20313509817404263</v>
      </c>
      <c r="DB65" s="40">
        <f t="shared" si="751"/>
        <v>0.20318010466919328</v>
      </c>
      <c r="DE65" s="122"/>
      <c r="DF65" s="38">
        <v>0.40063453272881228</v>
      </c>
      <c r="DG65" s="38">
        <v>0.31054699169320327</v>
      </c>
    </row>
    <row r="66" spans="1:111" s="1" customFormat="1" x14ac:dyDescent="0.2">
      <c r="A66" s="150" t="s">
        <v>488</v>
      </c>
      <c r="AB66" s="20"/>
      <c r="AC66" s="20"/>
      <c r="AD66" s="20"/>
      <c r="AE66" s="20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E66" s="119"/>
    </row>
    <row r="67" spans="1:111" s="8" customFormat="1" x14ac:dyDescent="0.2">
      <c r="A67" s="12" t="s">
        <v>26</v>
      </c>
      <c r="AB67" s="58"/>
      <c r="AC67" s="58"/>
      <c r="AD67" s="58"/>
      <c r="AE67" s="58"/>
      <c r="CM67" s="54"/>
      <c r="CN67" s="54"/>
      <c r="CO67" s="54"/>
      <c r="CP67" s="54"/>
      <c r="CQ67" s="54"/>
      <c r="CR67" s="54"/>
      <c r="CS67" s="54"/>
      <c r="CT67" s="54"/>
      <c r="CU67" s="54"/>
      <c r="CV67" s="54"/>
      <c r="CW67" s="54"/>
      <c r="CX67" s="54"/>
      <c r="CY67" s="54"/>
      <c r="CZ67" s="54"/>
      <c r="DA67" s="54"/>
      <c r="DB67" s="54"/>
      <c r="DE67" s="132"/>
    </row>
    <row r="68" spans="1:111" s="9" customFormat="1" x14ac:dyDescent="0.2">
      <c r="A68" s="9" t="s">
        <v>453</v>
      </c>
      <c r="N68" s="9">
        <f>N20-SUM(AI20:AL20)</f>
        <v>34</v>
      </c>
      <c r="O68" s="9">
        <f>O20-SUM(AM20:AP20)</f>
        <v>86</v>
      </c>
      <c r="P68" s="9">
        <f>P20-SUM(AQ20:AT20)</f>
        <v>0</v>
      </c>
      <c r="Q68" s="9">
        <f>Q20-SUM(AU20:AX20)</f>
        <v>0</v>
      </c>
      <c r="R68" s="9">
        <f>R20-SUM(AY20:BB20)</f>
        <v>-1</v>
      </c>
      <c r="S68" s="9">
        <f>S20-SUM(BC20:BF20)</f>
        <v>0</v>
      </c>
      <c r="T68" s="9">
        <f>T20-SUM(BG20:BJ20)</f>
        <v>-1</v>
      </c>
      <c r="U68" s="9">
        <f>U20-SUM(BK20:BN20)</f>
        <v>0</v>
      </c>
      <c r="V68" s="9">
        <f>V20-SUM(BO20:BR20)</f>
        <v>-1</v>
      </c>
      <c r="W68" s="9">
        <f>W20-SUM(BS20:BV20)</f>
        <v>0</v>
      </c>
      <c r="X68" s="9">
        <f>X20-SUM(BW20:BZ20)</f>
        <v>0</v>
      </c>
      <c r="Y68" s="9">
        <f>Y20-SUM(CA20:CD20)</f>
        <v>-1</v>
      </c>
      <c r="Z68" s="9">
        <f>Z20-SUM(CE20:CH20)</f>
        <v>0</v>
      </c>
      <c r="AA68" s="9">
        <f>AA20-SUM(CF20:CI20)</f>
        <v>12696</v>
      </c>
      <c r="AB68" s="15">
        <f>AB20-SUM(CM20:CP20)</f>
        <v>0</v>
      </c>
      <c r="AC68" s="15">
        <f>AC20-SUM(CQ20:CT20)</f>
        <v>0</v>
      </c>
      <c r="AD68" s="15">
        <f>AD20-SUM(CU20:CX20)</f>
        <v>0</v>
      </c>
      <c r="AE68" s="15">
        <f>AE20-SUM(CY20:DB20)</f>
        <v>0</v>
      </c>
      <c r="CM68" s="59"/>
      <c r="CN68" s="59"/>
      <c r="CO68" s="59"/>
      <c r="CP68" s="59"/>
      <c r="CQ68" s="59"/>
      <c r="CR68" s="59"/>
      <c r="CS68" s="59"/>
      <c r="CT68" s="59"/>
      <c r="CU68" s="59"/>
      <c r="CV68" s="59"/>
      <c r="CW68" s="59"/>
      <c r="CX68" s="59"/>
      <c r="CY68" s="59"/>
      <c r="CZ68" s="59"/>
      <c r="DA68" s="59"/>
      <c r="DB68" s="59"/>
      <c r="DE68" s="133"/>
      <c r="DF68" s="9">
        <v>0</v>
      </c>
    </row>
    <row r="69" spans="1:111" s="9" customFormat="1" x14ac:dyDescent="0.2">
      <c r="A69" s="9" t="s">
        <v>454</v>
      </c>
      <c r="N69" s="9">
        <f>N26-SUM(AI26:AL26)</f>
        <v>2770</v>
      </c>
      <c r="O69" s="9">
        <f>O26-SUM(AM26:AP26)</f>
        <v>3393</v>
      </c>
      <c r="P69" s="9">
        <f>P26-SUM(AQ26:AT26)</f>
        <v>3141</v>
      </c>
      <c r="Q69" s="9">
        <f>Q26-SUM(AU26:AX26)</f>
        <v>4805</v>
      </c>
      <c r="R69" s="9">
        <f>R26-SUM(AY26:BB26)</f>
        <v>5427</v>
      </c>
      <c r="S69" s="9">
        <f>S26-SUM(BC26:BF26)</f>
        <v>6168</v>
      </c>
      <c r="T69" s="9">
        <f>T26-SUM(BG26:BJ26)</f>
        <v>8584</v>
      </c>
      <c r="U69" s="9">
        <f>U26-SUM(BK26:BN26)</f>
        <v>9419</v>
      </c>
      <c r="V69" s="9">
        <f>V26-SUM(BO26:BR26)</f>
        <v>11306</v>
      </c>
      <c r="W69" s="9">
        <f>W26-SUM(BS26:BV26)</f>
        <v>19418</v>
      </c>
      <c r="X69" s="9">
        <f>X26-SUM(BW26:BZ26)</f>
        <v>24965</v>
      </c>
      <c r="Y69" s="9">
        <f>Y26-SUM(CA26:CD26)</f>
        <v>25746</v>
      </c>
      <c r="Z69" s="9">
        <f>Z26-SUM(CE26:CH26)</f>
        <v>28847</v>
      </c>
      <c r="AA69" s="9">
        <f>AA26-SUM(CF26:CI26)</f>
        <v>42162</v>
      </c>
      <c r="AB69" s="15">
        <f>AB26-SUM(CM26:CP26)</f>
        <v>0</v>
      </c>
      <c r="AC69" s="15">
        <f>AC26-SUM(CQ26:CT26)</f>
        <v>0</v>
      </c>
      <c r="AD69" s="15">
        <f>AD26-SUM(CU26:CX26)</f>
        <v>0</v>
      </c>
      <c r="AE69" s="15">
        <f>AE26-SUM(CY26:DB26)</f>
        <v>0</v>
      </c>
      <c r="CM69" s="59"/>
      <c r="CN69" s="59"/>
      <c r="CO69" s="59"/>
      <c r="CP69" s="59"/>
      <c r="CQ69" s="59"/>
      <c r="CR69" s="59"/>
      <c r="CS69" s="59"/>
      <c r="CT69" s="59"/>
      <c r="CU69" s="59"/>
      <c r="CV69" s="59"/>
      <c r="CW69" s="59"/>
      <c r="CX69" s="59"/>
      <c r="CY69" s="59"/>
      <c r="CZ69" s="59"/>
      <c r="DA69" s="59"/>
      <c r="DB69" s="59"/>
      <c r="DE69" s="133"/>
      <c r="DF69" s="9">
        <v>0</v>
      </c>
    </row>
    <row r="70" spans="1:111" s="9" customFormat="1" x14ac:dyDescent="0.2">
      <c r="A70" s="9" t="s">
        <v>455</v>
      </c>
      <c r="N70" s="9">
        <f>N38-SUM(AI38:AL38)</f>
        <v>1143</v>
      </c>
      <c r="O70" s="9">
        <f>O38-SUM(AM38:AP38)</f>
        <v>1435</v>
      </c>
      <c r="P70" s="9">
        <f>P38-SUM(AQ38:AT38)</f>
        <v>1051</v>
      </c>
      <c r="Q70" s="9">
        <f>Q38-SUM(AU38:AX38)</f>
        <v>-45</v>
      </c>
      <c r="R70" s="9">
        <f>R38-SUM(AY38:BB38)</f>
        <v>-360</v>
      </c>
      <c r="S70" s="9">
        <f>S38-SUM(BC38:BF38)</f>
        <v>1</v>
      </c>
      <c r="T70" s="9">
        <f>T38-SUM(BG38:BJ38)</f>
        <v>2</v>
      </c>
      <c r="U70" s="9">
        <f>U38-SUM(BK38:BN38)</f>
        <v>-512</v>
      </c>
      <c r="V70" s="9">
        <f>V38-SUM(BO38:BR38)</f>
        <v>-347</v>
      </c>
      <c r="W70" s="9">
        <f>W38-SUM(BS38:BV38)</f>
        <v>-1</v>
      </c>
      <c r="X70" s="9">
        <f>X38-SUM(BW38:BZ38)</f>
        <v>-648</v>
      </c>
      <c r="Y70" s="9">
        <f>Y38-SUM(CA38:CD38)</f>
        <v>0</v>
      </c>
      <c r="Z70" s="9">
        <f>Z38-SUM(CE38:CH38)</f>
        <v>-314</v>
      </c>
      <c r="AA70" s="9">
        <f>AA38-SUM(CF38:CI38)</f>
        <v>-79</v>
      </c>
      <c r="AB70" s="15">
        <f>AB38-SUM(CM38:CP38)</f>
        <v>0</v>
      </c>
      <c r="AC70" s="15">
        <f>AC38-SUM(CQ38:CT38)</f>
        <v>0</v>
      </c>
      <c r="AD70" s="15">
        <f>AD38-SUM(CU38:CX38)</f>
        <v>0</v>
      </c>
      <c r="AE70" s="15">
        <f>AE38-SUM(CY38:DB38)</f>
        <v>0</v>
      </c>
      <c r="CM70" s="59"/>
      <c r="CN70" s="59"/>
      <c r="CO70" s="59"/>
      <c r="CP70" s="59"/>
      <c r="CQ70" s="59"/>
      <c r="CR70" s="59"/>
      <c r="CS70" s="59"/>
      <c r="CT70" s="59"/>
      <c r="CU70" s="59"/>
      <c r="CV70" s="59"/>
      <c r="CW70" s="59"/>
      <c r="CX70" s="59"/>
      <c r="CY70" s="59"/>
      <c r="CZ70" s="59"/>
      <c r="DA70" s="59"/>
      <c r="DB70" s="59"/>
      <c r="DE70" s="133"/>
      <c r="DF70" s="9">
        <v>0</v>
      </c>
    </row>
    <row r="71" spans="1:111" s="9" customFormat="1" x14ac:dyDescent="0.2">
      <c r="A71" s="9" t="s">
        <v>456</v>
      </c>
      <c r="N71" s="9">
        <f>N58-SUM(AI58:AL58)</f>
        <v>8</v>
      </c>
      <c r="O71" s="9">
        <f>O58-SUM(AM58:AP58)</f>
        <v>8</v>
      </c>
      <c r="P71" s="9">
        <f>P58-SUM(AQ58:AT58)</f>
        <v>43</v>
      </c>
      <c r="Q71" s="9">
        <f>Q58-SUM(AU58:AX58)</f>
        <v>1</v>
      </c>
      <c r="R71" s="9">
        <f>R58-SUM(AY58:BB58)</f>
        <v>0</v>
      </c>
      <c r="S71" s="9">
        <f>S58-SUM(BC58:BF58)</f>
        <v>1</v>
      </c>
      <c r="T71" s="9">
        <f>T58-SUM(BG58:BJ58)</f>
        <v>-1</v>
      </c>
      <c r="U71" s="9">
        <f>U58-SUM(BK58:BN58)</f>
        <v>-1</v>
      </c>
      <c r="V71" s="9">
        <f>V58-SUM(BO58:BR58)</f>
        <v>0</v>
      </c>
      <c r="W71" s="9">
        <f>W51-SUM(BS51:BV51)</f>
        <v>0</v>
      </c>
      <c r="X71" s="9">
        <f>X51-SUM(BW51:BZ51)</f>
        <v>0</v>
      </c>
      <c r="Y71" s="9">
        <f>Y51-SUM(CA51:CD51)</f>
        <v>0</v>
      </c>
      <c r="Z71" s="9">
        <f>Z51-SUM(CE51:CH51)</f>
        <v>0</v>
      </c>
      <c r="AA71" s="9">
        <f>AA51-SUM(CF51:CI51)</f>
        <v>3463</v>
      </c>
      <c r="AB71" s="15">
        <f>AB51-SUM(CM51:CP51)</f>
        <v>0</v>
      </c>
      <c r="AC71" s="15">
        <f>AC51-SUM(CQ51:CT51)</f>
        <v>0</v>
      </c>
      <c r="AD71" s="15">
        <f>AD51-SUM(CU51:CX51)</f>
        <v>0</v>
      </c>
      <c r="AE71" s="15">
        <f>AE51-SUM(CY51:DB51)</f>
        <v>0</v>
      </c>
      <c r="CM71" s="59"/>
      <c r="CN71" s="59"/>
      <c r="CO71" s="59"/>
      <c r="CP71" s="59"/>
      <c r="CQ71" s="59"/>
      <c r="CR71" s="59"/>
      <c r="CS71" s="59"/>
      <c r="CT71" s="59"/>
      <c r="CU71" s="59"/>
      <c r="CV71" s="59"/>
      <c r="CW71" s="59"/>
      <c r="CX71" s="59"/>
      <c r="CY71" s="59"/>
      <c r="CZ71" s="59"/>
      <c r="DA71" s="59"/>
      <c r="DB71" s="59"/>
      <c r="DE71" s="133"/>
      <c r="DF71" s="9">
        <v>0</v>
      </c>
    </row>
    <row r="72" spans="1:111" s="8" customFormat="1" x14ac:dyDescent="0.2">
      <c r="A72" s="149" t="s">
        <v>489</v>
      </c>
      <c r="AB72" s="58"/>
      <c r="AC72" s="58"/>
      <c r="AD72" s="58"/>
      <c r="AE72" s="58"/>
      <c r="CM72" s="54"/>
      <c r="CN72" s="54"/>
      <c r="CO72" s="54"/>
      <c r="CP72" s="54"/>
      <c r="CQ72" s="54"/>
      <c r="CR72" s="54"/>
      <c r="CS72" s="54"/>
      <c r="CT72" s="54"/>
      <c r="CU72" s="54"/>
      <c r="CV72" s="54"/>
      <c r="CW72" s="54"/>
      <c r="CX72" s="54"/>
      <c r="CY72" s="54"/>
      <c r="CZ72" s="54"/>
      <c r="DA72" s="54"/>
      <c r="DB72" s="54"/>
      <c r="DE72" s="132"/>
    </row>
    <row r="73" spans="1:111" s="3" customFormat="1" x14ac:dyDescent="0.2">
      <c r="A73" s="3" t="s">
        <v>27</v>
      </c>
      <c r="B73" s="3">
        <f>'Annual Raw'!C104</f>
        <v>33.079058500000002</v>
      </c>
      <c r="C73" s="3">
        <f>'Annual Raw'!D104</f>
        <v>33.090000000000003</v>
      </c>
      <c r="D73" s="3">
        <f>'Annual Raw'!E104</f>
        <v>33.119999999999997</v>
      </c>
      <c r="E73" s="3">
        <f t="shared" ref="E73:Y73" ca="1" si="752">+F73</f>
        <v>2024</v>
      </c>
      <c r="F73" s="3">
        <f t="shared" ca="1" si="752"/>
        <v>2024</v>
      </c>
      <c r="G73" s="3">
        <f t="shared" ca="1" si="752"/>
        <v>2024</v>
      </c>
      <c r="H73" s="3">
        <f t="shared" ca="1" si="752"/>
        <v>2024</v>
      </c>
      <c r="I73" s="3">
        <f t="shared" ca="1" si="752"/>
        <v>2024</v>
      </c>
      <c r="J73" s="3">
        <f t="shared" ca="1" si="752"/>
        <v>2024</v>
      </c>
      <c r="K73" s="3">
        <f t="shared" ca="1" si="752"/>
        <v>2024</v>
      </c>
      <c r="L73" s="3">
        <f t="shared" ca="1" si="752"/>
        <v>2024</v>
      </c>
      <c r="M73" s="3">
        <f t="shared" ca="1" si="752"/>
        <v>2024</v>
      </c>
      <c r="N73" s="3">
        <f t="shared" ca="1" si="752"/>
        <v>2024</v>
      </c>
      <c r="O73" s="3">
        <f t="shared" ca="1" si="752"/>
        <v>2024</v>
      </c>
      <c r="P73" s="3">
        <f t="shared" ca="1" si="752"/>
        <v>2024</v>
      </c>
      <c r="Q73" s="3">
        <f t="shared" ca="1" si="752"/>
        <v>2024</v>
      </c>
      <c r="R73" s="3">
        <f t="shared" ca="1" si="752"/>
        <v>2024</v>
      </c>
      <c r="S73" s="3">
        <f t="shared" ca="1" si="752"/>
        <v>2024</v>
      </c>
      <c r="T73" s="3">
        <f t="shared" ca="1" si="752"/>
        <v>2024</v>
      </c>
      <c r="U73" s="3">
        <f t="shared" ca="1" si="752"/>
        <v>2024</v>
      </c>
      <c r="V73" s="3">
        <f t="shared" ca="1" si="752"/>
        <v>2024</v>
      </c>
      <c r="W73" s="3">
        <f t="shared" ca="1" si="752"/>
        <v>2024</v>
      </c>
      <c r="X73" s="3">
        <f t="shared" ca="1" si="752"/>
        <v>2024</v>
      </c>
      <c r="Y73" s="3">
        <f t="shared" ca="1" si="752"/>
        <v>2024</v>
      </c>
      <c r="Z73" s="3">
        <f ca="1">+AA73</f>
        <v>2024</v>
      </c>
      <c r="AA73" s="3">
        <f ca="1">+AB73</f>
        <v>2024</v>
      </c>
      <c r="AB73" s="37">
        <f t="shared" ref="AB73:AB74" ca="1" si="753">AA73</f>
        <v>2024</v>
      </c>
      <c r="AC73" s="37">
        <f t="shared" ref="AC73:AC74" ca="1" si="754">AB73</f>
        <v>2024</v>
      </c>
      <c r="AD73" s="37">
        <f t="shared" ref="AD73:AD74" ca="1" si="755">AC73</f>
        <v>2024</v>
      </c>
      <c r="AE73" s="37">
        <f t="shared" ref="AE73:AE74" ca="1" si="756">AD73</f>
        <v>2024</v>
      </c>
      <c r="AI73" s="3">
        <f t="shared" ref="AI73:CH73" si="757">+AJ73</f>
        <v>2024</v>
      </c>
      <c r="AJ73" s="3">
        <f t="shared" si="757"/>
        <v>2024</v>
      </c>
      <c r="AK73" s="3">
        <f t="shared" si="757"/>
        <v>2024</v>
      </c>
      <c r="AL73" s="3">
        <f t="shared" si="757"/>
        <v>2024</v>
      </c>
      <c r="AM73" s="3">
        <f t="shared" si="757"/>
        <v>2024</v>
      </c>
      <c r="AN73" s="3">
        <f t="shared" si="757"/>
        <v>2024</v>
      </c>
      <c r="AO73" s="3">
        <f t="shared" si="757"/>
        <v>2024</v>
      </c>
      <c r="AP73" s="3">
        <f t="shared" si="757"/>
        <v>2024</v>
      </c>
      <c r="AQ73" s="3">
        <f t="shared" si="757"/>
        <v>2024</v>
      </c>
      <c r="AR73" s="3">
        <f t="shared" si="757"/>
        <v>2024</v>
      </c>
      <c r="AS73" s="3">
        <f t="shared" si="757"/>
        <v>2024</v>
      </c>
      <c r="AT73" s="3">
        <f t="shared" si="757"/>
        <v>2024</v>
      </c>
      <c r="AU73" s="3">
        <f t="shared" si="757"/>
        <v>2024</v>
      </c>
      <c r="AV73" s="3">
        <f t="shared" si="757"/>
        <v>2024</v>
      </c>
      <c r="AW73" s="3">
        <f t="shared" si="757"/>
        <v>2024</v>
      </c>
      <c r="AX73" s="3">
        <f t="shared" si="757"/>
        <v>2024</v>
      </c>
      <c r="AY73" s="3">
        <f t="shared" si="757"/>
        <v>2024</v>
      </c>
      <c r="AZ73" s="3">
        <f t="shared" si="757"/>
        <v>2024</v>
      </c>
      <c r="BA73" s="3">
        <f t="shared" si="757"/>
        <v>2024</v>
      </c>
      <c r="BB73" s="3">
        <f t="shared" si="757"/>
        <v>2024</v>
      </c>
      <c r="BC73" s="3">
        <f t="shared" si="757"/>
        <v>2024</v>
      </c>
      <c r="BD73" s="3">
        <f t="shared" si="757"/>
        <v>2024</v>
      </c>
      <c r="BE73" s="3">
        <f t="shared" si="757"/>
        <v>2024</v>
      </c>
      <c r="BF73" s="3">
        <f t="shared" si="757"/>
        <v>2024</v>
      </c>
      <c r="BG73" s="3">
        <f t="shared" si="757"/>
        <v>2024</v>
      </c>
      <c r="BH73" s="3">
        <f t="shared" si="757"/>
        <v>2024</v>
      </c>
      <c r="BI73" s="3">
        <f t="shared" si="757"/>
        <v>2024</v>
      </c>
      <c r="BJ73" s="3">
        <f t="shared" si="757"/>
        <v>2024</v>
      </c>
      <c r="BK73" s="3">
        <f t="shared" si="757"/>
        <v>2024</v>
      </c>
      <c r="BL73" s="3">
        <f t="shared" si="757"/>
        <v>2024</v>
      </c>
      <c r="BM73" s="3">
        <f t="shared" si="757"/>
        <v>2024</v>
      </c>
      <c r="BN73" s="3">
        <f t="shared" si="757"/>
        <v>2024</v>
      </c>
      <c r="BO73" s="3">
        <f t="shared" si="757"/>
        <v>2024</v>
      </c>
      <c r="BP73" s="3">
        <f t="shared" si="757"/>
        <v>2024</v>
      </c>
      <c r="BQ73" s="3">
        <f t="shared" si="757"/>
        <v>2024</v>
      </c>
      <c r="BR73" s="3">
        <f t="shared" si="757"/>
        <v>2024</v>
      </c>
      <c r="BS73" s="3">
        <f t="shared" si="757"/>
        <v>2024</v>
      </c>
      <c r="BT73" s="3">
        <f t="shared" si="757"/>
        <v>2024</v>
      </c>
      <c r="BU73" s="3">
        <f t="shared" si="757"/>
        <v>2024</v>
      </c>
      <c r="BV73" s="3">
        <f t="shared" si="757"/>
        <v>2024</v>
      </c>
      <c r="BW73" s="3">
        <f t="shared" si="757"/>
        <v>2024</v>
      </c>
      <c r="BX73" s="3">
        <f t="shared" si="757"/>
        <v>2024</v>
      </c>
      <c r="BY73" s="3">
        <f t="shared" si="757"/>
        <v>2024</v>
      </c>
      <c r="BZ73" s="3">
        <f t="shared" si="757"/>
        <v>2024</v>
      </c>
      <c r="CA73" s="3">
        <f t="shared" si="757"/>
        <v>2024</v>
      </c>
      <c r="CB73" s="3">
        <f t="shared" si="757"/>
        <v>2024</v>
      </c>
      <c r="CC73" s="3">
        <f t="shared" si="757"/>
        <v>2024</v>
      </c>
      <c r="CD73" s="3">
        <f t="shared" si="757"/>
        <v>2024</v>
      </c>
      <c r="CE73" s="3">
        <f t="shared" si="757"/>
        <v>2024</v>
      </c>
      <c r="CF73" s="3">
        <f t="shared" si="757"/>
        <v>2024</v>
      </c>
      <c r="CG73" s="3">
        <f t="shared" si="757"/>
        <v>2024</v>
      </c>
      <c r="CH73" s="3">
        <f t="shared" si="757"/>
        <v>2024</v>
      </c>
      <c r="CI73" s="3">
        <f>+CJ73</f>
        <v>2024</v>
      </c>
      <c r="CJ73" s="3">
        <f t="shared" ref="CJ73:CK73" si="758">+CK73</f>
        <v>2024</v>
      </c>
      <c r="CK73" s="3">
        <f t="shared" si="758"/>
        <v>2024</v>
      </c>
      <c r="CL73" s="3">
        <f>'QTR Raw'!BF45</f>
        <v>2024</v>
      </c>
      <c r="CM73" s="37">
        <f t="shared" ref="CM73:CM74" si="759">+CL73</f>
        <v>2024</v>
      </c>
      <c r="CN73" s="37">
        <f t="shared" ref="CN73:CN74" si="760">+CM73</f>
        <v>2024</v>
      </c>
      <c r="CO73" s="37">
        <f t="shared" ref="CO73:CO74" si="761">+CN73</f>
        <v>2024</v>
      </c>
      <c r="CP73" s="37">
        <f t="shared" ref="CP73:CP74" si="762">+CO73</f>
        <v>2024</v>
      </c>
      <c r="CQ73" s="37">
        <f t="shared" ref="CQ73:CQ74" si="763">+CP73</f>
        <v>2024</v>
      </c>
      <c r="CR73" s="37">
        <f t="shared" ref="CR73:CR74" si="764">+CQ73</f>
        <v>2024</v>
      </c>
      <c r="CS73" s="37">
        <f t="shared" ref="CS73:CS74" si="765">+CR73</f>
        <v>2024</v>
      </c>
      <c r="CT73" s="37">
        <f t="shared" ref="CT73:CT74" si="766">+CS73</f>
        <v>2024</v>
      </c>
      <c r="CU73" s="37">
        <f t="shared" ref="CU73:CU74" si="767">+CT73</f>
        <v>2024</v>
      </c>
      <c r="CV73" s="37">
        <f t="shared" ref="CV73:CV74" si="768">+CU73</f>
        <v>2024</v>
      </c>
      <c r="CW73" s="37">
        <f t="shared" ref="CW73:CW74" si="769">+CV73</f>
        <v>2024</v>
      </c>
      <c r="CX73" s="37">
        <f t="shared" ref="CX73:CX74" si="770">+CW73</f>
        <v>2024</v>
      </c>
      <c r="CY73" s="37">
        <f t="shared" ref="CY73:CY74" si="771">+CX73</f>
        <v>2024</v>
      </c>
      <c r="CZ73" s="37">
        <f t="shared" ref="CZ73:CZ74" si="772">+CY73</f>
        <v>2024</v>
      </c>
      <c r="DA73" s="37">
        <f t="shared" ref="DA73:DA74" si="773">+CZ73</f>
        <v>2024</v>
      </c>
      <c r="DB73" s="37">
        <f t="shared" ref="DB73:DB74" si="774">+DA73</f>
        <v>2024</v>
      </c>
      <c r="DE73" s="134"/>
      <c r="DF73" s="3">
        <v>2024</v>
      </c>
      <c r="DG73" s="3">
        <v>2024</v>
      </c>
    </row>
    <row r="74" spans="1:111" s="3" customFormat="1" x14ac:dyDescent="0.2">
      <c r="A74" s="3" t="s">
        <v>28</v>
      </c>
      <c r="B74" s="3">
        <f>'Annual Raw'!C105</f>
        <v>5</v>
      </c>
      <c r="C74" s="3">
        <f>'Annual Raw'!D105</f>
        <v>5</v>
      </c>
      <c r="D74" s="3">
        <f>'Annual Raw'!E105</f>
        <v>5</v>
      </c>
      <c r="E74" s="3">
        <f t="shared" ref="E74:Y74" ca="1" si="775">+F74</f>
        <v>5</v>
      </c>
      <c r="F74" s="3">
        <f t="shared" ca="1" si="775"/>
        <v>5</v>
      </c>
      <c r="G74" s="3">
        <f t="shared" ca="1" si="775"/>
        <v>5</v>
      </c>
      <c r="H74" s="3">
        <f t="shared" ca="1" si="775"/>
        <v>5</v>
      </c>
      <c r="I74" s="3">
        <f t="shared" ca="1" si="775"/>
        <v>5</v>
      </c>
      <c r="J74" s="3">
        <f t="shared" ca="1" si="775"/>
        <v>5</v>
      </c>
      <c r="K74" s="3">
        <f t="shared" ca="1" si="775"/>
        <v>5</v>
      </c>
      <c r="L74" s="3">
        <f t="shared" ca="1" si="775"/>
        <v>5</v>
      </c>
      <c r="M74" s="3">
        <f t="shared" ca="1" si="775"/>
        <v>5</v>
      </c>
      <c r="N74" s="3">
        <f t="shared" ca="1" si="775"/>
        <v>5</v>
      </c>
      <c r="O74" s="3">
        <f t="shared" ca="1" si="775"/>
        <v>5</v>
      </c>
      <c r="P74" s="3">
        <f t="shared" ca="1" si="775"/>
        <v>5</v>
      </c>
      <c r="Q74" s="3">
        <f t="shared" ca="1" si="775"/>
        <v>5</v>
      </c>
      <c r="R74" s="3">
        <f t="shared" ca="1" si="775"/>
        <v>5</v>
      </c>
      <c r="S74" s="3">
        <f t="shared" ca="1" si="775"/>
        <v>5</v>
      </c>
      <c r="T74" s="3">
        <f t="shared" ca="1" si="775"/>
        <v>5</v>
      </c>
      <c r="U74" s="3">
        <f t="shared" ca="1" si="775"/>
        <v>5</v>
      </c>
      <c r="V74" s="3">
        <f t="shared" ca="1" si="775"/>
        <v>5</v>
      </c>
      <c r="W74" s="3">
        <f t="shared" ca="1" si="775"/>
        <v>5</v>
      </c>
      <c r="X74" s="3">
        <f t="shared" ca="1" si="775"/>
        <v>5</v>
      </c>
      <c r="Y74" s="3">
        <f t="shared" ca="1" si="775"/>
        <v>5</v>
      </c>
      <c r="Z74" s="3">
        <f ca="1">+AA74</f>
        <v>5</v>
      </c>
      <c r="AA74" s="3">
        <f ca="1">+AB74</f>
        <v>5</v>
      </c>
      <c r="AB74" s="37">
        <f t="shared" ca="1" si="753"/>
        <v>5</v>
      </c>
      <c r="AC74" s="37">
        <f t="shared" ca="1" si="754"/>
        <v>5</v>
      </c>
      <c r="AD74" s="37">
        <f t="shared" ca="1" si="755"/>
        <v>5</v>
      </c>
      <c r="AE74" s="37">
        <f t="shared" ca="1" si="756"/>
        <v>5</v>
      </c>
      <c r="AI74" s="3">
        <f t="shared" ref="AI74:CH74" si="776">AJ74</f>
        <v>5</v>
      </c>
      <c r="AJ74" s="3">
        <f t="shared" si="776"/>
        <v>5</v>
      </c>
      <c r="AK74" s="3">
        <f t="shared" si="776"/>
        <v>5</v>
      </c>
      <c r="AL74" s="3">
        <f t="shared" si="776"/>
        <v>5</v>
      </c>
      <c r="AM74" s="3">
        <f t="shared" si="776"/>
        <v>5</v>
      </c>
      <c r="AN74" s="3">
        <f t="shared" si="776"/>
        <v>5</v>
      </c>
      <c r="AO74" s="3">
        <f t="shared" si="776"/>
        <v>5</v>
      </c>
      <c r="AP74" s="3">
        <f t="shared" si="776"/>
        <v>5</v>
      </c>
      <c r="AQ74" s="3">
        <f t="shared" si="776"/>
        <v>5</v>
      </c>
      <c r="AR74" s="3">
        <f t="shared" si="776"/>
        <v>5</v>
      </c>
      <c r="AS74" s="3">
        <f t="shared" si="776"/>
        <v>5</v>
      </c>
      <c r="AT74" s="3">
        <f t="shared" si="776"/>
        <v>5</v>
      </c>
      <c r="AU74" s="3">
        <f t="shared" si="776"/>
        <v>5</v>
      </c>
      <c r="AV74" s="3">
        <f t="shared" si="776"/>
        <v>5</v>
      </c>
      <c r="AW74" s="3">
        <f t="shared" si="776"/>
        <v>5</v>
      </c>
      <c r="AX74" s="3">
        <f t="shared" si="776"/>
        <v>5</v>
      </c>
      <c r="AY74" s="3">
        <f t="shared" si="776"/>
        <v>5</v>
      </c>
      <c r="AZ74" s="3">
        <f t="shared" si="776"/>
        <v>5</v>
      </c>
      <c r="BA74" s="3">
        <f t="shared" si="776"/>
        <v>5</v>
      </c>
      <c r="BB74" s="3">
        <f t="shared" si="776"/>
        <v>5</v>
      </c>
      <c r="BC74" s="3">
        <f t="shared" si="776"/>
        <v>5</v>
      </c>
      <c r="BD74" s="3">
        <f t="shared" si="776"/>
        <v>5</v>
      </c>
      <c r="BE74" s="3">
        <f t="shared" si="776"/>
        <v>5</v>
      </c>
      <c r="BF74" s="3">
        <f t="shared" si="776"/>
        <v>5</v>
      </c>
      <c r="BG74" s="3">
        <f t="shared" si="776"/>
        <v>5</v>
      </c>
      <c r="BH74" s="3">
        <f t="shared" si="776"/>
        <v>5</v>
      </c>
      <c r="BI74" s="3">
        <f t="shared" si="776"/>
        <v>5</v>
      </c>
      <c r="BJ74" s="3">
        <f t="shared" si="776"/>
        <v>5</v>
      </c>
      <c r="BK74" s="3">
        <f t="shared" si="776"/>
        <v>5</v>
      </c>
      <c r="BL74" s="3">
        <f t="shared" si="776"/>
        <v>5</v>
      </c>
      <c r="BM74" s="3">
        <f t="shared" si="776"/>
        <v>5</v>
      </c>
      <c r="BN74" s="3">
        <f t="shared" si="776"/>
        <v>5</v>
      </c>
      <c r="BO74" s="3">
        <f t="shared" si="776"/>
        <v>5</v>
      </c>
      <c r="BP74" s="3">
        <f t="shared" si="776"/>
        <v>5</v>
      </c>
      <c r="BQ74" s="3">
        <f t="shared" si="776"/>
        <v>5</v>
      </c>
      <c r="BR74" s="3">
        <f t="shared" si="776"/>
        <v>5</v>
      </c>
      <c r="BS74" s="3">
        <f t="shared" si="776"/>
        <v>5</v>
      </c>
      <c r="BT74" s="3">
        <f t="shared" si="776"/>
        <v>5</v>
      </c>
      <c r="BU74" s="3">
        <f t="shared" si="776"/>
        <v>5</v>
      </c>
      <c r="BV74" s="3">
        <f t="shared" si="776"/>
        <v>5</v>
      </c>
      <c r="BW74" s="3">
        <f t="shared" si="776"/>
        <v>5</v>
      </c>
      <c r="BX74" s="3">
        <f t="shared" si="776"/>
        <v>5</v>
      </c>
      <c r="BY74" s="3">
        <f t="shared" si="776"/>
        <v>5</v>
      </c>
      <c r="BZ74" s="3">
        <f t="shared" si="776"/>
        <v>5</v>
      </c>
      <c r="CA74" s="3">
        <f t="shared" si="776"/>
        <v>5</v>
      </c>
      <c r="CB74" s="3">
        <f t="shared" si="776"/>
        <v>5</v>
      </c>
      <c r="CC74" s="3">
        <f t="shared" si="776"/>
        <v>5</v>
      </c>
      <c r="CD74" s="3">
        <f t="shared" si="776"/>
        <v>5</v>
      </c>
      <c r="CE74" s="3">
        <f t="shared" si="776"/>
        <v>5</v>
      </c>
      <c r="CF74" s="3">
        <f t="shared" si="776"/>
        <v>5</v>
      </c>
      <c r="CG74" s="3">
        <f t="shared" si="776"/>
        <v>5</v>
      </c>
      <c r="CH74" s="3">
        <f t="shared" si="776"/>
        <v>5</v>
      </c>
      <c r="CI74" s="3">
        <f>CJ74</f>
        <v>5</v>
      </c>
      <c r="CJ74" s="3">
        <f t="shared" ref="CJ74:CK74" si="777">CK74</f>
        <v>5</v>
      </c>
      <c r="CK74" s="3">
        <f t="shared" si="777"/>
        <v>5</v>
      </c>
      <c r="CL74" s="3">
        <f>'QTR Raw'!BF46</f>
        <v>5</v>
      </c>
      <c r="CM74" s="37">
        <f t="shared" si="759"/>
        <v>5</v>
      </c>
      <c r="CN74" s="37">
        <f t="shared" si="760"/>
        <v>5</v>
      </c>
      <c r="CO74" s="37">
        <f t="shared" si="761"/>
        <v>5</v>
      </c>
      <c r="CP74" s="37">
        <f t="shared" si="762"/>
        <v>5</v>
      </c>
      <c r="CQ74" s="37">
        <f t="shared" si="763"/>
        <v>5</v>
      </c>
      <c r="CR74" s="37">
        <f t="shared" si="764"/>
        <v>5</v>
      </c>
      <c r="CS74" s="37">
        <f t="shared" si="765"/>
        <v>5</v>
      </c>
      <c r="CT74" s="37">
        <f t="shared" si="766"/>
        <v>5</v>
      </c>
      <c r="CU74" s="37">
        <f t="shared" si="767"/>
        <v>5</v>
      </c>
      <c r="CV74" s="37">
        <f t="shared" si="768"/>
        <v>5</v>
      </c>
      <c r="CW74" s="37">
        <f t="shared" si="769"/>
        <v>5</v>
      </c>
      <c r="CX74" s="37">
        <f t="shared" si="770"/>
        <v>5</v>
      </c>
      <c r="CY74" s="37">
        <f t="shared" si="771"/>
        <v>5</v>
      </c>
      <c r="CZ74" s="37">
        <f t="shared" si="772"/>
        <v>5</v>
      </c>
      <c r="DA74" s="37">
        <f t="shared" si="773"/>
        <v>5</v>
      </c>
      <c r="DB74" s="37">
        <f t="shared" si="774"/>
        <v>5</v>
      </c>
      <c r="DE74" s="134"/>
      <c r="DF74" s="3">
        <v>5</v>
      </c>
      <c r="DG74" s="3">
        <v>5</v>
      </c>
    </row>
    <row r="75" spans="1:111" s="3" customFormat="1" x14ac:dyDescent="0.2">
      <c r="A75" s="3" t="s">
        <v>29</v>
      </c>
      <c r="B75" s="3">
        <f>B73/B74</f>
        <v>6.6158117000000001</v>
      </c>
      <c r="C75" s="3">
        <f t="shared" ref="C75:W75" si="778">C73/C74</f>
        <v>6.6180000000000003</v>
      </c>
      <c r="D75" s="3">
        <f t="shared" si="778"/>
        <v>6.6239999999999997</v>
      </c>
      <c r="E75" s="3">
        <f t="shared" ca="1" si="778"/>
        <v>404.8</v>
      </c>
      <c r="F75" s="3">
        <f t="shared" ca="1" si="778"/>
        <v>404.8</v>
      </c>
      <c r="G75" s="3">
        <f t="shared" ca="1" si="778"/>
        <v>404.8</v>
      </c>
      <c r="H75" s="3">
        <f t="shared" ca="1" si="778"/>
        <v>404.8</v>
      </c>
      <c r="I75" s="3">
        <f t="shared" ca="1" si="778"/>
        <v>404.8</v>
      </c>
      <c r="J75" s="3">
        <f t="shared" ca="1" si="778"/>
        <v>404.8</v>
      </c>
      <c r="K75" s="3">
        <f t="shared" ca="1" si="778"/>
        <v>404.8</v>
      </c>
      <c r="L75" s="3">
        <f t="shared" ca="1" si="778"/>
        <v>404.8</v>
      </c>
      <c r="M75" s="3">
        <f t="shared" ca="1" si="778"/>
        <v>404.8</v>
      </c>
      <c r="N75" s="3">
        <f t="shared" ca="1" si="778"/>
        <v>404.8</v>
      </c>
      <c r="O75" s="3">
        <f t="shared" ca="1" si="778"/>
        <v>404.8</v>
      </c>
      <c r="P75" s="3">
        <f t="shared" ca="1" si="778"/>
        <v>404.8</v>
      </c>
      <c r="Q75" s="3">
        <f t="shared" ca="1" si="778"/>
        <v>404.8</v>
      </c>
      <c r="R75" s="3">
        <f t="shared" ca="1" si="778"/>
        <v>404.8</v>
      </c>
      <c r="S75" s="3">
        <f t="shared" ca="1" si="778"/>
        <v>404.8</v>
      </c>
      <c r="T75" s="3">
        <f t="shared" ca="1" si="778"/>
        <v>404.8</v>
      </c>
      <c r="U75" s="3">
        <f t="shared" ca="1" si="778"/>
        <v>404.8</v>
      </c>
      <c r="V75" s="3">
        <f ca="1">V73/V74</f>
        <v>404.8</v>
      </c>
      <c r="W75" s="3">
        <f t="shared" ca="1" si="778"/>
        <v>404.8</v>
      </c>
      <c r="X75" s="3">
        <f t="shared" ref="X75:Y75" ca="1" si="779">X73/X74</f>
        <v>404.8</v>
      </c>
      <c r="Y75" s="3">
        <f t="shared" ca="1" si="779"/>
        <v>404.8</v>
      </c>
      <c r="Z75" s="3">
        <f t="shared" ref="Z75:AA75" ca="1" si="780">Z73/Z74</f>
        <v>404.8</v>
      </c>
      <c r="AA75" s="3">
        <f t="shared" ref="AA75" ca="1" si="781">AA73/AA74</f>
        <v>404.8</v>
      </c>
      <c r="AB75" s="37">
        <f t="shared" ref="AB75:AD75" ca="1" si="782">AB73/AB74</f>
        <v>404.8</v>
      </c>
      <c r="AC75" s="37">
        <f t="shared" ca="1" si="782"/>
        <v>404.8</v>
      </c>
      <c r="AD75" s="37">
        <f t="shared" ca="1" si="782"/>
        <v>404.8</v>
      </c>
      <c r="AE75" s="37">
        <f t="shared" ref="AE75" ca="1" si="783">AE73/AE74</f>
        <v>404.8</v>
      </c>
      <c r="AI75" s="3">
        <f t="shared" ref="AI75" si="784">AI73/AI74</f>
        <v>404.8</v>
      </c>
      <c r="AJ75" s="3">
        <f t="shared" ref="AJ75" si="785">AJ73/AJ74</f>
        <v>404.8</v>
      </c>
      <c r="AK75" s="3">
        <f t="shared" ref="AK75:AM75" si="786">AK73/AK74</f>
        <v>404.8</v>
      </c>
      <c r="AL75" s="3">
        <f t="shared" si="786"/>
        <v>404.8</v>
      </c>
      <c r="AM75" s="3">
        <f t="shared" si="786"/>
        <v>404.8</v>
      </c>
      <c r="AN75" s="3">
        <f t="shared" ref="AN75:AO75" si="787">AN73/AN74</f>
        <v>404.8</v>
      </c>
      <c r="AO75" s="3">
        <f t="shared" si="787"/>
        <v>404.8</v>
      </c>
      <c r="AP75" s="3">
        <f t="shared" ref="AP75:CD75" si="788">AP73/AP74</f>
        <v>404.8</v>
      </c>
      <c r="AQ75" s="3">
        <f t="shared" si="788"/>
        <v>404.8</v>
      </c>
      <c r="AR75" s="3">
        <f t="shared" si="788"/>
        <v>404.8</v>
      </c>
      <c r="AS75" s="3">
        <f t="shared" si="788"/>
        <v>404.8</v>
      </c>
      <c r="AT75" s="3">
        <f t="shared" si="788"/>
        <v>404.8</v>
      </c>
      <c r="AU75" s="3">
        <f t="shared" si="788"/>
        <v>404.8</v>
      </c>
      <c r="AV75" s="3">
        <f t="shared" si="788"/>
        <v>404.8</v>
      </c>
      <c r="AW75" s="3">
        <f t="shared" si="788"/>
        <v>404.8</v>
      </c>
      <c r="AX75" s="3">
        <f t="shared" si="788"/>
        <v>404.8</v>
      </c>
      <c r="AY75" s="3">
        <f t="shared" si="788"/>
        <v>404.8</v>
      </c>
      <c r="AZ75" s="3">
        <f t="shared" si="788"/>
        <v>404.8</v>
      </c>
      <c r="BA75" s="3">
        <f t="shared" si="788"/>
        <v>404.8</v>
      </c>
      <c r="BB75" s="3">
        <f t="shared" si="788"/>
        <v>404.8</v>
      </c>
      <c r="BC75" s="3">
        <f t="shared" si="788"/>
        <v>404.8</v>
      </c>
      <c r="BD75" s="3">
        <f t="shared" si="788"/>
        <v>404.8</v>
      </c>
      <c r="BE75" s="3">
        <f t="shared" si="788"/>
        <v>404.8</v>
      </c>
      <c r="BF75" s="3">
        <f t="shared" si="788"/>
        <v>404.8</v>
      </c>
      <c r="BG75" s="3">
        <f t="shared" si="788"/>
        <v>404.8</v>
      </c>
      <c r="BH75" s="3">
        <f t="shared" si="788"/>
        <v>404.8</v>
      </c>
      <c r="BI75" s="3">
        <f t="shared" si="788"/>
        <v>404.8</v>
      </c>
      <c r="BJ75" s="3">
        <f t="shared" si="788"/>
        <v>404.8</v>
      </c>
      <c r="BK75" s="3">
        <f t="shared" si="788"/>
        <v>404.8</v>
      </c>
      <c r="BL75" s="3">
        <f t="shared" si="788"/>
        <v>404.8</v>
      </c>
      <c r="BM75" s="3">
        <f t="shared" si="788"/>
        <v>404.8</v>
      </c>
      <c r="BN75" s="3">
        <f t="shared" si="788"/>
        <v>404.8</v>
      </c>
      <c r="BO75" s="3">
        <f t="shared" si="788"/>
        <v>404.8</v>
      </c>
      <c r="BP75" s="3">
        <f t="shared" si="788"/>
        <v>404.8</v>
      </c>
      <c r="BQ75" s="3">
        <f t="shared" si="788"/>
        <v>404.8</v>
      </c>
      <c r="BR75" s="3">
        <f t="shared" si="788"/>
        <v>404.8</v>
      </c>
      <c r="BS75" s="3">
        <f t="shared" si="788"/>
        <v>404.8</v>
      </c>
      <c r="BT75" s="3">
        <f t="shared" si="788"/>
        <v>404.8</v>
      </c>
      <c r="BU75" s="3">
        <f t="shared" si="788"/>
        <v>404.8</v>
      </c>
      <c r="BV75" s="3">
        <f t="shared" si="788"/>
        <v>404.8</v>
      </c>
      <c r="BW75" s="3">
        <f t="shared" si="788"/>
        <v>404.8</v>
      </c>
      <c r="BX75" s="3">
        <f t="shared" si="788"/>
        <v>404.8</v>
      </c>
      <c r="BY75" s="3">
        <f t="shared" si="788"/>
        <v>404.8</v>
      </c>
      <c r="BZ75" s="3">
        <f t="shared" si="788"/>
        <v>404.8</v>
      </c>
      <c r="CA75" s="3">
        <f t="shared" si="788"/>
        <v>404.8</v>
      </c>
      <c r="CB75" s="3">
        <f t="shared" si="788"/>
        <v>404.8</v>
      </c>
      <c r="CC75" s="3">
        <f t="shared" si="788"/>
        <v>404.8</v>
      </c>
      <c r="CD75" s="3">
        <f t="shared" si="788"/>
        <v>404.8</v>
      </c>
      <c r="CE75" s="3">
        <f t="shared" ref="CE75:CF75" si="789">CE73/CE74</f>
        <v>404.8</v>
      </c>
      <c r="CF75" s="3">
        <f t="shared" si="789"/>
        <v>404.8</v>
      </c>
      <c r="CG75" s="3">
        <f t="shared" ref="CG75:CH75" si="790">CG73/CG74</f>
        <v>404.8</v>
      </c>
      <c r="CH75" s="3">
        <f t="shared" si="790"/>
        <v>404.8</v>
      </c>
      <c r="CI75" s="3">
        <f t="shared" ref="CI75:CJ75" si="791">CI73/CI74</f>
        <v>404.8</v>
      </c>
      <c r="CJ75" s="3">
        <f t="shared" si="791"/>
        <v>404.8</v>
      </c>
      <c r="CK75" s="3">
        <f t="shared" ref="CK75" si="792">CK73/CK74</f>
        <v>404.8</v>
      </c>
      <c r="CL75" s="3">
        <f t="shared" ref="CL75" si="793">CL73/CL74</f>
        <v>404.8</v>
      </c>
      <c r="CM75" s="37">
        <f t="shared" ref="CM75:DB75" si="794">CM73/CM74</f>
        <v>404.8</v>
      </c>
      <c r="CN75" s="37">
        <f t="shared" si="794"/>
        <v>404.8</v>
      </c>
      <c r="CO75" s="37">
        <f t="shared" si="794"/>
        <v>404.8</v>
      </c>
      <c r="CP75" s="37">
        <f t="shared" si="794"/>
        <v>404.8</v>
      </c>
      <c r="CQ75" s="37">
        <f t="shared" si="794"/>
        <v>404.8</v>
      </c>
      <c r="CR75" s="37">
        <f t="shared" si="794"/>
        <v>404.8</v>
      </c>
      <c r="CS75" s="37">
        <f t="shared" si="794"/>
        <v>404.8</v>
      </c>
      <c r="CT75" s="37">
        <f t="shared" si="794"/>
        <v>404.8</v>
      </c>
      <c r="CU75" s="37">
        <f t="shared" si="794"/>
        <v>404.8</v>
      </c>
      <c r="CV75" s="37">
        <f t="shared" si="794"/>
        <v>404.8</v>
      </c>
      <c r="CW75" s="37">
        <f t="shared" si="794"/>
        <v>404.8</v>
      </c>
      <c r="CX75" s="37">
        <f t="shared" si="794"/>
        <v>404.8</v>
      </c>
      <c r="CY75" s="37">
        <f t="shared" si="794"/>
        <v>404.8</v>
      </c>
      <c r="CZ75" s="37">
        <f t="shared" si="794"/>
        <v>404.8</v>
      </c>
      <c r="DA75" s="37">
        <f t="shared" si="794"/>
        <v>404.8</v>
      </c>
      <c r="DB75" s="37">
        <f t="shared" si="794"/>
        <v>404.8</v>
      </c>
      <c r="DE75" s="134"/>
      <c r="DF75" s="3">
        <v>404.8</v>
      </c>
      <c r="DG75" s="3">
        <v>404.8</v>
      </c>
    </row>
    <row r="76" spans="1:111" s="53" customFormat="1" x14ac:dyDescent="0.2">
      <c r="A76" s="53" t="s">
        <v>30</v>
      </c>
      <c r="B76" s="53">
        <f t="shared" ref="B76:AE76" si="795">(B58-B57)/B75</f>
        <v>94.2165923646225</v>
      </c>
      <c r="C76" s="53">
        <f t="shared" si="795"/>
        <v>122.08522212148682</v>
      </c>
      <c r="D76" s="53">
        <f t="shared" si="795"/>
        <v>144.13798309178748</v>
      </c>
      <c r="E76" s="53">
        <f t="shared" ca="1" si="795"/>
        <v>3.0722084980237154</v>
      </c>
      <c r="F76" s="53">
        <f t="shared" ca="1" si="795"/>
        <v>4.5602766798418974</v>
      </c>
      <c r="G76" s="53">
        <f t="shared" ca="1" si="795"/>
        <v>6.0721343873517784</v>
      </c>
      <c r="H76" s="53">
        <f t="shared" ca="1" si="795"/>
        <v>9.5108695652173907</v>
      </c>
      <c r="I76" s="53">
        <f t="shared" ca="1" si="795"/>
        <v>11.509387351778656</v>
      </c>
      <c r="J76" s="53">
        <f t="shared" ca="1" si="795"/>
        <v>14.792490118577074</v>
      </c>
      <c r="K76" s="53">
        <f t="shared" ca="1" si="795"/>
        <v>15.360671936758893</v>
      </c>
      <c r="L76" s="53">
        <f t="shared" ca="1" si="795"/>
        <v>16.884881422924902</v>
      </c>
      <c r="M76" s="53">
        <f t="shared" ca="1" si="795"/>
        <v>20.583003952569168</v>
      </c>
      <c r="N76" s="53">
        <f t="shared" ca="1" si="795"/>
        <v>23.29298418972332</v>
      </c>
      <c r="O76" s="53">
        <f t="shared" ca="1" si="795"/>
        <v>26.324110671936758</v>
      </c>
      <c r="P76" s="53">
        <f t="shared" ca="1" si="795"/>
        <v>30.563241106719367</v>
      </c>
      <c r="Q76" s="53">
        <f t="shared" ca="1" si="795"/>
        <v>33.322628458498023</v>
      </c>
      <c r="R76" s="53">
        <f t="shared" ca="1" si="795"/>
        <v>35.45701581027668</v>
      </c>
      <c r="S76" s="53">
        <f t="shared" ca="1" si="795"/>
        <v>39.597332015810274</v>
      </c>
      <c r="T76" s="53">
        <f t="shared" ca="1" si="795"/>
        <v>38.053359683794469</v>
      </c>
      <c r="U76" s="53">
        <f t="shared" ca="1" si="795"/>
        <v>40.99308300395257</v>
      </c>
      <c r="V76" s="53">
        <f t="shared" ca="1" si="795"/>
        <v>47.803853754940711</v>
      </c>
      <c r="W76" s="53">
        <f t="shared" ca="1" si="795"/>
        <v>54.619565217391305</v>
      </c>
      <c r="X76" s="53">
        <f t="shared" ca="1" si="795"/>
        <v>59.523221343873516</v>
      </c>
      <c r="Y76" s="53">
        <f t="shared" ca="1" si="795"/>
        <v>64.804841897233203</v>
      </c>
      <c r="Z76" s="53">
        <f t="shared" ca="1" si="795"/>
        <v>65.990612648221344</v>
      </c>
      <c r="AA76" s="53">
        <f t="shared" ref="AA76" ca="1" si="796">(AA58-AA57)/AA75</f>
        <v>65.990612648221344</v>
      </c>
      <c r="AB76" s="54">
        <f t="shared" ca="1" si="795"/>
        <v>78.774126587254017</v>
      </c>
      <c r="AC76" s="54">
        <f t="shared" ca="1" si="795"/>
        <v>85.361924722924812</v>
      </c>
      <c r="AD76" s="54">
        <f t="shared" ca="1" si="795"/>
        <v>86.414030372831292</v>
      </c>
      <c r="AE76" s="54">
        <f t="shared" ca="1" si="795"/>
        <v>102.62590600700921</v>
      </c>
      <c r="AI76" s="53">
        <f t="shared" ref="AI76:BN76" si="797">(AI58-AI57)/AI75</f>
        <v>5.6546442687747032</v>
      </c>
      <c r="AJ76" s="53">
        <f t="shared" si="797"/>
        <v>5.8522727272727275</v>
      </c>
      <c r="AK76" s="53">
        <f t="shared" si="797"/>
        <v>5.8522727272727275</v>
      </c>
      <c r="AL76" s="53">
        <f t="shared" si="797"/>
        <v>5.9140316205533594</v>
      </c>
      <c r="AM76" s="53">
        <f t="shared" si="797"/>
        <v>5.8646245059288535</v>
      </c>
      <c r="AN76" s="53">
        <f t="shared" si="797"/>
        <v>5.9461462450592881</v>
      </c>
      <c r="AO76" s="53">
        <f t="shared" si="797"/>
        <v>7.1022727272727275</v>
      </c>
      <c r="AP76" s="53">
        <f t="shared" si="797"/>
        <v>7.3913043478260869</v>
      </c>
      <c r="AQ76" s="53">
        <f t="shared" si="797"/>
        <v>7.1294466403162051</v>
      </c>
      <c r="AR76" s="53">
        <f t="shared" si="797"/>
        <v>7.6482213438735176</v>
      </c>
      <c r="AS76" s="53">
        <f t="shared" si="797"/>
        <v>8.0286561264822129</v>
      </c>
      <c r="AT76" s="53">
        <f t="shared" si="797"/>
        <v>7.6506916996047432</v>
      </c>
      <c r="AU76" s="53">
        <f t="shared" si="797"/>
        <v>7.4802371541501973</v>
      </c>
      <c r="AV76" s="53">
        <f t="shared" si="797"/>
        <v>8.3942687747035567</v>
      </c>
      <c r="AW76" s="53">
        <f t="shared" si="797"/>
        <v>8.5597826086956523</v>
      </c>
      <c r="AX76" s="53">
        <f t="shared" si="797"/>
        <v>8.8858695652173907</v>
      </c>
      <c r="AY76" s="53">
        <f t="shared" si="797"/>
        <v>8.4881422924901191</v>
      </c>
      <c r="AZ76" s="53">
        <f t="shared" si="797"/>
        <v>8.9081027667984181</v>
      </c>
      <c r="BA76" s="53">
        <f t="shared" si="797"/>
        <v>9.1600790513833985</v>
      </c>
      <c r="BB76" s="53">
        <f t="shared" si="797"/>
        <v>8.9006916996047423</v>
      </c>
      <c r="BC76" s="53">
        <f t="shared" si="797"/>
        <v>8.6042490118577071</v>
      </c>
      <c r="BD76" s="53">
        <f t="shared" si="797"/>
        <v>9.204545454545455</v>
      </c>
      <c r="BE76" s="53">
        <f t="shared" si="797"/>
        <v>12.670454545454545</v>
      </c>
      <c r="BF76" s="53">
        <f t="shared" si="797"/>
        <v>9.1156126482213438</v>
      </c>
      <c r="BG76" s="53">
        <f t="shared" si="797"/>
        <v>8.9229249011857696</v>
      </c>
      <c r="BH76" s="53">
        <f t="shared" si="797"/>
        <v>10.153162055335969</v>
      </c>
      <c r="BI76" s="53">
        <f t="shared" si="797"/>
        <v>8.9155138339920939</v>
      </c>
      <c r="BJ76" s="53">
        <f t="shared" si="797"/>
        <v>10.064229249011857</v>
      </c>
      <c r="BK76" s="53">
        <f t="shared" si="797"/>
        <v>9.3824110671936758</v>
      </c>
      <c r="BL76" s="53">
        <f t="shared" si="797"/>
        <v>9.9283596837944668</v>
      </c>
      <c r="BM76" s="53">
        <f t="shared" si="797"/>
        <v>11.010375494071146</v>
      </c>
      <c r="BN76" s="53">
        <f t="shared" si="797"/>
        <v>10.674407114624506</v>
      </c>
      <c r="BO76" s="53">
        <f t="shared" ref="BO76:CT76" si="798">(BO58-BO57)/BO75</f>
        <v>10.45701581027668</v>
      </c>
      <c r="BP76" s="53">
        <f t="shared" si="798"/>
        <v>11.968873517786561</v>
      </c>
      <c r="BQ76" s="53">
        <f t="shared" si="798"/>
        <v>12.838438735177865</v>
      </c>
      <c r="BR76" s="53">
        <f t="shared" si="798"/>
        <v>12.539525691699604</v>
      </c>
      <c r="BS76" s="53">
        <f t="shared" si="798"/>
        <v>12.833498023715414</v>
      </c>
      <c r="BT76" s="53">
        <f t="shared" si="798"/>
        <v>13.391798418972332</v>
      </c>
      <c r="BU76" s="53">
        <f t="shared" si="798"/>
        <v>14.350296442687746</v>
      </c>
      <c r="BV76" s="53">
        <f t="shared" si="798"/>
        <v>14.046442687747035</v>
      </c>
      <c r="BW76" s="53">
        <f t="shared" si="798"/>
        <v>13.241106719367588</v>
      </c>
      <c r="BX76" s="53">
        <f t="shared" si="798"/>
        <v>14.87401185770751</v>
      </c>
      <c r="BY76" s="53">
        <f t="shared" si="798"/>
        <v>16.269762845849801</v>
      </c>
      <c r="BZ76" s="53">
        <f t="shared" si="798"/>
        <v>15.138339920948615</v>
      </c>
      <c r="CA76" s="53">
        <f t="shared" si="798"/>
        <v>14.686264822134387</v>
      </c>
      <c r="CB76" s="53">
        <f t="shared" si="798"/>
        <v>15.345849802371541</v>
      </c>
      <c r="CC76" s="53">
        <f t="shared" si="798"/>
        <v>15.08399209486166</v>
      </c>
      <c r="CD76" s="53">
        <f t="shared" si="798"/>
        <v>19.686264822134387</v>
      </c>
      <c r="CE76" s="53">
        <f t="shared" si="798"/>
        <v>15.731225296442688</v>
      </c>
      <c r="CF76" s="53">
        <f t="shared" si="798"/>
        <v>16.072134387351777</v>
      </c>
      <c r="CG76" s="53">
        <f t="shared" si="798"/>
        <v>16.813241106719367</v>
      </c>
      <c r="CH76" s="53">
        <f t="shared" si="798"/>
        <v>17.374011857707508</v>
      </c>
      <c r="CI76" s="53">
        <f t="shared" si="798"/>
        <v>17.097332015810277</v>
      </c>
      <c r="CJ76" s="53">
        <f t="shared" si="798"/>
        <v>18.191699604743082</v>
      </c>
      <c r="CK76" s="53">
        <f t="shared" ref="CK76" si="799">(CK58-CK57)/CK75</f>
        <v>19.622035573122528</v>
      </c>
      <c r="CL76" s="53">
        <f t="shared" ref="CL76" si="800">(CL58-CL57)/CL75</f>
        <v>21.000494071146246</v>
      </c>
      <c r="CM76" s="54">
        <f t="shared" si="798"/>
        <v>18.926446465377424</v>
      </c>
      <c r="CN76" s="54">
        <f t="shared" si="798"/>
        <v>19.461232385021141</v>
      </c>
      <c r="CO76" s="54">
        <f t="shared" si="798"/>
        <v>19.980478622851447</v>
      </c>
      <c r="CP76" s="54">
        <f t="shared" si="798"/>
        <v>20.405969114003998</v>
      </c>
      <c r="CQ76" s="54">
        <f t="shared" si="798"/>
        <v>20.718899893889787</v>
      </c>
      <c r="CR76" s="54">
        <f t="shared" si="798"/>
        <v>21.328559836574236</v>
      </c>
      <c r="CS76" s="54">
        <f t="shared" si="798"/>
        <v>21.402470249200118</v>
      </c>
      <c r="CT76" s="54">
        <f t="shared" si="798"/>
        <v>21.911994743260664</v>
      </c>
      <c r="CU76" s="54">
        <f t="shared" ref="CU76:DB76" si="801">(CU58-CU57)/CU75</f>
        <v>20.958296340098695</v>
      </c>
      <c r="CV76" s="54">
        <f t="shared" si="801"/>
        <v>21.483380947844214</v>
      </c>
      <c r="CW76" s="54">
        <f t="shared" si="801"/>
        <v>21.838357271938047</v>
      </c>
      <c r="CX76" s="54">
        <f t="shared" si="801"/>
        <v>22.133995812950342</v>
      </c>
      <c r="CY76" s="54">
        <f t="shared" si="801"/>
        <v>24.192272170459326</v>
      </c>
      <c r="CZ76" s="54">
        <f t="shared" si="801"/>
        <v>25.080294228947121</v>
      </c>
      <c r="DA76" s="54">
        <f t="shared" si="801"/>
        <v>26.079830220509692</v>
      </c>
      <c r="DB76" s="54">
        <f t="shared" si="801"/>
        <v>27.273509387093043</v>
      </c>
      <c r="DE76" s="132"/>
      <c r="DF76" s="53">
        <v>75.911561264822126</v>
      </c>
      <c r="DG76" s="53">
        <v>17.865255056338793</v>
      </c>
    </row>
    <row r="77" spans="1:111" s="3" customFormat="1" x14ac:dyDescent="0.2">
      <c r="A77" s="3" t="s">
        <v>31</v>
      </c>
      <c r="B77" s="3">
        <f>'Annual Raw'!C110</f>
        <v>0.15625</v>
      </c>
      <c r="C77" s="3">
        <f>'Annual Raw'!D110</f>
        <v>0.3125</v>
      </c>
      <c r="D77" s="3">
        <f>'Annual Raw'!E110</f>
        <v>0.421875</v>
      </c>
      <c r="E77" s="3">
        <f>'Annual Raw'!F110</f>
        <v>2.0234375</v>
      </c>
      <c r="F77" s="3">
        <f>'Annual Raw'!G110</f>
        <v>0.71875</v>
      </c>
      <c r="G77" s="3">
        <f>'Annual Raw'!H110</f>
        <v>2.8125</v>
      </c>
      <c r="H77" s="3">
        <f>'Annual Raw'!I110</f>
        <v>1.4375</v>
      </c>
      <c r="I77" s="3">
        <f>'Annual Raw'!J110</f>
        <v>4.15625</v>
      </c>
      <c r="J77" s="3">
        <f>'Annual Raw'!K110</f>
        <v>2.9375</v>
      </c>
      <c r="K77" s="3">
        <f>'Annual Raw'!L110</f>
        <v>3.125</v>
      </c>
      <c r="L77" s="3">
        <f>'Annual Raw'!M110</f>
        <v>7.5</v>
      </c>
      <c r="M77" s="3">
        <f>'Annual Raw'!N110</f>
        <v>5.875</v>
      </c>
      <c r="N77" s="3">
        <f>'Annual Raw'!O110</f>
        <v>5.25</v>
      </c>
      <c r="O77" s="3">
        <f>'Annual Raw'!P110</f>
        <v>7.875</v>
      </c>
      <c r="P77" s="3">
        <f>'Annual Raw'!Q110</f>
        <v>14.875</v>
      </c>
      <c r="Q77" s="3">
        <f>'Annual Raw'!R110</f>
        <v>12.125</v>
      </c>
      <c r="R77" s="3">
        <f>'Annual Raw'!S110</f>
        <v>12.875</v>
      </c>
      <c r="S77" s="3">
        <f>'Annual Raw'!T110</f>
        <v>21.75</v>
      </c>
      <c r="T77" s="3">
        <f>'Annual Raw'!U110</f>
        <v>21.5</v>
      </c>
      <c r="U77" s="3">
        <f>'Annual Raw'!V110</f>
        <v>17.5</v>
      </c>
      <c r="V77" s="3">
        <f>'Annual Raw'!W110</f>
        <v>27</v>
      </c>
      <c r="W77" s="3">
        <f>'Annual Raw'!X110</f>
        <v>31</v>
      </c>
      <c r="X77" s="3">
        <f>'Annual Raw'!Y110</f>
        <v>34</v>
      </c>
      <c r="Y77" s="3">
        <f>'Annual Raw'!Z110</f>
        <v>46</v>
      </c>
      <c r="Z77" s="3">
        <f>'Annual Raw'!AA110</f>
        <v>43</v>
      </c>
      <c r="AA77" s="3">
        <f>'Annual Raw'!AB110</f>
        <v>48</v>
      </c>
      <c r="AB77" s="37"/>
      <c r="AC77" s="37"/>
      <c r="AD77" s="37"/>
      <c r="AE77" s="37"/>
      <c r="CM77" s="37"/>
      <c r="CN77" s="37"/>
      <c r="CO77" s="37"/>
      <c r="CP77" s="37"/>
      <c r="CQ77" s="37"/>
      <c r="CR77" s="37"/>
      <c r="CS77" s="37"/>
      <c r="CT77" s="37"/>
      <c r="CU77" s="37"/>
      <c r="CV77" s="37"/>
      <c r="CW77" s="37"/>
      <c r="CX77" s="37"/>
      <c r="CY77" s="37"/>
      <c r="CZ77" s="37"/>
      <c r="DA77" s="37"/>
      <c r="DB77" s="37"/>
      <c r="DE77" s="134"/>
      <c r="DF77" s="3">
        <v>48</v>
      </c>
    </row>
    <row r="78" spans="1:111" s="3" customFormat="1" x14ac:dyDescent="0.2">
      <c r="A78" s="3" t="s">
        <v>32</v>
      </c>
      <c r="B78" s="3">
        <f>B77/B76</f>
        <v>1.6584127708132914E-3</v>
      </c>
      <c r="C78" s="3">
        <f t="shared" ref="C78:U78" si="802">C77/C76</f>
        <v>2.5596873607604343E-3</v>
      </c>
      <c r="D78" s="3">
        <f t="shared" si="802"/>
        <v>2.926882914209704E-3</v>
      </c>
      <c r="E78" s="3">
        <f t="shared" ca="1" si="802"/>
        <v>0.65862635993020435</v>
      </c>
      <c r="F78" s="3">
        <f t="shared" ca="1" si="802"/>
        <v>0.15761105092091007</v>
      </c>
      <c r="G78" s="3">
        <f t="shared" ca="1" si="802"/>
        <v>0.46318144833197722</v>
      </c>
      <c r="H78" s="3">
        <f t="shared" ca="1" si="802"/>
        <v>0.15114285714285716</v>
      </c>
      <c r="I78" s="3">
        <f t="shared" ca="1" si="802"/>
        <v>0.36111826572225797</v>
      </c>
      <c r="J78" s="3">
        <f t="shared" ca="1" si="802"/>
        <v>0.1985804943219773</v>
      </c>
      <c r="K78" s="3">
        <f t="shared" ca="1" si="802"/>
        <v>0.20344162110003217</v>
      </c>
      <c r="L78" s="3">
        <f t="shared" ca="1" si="802"/>
        <v>0.44418434528163858</v>
      </c>
      <c r="M78" s="3">
        <f t="shared" ca="1" si="802"/>
        <v>0.28542966874699954</v>
      </c>
      <c r="N78" s="3">
        <f t="shared" ca="1" si="802"/>
        <v>0.22538975501113587</v>
      </c>
      <c r="O78" s="3">
        <f t="shared" ca="1" si="802"/>
        <v>0.29915540540540542</v>
      </c>
      <c r="P78" s="3">
        <f t="shared" ca="1" si="802"/>
        <v>0.48669576462980924</v>
      </c>
      <c r="Q78" s="3">
        <f t="shared" ca="1" si="802"/>
        <v>0.36386685447401584</v>
      </c>
      <c r="R78" s="3">
        <f t="shared" ca="1" si="802"/>
        <v>0.36311572493555355</v>
      </c>
      <c r="S78" s="3">
        <f t="shared" ca="1" si="802"/>
        <v>0.54927943103125587</v>
      </c>
      <c r="T78" s="3">
        <f t="shared" ca="1" si="802"/>
        <v>0.56499610490781615</v>
      </c>
      <c r="U78" s="3">
        <f t="shared" ca="1" si="802"/>
        <v>0.4269012896227552</v>
      </c>
      <c r="V78" s="3">
        <f ca="1">V77/V76</f>
        <v>0.564808020257351</v>
      </c>
      <c r="W78" s="3">
        <f t="shared" ref="W78" ca="1" si="803">W77/W76</f>
        <v>0.56756218905472633</v>
      </c>
      <c r="X78" s="3">
        <f t="shared" ref="X78:Y78" ca="1" si="804">X77/X76</f>
        <v>0.57120564432454868</v>
      </c>
      <c r="Y78" s="3">
        <f t="shared" ca="1" si="804"/>
        <v>0.7098235047459307</v>
      </c>
      <c r="Z78" s="3">
        <f t="shared" ref="Z78:AA78" ca="1" si="805">Z77/Z76</f>
        <v>0.65160783139295475</v>
      </c>
      <c r="AA78" s="3">
        <f t="shared" ref="AA78" ca="1" si="806">AA77/AA76</f>
        <v>0.65160783139295475</v>
      </c>
      <c r="AB78" s="37">
        <f t="shared" ref="AB78:AD78" ca="1" si="807">AB77/AB76</f>
        <v>0</v>
      </c>
      <c r="AC78" s="37">
        <f t="shared" ca="1" si="807"/>
        <v>0</v>
      </c>
      <c r="AD78" s="37">
        <f t="shared" ca="1" si="807"/>
        <v>0</v>
      </c>
      <c r="AE78" s="37">
        <f t="shared" ref="AE78" ca="1" si="808">AE77/AE76</f>
        <v>0</v>
      </c>
      <c r="CM78" s="37"/>
      <c r="CN78" s="37"/>
      <c r="CO78" s="37"/>
      <c r="CP78" s="37"/>
      <c r="CQ78" s="37"/>
      <c r="CR78" s="37"/>
      <c r="CS78" s="37"/>
      <c r="CT78" s="37"/>
      <c r="CU78" s="37"/>
      <c r="CV78" s="37"/>
      <c r="CW78" s="37"/>
      <c r="CX78" s="37"/>
      <c r="CY78" s="37"/>
      <c r="CZ78" s="37"/>
      <c r="DA78" s="37"/>
      <c r="DB78" s="37"/>
      <c r="DE78" s="134"/>
      <c r="DF78" s="3">
        <v>0</v>
      </c>
    </row>
    <row r="79" spans="1:111" s="3" customFormat="1" x14ac:dyDescent="0.2">
      <c r="A79" s="3" t="s">
        <v>33</v>
      </c>
      <c r="B79" s="3">
        <f>+B76</f>
        <v>94.2165923646225</v>
      </c>
      <c r="C79" s="3">
        <f t="shared" ref="C79:U79" si="809">+C76</f>
        <v>122.08522212148682</v>
      </c>
      <c r="D79" s="3">
        <f t="shared" si="809"/>
        <v>144.13798309178748</v>
      </c>
      <c r="E79" s="3">
        <f t="shared" ca="1" si="809"/>
        <v>3.0722084980237154</v>
      </c>
      <c r="F79" s="3">
        <f t="shared" ca="1" si="809"/>
        <v>4.5602766798418974</v>
      </c>
      <c r="G79" s="3">
        <f t="shared" ca="1" si="809"/>
        <v>6.0721343873517784</v>
      </c>
      <c r="H79" s="3">
        <f t="shared" ca="1" si="809"/>
        <v>9.5108695652173907</v>
      </c>
      <c r="I79" s="3">
        <f t="shared" ca="1" si="809"/>
        <v>11.509387351778656</v>
      </c>
      <c r="J79" s="3">
        <f t="shared" ca="1" si="809"/>
        <v>14.792490118577074</v>
      </c>
      <c r="K79" s="3">
        <f t="shared" ca="1" si="809"/>
        <v>15.360671936758893</v>
      </c>
      <c r="L79" s="3">
        <f t="shared" ca="1" si="809"/>
        <v>16.884881422924902</v>
      </c>
      <c r="M79" s="3">
        <f t="shared" ca="1" si="809"/>
        <v>20.583003952569168</v>
      </c>
      <c r="N79" s="3">
        <f t="shared" ca="1" si="809"/>
        <v>23.29298418972332</v>
      </c>
      <c r="O79" s="3">
        <f t="shared" ca="1" si="809"/>
        <v>26.324110671936758</v>
      </c>
      <c r="P79" s="3">
        <f t="shared" ca="1" si="809"/>
        <v>30.563241106719367</v>
      </c>
      <c r="Q79" s="3">
        <f t="shared" ca="1" si="809"/>
        <v>33.322628458498023</v>
      </c>
      <c r="R79" s="3">
        <f t="shared" ca="1" si="809"/>
        <v>35.45701581027668</v>
      </c>
      <c r="S79" s="3">
        <f t="shared" ca="1" si="809"/>
        <v>39.597332015810274</v>
      </c>
      <c r="T79" s="3">
        <f ca="1">+T76</f>
        <v>38.053359683794469</v>
      </c>
      <c r="U79" s="3">
        <f t="shared" ca="1" si="809"/>
        <v>40.99308300395257</v>
      </c>
      <c r="V79" s="3">
        <f ca="1">+V76</f>
        <v>47.803853754940711</v>
      </c>
      <c r="W79" s="3">
        <f t="shared" ref="W79" ca="1" si="810">+W76</f>
        <v>54.619565217391305</v>
      </c>
      <c r="X79" s="3">
        <f t="shared" ref="X79:Y79" ca="1" si="811">+X76</f>
        <v>59.523221343873516</v>
      </c>
      <c r="Y79" s="3">
        <f t="shared" ca="1" si="811"/>
        <v>64.804841897233203</v>
      </c>
      <c r="Z79" s="3">
        <f t="shared" ref="Z79:AA79" ca="1" si="812">+Z76</f>
        <v>65.990612648221344</v>
      </c>
      <c r="AA79" s="3">
        <f t="shared" ref="AA79" ca="1" si="813">+AA76</f>
        <v>65.990612648221344</v>
      </c>
      <c r="AB79" s="37">
        <f t="shared" ref="AB79:AD79" ca="1" si="814">+AB76</f>
        <v>78.774126587254017</v>
      </c>
      <c r="AC79" s="37">
        <f t="shared" ca="1" si="814"/>
        <v>85.361924722924812</v>
      </c>
      <c r="AD79" s="37">
        <f t="shared" ca="1" si="814"/>
        <v>86.414030372831292</v>
      </c>
      <c r="AE79" s="37">
        <f t="shared" ref="AE79" ca="1" si="815">+AE76</f>
        <v>102.62590600700921</v>
      </c>
      <c r="AL79" s="3">
        <f>SUM(AI76:AL76)</f>
        <v>23.273221343873516</v>
      </c>
      <c r="AM79" s="3">
        <f t="shared" ref="AM79" si="816">SUM(AJ76:AM76)</f>
        <v>23.483201581027664</v>
      </c>
      <c r="AN79" s="3">
        <f t="shared" ref="AN79" si="817">SUM(AK76:AN76)</f>
        <v>23.577075098814227</v>
      </c>
      <c r="AO79" s="3">
        <f t="shared" ref="AO79" si="818">SUM(AL76:AO76)</f>
        <v>24.827075098814227</v>
      </c>
      <c r="AP79" s="3">
        <f t="shared" ref="AP79" si="819">SUM(AM76:AP76)</f>
        <v>26.304347826086953</v>
      </c>
      <c r="AQ79" s="3">
        <f t="shared" ref="AQ79" si="820">SUM(AN76:AQ76)</f>
        <v>27.569169960474305</v>
      </c>
      <c r="AR79" s="3">
        <f t="shared" ref="AR79" si="821">SUM(AO76:AR76)</f>
        <v>29.271245059288539</v>
      </c>
      <c r="AS79" s="3">
        <f t="shared" ref="AS79" si="822">SUM(AP76:AS76)</f>
        <v>30.197628458498023</v>
      </c>
      <c r="AT79" s="3">
        <f t="shared" ref="AT79" si="823">SUM(AQ76:AT76)</f>
        <v>30.45701581027668</v>
      </c>
      <c r="AU79" s="3">
        <f t="shared" ref="AU79" si="824">SUM(AR76:AU76)</f>
        <v>30.807806324110672</v>
      </c>
      <c r="AV79" s="3">
        <f t="shared" ref="AV79" si="825">SUM(AS76:AV76)</f>
        <v>31.553853754940711</v>
      </c>
      <c r="AW79" s="3">
        <f t="shared" ref="AW79" si="826">SUM(AT76:AW76)</f>
        <v>32.084980237154156</v>
      </c>
      <c r="AX79" s="3">
        <f t="shared" ref="AX79" si="827">SUM(AU76:AX76)</f>
        <v>33.320158102766797</v>
      </c>
      <c r="AY79" s="3">
        <f t="shared" ref="AY79" si="828">SUM(AV76:AY76)</f>
        <v>34.328063241106719</v>
      </c>
      <c r="AZ79" s="3">
        <f t="shared" ref="AZ79" si="829">SUM(AW76:AZ76)</f>
        <v>34.841897233201578</v>
      </c>
      <c r="BA79" s="3">
        <f t="shared" ref="BA79" si="830">SUM(AX76:BA76)</f>
        <v>35.442193675889328</v>
      </c>
      <c r="BB79" s="3">
        <f t="shared" ref="BB79" si="831">SUM(AY76:BB76)</f>
        <v>35.45701581027668</v>
      </c>
      <c r="BC79" s="3">
        <f t="shared" ref="BC79" si="832">SUM(AZ76:BC76)</f>
        <v>35.573122529644266</v>
      </c>
      <c r="BD79" s="3">
        <f t="shared" ref="BD79" si="833">SUM(BA76:BD76)</f>
        <v>35.869565217391305</v>
      </c>
      <c r="BE79" s="3">
        <f t="shared" ref="BE79" si="834">SUM(BB76:BE76)</f>
        <v>39.379940711462453</v>
      </c>
      <c r="BF79" s="3">
        <f t="shared" ref="BF79" si="835">SUM(BC76:BF76)</f>
        <v>39.594861660079054</v>
      </c>
      <c r="BG79" s="3">
        <f t="shared" ref="BG79" si="836">SUM(BD76:BG76)</f>
        <v>39.91353754940711</v>
      </c>
      <c r="BH79" s="3">
        <f t="shared" ref="BH79" si="837">SUM(BE76:BH76)</f>
        <v>40.862154150197625</v>
      </c>
      <c r="BI79" s="3">
        <f t="shared" ref="BI79" si="838">SUM(BF76:BI76)</f>
        <v>37.107213438735172</v>
      </c>
      <c r="BJ79" s="3">
        <f t="shared" ref="BJ79" si="839">SUM(BG76:BJ76)</f>
        <v>38.055830039525688</v>
      </c>
      <c r="BK79" s="3">
        <f t="shared" ref="BK79" si="840">SUM(BH76:BK76)</f>
        <v>38.515316205533594</v>
      </c>
      <c r="BL79" s="3">
        <f t="shared" ref="BL79" si="841">SUM(BI76:BL76)</f>
        <v>38.290513833992094</v>
      </c>
      <c r="BM79" s="3">
        <f t="shared" ref="BM79" si="842">SUM(BJ76:BM76)</f>
        <v>40.385375494071148</v>
      </c>
      <c r="BN79" s="3">
        <f t="shared" ref="BN79" si="843">SUM(BK76:BN76)</f>
        <v>40.995553359683797</v>
      </c>
      <c r="BO79" s="3">
        <f t="shared" ref="BO79" si="844">SUM(BL76:BO76)</f>
        <v>42.070158102766797</v>
      </c>
      <c r="BP79" s="3">
        <f t="shared" ref="BP79" si="845">SUM(BM76:BP76)</f>
        <v>44.110671936758891</v>
      </c>
      <c r="BQ79" s="3">
        <f t="shared" ref="BQ79" si="846">SUM(BN76:BQ76)</f>
        <v>45.938735177865617</v>
      </c>
      <c r="BR79" s="3">
        <f t="shared" ref="BR79" si="847">SUM(BO76:BR76)</f>
        <v>47.803853754940711</v>
      </c>
      <c r="BS79" s="3">
        <f t="shared" ref="BS79" si="848">SUM(BP76:BS76)</f>
        <v>50.180335968379445</v>
      </c>
      <c r="BT79" s="3">
        <f t="shared" ref="BT79" si="849">SUM(BQ76:BT76)</f>
        <v>51.603260869565219</v>
      </c>
      <c r="BU79" s="3">
        <f t="shared" ref="BU79" si="850">SUM(BR76:BU76)</f>
        <v>53.115118577075094</v>
      </c>
      <c r="BV79" s="3">
        <f t="shared" ref="BV79" si="851">SUM(BS76:BV76)</f>
        <v>54.622035573122531</v>
      </c>
      <c r="BW79" s="3">
        <f t="shared" ref="BW79" si="852">SUM(BT76:BW76)</f>
        <v>55.029644268774696</v>
      </c>
      <c r="BX79" s="3">
        <f t="shared" ref="BX79" si="853">SUM(BU76:BX76)</f>
        <v>56.511857707509876</v>
      </c>
      <c r="BY79" s="3">
        <f t="shared" ref="BY79" si="854">SUM(BV76:BY76)</f>
        <v>58.431324110671937</v>
      </c>
      <c r="BZ79" s="3">
        <f t="shared" ref="BZ79" si="855">SUM(BW76:BZ76)</f>
        <v>59.523221343873516</v>
      </c>
      <c r="CA79" s="3">
        <f t="shared" ref="CA79" si="856">SUM(BX76:CA76)</f>
        <v>60.968379446640313</v>
      </c>
      <c r="CB79" s="3">
        <f t="shared" ref="CB79" si="857">SUM(BY76:CB76)</f>
        <v>61.440217391304337</v>
      </c>
      <c r="CC79" s="3">
        <f t="shared" ref="CC79" si="858">SUM(BZ76:CC76)</f>
        <v>60.254446640316203</v>
      </c>
      <c r="CD79" s="3">
        <f t="shared" ref="CD79" si="859">SUM(CA76:CD76)</f>
        <v>64.802371541501984</v>
      </c>
      <c r="CE79" s="3">
        <f t="shared" ref="CE79" si="860">SUM(CB76:CE76)</f>
        <v>65.847332015810281</v>
      </c>
      <c r="CF79" s="3">
        <f t="shared" ref="CF79" si="861">SUM(CC76:CF76)</f>
        <v>66.573616600790515</v>
      </c>
      <c r="CG79" s="3">
        <f t="shared" ref="CG79" si="862">SUM(CD76:CG76)</f>
        <v>68.302865612648219</v>
      </c>
      <c r="CH79" s="3">
        <f t="shared" ref="CH79:CL79" si="863">SUM(CE76:CH76)</f>
        <v>65.990612648221344</v>
      </c>
      <c r="CI79" s="3">
        <f t="shared" si="863"/>
        <v>67.356719367588923</v>
      </c>
      <c r="CJ79" s="3">
        <f t="shared" si="863"/>
        <v>69.476284584980235</v>
      </c>
      <c r="CK79" s="3">
        <f t="shared" si="863"/>
        <v>72.285079051383391</v>
      </c>
      <c r="CL79" s="3">
        <f t="shared" si="863"/>
        <v>75.91156126482214</v>
      </c>
      <c r="CM79" s="37">
        <f t="shared" ref="CM79" si="864">SUM(CJ76:CM76)</f>
        <v>77.740675714389283</v>
      </c>
      <c r="CN79" s="37">
        <f t="shared" ref="CN79" si="865">SUM(CK76:CN76)</f>
        <v>79.010208494667339</v>
      </c>
      <c r="CO79" s="37">
        <f t="shared" ref="CO79" si="866">SUM(CL76:CO76)</f>
        <v>79.368651544396258</v>
      </c>
      <c r="CP79" s="37">
        <f t="shared" ref="CP79" si="867">SUM(CM76:CP76)</f>
        <v>78.774126587254003</v>
      </c>
      <c r="CQ79" s="37">
        <f t="shared" ref="CQ79" si="868">SUM(CN76:CQ76)</f>
        <v>80.566580015766363</v>
      </c>
      <c r="CR79" s="37">
        <f t="shared" ref="CR79" si="869">SUM(CO76:CR76)</f>
        <v>82.433907467319472</v>
      </c>
      <c r="CS79" s="37">
        <f t="shared" ref="CS79" si="870">SUM(CP76:CS76)</f>
        <v>83.855899093668143</v>
      </c>
      <c r="CT79" s="37">
        <f t="shared" ref="CT79" si="871">SUM(CQ76:CT76)</f>
        <v>85.361924722924812</v>
      </c>
      <c r="CU79" s="37">
        <f t="shared" ref="CU79" si="872">SUM(CR76:CU76)</f>
        <v>85.601321169133712</v>
      </c>
      <c r="CV79" s="37">
        <f t="shared" ref="CV79" si="873">SUM(CS76:CV76)</f>
        <v>85.756142280403694</v>
      </c>
      <c r="CW79" s="37">
        <f t="shared" ref="CW79" si="874">SUM(CT76:CW76)</f>
        <v>86.192029303141624</v>
      </c>
      <c r="CX79" s="37">
        <f t="shared" ref="CX79" si="875">SUM(CU76:CX76)</f>
        <v>86.414030372831306</v>
      </c>
      <c r="CY79" s="37">
        <f t="shared" ref="CY79" si="876">SUM(CV76:CY76)</f>
        <v>89.648006203191926</v>
      </c>
      <c r="CZ79" s="37">
        <f t="shared" ref="CZ79" si="877">SUM(CW76:CZ76)</f>
        <v>93.24491948429484</v>
      </c>
      <c r="DA79" s="37">
        <f t="shared" ref="DA79" si="878">SUM(CX76:DA76)</f>
        <v>97.486392432866481</v>
      </c>
      <c r="DB79" s="37">
        <f t="shared" ref="DB79" si="879">SUM(CY76:DB76)</f>
        <v>102.62590600700918</v>
      </c>
      <c r="DE79" s="134"/>
      <c r="DF79" s="3">
        <v>75.911561264822126</v>
      </c>
      <c r="DG79" s="3">
        <v>71.925574139586686</v>
      </c>
    </row>
    <row r="80" spans="1:111" s="97" customFormat="1" x14ac:dyDescent="0.2">
      <c r="A80" s="97" t="s">
        <v>425</v>
      </c>
      <c r="C80" s="101">
        <f t="shared" ref="C80:AA80" si="880">+C79/B79-1</f>
        <v>0.29579322556064702</v>
      </c>
      <c r="D80" s="101">
        <f t="shared" si="880"/>
        <v>0.18063415528175875</v>
      </c>
      <c r="E80" s="101">
        <f t="shared" ca="1" si="880"/>
        <v>-0.97868564252028334</v>
      </c>
      <c r="F80" s="101">
        <f t="shared" ca="1" si="880"/>
        <v>0.48436432057766377</v>
      </c>
      <c r="G80" s="101">
        <f t="shared" ca="1" si="880"/>
        <v>0.33152762730227514</v>
      </c>
      <c r="H80" s="101">
        <f t="shared" ca="1" si="880"/>
        <v>0.56631407648494703</v>
      </c>
      <c r="I80" s="101">
        <f t="shared" ca="1" si="880"/>
        <v>0.21012987012987017</v>
      </c>
      <c r="J80" s="101">
        <f t="shared" ca="1" si="880"/>
        <v>0.28525434642627157</v>
      </c>
      <c r="K80" s="101">
        <f t="shared" ca="1" si="880"/>
        <v>3.8410153640614508E-2</v>
      </c>
      <c r="L80" s="101">
        <f t="shared" ca="1" si="880"/>
        <v>9.9228047603731273E-2</v>
      </c>
      <c r="M80" s="101">
        <f t="shared" ca="1" si="880"/>
        <v>0.21901975128017548</v>
      </c>
      <c r="N80" s="101">
        <f t="shared" ca="1" si="880"/>
        <v>0.1316610657705235</v>
      </c>
      <c r="O80" s="101">
        <f t="shared" ca="1" si="880"/>
        <v>0.13013044861597201</v>
      </c>
      <c r="P80" s="101">
        <f t="shared" ca="1" si="880"/>
        <v>0.16103603603603611</v>
      </c>
      <c r="Q80" s="101">
        <f t="shared" ca="1" si="880"/>
        <v>9.0284513417394185E-2</v>
      </c>
      <c r="R80" s="101">
        <f t="shared" ca="1" si="880"/>
        <v>6.4052190673882459E-2</v>
      </c>
      <c r="S80" s="101">
        <f t="shared" ca="1" si="880"/>
        <v>0.11677001323765057</v>
      </c>
      <c r="T80" s="101">
        <f t="shared" ca="1" si="880"/>
        <v>-3.8991827312995109E-2</v>
      </c>
      <c r="U80" s="101">
        <f t="shared" ca="1" si="880"/>
        <v>7.7252661646325604E-2</v>
      </c>
      <c r="V80" s="101">
        <f t="shared" ca="1" si="880"/>
        <v>0.16614438953838739</v>
      </c>
      <c r="W80" s="101">
        <f t="shared" ca="1" si="880"/>
        <v>0.14257661102785391</v>
      </c>
      <c r="X80" s="101">
        <f t="shared" ca="1" si="880"/>
        <v>8.9778380823156922E-2</v>
      </c>
      <c r="Y80" s="101">
        <f t="shared" ca="1" si="880"/>
        <v>8.873210209587068E-2</v>
      </c>
      <c r="Z80" s="101">
        <f t="shared" ca="1" si="880"/>
        <v>1.8297564136774191E-2</v>
      </c>
      <c r="AA80" s="101">
        <f t="shared" ca="1" si="880"/>
        <v>1.8297564136774191E-2</v>
      </c>
      <c r="AB80" s="174">
        <f t="shared" ref="AB80" ca="1" si="881">+AB79/AA79-1</f>
        <v>3.7709214179453499E-2</v>
      </c>
      <c r="AC80" s="174">
        <f t="shared" ref="AC80" ca="1" si="882">+AC79/AB79-1</f>
        <v>8.3628958150032018E-2</v>
      </c>
      <c r="AD80" s="174">
        <f t="shared" ref="AD80" ca="1" si="883">+AD79/AC79-1</f>
        <v>1.2325233449474116E-2</v>
      </c>
      <c r="AE80" s="174">
        <f t="shared" ref="AE80" ca="1" si="884">+AE79/AD79-1</f>
        <v>0.18760698423892697</v>
      </c>
      <c r="AL80" s="176"/>
      <c r="AM80" s="176"/>
      <c r="AN80" s="176"/>
      <c r="AO80" s="176"/>
      <c r="AP80" s="176">
        <f t="shared" ref="AP80:CL80" si="885">+IF(AL79&lt;0,1-AP79/AL79,AP79/AL79-1)</f>
        <v>0.1302409510667657</v>
      </c>
      <c r="AQ80" s="176">
        <f t="shared" si="885"/>
        <v>0.17399537134441401</v>
      </c>
      <c r="AR80" s="176">
        <f t="shared" si="885"/>
        <v>0.24151299245599356</v>
      </c>
      <c r="AS80" s="176">
        <f t="shared" si="885"/>
        <v>0.21631840796019919</v>
      </c>
      <c r="AT80" s="176">
        <f t="shared" si="885"/>
        <v>0.15787002253944427</v>
      </c>
      <c r="AU80" s="176">
        <f t="shared" si="885"/>
        <v>0.11747311827957008</v>
      </c>
      <c r="AV80" s="176">
        <f t="shared" si="885"/>
        <v>7.7981264241708148E-2</v>
      </c>
      <c r="AW80" s="176">
        <f t="shared" si="885"/>
        <v>6.2500000000000222E-2</v>
      </c>
      <c r="AX80" s="176">
        <f t="shared" si="885"/>
        <v>9.4006002108848907E-2</v>
      </c>
      <c r="AY80" s="176">
        <f t="shared" si="885"/>
        <v>0.11426509502044735</v>
      </c>
      <c r="AZ80" s="176">
        <f t="shared" si="885"/>
        <v>0.10420418069365067</v>
      </c>
      <c r="BA80" s="176">
        <f t="shared" si="885"/>
        <v>0.10463504773637178</v>
      </c>
      <c r="BB80" s="176">
        <f t="shared" si="885"/>
        <v>6.413107947805452E-2</v>
      </c>
      <c r="BC80" s="176">
        <f t="shared" si="885"/>
        <v>3.6269430051813378E-2</v>
      </c>
      <c r="BD80" s="176">
        <f t="shared" si="885"/>
        <v>2.9495178672717115E-2</v>
      </c>
      <c r="BE80" s="176">
        <f t="shared" si="885"/>
        <v>0.11110336655746855</v>
      </c>
      <c r="BF80" s="176">
        <f t="shared" si="885"/>
        <v>0.11670034139204355</v>
      </c>
      <c r="BG80" s="176">
        <f t="shared" si="885"/>
        <v>0.12201388888888887</v>
      </c>
      <c r="BH80" s="176">
        <f t="shared" si="885"/>
        <v>0.13918732782369125</v>
      </c>
      <c r="BI80" s="176">
        <f t="shared" si="885"/>
        <v>-5.7712816009033552E-2</v>
      </c>
      <c r="BJ80" s="176">
        <f t="shared" si="885"/>
        <v>-3.8869478412777769E-2</v>
      </c>
      <c r="BK80" s="176">
        <f t="shared" si="885"/>
        <v>-3.5031255802438488E-2</v>
      </c>
      <c r="BL80" s="176">
        <f t="shared" si="885"/>
        <v>-6.2934526328516927E-2</v>
      </c>
      <c r="BM80" s="176">
        <f t="shared" si="885"/>
        <v>8.8342986485587138E-2</v>
      </c>
      <c r="BN80" s="176">
        <f t="shared" si="885"/>
        <v>7.7247646867900199E-2</v>
      </c>
      <c r="BO80" s="176">
        <f t="shared" si="885"/>
        <v>9.2296837919312535E-2</v>
      </c>
      <c r="BP80" s="176">
        <f t="shared" si="885"/>
        <v>0.15199999999999991</v>
      </c>
      <c r="BQ80" s="176">
        <f t="shared" si="885"/>
        <v>0.13750917543430385</v>
      </c>
      <c r="BR80" s="176">
        <f t="shared" si="885"/>
        <v>0.16607411871045485</v>
      </c>
      <c r="BS80" s="176">
        <f t="shared" si="885"/>
        <v>0.19277745155607762</v>
      </c>
      <c r="BT80" s="176">
        <f t="shared" si="885"/>
        <v>0.16985887096774199</v>
      </c>
      <c r="BU80" s="176">
        <f t="shared" si="885"/>
        <v>0.15621639062163895</v>
      </c>
      <c r="BV80" s="176">
        <f t="shared" si="885"/>
        <v>0.14262828794377547</v>
      </c>
      <c r="BW80" s="176">
        <f t="shared" si="885"/>
        <v>9.6637621227785075E-2</v>
      </c>
      <c r="BX80" s="176">
        <f t="shared" si="885"/>
        <v>9.5121834458327115E-2</v>
      </c>
      <c r="BY80" s="176">
        <f t="shared" si="885"/>
        <v>0.10008836798288456</v>
      </c>
      <c r="BZ80" s="176">
        <f t="shared" si="885"/>
        <v>8.9729094116050678E-2</v>
      </c>
      <c r="CA80" s="176">
        <f t="shared" si="885"/>
        <v>0.10791883641587363</v>
      </c>
      <c r="CB80" s="176">
        <f t="shared" si="885"/>
        <v>8.7209302325581328E-2</v>
      </c>
      <c r="CC80" s="176">
        <f t="shared" si="885"/>
        <v>3.1201116137487883E-2</v>
      </c>
      <c r="CD80" s="176">
        <f t="shared" si="885"/>
        <v>8.8690599709483564E-2</v>
      </c>
      <c r="CE80" s="176">
        <f t="shared" si="885"/>
        <v>8.0024311183144459E-2</v>
      </c>
      <c r="CF80" s="176">
        <f t="shared" si="885"/>
        <v>8.3551123798802029E-2</v>
      </c>
      <c r="CG80" s="176">
        <f t="shared" si="885"/>
        <v>0.13357385921036458</v>
      </c>
      <c r="CH80" s="176">
        <f t="shared" si="885"/>
        <v>1.8336383043610738E-2</v>
      </c>
      <c r="CI80" s="176">
        <f t="shared" si="885"/>
        <v>2.2922528606265091E-2</v>
      </c>
      <c r="CJ80" s="176">
        <f t="shared" si="885"/>
        <v>4.3600875728227351E-2</v>
      </c>
      <c r="CK80" s="176">
        <f t="shared" si="885"/>
        <v>5.8302289413721953E-2</v>
      </c>
      <c r="CL80" s="176">
        <f t="shared" si="885"/>
        <v>0.15033878635870179</v>
      </c>
      <c r="CM80" s="102">
        <f t="shared" ref="CM80:DB80" si="886">+IF(CI79&lt;0,1-CM79/CI79,CM79/CI79-1)</f>
        <v>0.15416362976545095</v>
      </c>
      <c r="CN80" s="102">
        <f t="shared" si="886"/>
        <v>0.13722558663921713</v>
      </c>
      <c r="CO80" s="102">
        <f t="shared" si="886"/>
        <v>9.7994947034332647E-2</v>
      </c>
      <c r="CP80" s="102">
        <f t="shared" si="886"/>
        <v>3.7709214179453276E-2</v>
      </c>
      <c r="CQ80" s="102">
        <f t="shared" si="886"/>
        <v>3.6350395406378189E-2</v>
      </c>
      <c r="CR80" s="102">
        <f t="shared" si="886"/>
        <v>4.3332362208400088E-2</v>
      </c>
      <c r="CS80" s="102">
        <f t="shared" si="886"/>
        <v>5.6536774431172887E-2</v>
      </c>
      <c r="CT80" s="102">
        <f t="shared" si="886"/>
        <v>8.362895815003224E-2</v>
      </c>
      <c r="CU80" s="102">
        <f t="shared" si="886"/>
        <v>6.2491682685079653E-2</v>
      </c>
      <c r="CV80" s="102">
        <f t="shared" si="886"/>
        <v>4.0301799528322801E-2</v>
      </c>
      <c r="CW80" s="102">
        <f t="shared" si="886"/>
        <v>2.7858865443252778E-2</v>
      </c>
      <c r="CX80" s="102">
        <f t="shared" si="886"/>
        <v>1.2325233449474338E-2</v>
      </c>
      <c r="CY80" s="102">
        <f t="shared" si="886"/>
        <v>4.7273628242987531E-2</v>
      </c>
      <c r="CZ80" s="102">
        <f t="shared" si="886"/>
        <v>8.7326423562810174E-2</v>
      </c>
      <c r="DA80" s="102">
        <f t="shared" si="886"/>
        <v>0.13103721099316523</v>
      </c>
      <c r="DB80" s="102">
        <f t="shared" si="886"/>
        <v>0.18760698423892652</v>
      </c>
      <c r="DE80" s="135"/>
      <c r="DF80" s="97">
        <v>0.15033878635870157</v>
      </c>
      <c r="DG80" s="97">
        <v>0.11686175843598834</v>
      </c>
    </row>
    <row r="81" spans="1:111" s="144" customFormat="1" x14ac:dyDescent="0.2">
      <c r="A81" s="144" t="s">
        <v>424</v>
      </c>
      <c r="AB81" s="145"/>
      <c r="AC81" s="145"/>
      <c r="AD81" s="145"/>
      <c r="AE81" s="145"/>
      <c r="CL81" s="144">
        <v>70.22</v>
      </c>
      <c r="CM81" s="145"/>
      <c r="CN81" s="145"/>
      <c r="CO81" s="145"/>
      <c r="CP81" s="145">
        <v>76.44</v>
      </c>
      <c r="CQ81" s="145"/>
      <c r="CR81" s="145"/>
      <c r="CS81" s="145"/>
      <c r="CT81" s="145">
        <v>82.47</v>
      </c>
      <c r="CU81" s="145"/>
      <c r="CV81" s="145"/>
      <c r="CW81" s="145"/>
      <c r="CX81" s="145">
        <v>86.3</v>
      </c>
      <c r="CY81" s="145"/>
      <c r="CZ81" s="145"/>
      <c r="DA81" s="145"/>
      <c r="DB81" s="145"/>
      <c r="DE81" s="146"/>
      <c r="DG81" s="144">
        <v>70.22</v>
      </c>
    </row>
    <row r="82" spans="1:111" s="144" customFormat="1" x14ac:dyDescent="0.2">
      <c r="A82" s="144" t="s">
        <v>436</v>
      </c>
      <c r="AB82" s="145"/>
      <c r="AC82" s="145"/>
      <c r="AD82" s="145"/>
      <c r="AE82" s="145"/>
      <c r="CL82" s="144">
        <f>+CL79/CL81-1</f>
        <v>8.1053279191428906E-2</v>
      </c>
      <c r="CM82" s="145"/>
      <c r="CN82" s="145"/>
      <c r="CO82" s="145"/>
      <c r="CP82" s="145">
        <f>+CP79/CP81-1</f>
        <v>3.0535407996520103E-2</v>
      </c>
      <c r="CQ82" s="145"/>
      <c r="CR82" s="145"/>
      <c r="CS82" s="145"/>
      <c r="CT82" s="145">
        <f>+CT79/CT81-1</f>
        <v>3.5066384417664853E-2</v>
      </c>
      <c r="CU82" s="145"/>
      <c r="CV82" s="145"/>
      <c r="CW82" s="145"/>
      <c r="CX82" s="145">
        <f>+CX79/CX81-1</f>
        <v>1.3213252935262432E-3</v>
      </c>
      <c r="CY82" s="145"/>
      <c r="CZ82" s="145"/>
      <c r="DA82" s="145"/>
      <c r="DB82" s="145" t="e">
        <f>+DB79/DB81-1</f>
        <v>#DIV/0!</v>
      </c>
      <c r="DE82" s="146"/>
      <c r="DG82" s="144">
        <v>2.4289007969049869E-2</v>
      </c>
    </row>
    <row r="83" spans="1:111" s="3" customFormat="1" x14ac:dyDescent="0.2">
      <c r="A83" s="3" t="s">
        <v>34</v>
      </c>
      <c r="B83" s="3">
        <f>'Annual Raw'!C112</f>
        <v>29.15</v>
      </c>
      <c r="C83" s="3">
        <f>'Annual Raw'!D112</f>
        <v>28.72</v>
      </c>
      <c r="D83" s="3">
        <f>'Annual Raw'!E112</f>
        <v>28.42</v>
      </c>
      <c r="E83" s="3">
        <f>'Annual Raw'!F112</f>
        <v>26.52</v>
      </c>
      <c r="F83" s="3">
        <f>'Annual Raw'!G112</f>
        <v>21.76</v>
      </c>
      <c r="G83" s="3">
        <f>'Annual Raw'!H112</f>
        <v>19.5</v>
      </c>
      <c r="H83" s="3">
        <f>'Annual Raw'!I112</f>
        <v>16.54</v>
      </c>
      <c r="I83" s="3">
        <f>'Annual Raw'!J112</f>
        <v>16.52</v>
      </c>
      <c r="J83" s="3">
        <f>'Annual Raw'!K112</f>
        <v>16.489999999999998</v>
      </c>
      <c r="K83" s="3">
        <f>'Annual Raw'!L112</f>
        <v>16.05</v>
      </c>
      <c r="L83" s="3">
        <f>'Annual Raw'!M112</f>
        <v>16.04</v>
      </c>
      <c r="M83" s="3">
        <f>'Annual Raw'!N112</f>
        <v>16.04</v>
      </c>
      <c r="N83" s="3">
        <f>'Annual Raw'!O112</f>
        <v>16.04</v>
      </c>
      <c r="O83" s="3">
        <f>'Annual Raw'!P112</f>
        <v>15.94</v>
      </c>
      <c r="P83" s="3">
        <f>'Annual Raw'!Q112</f>
        <v>13.08</v>
      </c>
      <c r="Q83" s="3">
        <f>'Annual Raw'!R112</f>
        <v>12.75</v>
      </c>
      <c r="R83" s="3">
        <f>'Annual Raw'!S112</f>
        <v>12.75</v>
      </c>
      <c r="S83" s="3">
        <f>'Annual Raw'!T112</f>
        <v>12.9</v>
      </c>
      <c r="T83" s="3">
        <f>'Annual Raw'!U112</f>
        <v>12.84</v>
      </c>
      <c r="U83" s="3">
        <f>'Annual Raw'!V112</f>
        <v>13.15</v>
      </c>
      <c r="V83" s="3">
        <f>'Annual Raw'!W112</f>
        <v>12.95</v>
      </c>
      <c r="W83" s="3">
        <f>'Annual Raw'!X112</f>
        <v>13.11</v>
      </c>
      <c r="X83" s="3">
        <f>'Annual Raw'!Y112</f>
        <v>15.14</v>
      </c>
      <c r="Y83" s="3">
        <f>'Annual Raw'!Z112</f>
        <v>14.71</v>
      </c>
      <c r="Z83" s="3">
        <f>'Annual Raw'!AA112</f>
        <v>14.6</v>
      </c>
      <c r="AA83" s="3">
        <f>'Annual Raw'!AB112</f>
        <v>14.38</v>
      </c>
      <c r="AB83" s="37"/>
      <c r="AC83" s="37"/>
      <c r="AD83" s="37"/>
      <c r="AE83" s="37"/>
      <c r="AI83" s="3">
        <f>'QTR Raw'!C49</f>
        <v>16.04</v>
      </c>
      <c r="AJ83" s="3">
        <f>'QTR Raw'!D49</f>
        <v>16.04</v>
      </c>
      <c r="AK83" s="3">
        <f>'QTR Raw'!E49</f>
        <v>16.04</v>
      </c>
      <c r="AL83" s="3">
        <f>'QTR Raw'!F49</f>
        <v>16.04</v>
      </c>
      <c r="AM83" s="3">
        <f>'QTR Raw'!G49</f>
        <v>16.04</v>
      </c>
      <c r="AN83" s="3">
        <f>'QTR Raw'!H49</f>
        <v>15.94</v>
      </c>
      <c r="AO83" s="3">
        <f>'QTR Raw'!I49</f>
        <v>15.94</v>
      </c>
      <c r="AP83" s="3">
        <f>'QTR Raw'!J49</f>
        <v>15.94</v>
      </c>
      <c r="AQ83" s="3">
        <f>'QTR Raw'!K49</f>
        <v>15.94</v>
      </c>
      <c r="AR83" s="3">
        <f>'QTR Raw'!L49</f>
        <v>15.92</v>
      </c>
      <c r="AS83" s="3">
        <f>'QTR Raw'!M49</f>
        <v>13.08</v>
      </c>
      <c r="AT83" s="3">
        <f>'QTR Raw'!N49</f>
        <v>13.08</v>
      </c>
      <c r="AU83" s="3">
        <f>'QTR Raw'!O49</f>
        <v>13.08</v>
      </c>
      <c r="AV83" s="3">
        <f>'QTR Raw'!P49</f>
        <v>13.08</v>
      </c>
      <c r="AW83" s="3">
        <f>'QTR Raw'!Q49</f>
        <v>13.07</v>
      </c>
      <c r="AX83" s="3">
        <f>'QTR Raw'!R49</f>
        <v>12.75</v>
      </c>
      <c r="AY83" s="3">
        <f>'QTR Raw'!S49</f>
        <v>12.75</v>
      </c>
      <c r="AZ83" s="3">
        <f>'QTR Raw'!T49</f>
        <v>12.75</v>
      </c>
      <c r="BA83" s="3">
        <f>'QTR Raw'!U49</f>
        <v>12.75</v>
      </c>
      <c r="BB83" s="3">
        <f>'QTR Raw'!V49</f>
        <v>12.75</v>
      </c>
      <c r="BC83" s="3">
        <f>'QTR Raw'!W49</f>
        <v>12.75</v>
      </c>
      <c r="BD83" s="3">
        <f>'QTR Raw'!X49</f>
        <v>12.75</v>
      </c>
      <c r="BE83" s="3">
        <f>'QTR Raw'!Y49</f>
        <v>12.9</v>
      </c>
      <c r="BF83" s="3">
        <f>'QTR Raw'!Z49</f>
        <v>12.9</v>
      </c>
      <c r="BG83" s="3">
        <f>'QTR Raw'!AA49</f>
        <v>12.9</v>
      </c>
      <c r="BH83" s="3">
        <f>'QTR Raw'!AB49</f>
        <v>12.82</v>
      </c>
      <c r="BI83" s="3">
        <f>'QTR Raw'!AC49</f>
        <v>12.82</v>
      </c>
      <c r="BJ83" s="3">
        <f>'QTR Raw'!AD49</f>
        <v>12.84</v>
      </c>
      <c r="BK83" s="3">
        <f>'QTR Raw'!AE49</f>
        <v>13.04</v>
      </c>
      <c r="BL83" s="3">
        <f>'QTR Raw'!AF49</f>
        <v>13.15</v>
      </c>
      <c r="BM83" s="3">
        <f>'QTR Raw'!AG49</f>
        <v>13.15</v>
      </c>
      <c r="BN83" s="3">
        <f>'QTR Raw'!AH49</f>
        <v>13.15</v>
      </c>
      <c r="BO83" s="3">
        <f>'QTR Raw'!AI49</f>
        <v>13.15</v>
      </c>
      <c r="BP83" s="3">
        <f>'QTR Raw'!AJ49</f>
        <v>12.95</v>
      </c>
      <c r="BQ83" s="3">
        <f>'QTR Raw'!AK49</f>
        <v>12.95</v>
      </c>
      <c r="BR83" s="3">
        <f>'QTR Raw'!AL49</f>
        <v>12.95</v>
      </c>
      <c r="BS83" s="3">
        <f>'QTR Raw'!AM49</f>
        <v>12.95</v>
      </c>
      <c r="BT83" s="3">
        <f>'QTR Raw'!AN49</f>
        <v>13.12</v>
      </c>
      <c r="BU83" s="3">
        <f>'QTR Raw'!AO49</f>
        <v>13.12</v>
      </c>
      <c r="BV83" s="3">
        <f>'QTR Raw'!AP49</f>
        <v>13.11</v>
      </c>
      <c r="BW83" s="3">
        <f>'QTR Raw'!AQ49</f>
        <v>13.11</v>
      </c>
      <c r="BX83" s="3">
        <f>'QTR Raw'!AR49</f>
        <v>15.16</v>
      </c>
      <c r="BY83" s="3">
        <f>'QTR Raw'!AS49</f>
        <v>15.11</v>
      </c>
      <c r="BZ83" s="3">
        <f>'QTR Raw'!AT49</f>
        <v>15.14</v>
      </c>
      <c r="CA83" s="3">
        <f>'QTR Raw'!AU49</f>
        <v>14.94</v>
      </c>
      <c r="CB83" s="3">
        <f>'QTR Raw'!AV49</f>
        <v>14.89</v>
      </c>
      <c r="CC83" s="3">
        <f>'QTR Raw'!AW49</f>
        <v>14.78</v>
      </c>
      <c r="CD83" s="3">
        <f>'QTR Raw'!AX49</f>
        <v>14.71</v>
      </c>
      <c r="CE83" s="3">
        <f>'QTR Raw'!AY49</f>
        <v>14.61</v>
      </c>
      <c r="CF83" s="3">
        <f>'QTR Raw'!AZ49</f>
        <v>14.43</v>
      </c>
      <c r="CG83" s="3">
        <f>'QTR Raw'!BA49</f>
        <v>14.43</v>
      </c>
      <c r="CH83" s="3">
        <f>'QTR Raw'!BB49</f>
        <v>14.6</v>
      </c>
      <c r="CI83" s="3">
        <f>'QTR Raw'!BC49</f>
        <v>14.61</v>
      </c>
      <c r="CJ83" s="3">
        <f>'QTR Raw'!BD49</f>
        <v>14.3</v>
      </c>
      <c r="CK83" s="3">
        <f>'QTR Raw'!BE49</f>
        <v>14.52</v>
      </c>
      <c r="CL83" s="3">
        <f>'QTR Raw'!BF49</f>
        <v>14.38</v>
      </c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E83" s="134"/>
      <c r="DF83" s="3">
        <v>14.38</v>
      </c>
    </row>
    <row r="84" spans="1:111" s="3" customFormat="1" x14ac:dyDescent="0.2">
      <c r="A84" s="3" t="s">
        <v>35</v>
      </c>
      <c r="B84" s="3">
        <f>'Annual Raw'!C113</f>
        <v>0</v>
      </c>
      <c r="C84" s="3">
        <f>'Annual Raw'!D113</f>
        <v>0</v>
      </c>
      <c r="D84" s="3">
        <f>'Annual Raw'!E113</f>
        <v>0</v>
      </c>
      <c r="E84" s="3">
        <f>'Annual Raw'!F113</f>
        <v>0</v>
      </c>
      <c r="F84" s="3">
        <f>'Annual Raw'!G113</f>
        <v>0</v>
      </c>
      <c r="G84" s="3">
        <f>'Annual Raw'!H113</f>
        <v>0</v>
      </c>
      <c r="H84" s="3">
        <f>'Annual Raw'!I113</f>
        <v>0</v>
      </c>
      <c r="I84" s="3">
        <f>'Annual Raw'!J113</f>
        <v>0</v>
      </c>
      <c r="J84" s="3">
        <f>'Annual Raw'!K113</f>
        <v>0.02</v>
      </c>
      <c r="K84" s="3">
        <f>'Annual Raw'!L113</f>
        <v>0</v>
      </c>
      <c r="L84" s="3">
        <f>'Annual Raw'!M113</f>
        <v>0</v>
      </c>
      <c r="M84" s="3">
        <f>'Annual Raw'!N113</f>
        <v>0</v>
      </c>
      <c r="N84" s="3">
        <f>'Annual Raw'!O113</f>
        <v>0</v>
      </c>
      <c r="O84" s="3">
        <f>'Annual Raw'!P113</f>
        <v>0</v>
      </c>
      <c r="P84" s="3">
        <f>'Annual Raw'!Q113</f>
        <v>0</v>
      </c>
      <c r="Q84" s="3">
        <f>'Annual Raw'!R113</f>
        <v>0</v>
      </c>
      <c r="R84" s="3">
        <f>'Annual Raw'!S113</f>
        <v>0</v>
      </c>
      <c r="S84" s="3">
        <f>'Annual Raw'!T113</f>
        <v>0</v>
      </c>
      <c r="T84" s="3">
        <f>'Annual Raw'!U113</f>
        <v>0</v>
      </c>
      <c r="U84" s="3">
        <f>'Annual Raw'!V113</f>
        <v>0</v>
      </c>
      <c r="V84" s="3">
        <f>'Annual Raw'!W113</f>
        <v>0</v>
      </c>
      <c r="W84" s="3">
        <f>'Annual Raw'!X113</f>
        <v>0</v>
      </c>
      <c r="X84" s="3">
        <f>'Annual Raw'!Y113</f>
        <v>0</v>
      </c>
      <c r="Y84" s="3">
        <f>'Annual Raw'!Z113</f>
        <v>0</v>
      </c>
      <c r="Z84" s="3">
        <f>'Annual Raw'!AA113</f>
        <v>0</v>
      </c>
      <c r="AA84" s="3">
        <f>'Annual Raw'!AB113</f>
        <v>0</v>
      </c>
      <c r="AB84" s="37"/>
      <c r="AC84" s="37"/>
      <c r="AD84" s="37"/>
      <c r="AE84" s="37"/>
      <c r="AI84" s="3">
        <f>'QTR Raw'!C50</f>
        <v>0</v>
      </c>
      <c r="AJ84" s="3">
        <f>'QTR Raw'!D50</f>
        <v>0</v>
      </c>
      <c r="AK84" s="3">
        <f>'QTR Raw'!E50</f>
        <v>0</v>
      </c>
      <c r="AL84" s="3">
        <f>'QTR Raw'!F50</f>
        <v>0</v>
      </c>
      <c r="AM84" s="3">
        <f>'QTR Raw'!G50</f>
        <v>0</v>
      </c>
      <c r="AN84" s="3">
        <f>'QTR Raw'!H50</f>
        <v>0</v>
      </c>
      <c r="AO84" s="3">
        <f>'QTR Raw'!I50</f>
        <v>0</v>
      </c>
      <c r="AP84" s="3">
        <f>'QTR Raw'!J50</f>
        <v>0</v>
      </c>
      <c r="AQ84" s="3">
        <f>'QTR Raw'!K50</f>
        <v>0</v>
      </c>
      <c r="AR84" s="3">
        <f>'QTR Raw'!L50</f>
        <v>0</v>
      </c>
      <c r="AS84" s="3">
        <f>'QTR Raw'!M50</f>
        <v>0</v>
      </c>
      <c r="AT84" s="3">
        <f>'QTR Raw'!N50</f>
        <v>0</v>
      </c>
      <c r="AU84" s="3">
        <f>'QTR Raw'!O50</f>
        <v>0</v>
      </c>
      <c r="AV84" s="3">
        <f>'QTR Raw'!P50</f>
        <v>0</v>
      </c>
      <c r="AW84" s="3">
        <f>'QTR Raw'!Q50</f>
        <v>0</v>
      </c>
      <c r="AX84" s="3">
        <f>'QTR Raw'!R50</f>
        <v>0</v>
      </c>
      <c r="AY84" s="3">
        <f>'QTR Raw'!S50</f>
        <v>0</v>
      </c>
      <c r="AZ84" s="3">
        <f>'QTR Raw'!T50</f>
        <v>0</v>
      </c>
      <c r="BA84" s="3">
        <f>'QTR Raw'!U50</f>
        <v>0</v>
      </c>
      <c r="BB84" s="3">
        <f>'QTR Raw'!V50</f>
        <v>0</v>
      </c>
      <c r="BC84" s="3">
        <f>'QTR Raw'!W50</f>
        <v>0</v>
      </c>
      <c r="BD84" s="3">
        <f>'QTR Raw'!X50</f>
        <v>0</v>
      </c>
      <c r="BE84" s="3">
        <f>'QTR Raw'!Y50</f>
        <v>0</v>
      </c>
      <c r="BF84" s="3">
        <f>'QTR Raw'!Z50</f>
        <v>0</v>
      </c>
      <c r="BG84" s="3">
        <f>'QTR Raw'!AA50</f>
        <v>0</v>
      </c>
      <c r="BH84" s="3">
        <f>'QTR Raw'!AB50</f>
        <v>0</v>
      </c>
      <c r="BI84" s="3">
        <f>'QTR Raw'!AC50</f>
        <v>0</v>
      </c>
      <c r="BJ84" s="3">
        <f>'QTR Raw'!AD50</f>
        <v>0</v>
      </c>
      <c r="BK84" s="3">
        <f>'QTR Raw'!AE50</f>
        <v>0</v>
      </c>
      <c r="BL84" s="3">
        <f>'QTR Raw'!AF50</f>
        <v>0</v>
      </c>
      <c r="BM84" s="3">
        <f>'QTR Raw'!AG50</f>
        <v>0</v>
      </c>
      <c r="BN84" s="3">
        <f>'QTR Raw'!AH50</f>
        <v>0</v>
      </c>
      <c r="BO84" s="3">
        <f>'QTR Raw'!AI50</f>
        <v>0</v>
      </c>
      <c r="BP84" s="3">
        <f>'QTR Raw'!AJ50</f>
        <v>0</v>
      </c>
      <c r="BQ84" s="3">
        <f>'QTR Raw'!AK50</f>
        <v>0</v>
      </c>
      <c r="BR84" s="3">
        <f>'QTR Raw'!AL50</f>
        <v>0</v>
      </c>
      <c r="BS84" s="3">
        <f>'QTR Raw'!AM50</f>
        <v>0</v>
      </c>
      <c r="BT84" s="3">
        <f>'QTR Raw'!AN50</f>
        <v>0</v>
      </c>
      <c r="BU84" s="3">
        <f>'QTR Raw'!AO50</f>
        <v>0</v>
      </c>
      <c r="BV84" s="3">
        <f>'QTR Raw'!AP50</f>
        <v>0</v>
      </c>
      <c r="BW84" s="3">
        <f>'QTR Raw'!AQ50</f>
        <v>0</v>
      </c>
      <c r="BX84" s="3">
        <f>'QTR Raw'!AR50</f>
        <v>0</v>
      </c>
      <c r="BY84" s="3">
        <f>'QTR Raw'!AS50</f>
        <v>0</v>
      </c>
      <c r="BZ84" s="3">
        <f>'QTR Raw'!AT50</f>
        <v>0</v>
      </c>
      <c r="CA84" s="3">
        <f>'QTR Raw'!AU50</f>
        <v>0</v>
      </c>
      <c r="CB84" s="3">
        <f>'QTR Raw'!AV50</f>
        <v>0</v>
      </c>
      <c r="CC84" s="3">
        <f>'QTR Raw'!AW50</f>
        <v>0</v>
      </c>
      <c r="CD84" s="3">
        <f>'QTR Raw'!AX50</f>
        <v>0</v>
      </c>
      <c r="CE84" s="3">
        <f>'QTR Raw'!AY50</f>
        <v>0</v>
      </c>
      <c r="CF84" s="3">
        <f>'QTR Raw'!AZ50</f>
        <v>0</v>
      </c>
      <c r="CG84" s="3">
        <f>'QTR Raw'!BA50</f>
        <v>0</v>
      </c>
      <c r="CH84" s="3">
        <f>'QTR Raw'!BB50</f>
        <v>0</v>
      </c>
      <c r="CI84" s="3">
        <f>'QTR Raw'!BC50</f>
        <v>0</v>
      </c>
      <c r="CJ84" s="3">
        <f>'QTR Raw'!BD50</f>
        <v>0</v>
      </c>
      <c r="CK84" s="3">
        <f>'QTR Raw'!BE50</f>
        <v>0</v>
      </c>
      <c r="CL84" s="3">
        <f>'QTR Raw'!BF50</f>
        <v>0</v>
      </c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E84" s="134"/>
      <c r="DF84" s="3">
        <v>0</v>
      </c>
    </row>
    <row r="85" spans="1:111" s="3" customFormat="1" x14ac:dyDescent="0.2">
      <c r="AB85" s="37"/>
      <c r="AC85" s="37"/>
      <c r="AD85" s="37"/>
      <c r="AE85" s="37"/>
      <c r="CM85" s="37"/>
      <c r="CN85" s="37"/>
      <c r="CO85" s="37"/>
      <c r="CP85" s="37"/>
      <c r="CQ85" s="37"/>
      <c r="CR85" s="37"/>
      <c r="CS85" s="37"/>
      <c r="CT85" s="37"/>
      <c r="CU85" s="37"/>
      <c r="CV85" s="37"/>
      <c r="CW85" s="37"/>
      <c r="CX85" s="37"/>
      <c r="CY85" s="37"/>
      <c r="CZ85" s="37"/>
      <c r="DA85" s="37"/>
      <c r="DB85" s="37"/>
      <c r="DE85" s="134"/>
    </row>
    <row r="86" spans="1:111" s="13" customFormat="1" x14ac:dyDescent="0.2">
      <c r="A86" s="13" t="s">
        <v>36</v>
      </c>
      <c r="AB86" s="37"/>
      <c r="AC86" s="37"/>
      <c r="AD86" s="37"/>
      <c r="AE86" s="37"/>
      <c r="CM86" s="37"/>
      <c r="CN86" s="37"/>
      <c r="CO86" s="37"/>
      <c r="CP86" s="37"/>
      <c r="CQ86" s="37"/>
      <c r="CR86" s="37"/>
      <c r="CS86" s="37"/>
      <c r="CT86" s="37"/>
      <c r="CU86" s="37"/>
      <c r="CV86" s="37"/>
      <c r="CW86" s="37"/>
      <c r="CX86" s="37"/>
      <c r="CY86" s="37"/>
      <c r="CZ86" s="37"/>
      <c r="DA86" s="37"/>
      <c r="DB86" s="37"/>
      <c r="DE86" s="134"/>
    </row>
    <row r="87" spans="1:111" s="13" customFormat="1" x14ac:dyDescent="0.2">
      <c r="A87" s="13" t="s">
        <v>457</v>
      </c>
      <c r="B87" s="13">
        <f>'Annual Raw'!C106</f>
        <v>63.795312500000001</v>
      </c>
      <c r="C87" s="13">
        <f>'Annual Raw'!D106</f>
        <v>58.366406249999997</v>
      </c>
      <c r="D87" s="13">
        <f>'Annual Raw'!E106</f>
        <v>63.129687500000003</v>
      </c>
      <c r="E87" s="13">
        <f>'Annual Raw'!F106</f>
        <v>77.158593749999994</v>
      </c>
      <c r="F87" s="13">
        <f>'Annual Raw'!G106</f>
        <v>140.78437500000001</v>
      </c>
      <c r="G87" s="13">
        <f>'Annual Raw'!H106</f>
        <v>186.30312499999999</v>
      </c>
      <c r="H87" s="13">
        <f>'Annual Raw'!I106</f>
        <v>251.57499999999999</v>
      </c>
      <c r="I87" s="13">
        <f>'Annual Raw'!J106</f>
        <v>178.76875000000001</v>
      </c>
      <c r="J87" s="13">
        <f>'Annual Raw'!K106</f>
        <v>165.51249999999999</v>
      </c>
      <c r="K87" s="13">
        <f>'Annual Raw'!L106</f>
        <v>326.88749999999999</v>
      </c>
      <c r="L87" s="13">
        <f>'Annual Raw'!M106</f>
        <v>404.59375</v>
      </c>
      <c r="M87" s="13">
        <f>'Annual Raw'!N106</f>
        <v>358.11874999999998</v>
      </c>
      <c r="N87" s="13">
        <f>'Annual Raw'!O106</f>
        <v>361.23750000000001</v>
      </c>
      <c r="O87" s="13">
        <f>'Annual Raw'!P106</f>
        <v>409.85624999999999</v>
      </c>
      <c r="P87" s="13">
        <f>'Annual Raw'!Q106</f>
        <v>554.15</v>
      </c>
      <c r="Q87" s="13">
        <f>'Annual Raw'!R106</f>
        <v>608.97500000000002</v>
      </c>
      <c r="R87" s="13">
        <f>'Annual Raw'!S106</f>
        <v>510.4</v>
      </c>
      <c r="S87" s="13">
        <f>'Annual Raw'!T106</f>
        <v>567.20000000000005</v>
      </c>
      <c r="T87" s="13">
        <f>'Annual Raw'!U106</f>
        <v>742.3</v>
      </c>
      <c r="U87" s="13">
        <f>'Annual Raw'!V106</f>
        <v>640.29999999999995</v>
      </c>
      <c r="V87" s="13">
        <f>'Annual Raw'!W106</f>
        <v>1367.75</v>
      </c>
      <c r="W87" s="13">
        <f>'Annual Raw'!X106</f>
        <v>1907.2</v>
      </c>
      <c r="X87" s="13">
        <f>'Annual Raw'!Y106</f>
        <v>1427.7</v>
      </c>
      <c r="Y87" s="13">
        <f>'Annual Raw'!Z106</f>
        <v>1498.8</v>
      </c>
      <c r="Z87" s="13">
        <f>'Annual Raw'!AA106</f>
        <v>1570.4</v>
      </c>
      <c r="AA87" s="13">
        <f>'Annual Raw'!AB106</f>
        <v>1251.2</v>
      </c>
      <c r="AB87" s="37">
        <f>+CP87</f>
        <v>1170</v>
      </c>
      <c r="AC87" s="37">
        <f>+CT87</f>
        <v>1170</v>
      </c>
      <c r="AD87" s="37">
        <f>+CX87</f>
        <v>1170</v>
      </c>
      <c r="AE87" s="37">
        <f>+DB87</f>
        <v>1170</v>
      </c>
      <c r="AJ87" s="13">
        <f>'QTR Share Price'!HP21</f>
        <v>316.75</v>
      </c>
      <c r="AK87" s="13">
        <f>'QTR Share Price'!HQ21</f>
        <v>289.8125</v>
      </c>
      <c r="AL87" s="13">
        <f>'QTR Share Price'!HR21</f>
        <v>361.23750000000001</v>
      </c>
      <c r="AM87" s="13">
        <f>'QTR Share Price'!HS21</f>
        <v>311.65625</v>
      </c>
      <c r="AN87" s="13">
        <f>'QTR Share Price'!HT21</f>
        <v>376.93124999999998</v>
      </c>
      <c r="AO87" s="13">
        <f>'QTR Share Price'!HU21</f>
        <v>435.6875</v>
      </c>
      <c r="AP87" s="13">
        <f>'QTR Share Price'!HV21</f>
        <v>409.85624999999999</v>
      </c>
      <c r="AQ87" s="13">
        <f>'QTR Share Price'!HW21</f>
        <v>405.80624999999998</v>
      </c>
      <c r="AR87" s="13">
        <f>'QTR Share Price'!HX21</f>
        <v>468.45625000000001</v>
      </c>
      <c r="AS87" s="13">
        <f>'QTR Share Price'!HY21</f>
        <v>492.8</v>
      </c>
      <c r="AT87" s="13">
        <f>'QTR Share Price'!HZ21</f>
        <v>554.15</v>
      </c>
      <c r="AU87" s="13">
        <f>'QTR Share Price'!IA21</f>
        <v>492.67500000000001</v>
      </c>
      <c r="AV87" s="13">
        <f>'QTR Share Price'!IB21</f>
        <v>580.22500000000002</v>
      </c>
      <c r="AW87" s="13">
        <f>'QTR Share Price'!IC21</f>
        <v>552.27499999999998</v>
      </c>
      <c r="AX87" s="13">
        <f>'QTR Share Price'!ID21</f>
        <v>608.97500000000002</v>
      </c>
      <c r="AY87" s="13">
        <f>'QTR Share Price'!IE21</f>
        <v>585.375</v>
      </c>
      <c r="AZ87" s="13">
        <f>'QTR Share Price'!IF21</f>
        <v>519.04999999999995</v>
      </c>
      <c r="BA87" s="13">
        <f>'QTR Share Price'!IG21</f>
        <v>505.35</v>
      </c>
      <c r="BB87" s="13">
        <f>'QTR Share Price'!IH21</f>
        <v>510.4</v>
      </c>
      <c r="BC87" s="13">
        <f>'QTR Share Price'!II21</f>
        <v>467.82499999999999</v>
      </c>
      <c r="BD87" s="13">
        <f>'QTR Share Price'!IJ21</f>
        <v>449.375</v>
      </c>
      <c r="BE87" s="13">
        <f>'QTR Share Price'!IK21</f>
        <v>519.65</v>
      </c>
      <c r="BF87" s="13">
        <f>'QTR Share Price'!IL21</f>
        <v>567.20000000000005</v>
      </c>
      <c r="BG87" s="13">
        <f>'QTR Share Price'!IM21</f>
        <v>653.375</v>
      </c>
      <c r="BH87" s="13">
        <f>'QTR Share Price'!IN21</f>
        <v>727.85</v>
      </c>
      <c r="BI87" s="13">
        <f>'QTR Share Price'!IO21</f>
        <v>659.85</v>
      </c>
      <c r="BJ87" s="13">
        <f>'QTR Share Price'!IP21</f>
        <v>742.3</v>
      </c>
      <c r="BK87" s="13">
        <f>'QTR Share Price'!IQ21</f>
        <v>731.95</v>
      </c>
      <c r="BL87" s="13">
        <f>'QTR Share Price'!IR21</f>
        <v>805.3</v>
      </c>
      <c r="BM87" s="13">
        <f>'QTR Share Price'!IS21</f>
        <v>731.75</v>
      </c>
      <c r="BN87" s="13">
        <f>'QTR Share Price'!IT21</f>
        <v>640.29999999999995</v>
      </c>
      <c r="BO87" s="13">
        <f>'QTR Share Price'!IU21</f>
        <v>735.9</v>
      </c>
      <c r="BP87" s="13">
        <f>'QTR Share Price'!IV21</f>
        <v>1008</v>
      </c>
      <c r="BQ87" s="13">
        <f>'QTR Share Price'!IW21</f>
        <v>1255.8499999999999</v>
      </c>
      <c r="BR87" s="13">
        <f>'QTR Share Price'!IX21</f>
        <v>1367.75</v>
      </c>
      <c r="BS87" s="13">
        <f>'QTR Share Price'!IY21</f>
        <v>1581.25</v>
      </c>
      <c r="BT87" s="13">
        <f>'QTR Share Price'!IZ21</f>
        <v>1675.4</v>
      </c>
      <c r="BU87" s="13">
        <f>'QTR Share Price'!JA21</f>
        <v>1889.65</v>
      </c>
      <c r="BV87" s="13">
        <f>'QTR Share Price'!JB21</f>
        <v>1907.2</v>
      </c>
      <c r="BW87" s="13">
        <f>'QTR Share Price'!JC21</f>
        <v>1461.2</v>
      </c>
      <c r="BX87" s="13">
        <f>'QTR Share Price'!JD21</f>
        <v>1413.1</v>
      </c>
      <c r="BY87" s="13">
        <f>'QTR Share Price'!JE21</f>
        <v>1508.7</v>
      </c>
      <c r="BZ87" s="13">
        <f>'QTR Share Price'!JF21</f>
        <v>1427.7</v>
      </c>
      <c r="CA87" s="13">
        <f>'QTR Share Price'!JG21</f>
        <v>1335.2</v>
      </c>
      <c r="CB87" s="13">
        <f>'QTR Share Price'!JH21</f>
        <v>1435.05</v>
      </c>
      <c r="CC87" s="13">
        <f>'QTR Share Price'!JI21</f>
        <v>1542.85</v>
      </c>
      <c r="CD87" s="13">
        <f>'QTR Share Price'!JJ21</f>
        <v>1498.8</v>
      </c>
      <c r="CE87" s="13">
        <f>'QTR Share Price'!JK21</f>
        <v>1566.95</v>
      </c>
      <c r="CF87" s="13">
        <f>'QTR Share Price'!JL21</f>
        <v>1876</v>
      </c>
      <c r="CG87" s="13">
        <f>'QTR Share Price'!JM21</f>
        <v>1880.7</v>
      </c>
      <c r="CH87" s="13">
        <f>'QTR Share Price'!JN21</f>
        <v>1570.4</v>
      </c>
      <c r="CI87" s="13">
        <f>'QTR Share Price'!JO21</f>
        <v>1601.3</v>
      </c>
      <c r="CJ87" s="13">
        <f>'QTR Share Price'!JP21</f>
        <v>1442.05</v>
      </c>
      <c r="CK87" s="13">
        <f>'QTR Share Price'!JQ21</f>
        <v>1616.45</v>
      </c>
      <c r="CL87" s="13">
        <f>'QTR Share Price'!JR21</f>
        <v>1251.2</v>
      </c>
      <c r="CM87" s="37">
        <v>1170</v>
      </c>
      <c r="CN87" s="37">
        <f t="shared" ref="CN87" si="887">+CM87</f>
        <v>1170</v>
      </c>
      <c r="CO87" s="37">
        <f t="shared" ref="CO87" si="888">+CN87</f>
        <v>1170</v>
      </c>
      <c r="CP87" s="37">
        <f t="shared" ref="CP87" si="889">+CO87</f>
        <v>1170</v>
      </c>
      <c r="CQ87" s="37">
        <f t="shared" ref="CQ87" si="890">+CP87</f>
        <v>1170</v>
      </c>
      <c r="CR87" s="37">
        <f t="shared" ref="CR87" si="891">+CQ87</f>
        <v>1170</v>
      </c>
      <c r="CS87" s="37">
        <f t="shared" ref="CS87" si="892">+CR87</f>
        <v>1170</v>
      </c>
      <c r="CT87" s="37">
        <f t="shared" ref="CT87" si="893">+CS87</f>
        <v>1170</v>
      </c>
      <c r="CU87" s="37">
        <f t="shared" ref="CU87" si="894">+CT87</f>
        <v>1170</v>
      </c>
      <c r="CV87" s="37">
        <f t="shared" ref="CV87" si="895">+CU87</f>
        <v>1170</v>
      </c>
      <c r="CW87" s="37">
        <f t="shared" ref="CW87" si="896">+CV87</f>
        <v>1170</v>
      </c>
      <c r="CX87" s="37">
        <f t="shared" ref="CX87" si="897">+CW87</f>
        <v>1170</v>
      </c>
      <c r="CY87" s="37">
        <f t="shared" ref="CY87" si="898">+CX87</f>
        <v>1170</v>
      </c>
      <c r="CZ87" s="37">
        <f t="shared" ref="CZ87" si="899">+CY87</f>
        <v>1170</v>
      </c>
      <c r="DA87" s="37">
        <f t="shared" ref="DA87" si="900">+CZ87</f>
        <v>1170</v>
      </c>
      <c r="DB87" s="37">
        <f t="shared" ref="DB87" si="901">+DA87</f>
        <v>1170</v>
      </c>
      <c r="DE87" s="134"/>
      <c r="DF87" s="13">
        <v>1251.2</v>
      </c>
      <c r="DG87" s="13">
        <v>1251.2</v>
      </c>
    </row>
    <row r="88" spans="1:111" s="13" customFormat="1" x14ac:dyDescent="0.2">
      <c r="A88" s="13" t="s">
        <v>458</v>
      </c>
      <c r="B88" s="13">
        <f>'Annual Raw'!C107</f>
        <v>166.02968749999999</v>
      </c>
      <c r="C88" s="13">
        <f>'Annual Raw'!D107</f>
        <v>75.956249999999997</v>
      </c>
      <c r="D88" s="13">
        <f>'Annual Raw'!E107</f>
        <v>76.140625</v>
      </c>
      <c r="E88" s="13">
        <f>'Annual Raw'!F107</f>
        <v>95.765625</v>
      </c>
      <c r="F88" s="13">
        <f>'Annual Raw'!G107</f>
        <v>143.40625</v>
      </c>
      <c r="G88" s="13">
        <f>'Annual Raw'!H107</f>
        <v>192.1875</v>
      </c>
      <c r="H88" s="13">
        <f>'Annual Raw'!I107</f>
        <v>304.875</v>
      </c>
      <c r="I88" s="13">
        <f>'Annual Raw'!J107</f>
        <v>267.5</v>
      </c>
      <c r="J88" s="13">
        <f>'Annual Raw'!K107</f>
        <v>252.125</v>
      </c>
      <c r="K88" s="13">
        <f>'Annual Raw'!L107</f>
        <v>352.67500000000001</v>
      </c>
      <c r="L88" s="13">
        <f>'Annual Raw'!M107</f>
        <v>436.74374999999998</v>
      </c>
      <c r="M88" s="13">
        <f>'Annual Raw'!N107</f>
        <v>414.60624999999999</v>
      </c>
      <c r="N88" s="13">
        <f>'Annual Raw'!O107</f>
        <v>376.25</v>
      </c>
      <c r="O88" s="13">
        <f>'Annual Raw'!P107</f>
        <v>480.9</v>
      </c>
      <c r="P88" s="13">
        <f>'Annual Raw'!Q107</f>
        <v>583.79999999999995</v>
      </c>
      <c r="Q88" s="13">
        <f>'Annual Raw'!R107</f>
        <v>617.32500000000005</v>
      </c>
      <c r="R88" s="13">
        <f>'Annual Raw'!S107</f>
        <v>639</v>
      </c>
      <c r="S88" s="13">
        <f>'Annual Raw'!T107</f>
        <v>610</v>
      </c>
      <c r="T88" s="13">
        <f>'Annual Raw'!U107</f>
        <v>771.15</v>
      </c>
      <c r="U88" s="13">
        <f>'Annual Raw'!V107</f>
        <v>847.4</v>
      </c>
      <c r="V88" s="13">
        <f>'Annual Raw'!W107</f>
        <v>1406.25</v>
      </c>
      <c r="W88" s="13">
        <f>'Annual Raw'!X107</f>
        <v>1953.7</v>
      </c>
      <c r="X88" s="13">
        <f>'Annual Raw'!Y107</f>
        <v>1909.95</v>
      </c>
      <c r="Y88" s="13">
        <f>'Annual Raw'!Z107</f>
        <v>1731</v>
      </c>
      <c r="Z88" s="13">
        <f>'Annual Raw'!AA107</f>
        <v>2006.8</v>
      </c>
      <c r="AA88" s="13">
        <f>'Annual Raw'!AB107</f>
        <v>1727.85</v>
      </c>
      <c r="AB88" s="37">
        <f>+MAX(CM88:CP88)</f>
        <v>1806.5380593685038</v>
      </c>
      <c r="AC88" s="37">
        <f>+MAX(CQ88:CT88)</f>
        <v>1942.9530782270258</v>
      </c>
      <c r="AD88" s="37">
        <f>+MAX(CU88:CX88)</f>
        <v>1966.9004284975485</v>
      </c>
      <c r="AE88" s="37">
        <f>+MAX(CY88:DB88)</f>
        <v>2335.9046861862257</v>
      </c>
      <c r="AJ88" s="13">
        <f>'QTR Share Price'!HP19</f>
        <v>331.08125000000001</v>
      </c>
      <c r="AK88" s="13">
        <f>'QTR Share Price'!HQ19</f>
        <v>327.5</v>
      </c>
      <c r="AL88" s="13">
        <f>'QTR Share Price'!HR19</f>
        <v>376.25</v>
      </c>
      <c r="AM88" s="13">
        <f>'QTR Share Price'!HS19</f>
        <v>374.375</v>
      </c>
      <c r="AN88" s="13">
        <f>'QTR Share Price'!HT19</f>
        <v>396.58749999999998</v>
      </c>
      <c r="AO88" s="13">
        <f>'QTR Share Price'!HU19</f>
        <v>446.875</v>
      </c>
      <c r="AP88" s="13">
        <f>'QTR Share Price'!HV19</f>
        <v>480.9</v>
      </c>
      <c r="AQ88" s="13">
        <f>'QTR Share Price'!HW19</f>
        <v>421.47500000000002</v>
      </c>
      <c r="AR88" s="13">
        <f>'QTR Share Price'!HX19</f>
        <v>474.11874999999998</v>
      </c>
      <c r="AS88" s="13">
        <f>'QTR Share Price'!HY19</f>
        <v>550.125</v>
      </c>
      <c r="AT88" s="13">
        <f>'QTR Share Price'!HZ19</f>
        <v>583.79999999999995</v>
      </c>
      <c r="AU88" s="13">
        <f>'QTR Share Price'!IA19</f>
        <v>561</v>
      </c>
      <c r="AV88" s="13">
        <f>'QTR Share Price'!IB19</f>
        <v>593</v>
      </c>
      <c r="AW88" s="13">
        <f>'QTR Share Price'!IC19</f>
        <v>609.5</v>
      </c>
      <c r="AX88" s="13">
        <f>'QTR Share Price'!ID19</f>
        <v>617.32500000000005</v>
      </c>
      <c r="AY88" s="13">
        <f>'QTR Share Price'!IE19</f>
        <v>639</v>
      </c>
      <c r="AZ88" s="13">
        <f>'QTR Share Price'!IF19</f>
        <v>597.52499999999998</v>
      </c>
      <c r="BA88" s="13">
        <f>'QTR Share Price'!IG19</f>
        <v>540.35</v>
      </c>
      <c r="BB88" s="13">
        <f>'QTR Share Price'!IH19</f>
        <v>522.5</v>
      </c>
      <c r="BC88" s="13">
        <f>'QTR Share Price'!II19</f>
        <v>515.25</v>
      </c>
      <c r="BD88" s="13">
        <f>'QTR Share Price'!IJ19</f>
        <v>514.45000000000005</v>
      </c>
      <c r="BE88" s="13">
        <f>'QTR Share Price'!IK19</f>
        <v>523.04999999999995</v>
      </c>
      <c r="BF88" s="13">
        <f>'QTR Share Price'!IL19</f>
        <v>610</v>
      </c>
      <c r="BG88" s="13">
        <f>'QTR Share Price'!IM19</f>
        <v>656.72500000000002</v>
      </c>
      <c r="BH88" s="13">
        <f>'QTR Share Price'!IN19</f>
        <v>748.45</v>
      </c>
      <c r="BI88" s="13">
        <f>'QTR Share Price'!IO19</f>
        <v>754.95</v>
      </c>
      <c r="BJ88" s="13">
        <f>'QTR Share Price'!IP19</f>
        <v>771.15</v>
      </c>
      <c r="BK88" s="13">
        <f>'QTR Share Price'!IQ19</f>
        <v>773.65</v>
      </c>
      <c r="BL88" s="13">
        <f>'QTR Share Price'!IR19</f>
        <v>847.4</v>
      </c>
      <c r="BM88" s="13">
        <f>'QTR Share Price'!IS19</f>
        <v>823.35</v>
      </c>
      <c r="BN88" s="13">
        <f>'QTR Share Price'!IT19</f>
        <v>811.2</v>
      </c>
      <c r="BO88" s="13">
        <f>'QTR Share Price'!IU19</f>
        <v>750.9</v>
      </c>
      <c r="BP88" s="13">
        <f>'QTR Share Price'!IV19</f>
        <v>1037.0999999999999</v>
      </c>
      <c r="BQ88" s="13">
        <f>'QTR Share Price'!IW19</f>
        <v>1265</v>
      </c>
      <c r="BR88" s="13">
        <f>'QTR Share Price'!IX19</f>
        <v>1406.25</v>
      </c>
      <c r="BS88" s="13">
        <f>'QTR Share Price'!IY19</f>
        <v>1590.85</v>
      </c>
      <c r="BT88" s="13">
        <f>'QTR Share Price'!IZ19</f>
        <v>1787.5</v>
      </c>
      <c r="BU88" s="13">
        <f>'QTR Share Price'!JA19</f>
        <v>1913</v>
      </c>
      <c r="BV88" s="13">
        <f>'QTR Share Price'!JB19</f>
        <v>1953.7</v>
      </c>
      <c r="BW88" s="13">
        <f>'QTR Share Price'!JC19</f>
        <v>1909.95</v>
      </c>
      <c r="BX88" s="13">
        <f>'QTR Share Price'!JD19</f>
        <v>1631</v>
      </c>
      <c r="BY88" s="13">
        <f>'QTR Share Price'!JE19</f>
        <v>1672.45</v>
      </c>
      <c r="BZ88" s="13">
        <f>'QTR Share Price'!JF19</f>
        <v>1620</v>
      </c>
      <c r="CA88" s="13">
        <f>'QTR Share Price'!JG19</f>
        <v>1438</v>
      </c>
      <c r="CB88" s="13">
        <f>'QTR Share Price'!JH19</f>
        <v>1519.3</v>
      </c>
      <c r="CC88" s="13">
        <f>'QTR Share Price'!JI19</f>
        <v>1593</v>
      </c>
      <c r="CD88" s="13">
        <f>'QTR Share Price'!JJ19</f>
        <v>1731</v>
      </c>
      <c r="CE88" s="13">
        <f>'QTR Share Price'!JK19</f>
        <v>1588</v>
      </c>
      <c r="CF88" s="13">
        <f>'QTR Share Price'!JL19</f>
        <v>1975.05</v>
      </c>
      <c r="CG88" s="13">
        <f>'QTR Share Price'!JM19</f>
        <v>2006.8</v>
      </c>
      <c r="CH88" s="13">
        <f>'QTR Share Price'!JN19</f>
        <v>1982.55</v>
      </c>
      <c r="CI88" s="13">
        <f>'QTR Share Price'!JO19</f>
        <v>1647.7</v>
      </c>
      <c r="CJ88" s="13">
        <f>'QTR Share Price'!JP19</f>
        <v>1649</v>
      </c>
      <c r="CK88" s="13">
        <f>'QTR Share Price'!JQ19</f>
        <v>1692.9</v>
      </c>
      <c r="CL88" s="13">
        <f>'QTR Share Price'!JR19</f>
        <v>1727.85</v>
      </c>
      <c r="CM88" s="37">
        <f t="shared" ref="CM88:DB88" si="902">+CM79*CM96</f>
        <v>1769.4831234534779</v>
      </c>
      <c r="CN88" s="37">
        <f t="shared" si="902"/>
        <v>1798.3794098406206</v>
      </c>
      <c r="CO88" s="37">
        <f t="shared" si="902"/>
        <v>1806.5380593685038</v>
      </c>
      <c r="CP88" s="37">
        <f t="shared" si="902"/>
        <v>1793.0058657199684</v>
      </c>
      <c r="CQ88" s="37">
        <f t="shared" si="902"/>
        <v>1833.8045346559252</v>
      </c>
      <c r="CR88" s="37">
        <f t="shared" si="902"/>
        <v>1876.3074378159633</v>
      </c>
      <c r="CS88" s="37">
        <f t="shared" si="902"/>
        <v>1908.6738941323497</v>
      </c>
      <c r="CT88" s="37">
        <f t="shared" si="902"/>
        <v>1942.9530782270258</v>
      </c>
      <c r="CU88" s="37">
        <f t="shared" si="902"/>
        <v>1948.4020657421033</v>
      </c>
      <c r="CV88" s="37">
        <f t="shared" si="902"/>
        <v>1951.9260040283232</v>
      </c>
      <c r="CW88" s="37">
        <f t="shared" si="902"/>
        <v>1961.8473833240319</v>
      </c>
      <c r="CX88" s="37">
        <f t="shared" si="902"/>
        <v>1966.9004284975485</v>
      </c>
      <c r="CY88" s="37">
        <f t="shared" si="902"/>
        <v>2040.5101006658647</v>
      </c>
      <c r="CZ88" s="37">
        <f t="shared" si="902"/>
        <v>2122.380721019364</v>
      </c>
      <c r="DA88" s="37">
        <f t="shared" si="902"/>
        <v>2218.9223928290526</v>
      </c>
      <c r="DB88" s="37">
        <f t="shared" si="902"/>
        <v>2335.9046861862257</v>
      </c>
      <c r="DE88" s="134"/>
      <c r="DF88" s="13">
        <v>1727.85</v>
      </c>
      <c r="DG88" s="13">
        <v>1727.85</v>
      </c>
    </row>
    <row r="89" spans="1:111" s="13" customFormat="1" x14ac:dyDescent="0.2">
      <c r="A89" s="13" t="s">
        <v>459</v>
      </c>
      <c r="B89" s="13">
        <f>'Annual Raw'!C108</f>
        <v>58.453125</v>
      </c>
      <c r="C89" s="13">
        <f>'Annual Raw'!D108</f>
        <v>33.6875</v>
      </c>
      <c r="D89" s="13">
        <f>'Annual Raw'!E108</f>
        <v>45.860937499999999</v>
      </c>
      <c r="E89" s="13">
        <f>'Annual Raw'!F108</f>
        <v>40.1875</v>
      </c>
      <c r="F89" s="13">
        <f>'Annual Raw'!G108</f>
        <v>70.735156250000003</v>
      </c>
      <c r="G89" s="13">
        <f>'Annual Raw'!H108</f>
        <v>117.25624999999999</v>
      </c>
      <c r="H89" s="13">
        <f>'Annual Raw'!I108</f>
        <v>153.125</v>
      </c>
      <c r="I89" s="13">
        <f>'Annual Raw'!J108</f>
        <v>151.52500000000001</v>
      </c>
      <c r="J89" s="13">
        <f>'Annual Raw'!K108</f>
        <v>130</v>
      </c>
      <c r="K89" s="13">
        <f>'Annual Raw'!L108</f>
        <v>159.375</v>
      </c>
      <c r="L89" s="13">
        <f>'Annual Raw'!M108</f>
        <v>313.75</v>
      </c>
      <c r="M89" s="13">
        <f>'Annual Raw'!N108</f>
        <v>271.125</v>
      </c>
      <c r="N89" s="13">
        <f>'Annual Raw'!O108</f>
        <v>262.70625000000001</v>
      </c>
      <c r="O89" s="13">
        <f>'Annual Raw'!P108</f>
        <v>273.75</v>
      </c>
      <c r="P89" s="13">
        <f>'Annual Raw'!Q108</f>
        <v>361.75</v>
      </c>
      <c r="Q89" s="13">
        <f>'Annual Raw'!R108</f>
        <v>466.27499999999998</v>
      </c>
      <c r="R89" s="13">
        <f>'Annual Raw'!S108</f>
        <v>450.15</v>
      </c>
      <c r="S89" s="13">
        <f>'Annual Raw'!T108</f>
        <v>430.75</v>
      </c>
      <c r="T89" s="13">
        <f>'Annual Raw'!U108</f>
        <v>549.5</v>
      </c>
      <c r="U89" s="13">
        <f>'Annual Raw'!V108</f>
        <v>511.1</v>
      </c>
      <c r="V89" s="13">
        <f>'Annual Raw'!W108</f>
        <v>582.35</v>
      </c>
      <c r="W89" s="13">
        <f>'Annual Raw'!X108</f>
        <v>1311.8</v>
      </c>
      <c r="X89" s="13">
        <f>'Annual Raw'!Y108</f>
        <v>1355.5</v>
      </c>
      <c r="Y89" s="13">
        <f>'Annual Raw'!Z108</f>
        <v>1215.45</v>
      </c>
      <c r="Z89" s="13">
        <f>'Annual Raw'!AA108</f>
        <v>1359.1</v>
      </c>
      <c r="AA89" s="13">
        <f>'Annual Raw'!AB108</f>
        <v>1215.1500000000001</v>
      </c>
      <c r="AB89" s="37">
        <f>+MIN(CM89:CP89)</f>
        <v>1088.3694600014501</v>
      </c>
      <c r="AC89" s="37">
        <f>+MIN(CQ89:CT89)</f>
        <v>1127.9321202207291</v>
      </c>
      <c r="AD89" s="37">
        <f>+MIN(CU89:CX89)</f>
        <v>1198.418496367872</v>
      </c>
      <c r="AE89" s="37">
        <f>+MIN(CY89:DB89)</f>
        <v>1255.072086844687</v>
      </c>
      <c r="AJ89" s="13">
        <f>+'QTR Share Price'!HP20</f>
        <v>262.70625000000001</v>
      </c>
      <c r="AK89" s="13">
        <f>+'QTR Share Price'!HQ20</f>
        <v>280.63749999999999</v>
      </c>
      <c r="AL89" s="13">
        <f>+'QTR Share Price'!HR20</f>
        <v>287.85624999999999</v>
      </c>
      <c r="AM89" s="13">
        <f>+'QTR Share Price'!HS20</f>
        <v>273.75</v>
      </c>
      <c r="AN89" s="13">
        <f>+'QTR Share Price'!HT20</f>
        <v>299.10624999999999</v>
      </c>
      <c r="AO89" s="13">
        <f>+'QTR Share Price'!HU20</f>
        <v>374.25</v>
      </c>
      <c r="AP89" s="13">
        <f>+'QTR Share Price'!HV20</f>
        <v>402.125</v>
      </c>
      <c r="AQ89" s="13">
        <f>+'QTR Share Price'!HW20</f>
        <v>361.75</v>
      </c>
      <c r="AR89" s="13">
        <f>+'QTR Share Price'!HX20</f>
        <v>398.52499999999998</v>
      </c>
      <c r="AS89" s="13">
        <f>+'QTR Share Price'!HY20</f>
        <v>450</v>
      </c>
      <c r="AT89" s="13">
        <f>+'QTR Share Price'!HZ20</f>
        <v>478.52499999999998</v>
      </c>
      <c r="AU89" s="13">
        <f>+'QTR Share Price'!IA20</f>
        <v>477.5</v>
      </c>
      <c r="AV89" s="13">
        <f>+'QTR Share Price'!IB20</f>
        <v>466.27499999999998</v>
      </c>
      <c r="AW89" s="13">
        <f>+'QTR Share Price'!IC20</f>
        <v>506.125</v>
      </c>
      <c r="AX89" s="13">
        <f>+'QTR Share Price'!ID20</f>
        <v>515.92499999999995</v>
      </c>
      <c r="AY89" s="13">
        <f>+'QTR Share Price'!IE20</f>
        <v>575.70000000000005</v>
      </c>
      <c r="AZ89" s="13">
        <f>+'QTR Share Price'!IF20</f>
        <v>504.6</v>
      </c>
      <c r="BA89" s="13">
        <f>+'QTR Share Price'!IG20</f>
        <v>450.15</v>
      </c>
      <c r="BB89" s="13">
        <f>+'QTR Share Price'!IH20</f>
        <v>452.5</v>
      </c>
      <c r="BC89" s="13">
        <f>+'QTR Share Price'!II20</f>
        <v>455.2</v>
      </c>
      <c r="BD89" s="13">
        <f>+'QTR Share Price'!IJ20</f>
        <v>430.75</v>
      </c>
      <c r="BE89" s="13">
        <f>+'QTR Share Price'!IK20</f>
        <v>448.72500000000002</v>
      </c>
      <c r="BF89" s="13">
        <f>+'QTR Share Price'!IL20</f>
        <v>503.125</v>
      </c>
      <c r="BG89" s="13">
        <f>+'QTR Share Price'!IM20</f>
        <v>549.5</v>
      </c>
      <c r="BH89" s="13">
        <f>+'QTR Share Price'!IN20</f>
        <v>634.42499999999995</v>
      </c>
      <c r="BI89" s="13">
        <f>+'QTR Share Price'!IO20</f>
        <v>600.65</v>
      </c>
      <c r="BJ89" s="13">
        <f>+'QTR Share Price'!IP20</f>
        <v>651.15</v>
      </c>
      <c r="BK89" s="13">
        <f>+'QTR Share Price'!IQ20</f>
        <v>698.4</v>
      </c>
      <c r="BL89" s="13">
        <f>+'QTR Share Price'!IR20</f>
        <v>706.7</v>
      </c>
      <c r="BM89" s="13">
        <f>+'QTR Share Price'!IS20</f>
        <v>615</v>
      </c>
      <c r="BN89" s="13">
        <f>+'QTR Share Price'!IT20</f>
        <v>511.1</v>
      </c>
      <c r="BO89" s="13">
        <f>+'QTR Share Price'!IU20</f>
        <v>582.35</v>
      </c>
      <c r="BP89" s="13">
        <f>+'QTR Share Price'!IV20</f>
        <v>730</v>
      </c>
      <c r="BQ89" s="13">
        <f>+'QTR Share Price'!IW20</f>
        <v>1011.9</v>
      </c>
      <c r="BR89" s="13">
        <f>+'QTR Share Price'!IX20</f>
        <v>1230</v>
      </c>
      <c r="BS89" s="13">
        <f>+'QTR Share Price'!IY20</f>
        <v>1311.8</v>
      </c>
      <c r="BT89" s="13">
        <f>+'QTR Share Price'!IZ20</f>
        <v>1535</v>
      </c>
      <c r="BU89" s="13">
        <f>+'QTR Share Price'!JA20</f>
        <v>1661.25</v>
      </c>
      <c r="BV89" s="13">
        <f>+'QTR Share Price'!JB20</f>
        <v>1665</v>
      </c>
      <c r="BW89" s="13">
        <f>+'QTR Share Price'!JC20</f>
        <v>1367.2</v>
      </c>
      <c r="BX89" s="13">
        <f>+'QTR Share Price'!JD20</f>
        <v>1355.5</v>
      </c>
      <c r="BY89" s="13">
        <f>+'QTR Share Price'!JE20</f>
        <v>1387</v>
      </c>
      <c r="BZ89" s="13">
        <f>+'QTR Share Price'!JF20</f>
        <v>1365</v>
      </c>
      <c r="CA89" s="13">
        <f>+'QTR Share Price'!JG20</f>
        <v>1215.45</v>
      </c>
      <c r="CB89" s="13">
        <f>+'QTR Share Price'!JH20</f>
        <v>1311.6</v>
      </c>
      <c r="CC89" s="13">
        <f>+'QTR Share Price'!JI20</f>
        <v>1352</v>
      </c>
      <c r="CD89" s="13">
        <f>+'QTR Share Price'!JJ20</f>
        <v>1482</v>
      </c>
      <c r="CE89" s="13">
        <f>+'QTR Share Price'!JK20</f>
        <v>1359.1</v>
      </c>
      <c r="CF89" s="13">
        <f>+'QTR Share Price'!JL20</f>
        <v>1559.2</v>
      </c>
      <c r="CG89" s="13">
        <f>+'QTR Share Price'!JM20</f>
        <v>1718.5</v>
      </c>
      <c r="CH89" s="13">
        <f>+'QTR Share Price'!JN20</f>
        <v>1551</v>
      </c>
      <c r="CI89" s="13">
        <f>+'QTR Share Price'!JO20</f>
        <v>1307.0999999999999</v>
      </c>
      <c r="CJ89" s="13">
        <f>+'QTR Share Price'!JP20</f>
        <v>1414.5</v>
      </c>
      <c r="CK89" s="13">
        <f>+'QTR Share Price'!JQ20</f>
        <v>1427.35</v>
      </c>
      <c r="CL89" s="13">
        <f>+'QTR Share Price'!JR20</f>
        <v>1215.1500000000001</v>
      </c>
      <c r="CM89" s="37">
        <f t="shared" ref="CM89:DB89" si="903">+CM97*CM79</f>
        <v>1088.3694600014501</v>
      </c>
      <c r="CN89" s="37">
        <f t="shared" si="903"/>
        <v>1106.1429189253427</v>
      </c>
      <c r="CO89" s="37">
        <f t="shared" si="903"/>
        <v>1111.1611216215476</v>
      </c>
      <c r="CP89" s="37">
        <f t="shared" si="903"/>
        <v>1102.837772221556</v>
      </c>
      <c r="CQ89" s="37">
        <f t="shared" si="903"/>
        <v>1127.9321202207291</v>
      </c>
      <c r="CR89" s="37">
        <f t="shared" si="903"/>
        <v>1154.0747045424725</v>
      </c>
      <c r="CS89" s="37">
        <f t="shared" si="903"/>
        <v>1173.9825873113541</v>
      </c>
      <c r="CT89" s="37">
        <f t="shared" si="903"/>
        <v>1195.0669461209473</v>
      </c>
      <c r="CU89" s="37">
        <f t="shared" si="903"/>
        <v>1198.418496367872</v>
      </c>
      <c r="CV89" s="37">
        <f t="shared" si="903"/>
        <v>1200.5859919256518</v>
      </c>
      <c r="CW89" s="37">
        <f t="shared" si="903"/>
        <v>1206.6884102439826</v>
      </c>
      <c r="CX89" s="37">
        <f t="shared" si="903"/>
        <v>1209.7964252196382</v>
      </c>
      <c r="CY89" s="37">
        <f t="shared" si="903"/>
        <v>1255.072086844687</v>
      </c>
      <c r="CZ89" s="37">
        <f t="shared" si="903"/>
        <v>1305.4288727801277</v>
      </c>
      <c r="DA89" s="37">
        <f t="shared" si="903"/>
        <v>1364.8094940601306</v>
      </c>
      <c r="DB89" s="37">
        <f t="shared" si="903"/>
        <v>1436.7626840981284</v>
      </c>
      <c r="DE89" s="134"/>
      <c r="DF89" s="13">
        <v>1215.1500000000001</v>
      </c>
      <c r="DG89" s="13">
        <v>1215.1500000000001</v>
      </c>
    </row>
    <row r="90" spans="1:111" s="14" customFormat="1" x14ac:dyDescent="0.2">
      <c r="AB90" s="16"/>
      <c r="AC90" s="16"/>
      <c r="AD90" s="16"/>
      <c r="AE90" s="16"/>
      <c r="CM90" s="37"/>
      <c r="CN90" s="37"/>
      <c r="CO90" s="37"/>
      <c r="CP90" s="37"/>
      <c r="CQ90" s="37"/>
      <c r="CR90" s="37"/>
      <c r="CS90" s="37"/>
      <c r="CT90" s="37"/>
      <c r="CU90" s="37"/>
      <c r="CV90" s="37"/>
      <c r="CW90" s="37"/>
      <c r="CX90" s="37"/>
      <c r="CY90" s="37"/>
      <c r="CZ90" s="37"/>
      <c r="DA90" s="37"/>
      <c r="DB90" s="37"/>
      <c r="DE90" s="134"/>
    </row>
    <row r="91" spans="1:111" s="51" customFormat="1" x14ac:dyDescent="0.2">
      <c r="A91" s="51" t="s">
        <v>346</v>
      </c>
      <c r="AB91" s="48">
        <f t="shared" ref="AB91:AD91" si="904">+AB88/AB87-1</f>
        <v>0.54404962339188367</v>
      </c>
      <c r="AC91" s="48">
        <f t="shared" si="904"/>
        <v>0.66064365660429547</v>
      </c>
      <c r="AD91" s="48">
        <f t="shared" si="904"/>
        <v>0.681111477348332</v>
      </c>
      <c r="AE91" s="48">
        <f t="shared" ref="AE91" si="905">+AE88/AE87-1</f>
        <v>0.99649973178309881</v>
      </c>
      <c r="CM91" s="48">
        <f t="shared" ref="CM91:DB91" si="906">+CM88/CM87-1</f>
        <v>0.51237873799442557</v>
      </c>
      <c r="CN91" s="48">
        <f t="shared" si="906"/>
        <v>0.53707641866719702</v>
      </c>
      <c r="CO91" s="48">
        <f t="shared" si="906"/>
        <v>0.54404962339188367</v>
      </c>
      <c r="CP91" s="48">
        <f t="shared" si="906"/>
        <v>0.53248364591450281</v>
      </c>
      <c r="CQ91" s="48">
        <f t="shared" si="906"/>
        <v>0.56735430312472235</v>
      </c>
      <c r="CR91" s="48">
        <f t="shared" si="906"/>
        <v>0.60368157078287465</v>
      </c>
      <c r="CS91" s="48">
        <f t="shared" si="906"/>
        <v>0.63134520866012789</v>
      </c>
      <c r="CT91" s="48">
        <f t="shared" si="906"/>
        <v>0.66064365660429547</v>
      </c>
      <c r="CU91" s="48">
        <f t="shared" si="906"/>
        <v>0.66530091089068666</v>
      </c>
      <c r="CV91" s="48">
        <f t="shared" si="906"/>
        <v>0.6683128239558318</v>
      </c>
      <c r="CW91" s="48">
        <f t="shared" si="906"/>
        <v>0.67679263531968537</v>
      </c>
      <c r="CX91" s="48">
        <f t="shared" si="906"/>
        <v>0.681111477348332</v>
      </c>
      <c r="CY91" s="48">
        <f t="shared" si="906"/>
        <v>0.7440257270648416</v>
      </c>
      <c r="CZ91" s="48">
        <f t="shared" si="906"/>
        <v>0.81400061625586662</v>
      </c>
      <c r="DA91" s="48">
        <f t="shared" si="906"/>
        <v>0.89651486566585681</v>
      </c>
      <c r="DB91" s="48">
        <f t="shared" si="906"/>
        <v>0.99649973178309881</v>
      </c>
      <c r="DE91" s="129"/>
      <c r="DF91" s="51">
        <v>0.38095428388746799</v>
      </c>
    </row>
    <row r="92" spans="1:111" s="51" customFormat="1" x14ac:dyDescent="0.2">
      <c r="A92" s="51" t="s">
        <v>347</v>
      </c>
      <c r="AB92" s="48">
        <f t="shared" ref="AB92:AD92" si="907">+AB89/AB87-1</f>
        <v>-6.9769692306452913E-2</v>
      </c>
      <c r="AC92" s="48">
        <f t="shared" si="907"/>
        <v>-3.5955452802795662E-2</v>
      </c>
      <c r="AD92" s="48">
        <f t="shared" si="907"/>
        <v>2.4289313134933321E-2</v>
      </c>
      <c r="AE92" s="48">
        <f t="shared" ref="AE92" si="908">+AE89/AE87-1</f>
        <v>7.2711185337339224E-2</v>
      </c>
      <c r="CM92" s="48">
        <f t="shared" ref="CM92:DB92" si="909">+CM89/CM87-1</f>
        <v>-6.9769692306452913E-2</v>
      </c>
      <c r="CN92" s="48">
        <f t="shared" si="909"/>
        <v>-5.4578701773211447E-2</v>
      </c>
      <c r="CO92" s="48">
        <f t="shared" si="909"/>
        <v>-5.0289639639702899E-2</v>
      </c>
      <c r="CP92" s="48">
        <f t="shared" si="909"/>
        <v>-5.7403613485849658E-2</v>
      </c>
      <c r="CQ92" s="48">
        <f t="shared" si="909"/>
        <v>-3.5955452802795662E-2</v>
      </c>
      <c r="CR92" s="48">
        <f t="shared" si="909"/>
        <v>-1.3611363638912355E-2</v>
      </c>
      <c r="CS92" s="48">
        <f t="shared" si="909"/>
        <v>3.4039207789351433E-3</v>
      </c>
      <c r="CT92" s="48">
        <f t="shared" si="909"/>
        <v>2.1424740274313958E-2</v>
      </c>
      <c r="CU92" s="48">
        <f t="shared" si="909"/>
        <v>2.4289313134933321E-2</v>
      </c>
      <c r="CV92" s="48">
        <f t="shared" si="909"/>
        <v>2.6141873440727936E-2</v>
      </c>
      <c r="CW92" s="48">
        <f t="shared" si="909"/>
        <v>3.1357615593147425E-2</v>
      </c>
      <c r="CX92" s="48">
        <f t="shared" si="909"/>
        <v>3.4014038649263334E-2</v>
      </c>
      <c r="CY92" s="48">
        <f t="shared" si="909"/>
        <v>7.2711185337339224E-2</v>
      </c>
      <c r="CZ92" s="48">
        <f t="shared" si="909"/>
        <v>0.11575117331634854</v>
      </c>
      <c r="DA92" s="48">
        <f t="shared" si="909"/>
        <v>0.16650384107703475</v>
      </c>
      <c r="DB92" s="48">
        <f t="shared" si="909"/>
        <v>0.22800229410096451</v>
      </c>
      <c r="DE92" s="129"/>
      <c r="DF92" s="51">
        <v>-2.8812340153452687E-2</v>
      </c>
    </row>
    <row r="93" spans="1:111" s="14" customFormat="1" x14ac:dyDescent="0.2">
      <c r="AB93" s="16"/>
      <c r="AC93" s="16"/>
      <c r="AD93" s="16"/>
      <c r="AE93" s="16"/>
      <c r="CM93" s="37"/>
      <c r="CN93" s="37"/>
      <c r="CO93" s="37"/>
      <c r="CP93" s="37"/>
      <c r="CQ93" s="37"/>
      <c r="CR93" s="37"/>
      <c r="CS93" s="37"/>
      <c r="CT93" s="37"/>
      <c r="CU93" s="37"/>
      <c r="CV93" s="37"/>
      <c r="CW93" s="37"/>
      <c r="CX93" s="37"/>
      <c r="CY93" s="37"/>
      <c r="CZ93" s="37"/>
      <c r="DA93" s="37"/>
      <c r="DB93" s="37"/>
      <c r="DE93" s="134"/>
    </row>
    <row r="94" spans="1:111" s="13" customFormat="1" x14ac:dyDescent="0.2">
      <c r="A94" s="13" t="s">
        <v>40</v>
      </c>
      <c r="AB94" s="37"/>
      <c r="AC94" s="37"/>
      <c r="AD94" s="37"/>
      <c r="AE94" s="37"/>
      <c r="CM94" s="37"/>
      <c r="CN94" s="37"/>
      <c r="CO94" s="37"/>
      <c r="CP94" s="37"/>
      <c r="CQ94" s="37"/>
      <c r="CR94" s="37"/>
      <c r="CS94" s="37"/>
      <c r="CT94" s="37"/>
      <c r="CU94" s="37"/>
      <c r="CV94" s="37"/>
      <c r="CW94" s="37"/>
      <c r="CX94" s="37"/>
      <c r="CY94" s="37"/>
      <c r="CZ94" s="37"/>
      <c r="DA94" s="37"/>
      <c r="DB94" s="37"/>
      <c r="DE94" s="134"/>
    </row>
    <row r="95" spans="1:111" s="13" customFormat="1" x14ac:dyDescent="0.2">
      <c r="A95" s="13" t="s">
        <v>460</v>
      </c>
      <c r="B95" s="13">
        <f t="shared" ref="B95:D95" si="910">+B87/B79</f>
        <v>0.67711335019535879</v>
      </c>
      <c r="C95" s="13">
        <f t="shared" si="910"/>
        <v>0.47807920758762817</v>
      </c>
      <c r="D95" s="13">
        <f t="shared" si="910"/>
        <v>0.4379809273437581</v>
      </c>
      <c r="E95" s="13">
        <f t="shared" ref="E95:AE95" ca="1" si="911">+E87/E79</f>
        <v>25.115025168257439</v>
      </c>
      <c r="F95" s="13">
        <f t="shared" ca="1" si="911"/>
        <v>30.871893282773566</v>
      </c>
      <c r="G95" s="13">
        <f t="shared" ca="1" si="911"/>
        <v>30.681653783563874</v>
      </c>
      <c r="H95" s="13">
        <f t="shared" ca="1" si="911"/>
        <v>26.451314285714286</v>
      </c>
      <c r="I95" s="13">
        <f t="shared" ca="1" si="911"/>
        <v>15.532429705945482</v>
      </c>
      <c r="J95" s="13">
        <f t="shared" ca="1" si="911"/>
        <v>11.188954575818304</v>
      </c>
      <c r="K95" s="13">
        <f t="shared" ca="1" si="911"/>
        <v>21.280807333547763</v>
      </c>
      <c r="L95" s="13">
        <f t="shared" ca="1" si="911"/>
        <v>23.961894659839061</v>
      </c>
      <c r="M95" s="13">
        <f t="shared" ca="1" si="911"/>
        <v>17.39876020163226</v>
      </c>
      <c r="N95" s="13">
        <f t="shared" ca="1" si="911"/>
        <v>15.508425071587656</v>
      </c>
      <c r="O95" s="13">
        <f t="shared" ca="1" si="911"/>
        <v>15.569614301801803</v>
      </c>
      <c r="P95" s="13">
        <f t="shared" ca="1" si="911"/>
        <v>18.131257678629161</v>
      </c>
      <c r="Q95" s="13">
        <f t="shared" ca="1" si="911"/>
        <v>18.275118985840315</v>
      </c>
      <c r="R95" s="13">
        <f t="shared" ca="1" si="911"/>
        <v>14.394894447153904</v>
      </c>
      <c r="S95" s="13">
        <f t="shared" ca="1" si="911"/>
        <v>14.324197392226592</v>
      </c>
      <c r="T95" s="13">
        <f t="shared" ca="1" si="911"/>
        <v>19.506819008049856</v>
      </c>
      <c r="U95" s="13">
        <f t="shared" ca="1" si="911"/>
        <v>15.619708328311436</v>
      </c>
      <c r="V95" s="13">
        <f t="shared" ca="1" si="911"/>
        <v>28.611709989147847</v>
      </c>
      <c r="W95" s="13">
        <f t="shared" ca="1" si="911"/>
        <v>34.917890547263681</v>
      </c>
      <c r="X95" s="13">
        <f t="shared" ca="1" si="911"/>
        <v>23.985597011828183</v>
      </c>
      <c r="Y95" s="13">
        <f t="shared" ca="1" si="911"/>
        <v>23.127901498113062</v>
      </c>
      <c r="Z95" s="13">
        <f t="shared" ref="Z95:AA95" ca="1" si="912">+Z87/Z79</f>
        <v>23.79732414929061</v>
      </c>
      <c r="AA95" s="13">
        <f t="shared" ref="AA95" ca="1" si="913">+AA87/AA79</f>
        <v>23.79732414929061</v>
      </c>
      <c r="AB95" s="37">
        <f t="shared" ca="1" si="911"/>
        <v>14.852592477862025</v>
      </c>
      <c r="AC95" s="37">
        <f t="shared" ca="1" si="911"/>
        <v>13.706345115784211</v>
      </c>
      <c r="AD95" s="37">
        <f t="shared" ca="1" si="911"/>
        <v>13.539468011757613</v>
      </c>
      <c r="AE95" s="37">
        <f t="shared" ca="1" si="911"/>
        <v>11.40063016759229</v>
      </c>
      <c r="AL95" s="13">
        <f t="shared" ref="AL95:BQ95" si="914">+AL87/AL79</f>
        <v>15.521594310582742</v>
      </c>
      <c r="AM95" s="13">
        <f t="shared" si="914"/>
        <v>13.271454870608039</v>
      </c>
      <c r="AN95" s="13">
        <f t="shared" si="914"/>
        <v>15.987193000838223</v>
      </c>
      <c r="AO95" s="13">
        <f t="shared" si="914"/>
        <v>17.548885572139305</v>
      </c>
      <c r="AP95" s="13">
        <f t="shared" si="914"/>
        <v>15.581311983471076</v>
      </c>
      <c r="AQ95" s="13">
        <f t="shared" si="914"/>
        <v>14.719567204301077</v>
      </c>
      <c r="AR95" s="13">
        <f t="shared" si="914"/>
        <v>16.003974175035868</v>
      </c>
      <c r="AS95" s="13">
        <f t="shared" si="914"/>
        <v>16.319162303664921</v>
      </c>
      <c r="AT95" s="13">
        <f t="shared" si="914"/>
        <v>18.194494281774677</v>
      </c>
      <c r="AU95" s="13">
        <f t="shared" si="914"/>
        <v>15.991888381044022</v>
      </c>
      <c r="AV95" s="13">
        <f t="shared" si="914"/>
        <v>18.388403663978707</v>
      </c>
      <c r="AW95" s="13">
        <f t="shared" si="914"/>
        <v>17.212882660917767</v>
      </c>
      <c r="AX95" s="13">
        <f t="shared" si="914"/>
        <v>18.276473902728352</v>
      </c>
      <c r="AY95" s="13">
        <f t="shared" si="914"/>
        <v>17.052374784110537</v>
      </c>
      <c r="AZ95" s="13">
        <f t="shared" si="914"/>
        <v>14.897294384571753</v>
      </c>
      <c r="BA95" s="13">
        <f t="shared" si="914"/>
        <v>14.258428939848052</v>
      </c>
      <c r="BB95" s="13">
        <f t="shared" si="914"/>
        <v>14.394894447153904</v>
      </c>
      <c r="BC95" s="13">
        <f t="shared" si="914"/>
        <v>13.151080555555556</v>
      </c>
      <c r="BD95" s="13">
        <f t="shared" si="914"/>
        <v>12.528030303030302</v>
      </c>
      <c r="BE95" s="13">
        <f t="shared" si="914"/>
        <v>13.195804529201428</v>
      </c>
      <c r="BF95" s="13">
        <f t="shared" si="914"/>
        <v>14.325091090591465</v>
      </c>
      <c r="BG95" s="13">
        <f t="shared" si="914"/>
        <v>16.369759237482207</v>
      </c>
      <c r="BH95" s="13">
        <f t="shared" si="914"/>
        <v>17.812325736049818</v>
      </c>
      <c r="BI95" s="13">
        <f t="shared" si="914"/>
        <v>17.782256840423411</v>
      </c>
      <c r="BJ95" s="13">
        <f t="shared" si="914"/>
        <v>19.505552742616036</v>
      </c>
      <c r="BK95" s="13">
        <f t="shared" si="914"/>
        <v>19.004128022577131</v>
      </c>
      <c r="BL95" s="13">
        <f t="shared" si="914"/>
        <v>21.031318709677418</v>
      </c>
      <c r="BM95" s="13">
        <f t="shared" si="914"/>
        <v>18.119182774651332</v>
      </c>
      <c r="BN95" s="13">
        <f t="shared" si="914"/>
        <v>15.61876709852365</v>
      </c>
      <c r="BO95" s="13">
        <f t="shared" si="914"/>
        <v>17.492209042865532</v>
      </c>
      <c r="BP95" s="13">
        <f t="shared" si="914"/>
        <v>22.851612903225806</v>
      </c>
      <c r="BQ95" s="13">
        <f t="shared" si="914"/>
        <v>27.337496235749619</v>
      </c>
      <c r="BR95" s="13">
        <f t="shared" ref="BR95:DB95" si="915">+BR87/BR79</f>
        <v>28.611709989147847</v>
      </c>
      <c r="BS95" s="13">
        <f t="shared" si="915"/>
        <v>31.511347412986758</v>
      </c>
      <c r="BT95" s="13">
        <f t="shared" si="915"/>
        <v>32.466940494997367</v>
      </c>
      <c r="BU95" s="13">
        <f t="shared" si="915"/>
        <v>35.576499697688483</v>
      </c>
      <c r="BV95" s="13">
        <f t="shared" si="915"/>
        <v>34.91631133824793</v>
      </c>
      <c r="BW95" s="13">
        <f t="shared" si="915"/>
        <v>26.552961034297006</v>
      </c>
      <c r="BX95" s="13">
        <f t="shared" si="915"/>
        <v>25.005371568456024</v>
      </c>
      <c r="BY95" s="13">
        <f t="shared" si="915"/>
        <v>25.820054961315691</v>
      </c>
      <c r="BZ95" s="13">
        <f t="shared" si="915"/>
        <v>23.985597011828183</v>
      </c>
      <c r="CA95" s="13">
        <f t="shared" si="915"/>
        <v>21.899876823338737</v>
      </c>
      <c r="CB95" s="13">
        <f t="shared" si="915"/>
        <v>23.356850950906683</v>
      </c>
      <c r="CC95" s="13">
        <f t="shared" si="915"/>
        <v>25.605579107047681</v>
      </c>
      <c r="CD95" s="13">
        <f t="shared" si="915"/>
        <v>23.128783165599266</v>
      </c>
      <c r="CE95" s="13">
        <f t="shared" si="915"/>
        <v>23.796712061526918</v>
      </c>
      <c r="CF95" s="13">
        <f t="shared" si="915"/>
        <v>28.179331329548404</v>
      </c>
      <c r="CG95" s="13">
        <f t="shared" si="915"/>
        <v>27.534715902925967</v>
      </c>
      <c r="CH95" s="13">
        <f t="shared" si="915"/>
        <v>23.79732414929061</v>
      </c>
      <c r="CI95" s="13">
        <f t="shared" ref="CI95:CJ95" si="916">+CI87/CI79</f>
        <v>23.77342624514047</v>
      </c>
      <c r="CJ95" s="13">
        <f t="shared" si="916"/>
        <v>20.7560034134547</v>
      </c>
      <c r="CK95" s="13">
        <f t="shared" ref="CK95:CL95" si="917">+CK87/CK79</f>
        <v>22.362153036464921</v>
      </c>
      <c r="CL95" s="13">
        <f t="shared" si="917"/>
        <v>16.482337856747698</v>
      </c>
      <c r="CM95" s="37">
        <f t="shared" si="915"/>
        <v>15.05003640949111</v>
      </c>
      <c r="CN95" s="37">
        <f t="shared" si="915"/>
        <v>14.808213043495098</v>
      </c>
      <c r="CO95" s="37">
        <f t="shared" si="915"/>
        <v>14.741336500413388</v>
      </c>
      <c r="CP95" s="37">
        <f t="shared" si="915"/>
        <v>14.852592477862029</v>
      </c>
      <c r="CQ95" s="37">
        <f t="shared" si="915"/>
        <v>14.522150496782146</v>
      </c>
      <c r="CR95" s="37">
        <f t="shared" si="915"/>
        <v>14.1931886519372</v>
      </c>
      <c r="CS95" s="37">
        <f t="shared" si="915"/>
        <v>13.952506772279605</v>
      </c>
      <c r="CT95" s="37">
        <f t="shared" si="915"/>
        <v>13.706345115784211</v>
      </c>
      <c r="CU95" s="37">
        <f t="shared" si="915"/>
        <v>13.668013343956201</v>
      </c>
      <c r="CV95" s="37">
        <f t="shared" si="915"/>
        <v>13.64333759527519</v>
      </c>
      <c r="CW95" s="37">
        <f t="shared" si="915"/>
        <v>13.57434103198861</v>
      </c>
      <c r="CX95" s="37">
        <f t="shared" si="915"/>
        <v>13.539468011757609</v>
      </c>
      <c r="CY95" s="37">
        <f t="shared" si="915"/>
        <v>13.051043180459958</v>
      </c>
      <c r="CZ95" s="37">
        <f t="shared" si="915"/>
        <v>12.547600517763996</v>
      </c>
      <c r="DA95" s="37">
        <f t="shared" si="915"/>
        <v>12.001675011265954</v>
      </c>
      <c r="DB95" s="37">
        <f t="shared" si="915"/>
        <v>11.400630167592293</v>
      </c>
      <c r="DE95" s="134"/>
      <c r="DF95" s="13">
        <v>16.482337856747701</v>
      </c>
      <c r="DG95" s="13">
        <v>17.395759644153603</v>
      </c>
    </row>
    <row r="96" spans="1:111" s="13" customFormat="1" x14ac:dyDescent="0.2">
      <c r="A96" s="13" t="s">
        <v>461</v>
      </c>
      <c r="B96" s="13">
        <f t="shared" ref="B96:D96" si="918">+B88/B79</f>
        <v>1.7622128261384953</v>
      </c>
      <c r="C96" s="13">
        <f t="shared" si="918"/>
        <v>0.6221576099064311</v>
      </c>
      <c r="D96" s="13">
        <f t="shared" si="918"/>
        <v>0.52824816447940326</v>
      </c>
      <c r="E96" s="13">
        <f t="shared" ref="E96:AE96" ca="1" si="919">+E88/E79</f>
        <v>31.171590424804805</v>
      </c>
      <c r="F96" s="13">
        <f t="shared" ca="1" si="919"/>
        <v>31.44683098591549</v>
      </c>
      <c r="G96" s="13">
        <f t="shared" ca="1" si="919"/>
        <v>31.65073230268511</v>
      </c>
      <c r="H96" s="13">
        <f t="shared" ca="1" si="919"/>
        <v>32.055428571428571</v>
      </c>
      <c r="I96" s="13">
        <f t="shared" ca="1" si="919"/>
        <v>23.241897402876152</v>
      </c>
      <c r="J96" s="13">
        <f t="shared" ca="1" si="919"/>
        <v>17.044121576486308</v>
      </c>
      <c r="K96" s="13">
        <f t="shared" ca="1" si="919"/>
        <v>22.959607590865232</v>
      </c>
      <c r="L96" s="13">
        <f t="shared" ca="1" si="919"/>
        <v>25.865964886613018</v>
      </c>
      <c r="M96" s="13">
        <f t="shared" ca="1" si="919"/>
        <v>20.143136101776285</v>
      </c>
      <c r="N96" s="13">
        <f t="shared" ca="1" si="919"/>
        <v>16.152932442464735</v>
      </c>
      <c r="O96" s="13">
        <f t="shared" ca="1" si="919"/>
        <v>18.268423423423425</v>
      </c>
      <c r="P96" s="13">
        <f t="shared" ca="1" si="919"/>
        <v>19.101377303588748</v>
      </c>
      <c r="Q96" s="13">
        <f t="shared" ca="1" si="919"/>
        <v>18.525699458818298</v>
      </c>
      <c r="R96" s="13">
        <f t="shared" ca="1" si="919"/>
        <v>18.021821222044171</v>
      </c>
      <c r="S96" s="13">
        <f t="shared" ca="1" si="919"/>
        <v>15.405078295589245</v>
      </c>
      <c r="T96" s="13">
        <f t="shared" ca="1" si="919"/>
        <v>20.264964944170345</v>
      </c>
      <c r="U96" s="13">
        <f t="shared" ca="1" si="919"/>
        <v>20.671780161504156</v>
      </c>
      <c r="V96" s="13">
        <f t="shared" ca="1" si="919"/>
        <v>29.417084388403701</v>
      </c>
      <c r="W96" s="13">
        <f t="shared" ca="1" si="919"/>
        <v>35.769233830845771</v>
      </c>
      <c r="X96" s="13">
        <f t="shared" ca="1" si="919"/>
        <v>32.087477069931523</v>
      </c>
      <c r="Y96" s="13">
        <f t="shared" ca="1" si="919"/>
        <v>26.71096710250448</v>
      </c>
      <c r="Z96" s="13">
        <f t="shared" ref="Z96:AA96" ca="1" si="920">+Z88/Z79</f>
        <v>30.410385954404223</v>
      </c>
      <c r="AA96" s="13">
        <f t="shared" ref="AA96" ca="1" si="921">+AA88/AA79</f>
        <v>30.410385954404223</v>
      </c>
      <c r="AB96" s="60">
        <f t="shared" ca="1" si="919"/>
        <v>22.933139821835983</v>
      </c>
      <c r="AC96" s="60">
        <f t="shared" ca="1" si="919"/>
        <v>22.76135507175632</v>
      </c>
      <c r="AD96" s="60">
        <f t="shared" ca="1" si="919"/>
        <v>22.761355071756324</v>
      </c>
      <c r="AE96" s="60">
        <f t="shared" ca="1" si="919"/>
        <v>22.761355071756313</v>
      </c>
      <c r="AL96" s="13">
        <f t="shared" ref="AL96:BQ96" si="922">+AL88/AL79</f>
        <v>16.166648975692603</v>
      </c>
      <c r="AM96" s="13">
        <f t="shared" si="922"/>
        <v>15.942247001893543</v>
      </c>
      <c r="AN96" s="13">
        <f t="shared" si="922"/>
        <v>16.820894803017602</v>
      </c>
      <c r="AO96" s="13">
        <f t="shared" si="922"/>
        <v>17.999502487562189</v>
      </c>
      <c r="AP96" s="13">
        <f t="shared" si="922"/>
        <v>18.282148760330578</v>
      </c>
      <c r="AQ96" s="13">
        <f t="shared" si="922"/>
        <v>15.287910394265236</v>
      </c>
      <c r="AR96" s="13">
        <f t="shared" si="922"/>
        <v>16.197423411258331</v>
      </c>
      <c r="AS96" s="13">
        <f t="shared" si="922"/>
        <v>18.217490183246074</v>
      </c>
      <c r="AT96" s="13">
        <f t="shared" si="922"/>
        <v>19.16799740449347</v>
      </c>
      <c r="AU96" s="13">
        <f t="shared" si="922"/>
        <v>18.209670435410153</v>
      </c>
      <c r="AV96" s="13">
        <f t="shared" si="922"/>
        <v>18.793267047678697</v>
      </c>
      <c r="AW96" s="13">
        <f t="shared" si="922"/>
        <v>18.996427471512163</v>
      </c>
      <c r="AX96" s="13">
        <f t="shared" si="922"/>
        <v>18.527072953736656</v>
      </c>
      <c r="AY96" s="13">
        <f t="shared" si="922"/>
        <v>18.614507772020726</v>
      </c>
      <c r="AZ96" s="13">
        <f t="shared" si="922"/>
        <v>17.149611457742484</v>
      </c>
      <c r="BA96" s="13">
        <f t="shared" si="922"/>
        <v>15.245952463929742</v>
      </c>
      <c r="BB96" s="13">
        <f t="shared" si="922"/>
        <v>14.73615272068557</v>
      </c>
      <c r="BC96" s="13">
        <f t="shared" si="922"/>
        <v>14.484250000000001</v>
      </c>
      <c r="BD96" s="13">
        <f t="shared" si="922"/>
        <v>14.342242424242425</v>
      </c>
      <c r="BE96" s="13">
        <f t="shared" si="922"/>
        <v>13.282142901950943</v>
      </c>
      <c r="BF96" s="13">
        <f t="shared" si="922"/>
        <v>15.406039430995756</v>
      </c>
      <c r="BG96" s="13">
        <f t="shared" si="922"/>
        <v>16.453690660394876</v>
      </c>
      <c r="BH96" s="13">
        <f t="shared" si="922"/>
        <v>18.316459706184634</v>
      </c>
      <c r="BI96" s="13">
        <f t="shared" si="922"/>
        <v>20.345100858797686</v>
      </c>
      <c r="BJ96" s="13">
        <f t="shared" si="922"/>
        <v>20.263649464459593</v>
      </c>
      <c r="BK96" s="13">
        <f t="shared" si="922"/>
        <v>20.086814187672378</v>
      </c>
      <c r="BL96" s="13">
        <f t="shared" si="922"/>
        <v>22.130807741935485</v>
      </c>
      <c r="BM96" s="13">
        <f t="shared" si="922"/>
        <v>20.387330560313188</v>
      </c>
      <c r="BN96" s="13">
        <f t="shared" si="922"/>
        <v>19.787511901175051</v>
      </c>
      <c r="BO96" s="13">
        <f t="shared" si="922"/>
        <v>17.848756312389899</v>
      </c>
      <c r="BP96" s="13">
        <f t="shared" si="922"/>
        <v>23.511317204301076</v>
      </c>
      <c r="BQ96" s="13">
        <f t="shared" si="922"/>
        <v>27.536674553667453</v>
      </c>
      <c r="BR96" s="13">
        <f t="shared" ref="BR96:CH96" si="923">+BR88/BR79</f>
        <v>29.417084388403701</v>
      </c>
      <c r="BS96" s="13">
        <f t="shared" si="923"/>
        <v>31.702657411509868</v>
      </c>
      <c r="BT96" s="13">
        <f t="shared" si="923"/>
        <v>34.639283833596629</v>
      </c>
      <c r="BU96" s="13">
        <f t="shared" si="923"/>
        <v>36.016110878563794</v>
      </c>
      <c r="BV96" s="13">
        <f t="shared" si="923"/>
        <v>35.767616118673963</v>
      </c>
      <c r="BW96" s="13">
        <f t="shared" si="923"/>
        <v>34.70765667085653</v>
      </c>
      <c r="BX96" s="13">
        <f t="shared" si="923"/>
        <v>28.861199510403921</v>
      </c>
      <c r="BY96" s="13">
        <f t="shared" si="923"/>
        <v>28.622490170380079</v>
      </c>
      <c r="BZ96" s="13">
        <f t="shared" si="923"/>
        <v>27.216268935463791</v>
      </c>
      <c r="CA96" s="13">
        <f t="shared" si="923"/>
        <v>23.585996758508916</v>
      </c>
      <c r="CB96" s="13">
        <f t="shared" si="923"/>
        <v>24.728102609464841</v>
      </c>
      <c r="CC96" s="13">
        <f t="shared" si="923"/>
        <v>26.437882825632407</v>
      </c>
      <c r="CD96" s="13">
        <f t="shared" si="923"/>
        <v>26.711985361390663</v>
      </c>
      <c r="CE96" s="13">
        <f t="shared" si="923"/>
        <v>24.11639092102795</v>
      </c>
      <c r="CF96" s="13">
        <f t="shared" si="923"/>
        <v>29.667157965045085</v>
      </c>
      <c r="CG96" s="13">
        <f t="shared" si="923"/>
        <v>29.380904915186807</v>
      </c>
      <c r="CH96" s="13">
        <f t="shared" si="923"/>
        <v>30.042909444839591</v>
      </c>
      <c r="CI96" s="13">
        <f t="shared" ref="CI96:CJ96" si="924">+CI88/CI79</f>
        <v>24.462295899655253</v>
      </c>
      <c r="CJ96" s="13">
        <f t="shared" si="924"/>
        <v>23.734717678850803</v>
      </c>
      <c r="CK96" s="13">
        <f t="shared" ref="CK96:CL96" si="925">+CK88/CK79</f>
        <v>23.419771026280717</v>
      </c>
      <c r="CL96" s="13">
        <f t="shared" si="925"/>
        <v>22.76135507175632</v>
      </c>
      <c r="CM96" s="60">
        <f t="shared" ref="CM96" si="926">+CL96</f>
        <v>22.76135507175632</v>
      </c>
      <c r="CN96" s="60">
        <f t="shared" ref="CN96:CN97" si="927">+CM96</f>
        <v>22.76135507175632</v>
      </c>
      <c r="CO96" s="60">
        <f t="shared" ref="CO96:CO97" si="928">+CN96</f>
        <v>22.76135507175632</v>
      </c>
      <c r="CP96" s="60">
        <f t="shared" ref="CP96:CP97" si="929">+CO96</f>
        <v>22.76135507175632</v>
      </c>
      <c r="CQ96" s="60">
        <f t="shared" ref="CQ96:CQ97" si="930">+CP96</f>
        <v>22.76135507175632</v>
      </c>
      <c r="CR96" s="60">
        <f t="shared" ref="CR96:CR97" si="931">+CQ96</f>
        <v>22.76135507175632</v>
      </c>
      <c r="CS96" s="60">
        <f t="shared" ref="CS96:CS97" si="932">+CR96</f>
        <v>22.76135507175632</v>
      </c>
      <c r="CT96" s="60">
        <f t="shared" ref="CT96:CT97" si="933">+CS96</f>
        <v>22.76135507175632</v>
      </c>
      <c r="CU96" s="60">
        <f t="shared" ref="CU96:CU97" si="934">+CT96</f>
        <v>22.76135507175632</v>
      </c>
      <c r="CV96" s="60">
        <f t="shared" ref="CV96:CV97" si="935">+CU96</f>
        <v>22.76135507175632</v>
      </c>
      <c r="CW96" s="60">
        <f t="shared" ref="CW96:CW97" si="936">+CV96</f>
        <v>22.76135507175632</v>
      </c>
      <c r="CX96" s="60">
        <f t="shared" ref="CX96:CX97" si="937">+CW96</f>
        <v>22.76135507175632</v>
      </c>
      <c r="CY96" s="60">
        <f t="shared" ref="CY96:CY97" si="938">+CX96</f>
        <v>22.76135507175632</v>
      </c>
      <c r="CZ96" s="60">
        <f t="shared" ref="CZ96:CZ97" si="939">+CY96</f>
        <v>22.76135507175632</v>
      </c>
      <c r="DA96" s="60">
        <f t="shared" ref="DA96:DA97" si="940">+CZ96</f>
        <v>22.76135507175632</v>
      </c>
      <c r="DB96" s="60">
        <f t="shared" ref="DB96:DB97" si="941">+DA96</f>
        <v>22.76135507175632</v>
      </c>
      <c r="DE96" s="136"/>
      <c r="DF96" s="13">
        <v>22.761355071756324</v>
      </c>
      <c r="DG96" s="13">
        <v>24.022748802070652</v>
      </c>
    </row>
    <row r="97" spans="1:111" s="13" customFormat="1" x14ac:dyDescent="0.2">
      <c r="A97" s="13" t="s">
        <v>462</v>
      </c>
      <c r="B97" s="13">
        <f t="shared" ref="B97:D97" si="942">+B89/B79</f>
        <v>0.62041221756125231</v>
      </c>
      <c r="C97" s="13">
        <f t="shared" si="942"/>
        <v>0.27593429748997483</v>
      </c>
      <c r="D97" s="13">
        <f t="shared" si="942"/>
        <v>0.31817385338877419</v>
      </c>
      <c r="E97" s="13">
        <f t="shared" ref="E97:AE97" ca="1" si="943">+E89/E79</f>
        <v>13.080980677532706</v>
      </c>
      <c r="F97" s="13">
        <f t="shared" ca="1" si="943"/>
        <v>15.511154523293607</v>
      </c>
      <c r="G97" s="13">
        <f t="shared" ca="1" si="943"/>
        <v>19.310549227013833</v>
      </c>
      <c r="H97" s="13">
        <f t="shared" ca="1" si="943"/>
        <v>16.100000000000001</v>
      </c>
      <c r="I97" s="13">
        <f t="shared" ca="1" si="943"/>
        <v>13.165340201760035</v>
      </c>
      <c r="J97" s="13">
        <f t="shared" ca="1" si="943"/>
        <v>8.7882431529726119</v>
      </c>
      <c r="K97" s="13">
        <f t="shared" ca="1" si="943"/>
        <v>10.375522676101641</v>
      </c>
      <c r="L97" s="13">
        <f t="shared" ca="1" si="943"/>
        <v>18.581711777615215</v>
      </c>
      <c r="M97" s="13">
        <f t="shared" ca="1" si="943"/>
        <v>13.172275564090256</v>
      </c>
      <c r="N97" s="13">
        <f t="shared" ca="1" si="943"/>
        <v>11.278342348075087</v>
      </c>
      <c r="O97" s="13">
        <f t="shared" ca="1" si="943"/>
        <v>10.399211711711713</v>
      </c>
      <c r="P97" s="13">
        <f t="shared" ca="1" si="943"/>
        <v>11.836113805366958</v>
      </c>
      <c r="Q97" s="13">
        <f t="shared" ca="1" si="943"/>
        <v>13.992743717102824</v>
      </c>
      <c r="R97" s="13">
        <f t="shared" ca="1" si="943"/>
        <v>12.695653870271023</v>
      </c>
      <c r="S97" s="13">
        <f t="shared" ca="1" si="943"/>
        <v>10.878258157090274</v>
      </c>
      <c r="T97" s="13">
        <f t="shared" ca="1" si="943"/>
        <v>14.440249285899766</v>
      </c>
      <c r="U97" s="13">
        <f t="shared" ca="1" si="943"/>
        <v>12.467957092925154</v>
      </c>
      <c r="V97" s="13">
        <f t="shared" ca="1" si="943"/>
        <v>12.182072244328459</v>
      </c>
      <c r="W97" s="13">
        <f t="shared" ca="1" si="943"/>
        <v>24.017034825870645</v>
      </c>
      <c r="X97" s="13">
        <f t="shared" ca="1" si="943"/>
        <v>22.772625025938993</v>
      </c>
      <c r="Y97" s="13">
        <f t="shared" ca="1" si="943"/>
        <v>18.755543018335683</v>
      </c>
      <c r="Z97" s="13">
        <f t="shared" ref="Z97:AA97" ca="1" si="944">+Z89/Z79</f>
        <v>20.595353573166623</v>
      </c>
      <c r="AA97" s="13">
        <f t="shared" ref="AA97" ca="1" si="945">+AA89/AA79</f>
        <v>20.595353573166623</v>
      </c>
      <c r="AB97" s="60">
        <f t="shared" ca="1" si="943"/>
        <v>13.816331670728454</v>
      </c>
      <c r="AC97" s="60">
        <f t="shared" ca="1" si="943"/>
        <v>13.213527270874803</v>
      </c>
      <c r="AD97" s="60">
        <f t="shared" ca="1" si="943"/>
        <v>13.868332389975606</v>
      </c>
      <c r="AE97" s="60">
        <f t="shared" ca="1" si="943"/>
        <v>12.229583500670556</v>
      </c>
      <c r="AL97" s="13">
        <f t="shared" ref="AL97:BQ97" si="946">+AL89/AL79</f>
        <v>12.36856066235007</v>
      </c>
      <c r="AM97" s="13">
        <f t="shared" si="946"/>
        <v>11.657269093204293</v>
      </c>
      <c r="AN97" s="13">
        <f t="shared" si="946"/>
        <v>12.686317057837385</v>
      </c>
      <c r="AO97" s="13">
        <f t="shared" si="946"/>
        <v>15.07426865671642</v>
      </c>
      <c r="AP97" s="13">
        <f t="shared" si="946"/>
        <v>15.287396694214879</v>
      </c>
      <c r="AQ97" s="13">
        <f t="shared" si="946"/>
        <v>13.121541218637994</v>
      </c>
      <c r="AR97" s="13">
        <f t="shared" si="946"/>
        <v>13.61489745970124</v>
      </c>
      <c r="AS97" s="13">
        <f t="shared" si="946"/>
        <v>14.901832460732985</v>
      </c>
      <c r="AT97" s="13">
        <f t="shared" si="946"/>
        <v>15.711486738583826</v>
      </c>
      <c r="AU97" s="13">
        <f t="shared" si="946"/>
        <v>15.499318418731457</v>
      </c>
      <c r="AV97" s="13">
        <f t="shared" si="946"/>
        <v>14.777117356924762</v>
      </c>
      <c r="AW97" s="13">
        <f t="shared" si="946"/>
        <v>15.774514936864795</v>
      </c>
      <c r="AX97" s="13">
        <f t="shared" si="946"/>
        <v>15.483870106761565</v>
      </c>
      <c r="AY97" s="13">
        <f t="shared" si="946"/>
        <v>16.770535405872195</v>
      </c>
      <c r="AZ97" s="13">
        <f t="shared" si="946"/>
        <v>14.48256381168463</v>
      </c>
      <c r="BA97" s="13">
        <f t="shared" si="946"/>
        <v>12.700963267582072</v>
      </c>
      <c r="BB97" s="13">
        <f t="shared" si="946"/>
        <v>12.761931303560232</v>
      </c>
      <c r="BC97" s="13">
        <f t="shared" si="946"/>
        <v>12.796177777777778</v>
      </c>
      <c r="BD97" s="13">
        <f t="shared" si="946"/>
        <v>12.008787878787878</v>
      </c>
      <c r="BE97" s="13">
        <f t="shared" si="946"/>
        <v>11.394760680007527</v>
      </c>
      <c r="BF97" s="13">
        <f t="shared" si="946"/>
        <v>12.706825555278263</v>
      </c>
      <c r="BG97" s="13">
        <f t="shared" si="946"/>
        <v>13.767258773287121</v>
      </c>
      <c r="BH97" s="13">
        <f t="shared" si="946"/>
        <v>15.525980291397135</v>
      </c>
      <c r="BI97" s="13">
        <f t="shared" si="946"/>
        <v>16.186879701750883</v>
      </c>
      <c r="BJ97" s="13">
        <f t="shared" si="946"/>
        <v>17.110387536514121</v>
      </c>
      <c r="BK97" s="13">
        <f t="shared" si="946"/>
        <v>18.133045988070041</v>
      </c>
      <c r="BL97" s="13">
        <f t="shared" si="946"/>
        <v>18.456268387096777</v>
      </c>
      <c r="BM97" s="13">
        <f t="shared" si="946"/>
        <v>15.228284805480792</v>
      </c>
      <c r="BN97" s="13">
        <f t="shared" si="946"/>
        <v>12.467205784874963</v>
      </c>
      <c r="BO97" s="13">
        <f t="shared" si="946"/>
        <v>13.842353493834411</v>
      </c>
      <c r="BP97" s="13">
        <f t="shared" si="946"/>
        <v>16.549283154121866</v>
      </c>
      <c r="BQ97" s="13">
        <f t="shared" si="946"/>
        <v>22.027162830716282</v>
      </c>
      <c r="BR97" s="13">
        <f t="shared" ref="BR97:CH97" si="947">+BR89/BR79</f>
        <v>25.730143145057102</v>
      </c>
      <c r="BS97" s="13">
        <f t="shared" si="947"/>
        <v>26.141714173189584</v>
      </c>
      <c r="BT97" s="13">
        <f t="shared" si="947"/>
        <v>29.746182201158504</v>
      </c>
      <c r="BU97" s="13">
        <f t="shared" si="947"/>
        <v>31.276405748569836</v>
      </c>
      <c r="BV97" s="13">
        <f t="shared" si="947"/>
        <v>30.482203428157931</v>
      </c>
      <c r="BW97" s="13">
        <f t="shared" si="947"/>
        <v>24.844790806248881</v>
      </c>
      <c r="BX97" s="13">
        <f t="shared" si="947"/>
        <v>23.986116453925515</v>
      </c>
      <c r="BY97" s="13">
        <f t="shared" si="947"/>
        <v>23.737267999830888</v>
      </c>
      <c r="BZ97" s="13">
        <f t="shared" si="947"/>
        <v>22.932226603029676</v>
      </c>
      <c r="CA97" s="13">
        <f t="shared" si="947"/>
        <v>19.935743922204217</v>
      </c>
      <c r="CB97" s="13">
        <f t="shared" si="947"/>
        <v>21.347580716497127</v>
      </c>
      <c r="CC97" s="13">
        <f t="shared" si="947"/>
        <v>22.438178016481491</v>
      </c>
      <c r="CD97" s="13">
        <f t="shared" si="947"/>
        <v>22.869533394327537</v>
      </c>
      <c r="CE97" s="13">
        <f t="shared" si="947"/>
        <v>20.640168073532166</v>
      </c>
      <c r="CF97" s="13">
        <f t="shared" si="947"/>
        <v>23.42068945044343</v>
      </c>
      <c r="CG97" s="13">
        <f t="shared" si="947"/>
        <v>25.159998553293068</v>
      </c>
      <c r="CH97" s="13">
        <f t="shared" si="947"/>
        <v>23.503342941638902</v>
      </c>
      <c r="CI97" s="13">
        <f t="shared" ref="CI97:CJ97" si="948">+CI89/CI79</f>
        <v>19.405636323626496</v>
      </c>
      <c r="CJ97" s="13">
        <f t="shared" si="948"/>
        <v>20.359465225430238</v>
      </c>
      <c r="CK97" s="13">
        <f t="shared" ref="CK97:CL97" si="949">+CK89/CK79</f>
        <v>19.746122142100408</v>
      </c>
      <c r="CL97" s="13">
        <f t="shared" si="949"/>
        <v>16.007443131894952</v>
      </c>
      <c r="CM97" s="60">
        <v>14</v>
      </c>
      <c r="CN97" s="60">
        <f t="shared" si="927"/>
        <v>14</v>
      </c>
      <c r="CO97" s="60">
        <f t="shared" si="928"/>
        <v>14</v>
      </c>
      <c r="CP97" s="60">
        <f t="shared" si="929"/>
        <v>14</v>
      </c>
      <c r="CQ97" s="60">
        <f t="shared" si="930"/>
        <v>14</v>
      </c>
      <c r="CR97" s="60">
        <f t="shared" si="931"/>
        <v>14</v>
      </c>
      <c r="CS97" s="60">
        <f t="shared" si="932"/>
        <v>14</v>
      </c>
      <c r="CT97" s="60">
        <f t="shared" si="933"/>
        <v>14</v>
      </c>
      <c r="CU97" s="60">
        <f t="shared" si="934"/>
        <v>14</v>
      </c>
      <c r="CV97" s="60">
        <f t="shared" si="935"/>
        <v>14</v>
      </c>
      <c r="CW97" s="60">
        <f t="shared" si="936"/>
        <v>14</v>
      </c>
      <c r="CX97" s="60">
        <f t="shared" si="937"/>
        <v>14</v>
      </c>
      <c r="CY97" s="60">
        <f t="shared" si="938"/>
        <v>14</v>
      </c>
      <c r="CZ97" s="60">
        <f t="shared" si="939"/>
        <v>14</v>
      </c>
      <c r="DA97" s="60">
        <f t="shared" si="940"/>
        <v>14</v>
      </c>
      <c r="DB97" s="60">
        <f t="shared" si="941"/>
        <v>14</v>
      </c>
      <c r="DE97" s="136"/>
      <c r="DF97" s="13">
        <v>16.007443131894956</v>
      </c>
      <c r="DG97" s="13">
        <v>16.894547100058546</v>
      </c>
    </row>
    <row r="98" spans="1:111" s="13" customFormat="1" x14ac:dyDescent="0.2">
      <c r="AB98" s="60"/>
      <c r="AC98" s="60"/>
      <c r="AD98" s="60"/>
      <c r="AE98" s="60"/>
      <c r="CM98" s="60"/>
      <c r="CN98" s="60"/>
      <c r="CO98" s="60"/>
      <c r="CP98" s="60"/>
      <c r="CQ98" s="60"/>
      <c r="CR98" s="60"/>
      <c r="CS98" s="60"/>
      <c r="CT98" s="60"/>
      <c r="CU98" s="60"/>
      <c r="CV98" s="60"/>
      <c r="CW98" s="60"/>
      <c r="CX98" s="60"/>
      <c r="CY98" s="60"/>
      <c r="CZ98" s="60"/>
      <c r="DA98" s="60"/>
      <c r="DB98" s="60"/>
      <c r="DE98" s="136"/>
    </row>
    <row r="99" spans="1:111" s="13" customFormat="1" x14ac:dyDescent="0.2">
      <c r="A99" s="13" t="s">
        <v>463</v>
      </c>
      <c r="B99" s="13">
        <f t="shared" ref="B99:AD99" si="950">+B88/C79</f>
        <v>1.359949096335215</v>
      </c>
      <c r="C99" s="13">
        <f t="shared" si="950"/>
        <v>0.52696900824282278</v>
      </c>
      <c r="D99" s="13">
        <f t="shared" ca="1" si="950"/>
        <v>24.78367762115742</v>
      </c>
      <c r="E99" s="13">
        <f t="shared" ca="1" si="950"/>
        <v>20.999959371614299</v>
      </c>
      <c r="F99" s="13">
        <f t="shared" ca="1" si="950"/>
        <v>23.617107404393817</v>
      </c>
      <c r="G99" s="13">
        <f t="shared" ca="1" si="950"/>
        <v>20.207142857142859</v>
      </c>
      <c r="H99" s="13">
        <f t="shared" ca="1" si="950"/>
        <v>26.489246619446234</v>
      </c>
      <c r="I99" s="13">
        <f t="shared" ca="1" si="950"/>
        <v>18.083500334001336</v>
      </c>
      <c r="J99" s="13">
        <f t="shared" ca="1" si="950"/>
        <v>16.413669990350595</v>
      </c>
      <c r="K99" s="13">
        <f t="shared" ca="1" si="950"/>
        <v>20.887028529626921</v>
      </c>
      <c r="L99" s="13">
        <f t="shared" ca="1" si="950"/>
        <v>21.218659385501681</v>
      </c>
      <c r="M99" s="13">
        <f t="shared" ca="1" si="950"/>
        <v>17.799619259730619</v>
      </c>
      <c r="N99" s="13">
        <f t="shared" ca="1" si="950"/>
        <v>14.29298048048048</v>
      </c>
      <c r="O99" s="13">
        <f t="shared" ca="1" si="950"/>
        <v>15.734587778855479</v>
      </c>
      <c r="P99" s="13">
        <f t="shared" ca="1" si="950"/>
        <v>17.519626362221068</v>
      </c>
      <c r="Q99" s="13">
        <f t="shared" ca="1" si="950"/>
        <v>17.410517661812865</v>
      </c>
      <c r="R99" s="13">
        <f t="shared" ca="1" si="950"/>
        <v>16.137450870297588</v>
      </c>
      <c r="S99" s="13">
        <f t="shared" ca="1" si="950"/>
        <v>16.030122046221759</v>
      </c>
      <c r="T99" s="13">
        <f t="shared" ca="1" si="950"/>
        <v>18.811710256719294</v>
      </c>
      <c r="U99" s="13">
        <f t="shared" ca="1" si="950"/>
        <v>17.726604309854789</v>
      </c>
      <c r="V99" s="13">
        <f t="shared" ca="1" si="950"/>
        <v>25.746268656716417</v>
      </c>
      <c r="W99" s="13">
        <f t="shared" ca="1" si="950"/>
        <v>32.822484332849143</v>
      </c>
      <c r="X99" s="13">
        <f t="shared" ca="1" si="950"/>
        <v>29.472334845423703</v>
      </c>
      <c r="Y99" s="13">
        <f t="shared" ca="1" si="950"/>
        <v>26.231003631190806</v>
      </c>
      <c r="Z99" s="13">
        <f t="shared" ref="Z99:AA99" ca="1" si="951">+Z88/AA79</f>
        <v>26.436025903869311</v>
      </c>
      <c r="AA99" s="13">
        <f t="shared" ca="1" si="951"/>
        <v>26.436025903869311</v>
      </c>
      <c r="AB99" s="37">
        <f t="shared" ca="1" si="950"/>
        <v>21.163277014105795</v>
      </c>
      <c r="AC99" s="37">
        <f t="shared" ca="1" si="950"/>
        <v>22.484231667522053</v>
      </c>
      <c r="AD99" s="37">
        <f t="shared" ca="1" si="950"/>
        <v>19.165730223743036</v>
      </c>
      <c r="AE99" s="37"/>
      <c r="AL99" s="13">
        <f t="shared" ref="AL99:BQ99" si="952">+AL88/AP79</f>
        <v>14.303719008264464</v>
      </c>
      <c r="AM99" s="13">
        <f t="shared" si="952"/>
        <v>13.579480286738352</v>
      </c>
      <c r="AN99" s="13">
        <f t="shared" si="952"/>
        <v>13.54870621993417</v>
      </c>
      <c r="AO99" s="13">
        <f t="shared" si="952"/>
        <v>14.798347513089006</v>
      </c>
      <c r="AP99" s="13">
        <f t="shared" si="952"/>
        <v>15.789465487874118</v>
      </c>
      <c r="AQ99" s="13">
        <f t="shared" si="952"/>
        <v>13.680785823109614</v>
      </c>
      <c r="AR99" s="13">
        <f t="shared" si="952"/>
        <v>15.025700305331558</v>
      </c>
      <c r="AS99" s="13">
        <f t="shared" si="952"/>
        <v>17.145873113643361</v>
      </c>
      <c r="AT99" s="13">
        <f t="shared" si="952"/>
        <v>17.520925266903912</v>
      </c>
      <c r="AU99" s="13">
        <f t="shared" si="952"/>
        <v>16.342314335060451</v>
      </c>
      <c r="AV99" s="13">
        <f t="shared" si="952"/>
        <v>17.019739081111744</v>
      </c>
      <c r="AW99" s="13">
        <f t="shared" si="952"/>
        <v>17.19701679793685</v>
      </c>
      <c r="AX99" s="13">
        <f t="shared" si="952"/>
        <v>17.410517661812865</v>
      </c>
      <c r="AY99" s="13">
        <f t="shared" si="952"/>
        <v>17.963000000000001</v>
      </c>
      <c r="AZ99" s="13">
        <f t="shared" si="952"/>
        <v>16.658272727272728</v>
      </c>
      <c r="BA99" s="13">
        <f t="shared" si="952"/>
        <v>13.721452857411705</v>
      </c>
      <c r="BB99" s="13">
        <f t="shared" si="952"/>
        <v>13.196156725729972</v>
      </c>
      <c r="BC99" s="13">
        <f t="shared" si="952"/>
        <v>12.909153927090427</v>
      </c>
      <c r="BD99" s="13">
        <f t="shared" si="952"/>
        <v>12.589889365818271</v>
      </c>
      <c r="BE99" s="13">
        <f t="shared" si="952"/>
        <v>14.09564210105852</v>
      </c>
      <c r="BF99" s="13">
        <f t="shared" si="952"/>
        <v>16.029081467056152</v>
      </c>
      <c r="BG99" s="13">
        <f t="shared" si="952"/>
        <v>17.051008915399912</v>
      </c>
      <c r="BH99" s="13">
        <f t="shared" si="952"/>
        <v>19.546616774193549</v>
      </c>
      <c r="BI99" s="13">
        <f t="shared" si="952"/>
        <v>18.693648152679227</v>
      </c>
      <c r="BJ99" s="13">
        <f t="shared" si="952"/>
        <v>18.810576679722807</v>
      </c>
      <c r="BK99" s="13">
        <f t="shared" si="952"/>
        <v>18.389519671168525</v>
      </c>
      <c r="BL99" s="13">
        <f t="shared" si="952"/>
        <v>19.210770609318995</v>
      </c>
      <c r="BM99" s="13">
        <f t="shared" si="952"/>
        <v>17.922783394278337</v>
      </c>
      <c r="BN99" s="13">
        <f t="shared" si="952"/>
        <v>16.969343186398635</v>
      </c>
      <c r="BO99" s="13">
        <f t="shared" si="952"/>
        <v>14.964028946979766</v>
      </c>
      <c r="BP99" s="13">
        <f t="shared" si="952"/>
        <v>20.097567140600315</v>
      </c>
      <c r="BQ99" s="13">
        <f t="shared" si="952"/>
        <v>23.816194595600205</v>
      </c>
      <c r="BR99" s="13">
        <f t="shared" ref="BR99:CL99" si="953">+BR88/BV79</f>
        <v>25.745104246755009</v>
      </c>
      <c r="BS99" s="13">
        <f t="shared" si="953"/>
        <v>28.90896390734423</v>
      </c>
      <c r="BT99" s="13">
        <f t="shared" si="953"/>
        <v>31.630529812904356</v>
      </c>
      <c r="BU99" s="13">
        <f t="shared" si="953"/>
        <v>32.739288885130847</v>
      </c>
      <c r="BV99" s="13">
        <f t="shared" si="953"/>
        <v>32.822484332849143</v>
      </c>
      <c r="BW99" s="13">
        <f t="shared" si="953"/>
        <v>31.32689465153971</v>
      </c>
      <c r="BX99" s="13">
        <f t="shared" si="953"/>
        <v>26.546130030959755</v>
      </c>
      <c r="BY99" s="13">
        <f t="shared" si="953"/>
        <v>27.756457709810999</v>
      </c>
      <c r="BZ99" s="13">
        <f t="shared" si="953"/>
        <v>24.99908508691674</v>
      </c>
      <c r="CA99" s="13">
        <f t="shared" si="953"/>
        <v>21.838394297505157</v>
      </c>
      <c r="CB99" s="13">
        <f t="shared" si="953"/>
        <v>22.821352925897063</v>
      </c>
      <c r="CC99" s="13">
        <f t="shared" si="953"/>
        <v>23.322593945531484</v>
      </c>
      <c r="CD99" s="13">
        <f t="shared" si="953"/>
        <v>26.231003631190806</v>
      </c>
      <c r="CE99" s="13">
        <f t="shared" si="953"/>
        <v>23.575970072617917</v>
      </c>
      <c r="CF99" s="13">
        <f t="shared" si="953"/>
        <v>28.427685962167544</v>
      </c>
      <c r="CG99" s="13">
        <f t="shared" si="953"/>
        <v>27.762299306243808</v>
      </c>
      <c r="CH99" s="13">
        <f t="shared" si="953"/>
        <v>26.116575222102895</v>
      </c>
      <c r="CI99" s="13">
        <f t="shared" si="953"/>
        <v>21.194824779417523</v>
      </c>
      <c r="CJ99" s="13">
        <f t="shared" si="953"/>
        <v>20.870720776686678</v>
      </c>
      <c r="CK99" s="13">
        <f t="shared" si="953"/>
        <v>21.329579967136603</v>
      </c>
      <c r="CL99" s="13">
        <f t="shared" si="953"/>
        <v>21.93423240416573</v>
      </c>
      <c r="CM99" s="37"/>
      <c r="CN99" s="37"/>
      <c r="CO99" s="37"/>
      <c r="CP99" s="37"/>
      <c r="CQ99" s="37"/>
      <c r="CR99" s="37"/>
      <c r="CS99" s="37"/>
      <c r="CT99" s="37"/>
      <c r="CU99" s="37"/>
      <c r="CV99" s="37"/>
      <c r="CW99" s="37"/>
      <c r="CX99" s="37"/>
      <c r="CY99" s="37"/>
      <c r="CZ99" s="37"/>
      <c r="DA99" s="37"/>
      <c r="DB99" s="37"/>
      <c r="DE99" s="134"/>
      <c r="DF99" s="13">
        <v>21.934232404165726</v>
      </c>
      <c r="DG99" s="13">
        <v>22.917325246468426</v>
      </c>
    </row>
    <row r="100" spans="1:111" s="98" customFormat="1" x14ac:dyDescent="0.2">
      <c r="A100" s="98" t="s">
        <v>426</v>
      </c>
      <c r="AB100" s="99"/>
      <c r="AC100" s="99"/>
      <c r="AD100" s="99"/>
      <c r="AE100" s="99"/>
      <c r="AL100" s="175"/>
      <c r="AM100" s="175"/>
      <c r="AN100" s="175"/>
      <c r="AO100" s="175">
        <f t="shared" ref="AO100:CI100" si="954">+CORREL(AL79:AO79,AL96:AO96)</f>
        <v>0.93992391672854936</v>
      </c>
      <c r="AP100" s="175">
        <f t="shared" si="954"/>
        <v>0.89200150881524842</v>
      </c>
      <c r="AQ100" s="175">
        <f t="shared" si="954"/>
        <v>-0.40360558974463395</v>
      </c>
      <c r="AR100" s="175">
        <f t="shared" si="954"/>
        <v>-0.71993617655202058</v>
      </c>
      <c r="AS100" s="175">
        <f t="shared" si="954"/>
        <v>2.8741380718168282E-2</v>
      </c>
      <c r="AT100" s="175">
        <f t="shared" si="954"/>
        <v>0.93208589932575714</v>
      </c>
      <c r="AU100" s="175">
        <f t="shared" si="954"/>
        <v>0.85022177239235708</v>
      </c>
      <c r="AV100" s="175">
        <f t="shared" si="954"/>
        <v>0.21468830463351168</v>
      </c>
      <c r="AW100" s="175">
        <f t="shared" si="954"/>
        <v>0.14214190531984833</v>
      </c>
      <c r="AX100" s="175">
        <f t="shared" si="954"/>
        <v>0.29960706224577915</v>
      </c>
      <c r="AY100" s="175">
        <f t="shared" si="954"/>
        <v>-0.70957142520708527</v>
      </c>
      <c r="AZ100" s="175">
        <f t="shared" si="954"/>
        <v>-0.78793882722744035</v>
      </c>
      <c r="BA100" s="175">
        <f t="shared" si="954"/>
        <v>-0.86002495810120283</v>
      </c>
      <c r="BB100" s="175">
        <f t="shared" si="954"/>
        <v>-0.99298628365576769</v>
      </c>
      <c r="BC100" s="175">
        <f t="shared" si="954"/>
        <v>-0.98769518674902868</v>
      </c>
      <c r="BD100" s="175">
        <f t="shared" si="954"/>
        <v>-0.76932155895417165</v>
      </c>
      <c r="BE100" s="175">
        <f t="shared" si="954"/>
        <v>-0.98454940840179006</v>
      </c>
      <c r="BF100" s="175">
        <f t="shared" si="954"/>
        <v>-9.3628641015327512E-3</v>
      </c>
      <c r="BG100" s="175">
        <f t="shared" si="954"/>
        <v>0.36311513379983268</v>
      </c>
      <c r="BH100" s="175">
        <f t="shared" si="954"/>
        <v>0.93388876875430826</v>
      </c>
      <c r="BI100" s="175">
        <f t="shared" si="954"/>
        <v>-0.5994149434790712</v>
      </c>
      <c r="BJ100" s="175">
        <f t="shared" si="954"/>
        <v>-0.77433388041867757</v>
      </c>
      <c r="BK100" s="175">
        <f t="shared" si="954"/>
        <v>-0.96198196820402504</v>
      </c>
      <c r="BL100" s="175">
        <f t="shared" si="954"/>
        <v>0.22107981823469131</v>
      </c>
      <c r="BM100" s="175">
        <f t="shared" si="954"/>
        <v>-0.23897467344762291</v>
      </c>
      <c r="BN100" s="175">
        <f t="shared" si="954"/>
        <v>-0.64742321828704064</v>
      </c>
      <c r="BO100" s="175">
        <f t="shared" si="954"/>
        <v>-0.97608026674258419</v>
      </c>
      <c r="BP100" s="175">
        <f t="shared" si="954"/>
        <v>0.6084846232235237</v>
      </c>
      <c r="BQ100" s="175">
        <f t="shared" si="954"/>
        <v>0.92486743338717514</v>
      </c>
      <c r="BR100" s="175">
        <f t="shared" si="954"/>
        <v>0.9808354012686723</v>
      </c>
      <c r="BS100" s="175">
        <f t="shared" si="954"/>
        <v>0.97619440582765049</v>
      </c>
      <c r="BT100" s="175">
        <f t="shared" si="954"/>
        <v>0.98501326576435044</v>
      </c>
      <c r="BU100" s="175">
        <f t="shared" si="954"/>
        <v>0.98759208055892544</v>
      </c>
      <c r="BV100" s="175">
        <f t="shared" si="954"/>
        <v>0.87952719187152983</v>
      </c>
      <c r="BW100" s="175">
        <f t="shared" si="954"/>
        <v>0.18091594326794827</v>
      </c>
      <c r="BX100" s="175">
        <f t="shared" si="954"/>
        <v>-0.87442973525361167</v>
      </c>
      <c r="BY100" s="175">
        <f t="shared" si="954"/>
        <v>-0.90225090713744727</v>
      </c>
      <c r="BZ100" s="175">
        <f t="shared" si="954"/>
        <v>-0.87973177343900577</v>
      </c>
      <c r="CA100" s="175">
        <f t="shared" si="954"/>
        <v>-0.88361609131567842</v>
      </c>
      <c r="CB100" s="175">
        <f t="shared" si="954"/>
        <v>-0.93824533436136381</v>
      </c>
      <c r="CC100" s="175">
        <f t="shared" si="954"/>
        <v>-0.85427085163157856</v>
      </c>
      <c r="CD100" s="175">
        <f t="shared" si="954"/>
        <v>0.45838568467945862</v>
      </c>
      <c r="CE100" s="175">
        <f t="shared" si="954"/>
        <v>-0.30727116772670654</v>
      </c>
      <c r="CF100" s="175">
        <f t="shared" si="954"/>
        <v>0.19637103515302501</v>
      </c>
      <c r="CG100" s="175">
        <f t="shared" si="954"/>
        <v>0.61616793163929129</v>
      </c>
      <c r="CH100" s="175">
        <f t="shared" si="954"/>
        <v>0.41031225541301181</v>
      </c>
      <c r="CI100" s="175">
        <f t="shared" si="954"/>
        <v>-0.29360383187588296</v>
      </c>
      <c r="CJ100" s="175">
        <f>+CORREL(CG79:CJ79,CG96:CJ96)</f>
        <v>-0.59933867219227865</v>
      </c>
      <c r="CK100" s="175">
        <f>+CORREL(CH79:CK79,CH96:CK96)</f>
        <v>-0.76883233732728851</v>
      </c>
      <c r="CL100" s="175">
        <f>+CORREL(CI79:CL79,CI96:CL96)</f>
        <v>-0.98043366514047947</v>
      </c>
      <c r="CM100" s="99"/>
      <c r="CN100" s="99"/>
      <c r="CO100" s="99"/>
      <c r="CP100" s="99"/>
      <c r="CQ100" s="99"/>
      <c r="CR100" s="99"/>
      <c r="CS100" s="99"/>
      <c r="CT100" s="99"/>
      <c r="CU100" s="99"/>
      <c r="CV100" s="99"/>
      <c r="CW100" s="99"/>
      <c r="CX100" s="99"/>
      <c r="CY100" s="99"/>
      <c r="CZ100" s="99"/>
      <c r="DA100" s="99"/>
      <c r="DB100" s="99"/>
      <c r="DE100" s="137"/>
      <c r="DG100" s="98">
        <v>-0.91918000144414758</v>
      </c>
    </row>
    <row r="101" spans="1:111" s="4" customFormat="1" x14ac:dyDescent="0.2">
      <c r="A101" s="3"/>
      <c r="AB101" s="17"/>
      <c r="AC101" s="17"/>
      <c r="AD101" s="17"/>
      <c r="AE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E101" s="119"/>
    </row>
    <row r="102" spans="1:111" s="162" customFormat="1" x14ac:dyDescent="0.2">
      <c r="A102" s="49" t="s">
        <v>505</v>
      </c>
      <c r="E102" s="162">
        <f t="shared" ref="E102:AE102" ca="1" si="955">+E$130/E$75</f>
        <v>8.2587450592885379</v>
      </c>
      <c r="F102" s="162">
        <f t="shared" ca="1" si="955"/>
        <v>13.139822134387352</v>
      </c>
      <c r="G102" s="162">
        <f t="shared" ca="1" si="955"/>
        <v>17.208498023715414</v>
      </c>
      <c r="H102" s="162">
        <f t="shared" ca="1" si="955"/>
        <v>27.803853754940711</v>
      </c>
      <c r="I102" s="162">
        <f t="shared" ca="1" si="955"/>
        <v>34.078557312252961</v>
      </c>
      <c r="J102" s="162">
        <f t="shared" ca="1" si="955"/>
        <v>45.093873517786562</v>
      </c>
      <c r="K102" s="162">
        <f t="shared" ca="1" si="955"/>
        <v>56.939229249011859</v>
      </c>
      <c r="L102" s="162">
        <f t="shared" ca="1" si="955"/>
        <v>64.169960474308297</v>
      </c>
      <c r="M102" s="162">
        <f t="shared" ca="1" si="955"/>
        <v>77.401185770750985</v>
      </c>
      <c r="N102" s="162">
        <f t="shared" ca="1" si="955"/>
        <v>93.858695652173907</v>
      </c>
      <c r="O102" s="162">
        <f t="shared" ca="1" si="955"/>
        <v>110.00494071146245</v>
      </c>
      <c r="P102" s="162">
        <f t="shared" ca="1" si="955"/>
        <v>125.33596837944664</v>
      </c>
      <c r="Q102" s="162">
        <f t="shared" ca="1" si="955"/>
        <v>152.52964426877469</v>
      </c>
      <c r="R102" s="162">
        <f t="shared" ca="1" si="955"/>
        <v>170.41007905138341</v>
      </c>
      <c r="S102" s="162">
        <f t="shared" ca="1" si="955"/>
        <v>160.38290513833991</v>
      </c>
      <c r="T102" s="162">
        <f t="shared" ca="1" si="955"/>
        <v>160.44466403162056</v>
      </c>
      <c r="U102" s="162">
        <f t="shared" ca="1" si="955"/>
        <v>161.68478260869566</v>
      </c>
      <c r="V102" s="162">
        <f t="shared" ca="1" si="955"/>
        <v>188.6141304347826</v>
      </c>
      <c r="W102" s="162">
        <f t="shared" ca="1" si="955"/>
        <v>186.14130434782609</v>
      </c>
      <c r="X102" s="162">
        <f t="shared" ca="1" si="955"/>
        <v>186.28211462450594</v>
      </c>
      <c r="Y102" s="162">
        <f t="shared" ca="1" si="955"/>
        <v>217.67786561264822</v>
      </c>
      <c r="Z102" s="162">
        <f t="shared" ca="1" si="955"/>
        <v>236.70454545454544</v>
      </c>
      <c r="AA102" s="162">
        <f t="shared" ca="1" si="955"/>
        <v>236.70454545454544</v>
      </c>
      <c r="AB102" s="21">
        <f t="shared" ca="1" si="955"/>
        <v>308.15159694298524</v>
      </c>
      <c r="AC102" s="21">
        <f t="shared" ca="1" si="955"/>
        <v>393.51352166591005</v>
      </c>
      <c r="AD102" s="21">
        <f t="shared" ca="1" si="955"/>
        <v>479.92755203874134</v>
      </c>
      <c r="AE102" s="21">
        <f t="shared" ca="1" si="955"/>
        <v>582.55345804575052</v>
      </c>
      <c r="AL102" s="162">
        <f t="shared" ref="AL102:BQ102" si="956">+AL$130/AL$75</f>
        <v>98.312747035573125</v>
      </c>
      <c r="AM102" s="162">
        <f t="shared" si="956"/>
        <v>104.17737154150197</v>
      </c>
      <c r="AN102" s="162">
        <f t="shared" si="956"/>
        <v>106.71689723320158</v>
      </c>
      <c r="AO102" s="162">
        <f t="shared" si="956"/>
        <v>113.81916996047431</v>
      </c>
      <c r="AP102" s="162">
        <f t="shared" si="956"/>
        <v>117.41600790513834</v>
      </c>
      <c r="AQ102" s="162">
        <f t="shared" si="956"/>
        <v>124.54545454545455</v>
      </c>
      <c r="AR102" s="162">
        <f t="shared" si="956"/>
        <v>124.95553359683794</v>
      </c>
      <c r="AS102" s="162">
        <f t="shared" si="956"/>
        <v>132.98418972332016</v>
      </c>
      <c r="AT102" s="162">
        <f t="shared" si="956"/>
        <v>135.28409090909091</v>
      </c>
      <c r="AU102" s="162">
        <f t="shared" si="956"/>
        <v>142.76432806324109</v>
      </c>
      <c r="AV102" s="162">
        <f t="shared" si="956"/>
        <v>141.66254940711462</v>
      </c>
      <c r="AW102" s="162">
        <f t="shared" si="956"/>
        <v>150.22233201581028</v>
      </c>
      <c r="AX102" s="162">
        <f t="shared" si="956"/>
        <v>152.52964426877469</v>
      </c>
      <c r="AY102" s="162">
        <f t="shared" si="956"/>
        <v>161.01778656126481</v>
      </c>
      <c r="AZ102" s="162">
        <f t="shared" si="956"/>
        <v>160.14081027667984</v>
      </c>
      <c r="BA102" s="162">
        <f t="shared" si="956"/>
        <v>169.30088932806325</v>
      </c>
      <c r="BB102" s="162">
        <f t="shared" si="956"/>
        <v>170.41007905138341</v>
      </c>
      <c r="BC102" s="162">
        <f t="shared" si="956"/>
        <v>179.01432806324109</v>
      </c>
      <c r="BD102" s="162">
        <f t="shared" si="956"/>
        <v>178.77964426877469</v>
      </c>
      <c r="BE102" s="162">
        <f t="shared" si="956"/>
        <v>191.45009881422925</v>
      </c>
      <c r="BF102" s="162">
        <f t="shared" si="956"/>
        <v>160.38290513833991</v>
      </c>
      <c r="BG102" s="162">
        <f t="shared" si="956"/>
        <v>169.30583003952569</v>
      </c>
      <c r="BH102" s="162">
        <f t="shared" si="956"/>
        <v>160.9387351778656</v>
      </c>
      <c r="BI102" s="162">
        <f t="shared" si="956"/>
        <v>169.85424901185769</v>
      </c>
      <c r="BJ102" s="162">
        <f t="shared" si="956"/>
        <v>160.44466403162056</v>
      </c>
      <c r="BK102" s="162">
        <f t="shared" si="956"/>
        <v>169.82707509881422</v>
      </c>
      <c r="BL102" s="162">
        <f t="shared" si="956"/>
        <v>149.50839920948616</v>
      </c>
      <c r="BM102" s="162">
        <f t="shared" si="956"/>
        <v>160.51877470355731</v>
      </c>
      <c r="BN102" s="162">
        <f t="shared" si="956"/>
        <v>161.68478260869566</v>
      </c>
      <c r="BO102" s="162">
        <f t="shared" si="956"/>
        <v>172.14179841897231</v>
      </c>
      <c r="BP102" s="162">
        <f t="shared" si="956"/>
        <v>175.39525691699603</v>
      </c>
      <c r="BQ102" s="162">
        <f t="shared" si="956"/>
        <v>188.23369565217391</v>
      </c>
      <c r="BR102" s="162">
        <f t="shared" ref="BR102:DB102" si="957">+BR$130/BR$75</f>
        <v>188.6141304347826</v>
      </c>
      <c r="BS102" s="162">
        <f t="shared" si="957"/>
        <v>201.44762845849803</v>
      </c>
      <c r="BT102" s="162">
        <f t="shared" si="957"/>
        <v>172.774209486166</v>
      </c>
      <c r="BU102" s="162">
        <f t="shared" si="957"/>
        <v>187.12450592885375</v>
      </c>
      <c r="BV102" s="162">
        <f t="shared" si="957"/>
        <v>186.14130434782609</v>
      </c>
      <c r="BW102" s="162">
        <f t="shared" si="957"/>
        <v>199.38241106719366</v>
      </c>
      <c r="BX102" s="162">
        <f t="shared" si="957"/>
        <v>197.58152173913044</v>
      </c>
      <c r="BY102" s="162">
        <f t="shared" si="957"/>
        <v>213.85128458498022</v>
      </c>
      <c r="BZ102" s="162">
        <f t="shared" si="957"/>
        <v>186.28211462450594</v>
      </c>
      <c r="CA102" s="162">
        <f t="shared" si="957"/>
        <v>200.96837944664031</v>
      </c>
      <c r="CB102" s="162">
        <f t="shared" si="957"/>
        <v>199.52569169960475</v>
      </c>
      <c r="CC102" s="162">
        <f t="shared" si="957"/>
        <v>214.60968379446641</v>
      </c>
      <c r="CD102" s="162">
        <f t="shared" si="957"/>
        <v>217.67786561264822</v>
      </c>
      <c r="CE102" s="162">
        <f t="shared" si="957"/>
        <v>233.40909090909091</v>
      </c>
      <c r="CF102" s="162">
        <f t="shared" si="957"/>
        <v>223.475790513834</v>
      </c>
      <c r="CG102" s="162">
        <f t="shared" si="957"/>
        <v>240.28903162055335</v>
      </c>
      <c r="CH102" s="162">
        <f t="shared" si="957"/>
        <v>236.70454545454544</v>
      </c>
      <c r="CI102" s="162">
        <f t="shared" si="957"/>
        <v>253.80187747035572</v>
      </c>
      <c r="CJ102" s="162">
        <f t="shared" si="957"/>
        <v>255.26185770750988</v>
      </c>
      <c r="CK102" s="162">
        <f t="shared" si="957"/>
        <v>271.699604743083</v>
      </c>
      <c r="CL102" s="162">
        <f t="shared" si="957"/>
        <v>229.37747035573122</v>
      </c>
      <c r="CM102" s="21">
        <f t="shared" si="957"/>
        <v>248.30391682110863</v>
      </c>
      <c r="CN102" s="21">
        <f t="shared" si="957"/>
        <v>267.76514920612982</v>
      </c>
      <c r="CO102" s="21">
        <f t="shared" si="957"/>
        <v>287.74562782898124</v>
      </c>
      <c r="CP102" s="21">
        <f t="shared" si="957"/>
        <v>308.15159694298524</v>
      </c>
      <c r="CQ102" s="21">
        <f t="shared" si="957"/>
        <v>328.87049683687502</v>
      </c>
      <c r="CR102" s="21">
        <f t="shared" si="957"/>
        <v>350.19905667344926</v>
      </c>
      <c r="CS102" s="21">
        <f t="shared" si="957"/>
        <v>371.60152692264938</v>
      </c>
      <c r="CT102" s="21">
        <f t="shared" si="957"/>
        <v>393.51352166591005</v>
      </c>
      <c r="CU102" s="21">
        <f t="shared" si="957"/>
        <v>414.47181800600868</v>
      </c>
      <c r="CV102" s="21">
        <f t="shared" si="957"/>
        <v>435.95519895385291</v>
      </c>
      <c r="CW102" s="21">
        <f t="shared" si="957"/>
        <v>457.79355622579101</v>
      </c>
      <c r="CX102" s="21">
        <f t="shared" si="957"/>
        <v>479.92755203874134</v>
      </c>
      <c r="CY102" s="21">
        <f t="shared" si="957"/>
        <v>504.1198242092006</v>
      </c>
      <c r="CZ102" s="21">
        <f t="shared" si="957"/>
        <v>529.2001184381478</v>
      </c>
      <c r="DA102" s="21">
        <f t="shared" si="957"/>
        <v>555.27994865865742</v>
      </c>
      <c r="DB102" s="21">
        <f t="shared" si="957"/>
        <v>582.55345804575052</v>
      </c>
      <c r="DE102" s="22"/>
      <c r="DF102" s="162">
        <v>229.37747035573122</v>
      </c>
      <c r="DG102" s="162">
        <v>289.56485979942181</v>
      </c>
    </row>
    <row r="103" spans="1:111" s="162" customFormat="1" x14ac:dyDescent="0.2">
      <c r="A103" s="49" t="s">
        <v>501</v>
      </c>
      <c r="AB103" s="21"/>
      <c r="AC103" s="21"/>
      <c r="AD103" s="21"/>
      <c r="AE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E103" s="22"/>
    </row>
    <row r="104" spans="1:111" s="162" customFormat="1" x14ac:dyDescent="0.2">
      <c r="A104" s="49" t="s">
        <v>502</v>
      </c>
      <c r="E104" s="162">
        <f t="shared" ref="E104:AE106" ca="1" si="958">+E87/E$102</f>
        <v>9.3426535382903495</v>
      </c>
      <c r="F104" s="162">
        <f t="shared" ca="1" si="958"/>
        <v>10.714328821206994</v>
      </c>
      <c r="G104" s="162">
        <f t="shared" ca="1" si="958"/>
        <v>10.826228107952915</v>
      </c>
      <c r="H104" s="162">
        <f t="shared" ca="1" si="958"/>
        <v>9.0482061306086177</v>
      </c>
      <c r="I104" s="162">
        <f t="shared" ca="1" si="958"/>
        <v>5.2457839797027921</v>
      </c>
      <c r="J104" s="162">
        <f t="shared" ca="1" si="958"/>
        <v>3.67039881669771</v>
      </c>
      <c r="K104" s="162">
        <f t="shared" ca="1" si="958"/>
        <v>5.7409891969282825</v>
      </c>
      <c r="L104" s="162">
        <f t="shared" ca="1" si="958"/>
        <v>6.3050334924545739</v>
      </c>
      <c r="M104" s="162">
        <f t="shared" ca="1" si="958"/>
        <v>4.6267863526107496</v>
      </c>
      <c r="N104" s="162">
        <f t="shared" ca="1" si="958"/>
        <v>3.8487376954255939</v>
      </c>
      <c r="O104" s="162">
        <f t="shared" ca="1" si="958"/>
        <v>3.7257985627666739</v>
      </c>
      <c r="P104" s="162">
        <f t="shared" ca="1" si="958"/>
        <v>4.4213166193629769</v>
      </c>
      <c r="Q104" s="162">
        <f t="shared" ca="1" si="958"/>
        <v>3.9925025913449086</v>
      </c>
      <c r="R104" s="162">
        <f t="shared" ca="1" si="958"/>
        <v>2.9951280044069466</v>
      </c>
      <c r="S104" s="162">
        <f t="shared" ca="1" si="958"/>
        <v>3.53653651248402</v>
      </c>
      <c r="T104" s="162">
        <f t="shared" ca="1" si="958"/>
        <v>4.6265172137710167</v>
      </c>
      <c r="U104" s="162">
        <f t="shared" ca="1" si="958"/>
        <v>3.9601747899159658</v>
      </c>
      <c r="V104" s="162">
        <f t="shared" ca="1" si="958"/>
        <v>7.2515775824809108</v>
      </c>
      <c r="W104" s="162">
        <f t="shared" ca="1" si="958"/>
        <v>10.245979562043795</v>
      </c>
      <c r="X104" s="162">
        <f t="shared" ca="1" si="958"/>
        <v>7.6641818398822386</v>
      </c>
      <c r="Y104" s="162">
        <f t="shared" ca="1" si="958"/>
        <v>6.8854037859185615</v>
      </c>
      <c r="Z104" s="162">
        <f t="shared" ca="1" si="958"/>
        <v>6.634431108977437</v>
      </c>
      <c r="AA104" s="162">
        <f t="shared" ref="AA104" ca="1" si="959">+AA87/AA$102</f>
        <v>6.634431108977437</v>
      </c>
      <c r="AB104" s="21">
        <f t="shared" ca="1" si="958"/>
        <v>3.7968325058411931</v>
      </c>
      <c r="AC104" s="21">
        <f t="shared" ca="1" si="958"/>
        <v>2.9732142241183799</v>
      </c>
      <c r="AD104" s="21">
        <f t="shared" ca="1" si="958"/>
        <v>2.4378679553399629</v>
      </c>
      <c r="AE104" s="21">
        <f t="shared" ca="1" si="958"/>
        <v>2.0083993732093077</v>
      </c>
      <c r="AL104" s="162">
        <f t="shared" ref="AL104:CI106" si="960">+AL87/AL$102</f>
        <v>3.6743709324823479</v>
      </c>
      <c r="AM104" s="162">
        <f t="shared" si="960"/>
        <v>2.9915925636100642</v>
      </c>
      <c r="AN104" s="162">
        <f t="shared" si="960"/>
        <v>3.5320671774809602</v>
      </c>
      <c r="AO104" s="162">
        <f t="shared" si="960"/>
        <v>3.8278920866432258</v>
      </c>
      <c r="AP104" s="162">
        <f t="shared" si="960"/>
        <v>3.4906334946349671</v>
      </c>
      <c r="AQ104" s="162">
        <f t="shared" si="960"/>
        <v>3.2582983576642333</v>
      </c>
      <c r="AR104" s="162">
        <f t="shared" si="960"/>
        <v>3.7489836305405086</v>
      </c>
      <c r="AS104" s="162">
        <f t="shared" si="960"/>
        <v>3.7057036706791502</v>
      </c>
      <c r="AT104" s="162">
        <f t="shared" si="960"/>
        <v>4.0961948761024782</v>
      </c>
      <c r="AU104" s="162">
        <f t="shared" si="960"/>
        <v>3.4509671056046791</v>
      </c>
      <c r="AV104" s="162">
        <f t="shared" si="960"/>
        <v>4.0958249193478071</v>
      </c>
      <c r="AW104" s="162">
        <f t="shared" si="960"/>
        <v>3.6763841473441867</v>
      </c>
      <c r="AX104" s="162">
        <f t="shared" si="960"/>
        <v>3.9925025913449086</v>
      </c>
      <c r="AY104" s="162">
        <f t="shared" si="960"/>
        <v>3.635467934949371</v>
      </c>
      <c r="AZ104" s="162">
        <f t="shared" si="960"/>
        <v>3.2412100269957573</v>
      </c>
      <c r="BA104" s="162">
        <f t="shared" si="960"/>
        <v>2.9849223002057403</v>
      </c>
      <c r="BB104" s="162">
        <f t="shared" si="960"/>
        <v>2.9951280044069466</v>
      </c>
      <c r="BC104" s="162">
        <f t="shared" si="960"/>
        <v>2.6133383012488789</v>
      </c>
      <c r="BD104" s="162">
        <f t="shared" si="960"/>
        <v>2.5135691584910878</v>
      </c>
      <c r="BE104" s="162">
        <f t="shared" si="960"/>
        <v>2.7142843133459786</v>
      </c>
      <c r="BF104" s="162">
        <f t="shared" si="960"/>
        <v>3.53653651248402</v>
      </c>
      <c r="BG104" s="162">
        <f t="shared" si="960"/>
        <v>3.8591405851025025</v>
      </c>
      <c r="BH104" s="162">
        <f t="shared" si="960"/>
        <v>4.5225283968809489</v>
      </c>
      <c r="BI104" s="162">
        <f t="shared" si="960"/>
        <v>3.8848012565993284</v>
      </c>
      <c r="BJ104" s="162">
        <f t="shared" si="960"/>
        <v>4.6265172137710167</v>
      </c>
      <c r="BK104" s="162">
        <f t="shared" si="960"/>
        <v>4.3099723620283363</v>
      </c>
      <c r="BL104" s="162">
        <f t="shared" si="960"/>
        <v>5.3863194593612134</v>
      </c>
      <c r="BM104" s="162">
        <f t="shared" si="960"/>
        <v>4.5586567761396166</v>
      </c>
      <c r="BN104" s="162">
        <f t="shared" si="960"/>
        <v>3.9601747899159658</v>
      </c>
      <c r="BO104" s="162">
        <f t="shared" si="960"/>
        <v>4.2749640514903211</v>
      </c>
      <c r="BP104" s="162">
        <f t="shared" si="960"/>
        <v>5.7470197183098595</v>
      </c>
      <c r="BQ104" s="162">
        <f t="shared" si="960"/>
        <v>6.6717597805687889</v>
      </c>
      <c r="BR104" s="162">
        <f t="shared" si="960"/>
        <v>7.2515775824809108</v>
      </c>
      <c r="BS104" s="162">
        <f t="shared" si="960"/>
        <v>7.849434674907414</v>
      </c>
      <c r="BT104" s="162">
        <f t="shared" si="960"/>
        <v>9.6970491428244614</v>
      </c>
      <c r="BU104" s="162">
        <f t="shared" si="960"/>
        <v>10.098356656281355</v>
      </c>
      <c r="BV104" s="162">
        <f t="shared" si="960"/>
        <v>10.245979562043795</v>
      </c>
      <c r="BW104" s="162">
        <f t="shared" si="960"/>
        <v>7.3286304051542572</v>
      </c>
      <c r="BX104" s="162">
        <f t="shared" si="960"/>
        <v>7.1519845963416309</v>
      </c>
      <c r="BY104" s="162">
        <f t="shared" si="960"/>
        <v>7.0549026765395597</v>
      </c>
      <c r="BZ104" s="162">
        <f t="shared" si="960"/>
        <v>7.6641818398822386</v>
      </c>
      <c r="CA104" s="162">
        <f t="shared" si="960"/>
        <v>6.6438312518438396</v>
      </c>
      <c r="CB104" s="162">
        <f t="shared" si="960"/>
        <v>7.1923068541996829</v>
      </c>
      <c r="CC104" s="162">
        <f t="shared" si="960"/>
        <v>7.1890977737873234</v>
      </c>
      <c r="CD104" s="162">
        <f t="shared" si="960"/>
        <v>6.8854037859185615</v>
      </c>
      <c r="CE104" s="162">
        <f t="shared" si="960"/>
        <v>6.7133203505355405</v>
      </c>
      <c r="CF104" s="162">
        <f t="shared" si="960"/>
        <v>8.3946453246078505</v>
      </c>
      <c r="CG104" s="162">
        <f t="shared" si="960"/>
        <v>7.8268241680288693</v>
      </c>
      <c r="CH104" s="162">
        <f t="shared" si="960"/>
        <v>6.634431108977437</v>
      </c>
      <c r="CI104" s="162">
        <f t="shared" si="960"/>
        <v>6.3092519880473823</v>
      </c>
      <c r="CJ104" s="162">
        <f>+CJ87/CJ$102</f>
        <v>5.6492968160263235</v>
      </c>
      <c r="CK104" s="162">
        <f>+CK87/CK$102</f>
        <v>5.9494013674716326</v>
      </c>
      <c r="CL104" s="162">
        <f>+CL87/CL$102</f>
        <v>5.4547641407831824</v>
      </c>
      <c r="CM104" s="21">
        <f t="shared" ref="CM104:DB104" si="961">+CM87/CM$102</f>
        <v>4.7119675556424276</v>
      </c>
      <c r="CN104" s="21">
        <f t="shared" si="961"/>
        <v>4.3695006742618157</v>
      </c>
      <c r="CO104" s="21">
        <f t="shared" si="961"/>
        <v>4.0660913211003775</v>
      </c>
      <c r="CP104" s="21">
        <f t="shared" si="961"/>
        <v>3.7968325058411931</v>
      </c>
      <c r="CQ104" s="21">
        <f t="shared" si="961"/>
        <v>3.557631381511059</v>
      </c>
      <c r="CR104" s="21">
        <f t="shared" si="961"/>
        <v>3.3409570291646786</v>
      </c>
      <c r="CS104" s="21">
        <f t="shared" si="961"/>
        <v>3.1485338870621513</v>
      </c>
      <c r="CT104" s="21">
        <f t="shared" si="961"/>
        <v>2.9732142241183799</v>
      </c>
      <c r="CU104" s="21">
        <f t="shared" si="961"/>
        <v>2.8228698530789815</v>
      </c>
      <c r="CV104" s="21">
        <f t="shared" si="961"/>
        <v>2.683762007673288</v>
      </c>
      <c r="CW104" s="21">
        <f t="shared" si="961"/>
        <v>2.5557371528902375</v>
      </c>
      <c r="CX104" s="21">
        <f t="shared" si="961"/>
        <v>2.4378679553399629</v>
      </c>
      <c r="CY104" s="21">
        <f t="shared" si="961"/>
        <v>2.3208767912179371</v>
      </c>
      <c r="CZ104" s="21">
        <f t="shared" si="961"/>
        <v>2.2108838589323709</v>
      </c>
      <c r="DA104" s="21">
        <f t="shared" si="961"/>
        <v>2.1070452891847968</v>
      </c>
      <c r="DB104" s="21">
        <f t="shared" si="961"/>
        <v>2.0083993732093077</v>
      </c>
      <c r="DE104" s="22"/>
      <c r="DF104" s="162">
        <v>5.4547641407831824</v>
      </c>
      <c r="DG104" s="162">
        <v>4.3209662970385692</v>
      </c>
    </row>
    <row r="105" spans="1:111" s="162" customFormat="1" x14ac:dyDescent="0.2">
      <c r="A105" s="49" t="s">
        <v>503</v>
      </c>
      <c r="E105" s="162">
        <f t="shared" ca="1" si="958"/>
        <v>11.595663059279598</v>
      </c>
      <c r="F105" s="162">
        <f t="shared" ca="1" si="958"/>
        <v>10.913865388230871</v>
      </c>
      <c r="G105" s="162">
        <f t="shared" ca="1" si="958"/>
        <v>11.168173987941431</v>
      </c>
      <c r="H105" s="162">
        <f t="shared" ca="1" si="958"/>
        <v>10.965206574855619</v>
      </c>
      <c r="I105" s="162">
        <f t="shared" ca="1" si="958"/>
        <v>7.8495106922798126</v>
      </c>
      <c r="J105" s="162">
        <f t="shared" ca="1" si="958"/>
        <v>5.5911142763229975</v>
      </c>
      <c r="K105" s="162">
        <f t="shared" ca="1" si="958"/>
        <v>6.1938843333767188</v>
      </c>
      <c r="L105" s="162">
        <f t="shared" ca="1" si="958"/>
        <v>6.8060467354481062</v>
      </c>
      <c r="M105" s="162">
        <f t="shared" ca="1" si="958"/>
        <v>5.3565878335248307</v>
      </c>
      <c r="N105" s="162">
        <f t="shared" ca="1" si="958"/>
        <v>4.0086855819339897</v>
      </c>
      <c r="O105" s="162">
        <f t="shared" ca="1" si="958"/>
        <v>4.3716218279811363</v>
      </c>
      <c r="P105" s="162">
        <f t="shared" ca="1" si="958"/>
        <v>4.6578807947019865</v>
      </c>
      <c r="Q105" s="162">
        <f t="shared" ca="1" si="958"/>
        <v>4.0472460481990158</v>
      </c>
      <c r="R105" s="162">
        <f t="shared" ca="1" si="958"/>
        <v>3.7497782030094804</v>
      </c>
      <c r="S105" s="162">
        <f t="shared" ca="1" si="958"/>
        <v>3.8033978713244925</v>
      </c>
      <c r="T105" s="162">
        <f t="shared" ca="1" si="958"/>
        <v>4.8063299870665759</v>
      </c>
      <c r="U105" s="162">
        <f t="shared" ca="1" si="958"/>
        <v>5.2410621848739494</v>
      </c>
      <c r="V105" s="162">
        <f t="shared" ca="1" si="958"/>
        <v>7.4556980262210057</v>
      </c>
      <c r="W105" s="162">
        <f t="shared" ca="1" si="958"/>
        <v>10.495789781021898</v>
      </c>
      <c r="X105" s="162">
        <f t="shared" ca="1" si="958"/>
        <v>10.252997201851286</v>
      </c>
      <c r="Y105" s="162">
        <f t="shared" ca="1" si="958"/>
        <v>7.9521176630804851</v>
      </c>
      <c r="Z105" s="162">
        <f t="shared" ca="1" si="958"/>
        <v>8.4780796927508408</v>
      </c>
      <c r="AA105" s="162">
        <f t="shared" ref="AA105" ca="1" si="962">+AA88/AA$102</f>
        <v>8.4780796927508408</v>
      </c>
      <c r="AB105" s="21">
        <f t="shared" ca="1" si="958"/>
        <v>5.8624978007261559</v>
      </c>
      <c r="AC105" s="21">
        <f t="shared" ca="1" si="958"/>
        <v>4.9374493410078495</v>
      </c>
      <c r="AD105" s="21">
        <f t="shared" ca="1" si="958"/>
        <v>4.0983277999817229</v>
      </c>
      <c r="AE105" s="21">
        <f t="shared" ca="1" si="958"/>
        <v>4.0097688099257267</v>
      </c>
      <c r="AL105" s="162">
        <f t="shared" si="960"/>
        <v>3.8270723923913863</v>
      </c>
      <c r="AM105" s="162">
        <f t="shared" si="960"/>
        <v>3.5936306940788696</v>
      </c>
      <c r="AN105" s="162">
        <f t="shared" si="960"/>
        <v>3.7162577837449939</v>
      </c>
      <c r="AO105" s="162">
        <f t="shared" si="960"/>
        <v>3.9261839649259884</v>
      </c>
      <c r="AP105" s="162">
        <f t="shared" si="960"/>
        <v>4.0956936671575841</v>
      </c>
      <c r="AQ105" s="162">
        <f t="shared" si="960"/>
        <v>3.3841058394160584</v>
      </c>
      <c r="AR105" s="162">
        <f t="shared" si="960"/>
        <v>3.7942997508995293</v>
      </c>
      <c r="AS105" s="162">
        <f t="shared" si="960"/>
        <v>4.1367699509585378</v>
      </c>
      <c r="AT105" s="162">
        <f t="shared" si="960"/>
        <v>4.315363292734145</v>
      </c>
      <c r="AU105" s="162">
        <f t="shared" si="960"/>
        <v>3.9295530445917186</v>
      </c>
      <c r="AV105" s="162">
        <f t="shared" si="960"/>
        <v>4.1860040108117538</v>
      </c>
      <c r="AW105" s="162">
        <f t="shared" si="960"/>
        <v>4.0573195198158194</v>
      </c>
      <c r="AX105" s="162">
        <f t="shared" si="960"/>
        <v>4.0472460481990158</v>
      </c>
      <c r="AY105" s="162">
        <f t="shared" si="960"/>
        <v>3.9685056765879105</v>
      </c>
      <c r="AZ105" s="162">
        <f t="shared" si="960"/>
        <v>3.7312475125337445</v>
      </c>
      <c r="BA105" s="162">
        <f t="shared" si="960"/>
        <v>3.1916548232238484</v>
      </c>
      <c r="BB105" s="162">
        <f t="shared" si="960"/>
        <v>3.0661331941665941</v>
      </c>
      <c r="BC105" s="162">
        <f t="shared" si="960"/>
        <v>2.8782612295590977</v>
      </c>
      <c r="BD105" s="162">
        <f t="shared" si="960"/>
        <v>2.8775647367693802</v>
      </c>
      <c r="BE105" s="162">
        <f t="shared" si="960"/>
        <v>2.7320435102388414</v>
      </c>
      <c r="BF105" s="162">
        <f t="shared" si="960"/>
        <v>3.8033978713244925</v>
      </c>
      <c r="BG105" s="162">
        <f t="shared" si="960"/>
        <v>3.8789272634420371</v>
      </c>
      <c r="BH105" s="162">
        <f t="shared" si="960"/>
        <v>4.6505274145023643</v>
      </c>
      <c r="BI105" s="162">
        <f t="shared" si="960"/>
        <v>4.4446930494349672</v>
      </c>
      <c r="BJ105" s="162">
        <f t="shared" si="960"/>
        <v>4.8063299870665759</v>
      </c>
      <c r="BK105" s="162">
        <f t="shared" si="960"/>
        <v>4.555516248218078</v>
      </c>
      <c r="BL105" s="162">
        <f t="shared" si="960"/>
        <v>5.6679089902678408</v>
      </c>
      <c r="BM105" s="162">
        <f t="shared" si="960"/>
        <v>5.129306534519376</v>
      </c>
      <c r="BN105" s="162">
        <f t="shared" si="960"/>
        <v>5.0171697478991595</v>
      </c>
      <c r="BO105" s="162">
        <f t="shared" si="960"/>
        <v>4.3621015168692514</v>
      </c>
      <c r="BP105" s="162">
        <f t="shared" si="960"/>
        <v>5.9129307042253521</v>
      </c>
      <c r="BQ105" s="162">
        <f t="shared" si="960"/>
        <v>6.7203695683557099</v>
      </c>
      <c r="BR105" s="162">
        <f t="shared" si="960"/>
        <v>7.4556980262210057</v>
      </c>
      <c r="BS105" s="162">
        <f t="shared" si="960"/>
        <v>7.8970897407598155</v>
      </c>
      <c r="BT105" s="162">
        <f t="shared" si="960"/>
        <v>10.345872832039349</v>
      </c>
      <c r="BU105" s="162">
        <f t="shared" si="960"/>
        <v>10.22313988488145</v>
      </c>
      <c r="BV105" s="162">
        <f t="shared" si="960"/>
        <v>10.495789781021898</v>
      </c>
      <c r="BW105" s="162">
        <f t="shared" si="960"/>
        <v>9.5793304423243715</v>
      </c>
      <c r="BX105" s="162">
        <f t="shared" si="960"/>
        <v>8.2548205198734692</v>
      </c>
      <c r="BY105" s="162">
        <f t="shared" si="960"/>
        <v>7.8206217149722193</v>
      </c>
      <c r="BZ105" s="162">
        <f t="shared" si="960"/>
        <v>8.6964870635352156</v>
      </c>
      <c r="CA105" s="162">
        <f t="shared" si="960"/>
        <v>7.1553545088012589</v>
      </c>
      <c r="CB105" s="162">
        <f t="shared" si="960"/>
        <v>7.6145582408874795</v>
      </c>
      <c r="CC105" s="162">
        <f t="shared" si="960"/>
        <v>7.4227778161475237</v>
      </c>
      <c r="CD105" s="162">
        <f t="shared" si="960"/>
        <v>7.9521176630804851</v>
      </c>
      <c r="CE105" s="162">
        <f t="shared" si="960"/>
        <v>6.8035053554040896</v>
      </c>
      <c r="CF105" s="162">
        <f t="shared" si="960"/>
        <v>8.8378700684257652</v>
      </c>
      <c r="CG105" s="162">
        <f t="shared" si="960"/>
        <v>8.3516088373479729</v>
      </c>
      <c r="CH105" s="162">
        <f t="shared" si="960"/>
        <v>8.3756313010081609</v>
      </c>
      <c r="CI105" s="162">
        <f t="shared" si="960"/>
        <v>6.4920717546404001</v>
      </c>
      <c r="CJ105" s="162">
        <f t="shared" ref="CJ105:CK106" si="963">+CJ88/CJ$102</f>
        <v>6.4600329042872353</v>
      </c>
      <c r="CK105" s="162">
        <f t="shared" si="963"/>
        <v>6.2307782950247317</v>
      </c>
      <c r="CL105" s="162">
        <f t="shared" ref="CL105" si="964">+CL88/CL$102</f>
        <v>7.5327799078102782</v>
      </c>
      <c r="CM105" s="94">
        <f t="shared" ref="CM105:DB105" si="965">+CL105</f>
        <v>7.5327799078102782</v>
      </c>
      <c r="CN105" s="94">
        <f t="shared" si="965"/>
        <v>7.5327799078102782</v>
      </c>
      <c r="CO105" s="94">
        <f t="shared" si="965"/>
        <v>7.5327799078102782</v>
      </c>
      <c r="CP105" s="94">
        <f t="shared" si="965"/>
        <v>7.5327799078102782</v>
      </c>
      <c r="CQ105" s="94">
        <f t="shared" si="965"/>
        <v>7.5327799078102782</v>
      </c>
      <c r="CR105" s="94">
        <f t="shared" si="965"/>
        <v>7.5327799078102782</v>
      </c>
      <c r="CS105" s="94">
        <f t="shared" si="965"/>
        <v>7.5327799078102782</v>
      </c>
      <c r="CT105" s="94">
        <f t="shared" si="965"/>
        <v>7.5327799078102782</v>
      </c>
      <c r="CU105" s="94">
        <f t="shared" si="965"/>
        <v>7.5327799078102782</v>
      </c>
      <c r="CV105" s="94">
        <f t="shared" si="965"/>
        <v>7.5327799078102782</v>
      </c>
      <c r="CW105" s="94">
        <f t="shared" si="965"/>
        <v>7.5327799078102782</v>
      </c>
      <c r="CX105" s="94">
        <f t="shared" si="965"/>
        <v>7.5327799078102782</v>
      </c>
      <c r="CY105" s="94">
        <f t="shared" si="965"/>
        <v>7.5327799078102782</v>
      </c>
      <c r="CZ105" s="94">
        <f t="shared" si="965"/>
        <v>7.5327799078102782</v>
      </c>
      <c r="DA105" s="94">
        <f t="shared" si="965"/>
        <v>7.5327799078102782</v>
      </c>
      <c r="DB105" s="94">
        <f t="shared" si="965"/>
        <v>7.5327799078102782</v>
      </c>
      <c r="DC105" s="94"/>
      <c r="DE105" s="22"/>
      <c r="DF105" s="162">
        <v>7.5327799078102782</v>
      </c>
      <c r="DG105" s="162">
        <v>5.9670569184287814</v>
      </c>
    </row>
    <row r="106" spans="1:111" s="162" customFormat="1" x14ac:dyDescent="0.2">
      <c r="A106" s="49" t="s">
        <v>504</v>
      </c>
      <c r="E106" s="162">
        <f t="shared" ca="1" si="958"/>
        <v>4.86605406892921</v>
      </c>
      <c r="F106" s="162">
        <f t="shared" ca="1" si="958"/>
        <v>5.3832658864448204</v>
      </c>
      <c r="G106" s="162">
        <f t="shared" ca="1" si="958"/>
        <v>6.8138573069193225</v>
      </c>
      <c r="H106" s="162">
        <f t="shared" ca="1" si="958"/>
        <v>5.5073300755219901</v>
      </c>
      <c r="I106" s="162">
        <f t="shared" ca="1" si="958"/>
        <v>4.4463443276549484</v>
      </c>
      <c r="J106" s="162">
        <f t="shared" ca="1" si="958"/>
        <v>2.8828749863043717</v>
      </c>
      <c r="K106" s="162">
        <f t="shared" ca="1" si="958"/>
        <v>2.7990368345698293</v>
      </c>
      <c r="L106" s="162">
        <f t="shared" ca="1" si="958"/>
        <v>4.8893594086849399</v>
      </c>
      <c r="M106" s="162">
        <f t="shared" ca="1" si="958"/>
        <v>3.5028533129069324</v>
      </c>
      <c r="N106" s="162">
        <f t="shared" ca="1" si="958"/>
        <v>2.7989548349739435</v>
      </c>
      <c r="O106" s="162">
        <f t="shared" ca="1" si="958"/>
        <v>2.4885245901639346</v>
      </c>
      <c r="P106" s="162">
        <f t="shared" ca="1" si="958"/>
        <v>2.8862425102491329</v>
      </c>
      <c r="Q106" s="162">
        <f t="shared" ca="1" si="958"/>
        <v>3.0569467478621406</v>
      </c>
      <c r="R106" s="162">
        <f t="shared" ca="1" si="958"/>
        <v>2.6415691049839087</v>
      </c>
      <c r="S106" s="162">
        <f t="shared" ca="1" si="958"/>
        <v>2.6857600542180737</v>
      </c>
      <c r="T106" s="162">
        <f t="shared" ca="1" si="958"/>
        <v>3.4248568085237419</v>
      </c>
      <c r="U106" s="162">
        <f t="shared" ca="1" si="958"/>
        <v>3.1610890756302523</v>
      </c>
      <c r="V106" s="162">
        <f t="shared" ca="1" si="958"/>
        <v>3.0875205301829709</v>
      </c>
      <c r="W106" s="162">
        <f t="shared" ca="1" si="958"/>
        <v>7.0473343065693426</v>
      </c>
      <c r="X106" s="162">
        <f t="shared" ca="1" si="958"/>
        <v>7.2765976633469034</v>
      </c>
      <c r="Y106" s="162">
        <f t="shared" ca="1" si="958"/>
        <v>5.5837096554541743</v>
      </c>
      <c r="Z106" s="162">
        <f t="shared" ca="1" si="958"/>
        <v>5.741757081132981</v>
      </c>
      <c r="AA106" s="162">
        <f t="shared" ref="AA106" ca="1" si="966">+AA89/AA$102</f>
        <v>5.741757081132981</v>
      </c>
      <c r="AB106" s="21">
        <f t="shared" ca="1" si="958"/>
        <v>3.5319286701695147</v>
      </c>
      <c r="AC106" s="21">
        <f t="shared" ca="1" si="958"/>
        <v>2.8663109604104906</v>
      </c>
      <c r="AD106" s="21">
        <f t="shared" ca="1" si="958"/>
        <v>2.4970820934888347</v>
      </c>
      <c r="AE106" s="21">
        <f t="shared" ca="1" si="958"/>
        <v>2.1544324722661257</v>
      </c>
      <c r="AL106" s="162">
        <f t="shared" si="960"/>
        <v>2.9279646707038216</v>
      </c>
      <c r="AM106" s="162">
        <f t="shared" si="960"/>
        <v>2.6277299566052501</v>
      </c>
      <c r="AN106" s="162">
        <f t="shared" si="960"/>
        <v>2.802801222250515</v>
      </c>
      <c r="AO106" s="162">
        <f t="shared" si="960"/>
        <v>3.288110431045709</v>
      </c>
      <c r="AP106" s="162">
        <f t="shared" si="960"/>
        <v>3.4247885545970966</v>
      </c>
      <c r="AQ106" s="162">
        <f t="shared" si="960"/>
        <v>2.9045620437956203</v>
      </c>
      <c r="AR106" s="162">
        <f t="shared" si="960"/>
        <v>3.1893345458858882</v>
      </c>
      <c r="AS106" s="162">
        <f t="shared" si="960"/>
        <v>3.383860900579581</v>
      </c>
      <c r="AT106" s="162">
        <f t="shared" si="960"/>
        <v>3.5371860562788742</v>
      </c>
      <c r="AU106" s="162">
        <f t="shared" si="960"/>
        <v>3.3446730459760174</v>
      </c>
      <c r="AV106" s="162">
        <f t="shared" si="960"/>
        <v>3.291448600575464</v>
      </c>
      <c r="AW106" s="162">
        <f t="shared" si="960"/>
        <v>3.3691728334155564</v>
      </c>
      <c r="AX106" s="162">
        <f t="shared" si="960"/>
        <v>3.3824572428090178</v>
      </c>
      <c r="AY106" s="162">
        <f t="shared" si="960"/>
        <v>3.5753814053390616</v>
      </c>
      <c r="AZ106" s="162">
        <f t="shared" si="960"/>
        <v>3.150976937909757</v>
      </c>
      <c r="BA106" s="162">
        <f t="shared" si="960"/>
        <v>2.6588755781886095</v>
      </c>
      <c r="BB106" s="162">
        <f t="shared" si="960"/>
        <v>2.6553593691107826</v>
      </c>
      <c r="BC106" s="162">
        <f t="shared" si="960"/>
        <v>2.5428132201752569</v>
      </c>
      <c r="BD106" s="162">
        <f t="shared" si="960"/>
        <v>2.4093906314771316</v>
      </c>
      <c r="BE106" s="162">
        <f t="shared" si="960"/>
        <v>2.3438222428676498</v>
      </c>
      <c r="BF106" s="162">
        <f t="shared" si="960"/>
        <v>3.1370238590330084</v>
      </c>
      <c r="BG106" s="162">
        <f t="shared" si="960"/>
        <v>3.2456058947982784</v>
      </c>
      <c r="BH106" s="162">
        <f t="shared" si="960"/>
        <v>3.9420279977896482</v>
      </c>
      <c r="BI106" s="162">
        <f t="shared" si="960"/>
        <v>3.5362671437090043</v>
      </c>
      <c r="BJ106" s="162">
        <f t="shared" si="960"/>
        <v>4.0584085730122554</v>
      </c>
      <c r="BK106" s="162">
        <f t="shared" si="960"/>
        <v>4.1124184679835922</v>
      </c>
      <c r="BL106" s="162">
        <f t="shared" si="960"/>
        <v>4.7268247385205138</v>
      </c>
      <c r="BM106" s="162">
        <f t="shared" si="960"/>
        <v>3.8313275262396504</v>
      </c>
      <c r="BN106" s="162">
        <f t="shared" si="960"/>
        <v>3.1610890756302523</v>
      </c>
      <c r="BO106" s="162">
        <f t="shared" si="960"/>
        <v>3.3829668642280044</v>
      </c>
      <c r="BP106" s="162">
        <f t="shared" si="960"/>
        <v>4.1620281690140848</v>
      </c>
      <c r="BQ106" s="162">
        <f t="shared" si="960"/>
        <v>5.3757644001732352</v>
      </c>
      <c r="BR106" s="162">
        <f t="shared" si="960"/>
        <v>6.5212505402679737</v>
      </c>
      <c r="BS106" s="162">
        <f t="shared" si="960"/>
        <v>6.511866185956392</v>
      </c>
      <c r="BT106" s="162">
        <f t="shared" si="960"/>
        <v>8.8844278585624625</v>
      </c>
      <c r="BU106" s="162">
        <f t="shared" si="960"/>
        <v>8.8777789512594403</v>
      </c>
      <c r="BV106" s="162">
        <f t="shared" si="960"/>
        <v>8.9448175182481755</v>
      </c>
      <c r="BW106" s="162">
        <f t="shared" si="960"/>
        <v>6.857174575641185</v>
      </c>
      <c r="BX106" s="162">
        <f t="shared" si="960"/>
        <v>6.8604593590977858</v>
      </c>
      <c r="BY106" s="162">
        <f t="shared" si="960"/>
        <v>6.4858156110296079</v>
      </c>
      <c r="BZ106" s="162">
        <f t="shared" si="960"/>
        <v>7.3275955813120799</v>
      </c>
      <c r="CA106" s="162">
        <f t="shared" si="960"/>
        <v>6.047966368374472</v>
      </c>
      <c r="CB106" s="162">
        <f t="shared" si="960"/>
        <v>6.5735895404120441</v>
      </c>
      <c r="CC106" s="162">
        <f t="shared" si="960"/>
        <v>6.2998089186638122</v>
      </c>
      <c r="CD106" s="162">
        <f t="shared" si="960"/>
        <v>6.808225520904263</v>
      </c>
      <c r="CE106" s="162">
        <f t="shared" si="960"/>
        <v>5.8228237585199611</v>
      </c>
      <c r="CF106" s="162">
        <f t="shared" si="960"/>
        <v>6.9770421056122389</v>
      </c>
      <c r="CG106" s="162">
        <f t="shared" si="960"/>
        <v>7.1518037607048495</v>
      </c>
      <c r="CH106" s="162">
        <f t="shared" si="960"/>
        <v>6.552472395583294</v>
      </c>
      <c r="CI106" s="162">
        <f t="shared" si="960"/>
        <v>5.1500801058994146</v>
      </c>
      <c r="CJ106" s="162">
        <f t="shared" si="963"/>
        <v>5.5413684312397171</v>
      </c>
      <c r="CK106" s="162">
        <f t="shared" si="963"/>
        <v>5.2534121326738434</v>
      </c>
      <c r="CL106" s="162">
        <f t="shared" ref="CL106" si="967">+CL89/CL$102</f>
        <v>5.2975996209020817</v>
      </c>
      <c r="CM106" s="94">
        <f t="shared" ref="CM106:DB106" si="968">+CL106</f>
        <v>5.2975996209020817</v>
      </c>
      <c r="CN106" s="94">
        <f t="shared" si="968"/>
        <v>5.2975996209020817</v>
      </c>
      <c r="CO106" s="94">
        <f t="shared" si="968"/>
        <v>5.2975996209020817</v>
      </c>
      <c r="CP106" s="94">
        <f t="shared" si="968"/>
        <v>5.2975996209020817</v>
      </c>
      <c r="CQ106" s="94">
        <f t="shared" si="968"/>
        <v>5.2975996209020817</v>
      </c>
      <c r="CR106" s="94">
        <f t="shared" si="968"/>
        <v>5.2975996209020817</v>
      </c>
      <c r="CS106" s="94">
        <f t="shared" si="968"/>
        <v>5.2975996209020817</v>
      </c>
      <c r="CT106" s="94">
        <f t="shared" si="968"/>
        <v>5.2975996209020817</v>
      </c>
      <c r="CU106" s="94">
        <f t="shared" si="968"/>
        <v>5.2975996209020817</v>
      </c>
      <c r="CV106" s="94">
        <f t="shared" si="968"/>
        <v>5.2975996209020817</v>
      </c>
      <c r="CW106" s="94">
        <f t="shared" si="968"/>
        <v>5.2975996209020817</v>
      </c>
      <c r="CX106" s="94">
        <f t="shared" si="968"/>
        <v>5.2975996209020817</v>
      </c>
      <c r="CY106" s="94">
        <f t="shared" si="968"/>
        <v>5.2975996209020817</v>
      </c>
      <c r="CZ106" s="94">
        <f t="shared" si="968"/>
        <v>5.2975996209020817</v>
      </c>
      <c r="DA106" s="94">
        <f t="shared" si="968"/>
        <v>5.2975996209020817</v>
      </c>
      <c r="DB106" s="94">
        <f t="shared" si="968"/>
        <v>5.2975996209020817</v>
      </c>
      <c r="DC106" s="94"/>
      <c r="DE106" s="22"/>
      <c r="DF106" s="162">
        <v>5.2975996209020817</v>
      </c>
      <c r="DG106" s="162">
        <v>4.196469146296689</v>
      </c>
    </row>
    <row r="107" spans="1:111" s="4" customFormat="1" x14ac:dyDescent="0.2">
      <c r="A107" s="3"/>
      <c r="AB107" s="17"/>
      <c r="AC107" s="17"/>
      <c r="AD107" s="17"/>
      <c r="AE107" s="17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/>
      <c r="CW107" s="17"/>
      <c r="CX107" s="17"/>
      <c r="CY107" s="17"/>
      <c r="CZ107" s="17"/>
      <c r="DA107" s="17"/>
      <c r="DB107" s="17"/>
      <c r="DE107" s="119"/>
    </row>
    <row r="108" spans="1:111" s="177" customFormat="1" x14ac:dyDescent="0.2">
      <c r="A108" s="177" t="s">
        <v>510</v>
      </c>
      <c r="E108" s="177">
        <f t="shared" ref="E108:Y108" si="969">+E20</f>
        <v>4852.95</v>
      </c>
      <c r="F108" s="177">
        <f t="shared" si="969"/>
        <v>7130</v>
      </c>
      <c r="G108" s="177">
        <f t="shared" si="969"/>
        <v>9521</v>
      </c>
      <c r="H108" s="177">
        <f t="shared" si="969"/>
        <v>13893</v>
      </c>
      <c r="I108" s="177">
        <f t="shared" si="969"/>
        <v>16692</v>
      </c>
      <c r="J108" s="177">
        <f t="shared" si="969"/>
        <v>21693</v>
      </c>
      <c r="K108" s="177">
        <f t="shared" si="969"/>
        <v>22742</v>
      </c>
      <c r="L108" s="177">
        <f t="shared" si="969"/>
        <v>27501</v>
      </c>
      <c r="M108" s="177">
        <f t="shared" si="969"/>
        <v>33734</v>
      </c>
      <c r="N108" s="177">
        <f t="shared" si="969"/>
        <v>40352</v>
      </c>
      <c r="O108" s="177">
        <f t="shared" si="969"/>
        <v>50133</v>
      </c>
      <c r="P108" s="177">
        <f t="shared" si="969"/>
        <v>53319</v>
      </c>
      <c r="Q108" s="177">
        <f t="shared" si="969"/>
        <v>62441</v>
      </c>
      <c r="R108" s="177">
        <f t="shared" si="969"/>
        <v>68484</v>
      </c>
      <c r="S108" s="177">
        <f t="shared" si="969"/>
        <v>70522</v>
      </c>
      <c r="T108" s="177">
        <f t="shared" si="969"/>
        <v>82675</v>
      </c>
      <c r="U108" s="177">
        <f t="shared" si="969"/>
        <v>90791</v>
      </c>
      <c r="V108" s="177">
        <f t="shared" si="969"/>
        <v>100472</v>
      </c>
      <c r="W108" s="177">
        <f t="shared" si="969"/>
        <v>121641</v>
      </c>
      <c r="X108" s="177">
        <f t="shared" si="969"/>
        <v>146767</v>
      </c>
      <c r="Y108" s="177">
        <f t="shared" si="969"/>
        <v>153670</v>
      </c>
      <c r="Z108" s="177">
        <f>+Z20</f>
        <v>162990</v>
      </c>
      <c r="AA108" s="177">
        <f>+AA20</f>
        <v>178650</v>
      </c>
      <c r="AB108" s="178">
        <f t="shared" ref="AB108:AE108" si="970">+AB20</f>
        <v>192220.65826017852</v>
      </c>
      <c r="AC108" s="178">
        <f t="shared" si="970"/>
        <v>202510.05183883719</v>
      </c>
      <c r="AD108" s="178">
        <f t="shared" si="970"/>
        <v>218506.07021217016</v>
      </c>
      <c r="AE108" s="178">
        <f t="shared" si="970"/>
        <v>243282.25157677682</v>
      </c>
      <c r="AL108" s="177">
        <f t="shared" ref="AL108:BQ108" si="971">+SUM(AI18:AL18)</f>
        <v>40352</v>
      </c>
      <c r="AM108" s="177">
        <f t="shared" si="971"/>
        <v>42003</v>
      </c>
      <c r="AN108" s="177">
        <f t="shared" si="971"/>
        <v>45110</v>
      </c>
      <c r="AO108" s="177">
        <f t="shared" si="971"/>
        <v>47712</v>
      </c>
      <c r="AP108" s="177">
        <f t="shared" si="971"/>
        <v>50133</v>
      </c>
      <c r="AQ108" s="177">
        <f t="shared" si="971"/>
        <v>51636</v>
      </c>
      <c r="AR108" s="177">
        <f t="shared" si="971"/>
        <v>52013</v>
      </c>
      <c r="AS108" s="177">
        <f t="shared" si="971"/>
        <v>52783</v>
      </c>
      <c r="AT108" s="177">
        <f t="shared" si="971"/>
        <v>53319</v>
      </c>
      <c r="AU108" s="177">
        <f t="shared" si="971"/>
        <v>54903</v>
      </c>
      <c r="AV108" s="177">
        <f t="shared" si="971"/>
        <v>57196</v>
      </c>
      <c r="AW108" s="177">
        <f t="shared" si="971"/>
        <v>59302</v>
      </c>
      <c r="AX108" s="177">
        <f t="shared" si="971"/>
        <v>62441</v>
      </c>
      <c r="AY108" s="177">
        <f t="shared" si="971"/>
        <v>64869</v>
      </c>
      <c r="AZ108" s="177">
        <f t="shared" si="971"/>
        <v>66544</v>
      </c>
      <c r="BA108" s="177">
        <f t="shared" si="971"/>
        <v>67915</v>
      </c>
      <c r="BB108" s="177">
        <f t="shared" si="971"/>
        <v>68485</v>
      </c>
      <c r="BC108" s="177">
        <f t="shared" si="971"/>
        <v>68781</v>
      </c>
      <c r="BD108" s="177">
        <f t="shared" si="971"/>
        <v>69038</v>
      </c>
      <c r="BE108" s="177">
        <f t="shared" si="971"/>
        <v>69559</v>
      </c>
      <c r="BF108" s="177">
        <f t="shared" si="971"/>
        <v>70522</v>
      </c>
      <c r="BG108" s="177">
        <f t="shared" si="971"/>
        <v>72572</v>
      </c>
      <c r="BH108" s="177">
        <f t="shared" si="971"/>
        <v>75614</v>
      </c>
      <c r="BI108" s="177">
        <f t="shared" si="971"/>
        <v>79220</v>
      </c>
      <c r="BJ108" s="177">
        <f t="shared" si="971"/>
        <v>82676</v>
      </c>
      <c r="BK108" s="177">
        <f t="shared" si="971"/>
        <v>85351</v>
      </c>
      <c r="BL108" s="177">
        <f t="shared" si="971"/>
        <v>87371</v>
      </c>
      <c r="BM108" s="177">
        <f t="shared" si="971"/>
        <v>89063</v>
      </c>
      <c r="BN108" s="177">
        <f t="shared" si="971"/>
        <v>90791</v>
      </c>
      <c r="BO108" s="177">
        <f t="shared" si="971"/>
        <v>92653</v>
      </c>
      <c r="BP108" s="177">
        <f t="shared" si="971"/>
        <v>94594</v>
      </c>
      <c r="BQ108" s="177">
        <f t="shared" si="971"/>
        <v>97429</v>
      </c>
      <c r="BR108" s="177">
        <f t="shared" ref="BR108:CW108" si="972">+SUM(BO18:BR18)</f>
        <v>100473</v>
      </c>
      <c r="BS108" s="177">
        <f t="shared" si="972"/>
        <v>104704</v>
      </c>
      <c r="BT108" s="177">
        <f t="shared" si="972"/>
        <v>109736</v>
      </c>
      <c r="BU108" s="177">
        <f t="shared" si="972"/>
        <v>115676</v>
      </c>
      <c r="BV108" s="177">
        <f t="shared" si="972"/>
        <v>121641</v>
      </c>
      <c r="BW108" s="177">
        <f t="shared" si="972"/>
        <v>128215</v>
      </c>
      <c r="BX108" s="177">
        <f t="shared" si="972"/>
        <v>135151</v>
      </c>
      <c r="BY108" s="177">
        <f t="shared" si="972"/>
        <v>141602</v>
      </c>
      <c r="BZ108" s="177">
        <f t="shared" si="972"/>
        <v>146767</v>
      </c>
      <c r="CA108" s="177">
        <f t="shared" si="972"/>
        <v>150230</v>
      </c>
      <c r="CB108" s="177">
        <f t="shared" si="972"/>
        <v>152686</v>
      </c>
      <c r="CC108" s="177">
        <f t="shared" si="972"/>
        <v>153189</v>
      </c>
      <c r="CD108" s="177">
        <f t="shared" si="972"/>
        <v>153671</v>
      </c>
      <c r="CE108" s="177">
        <f t="shared" si="972"/>
        <v>155053</v>
      </c>
      <c r="CF108" s="177">
        <f t="shared" si="972"/>
        <v>157045</v>
      </c>
      <c r="CG108" s="177">
        <f t="shared" si="972"/>
        <v>159988</v>
      </c>
      <c r="CH108" s="177">
        <f t="shared" si="972"/>
        <v>162990</v>
      </c>
      <c r="CI108" s="177">
        <f t="shared" si="972"/>
        <v>165954</v>
      </c>
      <c r="CJ108" s="177">
        <f t="shared" si="972"/>
        <v>169458</v>
      </c>
      <c r="CK108" s="177">
        <f t="shared" si="972"/>
        <v>173173</v>
      </c>
      <c r="CL108" s="177">
        <f t="shared" si="972"/>
        <v>178650</v>
      </c>
      <c r="CM108" s="178">
        <f t="shared" si="972"/>
        <v>183640.72360252394</v>
      </c>
      <c r="CN108" s="178">
        <f t="shared" si="972"/>
        <v>186998.22254143844</v>
      </c>
      <c r="CO108" s="178">
        <f t="shared" si="972"/>
        <v>189834.61189535871</v>
      </c>
      <c r="CP108" s="178">
        <f t="shared" si="972"/>
        <v>192220.65826017852</v>
      </c>
      <c r="CQ108" s="178">
        <f t="shared" si="972"/>
        <v>194476.71249409346</v>
      </c>
      <c r="CR108" s="178">
        <f t="shared" si="972"/>
        <v>196859.56525201147</v>
      </c>
      <c r="CS108" s="178">
        <f t="shared" si="972"/>
        <v>199514.28362899859</v>
      </c>
      <c r="CT108" s="178">
        <f t="shared" si="972"/>
        <v>202510.05183883719</v>
      </c>
      <c r="CU108" s="178">
        <f t="shared" si="972"/>
        <v>205804.27265784194</v>
      </c>
      <c r="CV108" s="178">
        <f t="shared" si="972"/>
        <v>209515.39221150542</v>
      </c>
      <c r="CW108" s="178">
        <f t="shared" si="972"/>
        <v>213726.51198693051</v>
      </c>
      <c r="CX108" s="178">
        <f t="shared" ref="CX108:DB108" si="973">+SUM(CU18:CX18)</f>
        <v>218506.07021217016</v>
      </c>
      <c r="CY108" s="178">
        <f t="shared" si="973"/>
        <v>223794.64989358291</v>
      </c>
      <c r="CZ108" s="178">
        <f t="shared" si="973"/>
        <v>229655.34371305423</v>
      </c>
      <c r="DA108" s="178">
        <f t="shared" si="973"/>
        <v>236137.53518517566</v>
      </c>
      <c r="DB108" s="178">
        <f t="shared" si="973"/>
        <v>243282.25157677682</v>
      </c>
      <c r="DE108" s="179"/>
      <c r="DF108" s="177">
        <v>178650</v>
      </c>
      <c r="DG108" s="177">
        <v>177204.61879843654</v>
      </c>
    </row>
    <row r="109" spans="1:111" s="163" customFormat="1" x14ac:dyDescent="0.2">
      <c r="A109" s="163" t="s">
        <v>511</v>
      </c>
      <c r="E109" s="163">
        <f t="shared" ref="E109:AE109" ca="1" si="974">+E108/E75</f>
        <v>11.988512845849801</v>
      </c>
      <c r="F109" s="163">
        <f t="shared" ca="1" si="974"/>
        <v>17.613636363636363</v>
      </c>
      <c r="G109" s="163">
        <f t="shared" ca="1" si="974"/>
        <v>23.520256916996047</v>
      </c>
      <c r="H109" s="163">
        <f t="shared" ca="1" si="974"/>
        <v>34.320652173913039</v>
      </c>
      <c r="I109" s="163">
        <f t="shared" ca="1" si="974"/>
        <v>41.235177865612648</v>
      </c>
      <c r="J109" s="163">
        <f t="shared" ca="1" si="974"/>
        <v>53.589426877470352</v>
      </c>
      <c r="K109" s="163">
        <f t="shared" ca="1" si="974"/>
        <v>56.180830039525688</v>
      </c>
      <c r="L109" s="163">
        <f t="shared" ca="1" si="974"/>
        <v>67.937252964426875</v>
      </c>
      <c r="M109" s="163">
        <f t="shared" ca="1" si="974"/>
        <v>83.334980237154141</v>
      </c>
      <c r="N109" s="163">
        <f t="shared" ca="1" si="974"/>
        <v>99.683794466403157</v>
      </c>
      <c r="O109" s="163">
        <f t="shared" ca="1" si="974"/>
        <v>123.84634387351778</v>
      </c>
      <c r="P109" s="163">
        <f t="shared" ca="1" si="974"/>
        <v>131.71689723320156</v>
      </c>
      <c r="Q109" s="163">
        <f t="shared" ca="1" si="974"/>
        <v>154.25148221343872</v>
      </c>
      <c r="R109" s="163">
        <f t="shared" ca="1" si="974"/>
        <v>169.17984189723319</v>
      </c>
      <c r="S109" s="163">
        <f t="shared" ca="1" si="974"/>
        <v>174.21442687747034</v>
      </c>
      <c r="T109" s="163">
        <f t="shared" ca="1" si="974"/>
        <v>204.23666007905138</v>
      </c>
      <c r="U109" s="163">
        <f t="shared" ca="1" si="974"/>
        <v>224.28606719367588</v>
      </c>
      <c r="V109" s="163">
        <f t="shared" ca="1" si="974"/>
        <v>248.20158102766797</v>
      </c>
      <c r="W109" s="163">
        <f t="shared" ca="1" si="974"/>
        <v>300.49654150197625</v>
      </c>
      <c r="X109" s="163">
        <f t="shared" ca="1" si="974"/>
        <v>362.56669960474306</v>
      </c>
      <c r="Y109" s="163">
        <f t="shared" ca="1" si="974"/>
        <v>379.61956521739131</v>
      </c>
      <c r="Z109" s="163">
        <f t="shared" ref="Z109:AA109" ca="1" si="975">+Z108/Z75</f>
        <v>402.64328063241106</v>
      </c>
      <c r="AA109" s="163">
        <f t="shared" ref="AA109" ca="1" si="976">+AA108/AA75</f>
        <v>402.64328063241106</v>
      </c>
      <c r="AB109" s="94">
        <f t="shared" ca="1" si="974"/>
        <v>474.85340479293109</v>
      </c>
      <c r="AC109" s="94">
        <f t="shared" ca="1" si="974"/>
        <v>500.27186719080333</v>
      </c>
      <c r="AD109" s="94">
        <f t="shared" ca="1" si="974"/>
        <v>539.78772285615162</v>
      </c>
      <c r="AE109" s="94">
        <f t="shared" ca="1" si="974"/>
        <v>600.99370448808497</v>
      </c>
      <c r="AL109" s="163">
        <f t="shared" ref="AL109:BQ109" si="977">+AL108/AL75</f>
        <v>99.683794466403157</v>
      </c>
      <c r="AM109" s="163">
        <f t="shared" si="977"/>
        <v>103.76235177865613</v>
      </c>
      <c r="AN109" s="163">
        <f t="shared" si="977"/>
        <v>111.43774703557312</v>
      </c>
      <c r="AO109" s="163">
        <f t="shared" si="977"/>
        <v>117.86561264822134</v>
      </c>
      <c r="AP109" s="163">
        <f t="shared" si="977"/>
        <v>123.84634387351778</v>
      </c>
      <c r="AQ109" s="163">
        <f t="shared" si="977"/>
        <v>127.55928853754941</v>
      </c>
      <c r="AR109" s="163">
        <f t="shared" si="977"/>
        <v>128.49061264822134</v>
      </c>
      <c r="AS109" s="163">
        <f t="shared" si="977"/>
        <v>130.39278656126481</v>
      </c>
      <c r="AT109" s="163">
        <f t="shared" si="977"/>
        <v>131.71689723320156</v>
      </c>
      <c r="AU109" s="163">
        <f t="shared" si="977"/>
        <v>135.62994071146244</v>
      </c>
      <c r="AV109" s="163">
        <f t="shared" si="977"/>
        <v>141.29446640316206</v>
      </c>
      <c r="AW109" s="163">
        <f t="shared" si="977"/>
        <v>146.49703557312253</v>
      </c>
      <c r="AX109" s="163">
        <f t="shared" si="977"/>
        <v>154.25148221343872</v>
      </c>
      <c r="AY109" s="163">
        <f t="shared" si="977"/>
        <v>160.24950592885375</v>
      </c>
      <c r="AZ109" s="163">
        <f t="shared" si="977"/>
        <v>164.38735177865613</v>
      </c>
      <c r="BA109" s="163">
        <f t="shared" si="977"/>
        <v>167.774209486166</v>
      </c>
      <c r="BB109" s="163">
        <f t="shared" si="977"/>
        <v>169.18231225296441</v>
      </c>
      <c r="BC109" s="163">
        <f t="shared" si="977"/>
        <v>169.91353754940712</v>
      </c>
      <c r="BD109" s="163">
        <f t="shared" si="977"/>
        <v>170.548418972332</v>
      </c>
      <c r="BE109" s="163">
        <f t="shared" si="977"/>
        <v>171.83547430830038</v>
      </c>
      <c r="BF109" s="163">
        <f t="shared" si="977"/>
        <v>174.21442687747034</v>
      </c>
      <c r="BG109" s="163">
        <f t="shared" si="977"/>
        <v>179.27865612648222</v>
      </c>
      <c r="BH109" s="163">
        <f t="shared" si="977"/>
        <v>186.79347826086956</v>
      </c>
      <c r="BI109" s="163">
        <f t="shared" si="977"/>
        <v>195.70158102766797</v>
      </c>
      <c r="BJ109" s="163">
        <f t="shared" si="977"/>
        <v>204.2391304347826</v>
      </c>
      <c r="BK109" s="163">
        <f t="shared" si="977"/>
        <v>210.84733201581028</v>
      </c>
      <c r="BL109" s="163">
        <f t="shared" si="977"/>
        <v>215.83745059288538</v>
      </c>
      <c r="BM109" s="163">
        <f t="shared" si="977"/>
        <v>220.01729249011856</v>
      </c>
      <c r="BN109" s="163">
        <f t="shared" si="977"/>
        <v>224.28606719367588</v>
      </c>
      <c r="BO109" s="163">
        <f t="shared" si="977"/>
        <v>228.88586956521738</v>
      </c>
      <c r="BP109" s="163">
        <f t="shared" si="977"/>
        <v>233.68083003952569</v>
      </c>
      <c r="BQ109" s="163">
        <f t="shared" si="977"/>
        <v>240.68428853754941</v>
      </c>
      <c r="BR109" s="163">
        <f t="shared" ref="BR109:CW109" si="978">+BR108/BR75</f>
        <v>248.20405138339919</v>
      </c>
      <c r="BS109" s="163">
        <f t="shared" si="978"/>
        <v>258.65612648221344</v>
      </c>
      <c r="BT109" s="163">
        <f t="shared" si="978"/>
        <v>271.08695652173913</v>
      </c>
      <c r="BU109" s="163">
        <f t="shared" si="978"/>
        <v>285.76086956521738</v>
      </c>
      <c r="BV109" s="163">
        <f t="shared" si="978"/>
        <v>300.49654150197625</v>
      </c>
      <c r="BW109" s="163">
        <f t="shared" si="978"/>
        <v>316.73666007905138</v>
      </c>
      <c r="BX109" s="163">
        <f t="shared" si="978"/>
        <v>333.87104743083</v>
      </c>
      <c r="BY109" s="163">
        <f t="shared" si="978"/>
        <v>349.80731225296444</v>
      </c>
      <c r="BZ109" s="163">
        <f t="shared" si="978"/>
        <v>362.56669960474306</v>
      </c>
      <c r="CA109" s="163">
        <f t="shared" si="978"/>
        <v>371.12154150197625</v>
      </c>
      <c r="CB109" s="163">
        <f t="shared" si="978"/>
        <v>377.18873517786562</v>
      </c>
      <c r="CC109" s="163">
        <f t="shared" si="978"/>
        <v>378.43132411067194</v>
      </c>
      <c r="CD109" s="163">
        <f t="shared" si="978"/>
        <v>379.6220355731225</v>
      </c>
      <c r="CE109" s="163">
        <f t="shared" si="978"/>
        <v>383.03606719367588</v>
      </c>
      <c r="CF109" s="163">
        <f t="shared" si="978"/>
        <v>387.95701581027669</v>
      </c>
      <c r="CG109" s="163">
        <f t="shared" si="978"/>
        <v>395.22727272727269</v>
      </c>
      <c r="CH109" s="163">
        <f t="shared" si="978"/>
        <v>402.64328063241106</v>
      </c>
      <c r="CI109" s="163">
        <f t="shared" si="978"/>
        <v>409.96541501976282</v>
      </c>
      <c r="CJ109" s="163">
        <f t="shared" si="978"/>
        <v>418.62154150197625</v>
      </c>
      <c r="CK109" s="163">
        <f t="shared" ref="CK109:CL109" si="979">+CK108/CK75</f>
        <v>427.79891304347825</v>
      </c>
      <c r="CL109" s="163">
        <f t="shared" si="979"/>
        <v>441.32905138339919</v>
      </c>
      <c r="CM109" s="50">
        <f t="shared" si="978"/>
        <v>453.65791403785556</v>
      </c>
      <c r="CN109" s="50">
        <f t="shared" si="978"/>
        <v>461.95213078418584</v>
      </c>
      <c r="CO109" s="50">
        <f t="shared" si="978"/>
        <v>468.95902148062925</v>
      </c>
      <c r="CP109" s="50">
        <f t="shared" si="978"/>
        <v>474.85340479293109</v>
      </c>
      <c r="CQ109" s="50">
        <f t="shared" si="978"/>
        <v>480.426661299638</v>
      </c>
      <c r="CR109" s="50">
        <f t="shared" si="978"/>
        <v>486.31315526682675</v>
      </c>
      <c r="CS109" s="50">
        <f t="shared" si="978"/>
        <v>492.871254024206</v>
      </c>
      <c r="CT109" s="50">
        <f t="shared" si="978"/>
        <v>500.27186719080333</v>
      </c>
      <c r="CU109" s="50">
        <f t="shared" si="978"/>
        <v>508.40976447095341</v>
      </c>
      <c r="CV109" s="50">
        <f t="shared" si="978"/>
        <v>517.57754992960827</v>
      </c>
      <c r="CW109" s="50">
        <f t="shared" si="978"/>
        <v>527.9805138017058</v>
      </c>
      <c r="CX109" s="50">
        <f t="shared" ref="CX109:DB109" si="980">+CX108/CX75</f>
        <v>539.78772285615162</v>
      </c>
      <c r="CY109" s="50">
        <f t="shared" si="980"/>
        <v>552.85239598217117</v>
      </c>
      <c r="CZ109" s="50">
        <f t="shared" si="980"/>
        <v>567.33039454805885</v>
      </c>
      <c r="DA109" s="50">
        <f t="shared" si="980"/>
        <v>583.34371340211374</v>
      </c>
      <c r="DB109" s="50">
        <f t="shared" si="980"/>
        <v>600.99370448808497</v>
      </c>
      <c r="DE109" s="164"/>
      <c r="DF109" s="163">
        <v>441.32905138339919</v>
      </c>
      <c r="DG109" s="163">
        <v>437.75844564831158</v>
      </c>
    </row>
    <row r="110" spans="1:111" s="163" customFormat="1" x14ac:dyDescent="0.2">
      <c r="AB110" s="94"/>
      <c r="AC110" s="94"/>
      <c r="AD110" s="94"/>
      <c r="AE110" s="94"/>
      <c r="CM110" s="94"/>
      <c r="CN110" s="94"/>
      <c r="CO110" s="94"/>
      <c r="CP110" s="94"/>
      <c r="CQ110" s="94"/>
      <c r="CR110" s="94"/>
      <c r="CS110" s="94"/>
      <c r="CT110" s="94"/>
      <c r="CU110" s="94"/>
      <c r="CV110" s="94"/>
      <c r="CW110" s="94"/>
      <c r="CX110" s="94"/>
      <c r="CY110" s="94"/>
      <c r="CZ110" s="94"/>
      <c r="DA110" s="94"/>
      <c r="DB110" s="94"/>
      <c r="DE110" s="164"/>
    </row>
    <row r="111" spans="1:111" s="163" customFormat="1" x14ac:dyDescent="0.2">
      <c r="A111" s="163" t="s">
        <v>506</v>
      </c>
      <c r="AB111" s="94"/>
      <c r="AC111" s="94"/>
      <c r="AD111" s="94"/>
      <c r="AE111" s="94"/>
      <c r="CM111" s="94"/>
      <c r="CN111" s="94"/>
      <c r="CO111" s="94"/>
      <c r="CP111" s="94"/>
      <c r="CQ111" s="94"/>
      <c r="CR111" s="94"/>
      <c r="CS111" s="94"/>
      <c r="CT111" s="94"/>
      <c r="CU111" s="94"/>
      <c r="CV111" s="94"/>
      <c r="CW111" s="94"/>
      <c r="CX111" s="94"/>
      <c r="CY111" s="94"/>
      <c r="CZ111" s="94"/>
      <c r="DA111" s="94"/>
      <c r="DB111" s="94"/>
      <c r="DE111" s="164"/>
    </row>
    <row r="112" spans="1:111" s="163" customFormat="1" x14ac:dyDescent="0.2">
      <c r="A112" s="163" t="s">
        <v>507</v>
      </c>
      <c r="E112" s="163">
        <f t="shared" ref="E112:AE114" ca="1" si="981">+E87/E$109</f>
        <v>6.4360437981021859</v>
      </c>
      <c r="F112" s="163">
        <f t="shared" ca="1" si="981"/>
        <v>7.9929193548387101</v>
      </c>
      <c r="G112" s="163">
        <f t="shared" ca="1" si="981"/>
        <v>7.9209647095893292</v>
      </c>
      <c r="H112" s="163">
        <f t="shared" ca="1" si="981"/>
        <v>7.3301346001583534</v>
      </c>
      <c r="I112" s="163">
        <f t="shared" ca="1" si="981"/>
        <v>4.335345674574647</v>
      </c>
      <c r="J112" s="163">
        <f t="shared" ca="1" si="981"/>
        <v>3.0885290185774212</v>
      </c>
      <c r="K112" s="163">
        <f t="shared" ca="1" si="981"/>
        <v>5.8184882596077747</v>
      </c>
      <c r="L112" s="163">
        <f t="shared" ca="1" si="981"/>
        <v>5.9554034398749138</v>
      </c>
      <c r="M112" s="163">
        <f t="shared" ca="1" si="981"/>
        <v>4.2973400723305861</v>
      </c>
      <c r="N112" s="163">
        <f t="shared" ca="1" si="981"/>
        <v>3.6238337628865982</v>
      </c>
      <c r="O112" s="163">
        <f t="shared" ca="1" si="981"/>
        <v>3.3093932140506253</v>
      </c>
      <c r="P112" s="163">
        <f t="shared" ca="1" si="981"/>
        <v>4.2071291659633534</v>
      </c>
      <c r="Q112" s="163">
        <f t="shared" ca="1" si="981"/>
        <v>3.947936131708333</v>
      </c>
      <c r="R112" s="163">
        <f t="shared" ca="1" si="981"/>
        <v>3.0169078908942235</v>
      </c>
      <c r="S112" s="163">
        <f t="shared" ca="1" si="981"/>
        <v>3.2557579195144783</v>
      </c>
      <c r="T112" s="163">
        <f t="shared" ca="1" si="981"/>
        <v>3.6345091019050497</v>
      </c>
      <c r="U112" s="163">
        <f t="shared" ca="1" si="981"/>
        <v>2.8548362723177405</v>
      </c>
      <c r="V112" s="163">
        <f t="shared" ca="1" si="981"/>
        <v>5.5106417708416275</v>
      </c>
      <c r="W112" s="163">
        <f t="shared" ca="1" si="981"/>
        <v>6.3468284542218507</v>
      </c>
      <c r="X112" s="163">
        <f t="shared" ca="1" si="981"/>
        <v>3.9377582154026451</v>
      </c>
      <c r="Y112" s="163">
        <f t="shared" ca="1" si="981"/>
        <v>3.9481632068718682</v>
      </c>
      <c r="Z112" s="163">
        <f ca="1">+Z87/Z$109</f>
        <v>3.9002265169642314</v>
      </c>
      <c r="AA112" s="163">
        <f ca="1">+AA87/AA$109</f>
        <v>3.9002265169642314</v>
      </c>
      <c r="AB112" s="50">
        <f t="shared" ref="AB112:AE112" ca="1" si="982">+AB87/AB$109</f>
        <v>2.4639183128742665</v>
      </c>
      <c r="AC112" s="50">
        <f t="shared" ca="1" si="982"/>
        <v>2.3387283529852434</v>
      </c>
      <c r="AD112" s="50">
        <f t="shared" ca="1" si="982"/>
        <v>2.1675187308989501</v>
      </c>
      <c r="AE112" s="50">
        <f t="shared" ca="1" si="982"/>
        <v>1.946775800249994</v>
      </c>
      <c r="AL112" s="163">
        <f t="shared" ref="AL112:BQ112" si="983">+AL87/AL109</f>
        <v>3.6238337628865982</v>
      </c>
      <c r="AM112" s="163">
        <f t="shared" si="983"/>
        <v>3.00355807918482</v>
      </c>
      <c r="AN112" s="163">
        <f t="shared" si="983"/>
        <v>3.3824378186654842</v>
      </c>
      <c r="AO112" s="163">
        <f t="shared" si="983"/>
        <v>3.6964767773306506</v>
      </c>
      <c r="AP112" s="163">
        <f t="shared" si="983"/>
        <v>3.3093932140506253</v>
      </c>
      <c r="AQ112" s="163">
        <f t="shared" si="983"/>
        <v>3.1813147803857773</v>
      </c>
      <c r="AR112" s="163">
        <f t="shared" si="983"/>
        <v>3.6458402707015556</v>
      </c>
      <c r="AS112" s="163">
        <f t="shared" si="983"/>
        <v>3.7793501695621701</v>
      </c>
      <c r="AT112" s="163">
        <f t="shared" si="983"/>
        <v>4.2071291659633534</v>
      </c>
      <c r="AU112" s="163">
        <f t="shared" si="983"/>
        <v>3.632494399213158</v>
      </c>
      <c r="AV112" s="163">
        <f t="shared" si="983"/>
        <v>4.1064948597804038</v>
      </c>
      <c r="AW112" s="163">
        <f t="shared" si="983"/>
        <v>3.7698715051768912</v>
      </c>
      <c r="AX112" s="163">
        <f t="shared" si="983"/>
        <v>3.947936131708333</v>
      </c>
      <c r="AY112" s="163">
        <f t="shared" si="983"/>
        <v>3.6528973777921658</v>
      </c>
      <c r="AZ112" s="163">
        <f t="shared" si="983"/>
        <v>3.1574813657129117</v>
      </c>
      <c r="BA112" s="163">
        <f t="shared" si="983"/>
        <v>3.0120839284399619</v>
      </c>
      <c r="BB112" s="163">
        <f t="shared" si="983"/>
        <v>3.0168638387968172</v>
      </c>
      <c r="BC112" s="163">
        <f t="shared" si="983"/>
        <v>2.7533121065410504</v>
      </c>
      <c r="BD112" s="163">
        <f t="shared" si="983"/>
        <v>2.6348822387670561</v>
      </c>
      <c r="BE112" s="163">
        <f t="shared" si="983"/>
        <v>3.0241136301556955</v>
      </c>
      <c r="BF112" s="163">
        <f t="shared" si="983"/>
        <v>3.2557579195144783</v>
      </c>
      <c r="BG112" s="163">
        <f t="shared" si="983"/>
        <v>3.6444661853056273</v>
      </c>
      <c r="BH112" s="163">
        <f t="shared" si="983"/>
        <v>3.896549316264184</v>
      </c>
      <c r="BI112" s="163">
        <f t="shared" si="983"/>
        <v>3.3717152234284273</v>
      </c>
      <c r="BJ112" s="163">
        <f t="shared" si="983"/>
        <v>3.634465141032464</v>
      </c>
      <c r="BK112" s="163">
        <f t="shared" si="983"/>
        <v>3.471469109910839</v>
      </c>
      <c r="BL112" s="163">
        <f t="shared" si="983"/>
        <v>3.7310485172425629</v>
      </c>
      <c r="BM112" s="163">
        <f t="shared" si="983"/>
        <v>3.3258749424564638</v>
      </c>
      <c r="BN112" s="163">
        <f t="shared" si="983"/>
        <v>2.8548362723177405</v>
      </c>
      <c r="BO112" s="163">
        <f t="shared" si="983"/>
        <v>3.2151394989908586</v>
      </c>
      <c r="BP112" s="163">
        <f t="shared" si="983"/>
        <v>4.313575913905745</v>
      </c>
      <c r="BQ112" s="163">
        <f t="shared" si="983"/>
        <v>5.2178312412115488</v>
      </c>
      <c r="BR112" s="163">
        <f t="shared" ref="BR112:DB112" si="984">+BR87/BR109</f>
        <v>5.5105869238501892</v>
      </c>
      <c r="BS112" s="163">
        <f t="shared" si="984"/>
        <v>6.1133290036674817</v>
      </c>
      <c r="BT112" s="163">
        <f t="shared" si="984"/>
        <v>6.1803047313552533</v>
      </c>
      <c r="BU112" s="163">
        <f t="shared" si="984"/>
        <v>6.6126968429060486</v>
      </c>
      <c r="BV112" s="163">
        <f t="shared" si="984"/>
        <v>6.3468284542218507</v>
      </c>
      <c r="BW112" s="163">
        <f t="shared" si="984"/>
        <v>4.6132961041999767</v>
      </c>
      <c r="BX112" s="163">
        <f t="shared" si="984"/>
        <v>4.2324724197379231</v>
      </c>
      <c r="BY112" s="163">
        <f t="shared" si="984"/>
        <v>4.3129458623465773</v>
      </c>
      <c r="BZ112" s="163">
        <f t="shared" si="984"/>
        <v>3.9377582154026451</v>
      </c>
      <c r="CA112" s="163">
        <f t="shared" si="984"/>
        <v>3.5977431937695536</v>
      </c>
      <c r="CB112" s="163">
        <f t="shared" si="984"/>
        <v>3.8045940033794845</v>
      </c>
      <c r="CC112" s="163">
        <f t="shared" si="984"/>
        <v>4.0769616617381139</v>
      </c>
      <c r="CD112" s="163">
        <f t="shared" si="984"/>
        <v>3.9481375145603272</v>
      </c>
      <c r="CE112" s="163">
        <f t="shared" si="984"/>
        <v>4.0908680257718331</v>
      </c>
      <c r="CF112" s="163">
        <f t="shared" si="984"/>
        <v>4.8355872520615106</v>
      </c>
      <c r="CG112" s="163">
        <f t="shared" si="984"/>
        <v>4.7585278895917202</v>
      </c>
      <c r="CH112" s="163">
        <f t="shared" si="984"/>
        <v>3.9002265169642314</v>
      </c>
      <c r="CI112" s="163">
        <f t="shared" si="984"/>
        <v>3.9059392361738796</v>
      </c>
      <c r="CJ112" s="163">
        <f t="shared" si="984"/>
        <v>3.4447582291777317</v>
      </c>
      <c r="CK112" s="163">
        <f t="shared" ref="CK112:CL112" si="985">+CK87/CK109</f>
        <v>3.7785275995680623</v>
      </c>
      <c r="CL112" s="163">
        <f t="shared" si="985"/>
        <v>2.835072823957459</v>
      </c>
      <c r="CM112" s="50">
        <f t="shared" si="984"/>
        <v>2.5790357972292957</v>
      </c>
      <c r="CN112" s="50">
        <f t="shared" si="984"/>
        <v>2.5327299562702938</v>
      </c>
      <c r="CO112" s="50">
        <f t="shared" si="984"/>
        <v>2.4948874984982625</v>
      </c>
      <c r="CP112" s="50">
        <f t="shared" si="984"/>
        <v>2.4639183128742665</v>
      </c>
      <c r="CQ112" s="50">
        <f t="shared" si="984"/>
        <v>2.4353352847549004</v>
      </c>
      <c r="CR112" s="50">
        <f t="shared" si="984"/>
        <v>2.4058571875524382</v>
      </c>
      <c r="CS112" s="50">
        <f t="shared" si="984"/>
        <v>2.3738450770807962</v>
      </c>
      <c r="CT112" s="50">
        <f t="shared" si="984"/>
        <v>2.3387283529852434</v>
      </c>
      <c r="CU112" s="50">
        <f t="shared" si="984"/>
        <v>2.3012933302284062</v>
      </c>
      <c r="CV112" s="50">
        <f t="shared" si="984"/>
        <v>2.2605308135160089</v>
      </c>
      <c r="CW112" s="50">
        <f t="shared" si="984"/>
        <v>2.2159908735560232</v>
      </c>
      <c r="CX112" s="50">
        <f t="shared" si="984"/>
        <v>2.1675187308989501</v>
      </c>
      <c r="CY112" s="50">
        <f t="shared" si="984"/>
        <v>2.1162972404622282</v>
      </c>
      <c r="CZ112" s="50">
        <f t="shared" si="984"/>
        <v>2.0622903536342942</v>
      </c>
      <c r="DA112" s="50">
        <f t="shared" si="984"/>
        <v>2.0056785958598118</v>
      </c>
      <c r="DB112" s="50">
        <f t="shared" si="984"/>
        <v>1.946775800249994</v>
      </c>
      <c r="DE112" s="106"/>
      <c r="DF112" s="163">
        <v>2.835072823957459</v>
      </c>
      <c r="DG112" s="163">
        <v>2.858197283086104</v>
      </c>
    </row>
    <row r="113" spans="1:111" s="163" customFormat="1" x14ac:dyDescent="0.2">
      <c r="A113" s="163" t="s">
        <v>508</v>
      </c>
      <c r="E113" s="163">
        <f t="shared" ca="1" si="981"/>
        <v>7.9881154761536806</v>
      </c>
      <c r="F113" s="163">
        <f t="shared" ca="1" si="981"/>
        <v>8.1417741935483878</v>
      </c>
      <c r="G113" s="163">
        <f t="shared" ca="1" si="981"/>
        <v>8.1711479886566547</v>
      </c>
      <c r="H113" s="163">
        <f t="shared" ca="1" si="981"/>
        <v>8.8831353919239913</v>
      </c>
      <c r="I113" s="163">
        <f t="shared" ca="1" si="981"/>
        <v>6.4871794871794872</v>
      </c>
      <c r="J113" s="163">
        <f t="shared" ca="1" si="981"/>
        <v>4.7047526851979908</v>
      </c>
      <c r="K113" s="163">
        <f t="shared" ca="1" si="981"/>
        <v>6.2774971418520806</v>
      </c>
      <c r="L113" s="163">
        <f t="shared" ca="1" si="981"/>
        <v>6.4286342314824916</v>
      </c>
      <c r="M113" s="163">
        <f t="shared" ca="1" si="981"/>
        <v>4.9751766763502703</v>
      </c>
      <c r="N113" s="163">
        <f t="shared" ca="1" si="981"/>
        <v>3.7744349722442507</v>
      </c>
      <c r="O113" s="163">
        <f t="shared" ca="1" si="981"/>
        <v>3.8830375201962779</v>
      </c>
      <c r="P113" s="163">
        <f t="shared" ca="1" si="981"/>
        <v>4.4322331626624658</v>
      </c>
      <c r="Q113" s="163">
        <f t="shared" ca="1" si="981"/>
        <v>4.002068512675967</v>
      </c>
      <c r="R113" s="163">
        <f t="shared" ca="1" si="981"/>
        <v>3.7770457333099703</v>
      </c>
      <c r="S113" s="163">
        <f t="shared" ca="1" si="981"/>
        <v>3.5014321771929331</v>
      </c>
      <c r="T113" s="163">
        <f t="shared" ca="1" si="981"/>
        <v>3.7757667977018445</v>
      </c>
      <c r="U113" s="163">
        <f t="shared" ca="1" si="981"/>
        <v>3.7782106155896509</v>
      </c>
      <c r="V113" s="163">
        <f t="shared" ca="1" si="981"/>
        <v>5.6657576240146508</v>
      </c>
      <c r="W113" s="163">
        <f t="shared" ca="1" si="981"/>
        <v>6.501572331697373</v>
      </c>
      <c r="X113" s="163">
        <f t="shared" ca="1" si="981"/>
        <v>5.2678583060224717</v>
      </c>
      <c r="Y113" s="163">
        <f t="shared" ca="1" si="981"/>
        <v>4.5598282032927697</v>
      </c>
      <c r="Z113" s="163">
        <f t="shared" ref="Z113:AA114" ca="1" si="986">+Z88/Z$109</f>
        <v>4.984064298423216</v>
      </c>
      <c r="AA113" s="163">
        <f t="shared" ref="AA113" ca="1" si="987">+AA88/AA$109</f>
        <v>4.984064298423216</v>
      </c>
      <c r="AB113" s="94">
        <f t="shared" ca="1" si="981"/>
        <v>3.8044121430618767</v>
      </c>
      <c r="AC113" s="94">
        <f t="shared" ca="1" si="981"/>
        <v>3.8837944039055565</v>
      </c>
      <c r="AD113" s="94">
        <f t="shared" ca="1" si="981"/>
        <v>3.6438406158817158</v>
      </c>
      <c r="AE113" s="94">
        <f t="shared" ca="1" si="981"/>
        <v>3.8867373630409405</v>
      </c>
      <c r="AL113" s="163">
        <f t="shared" ref="AL113:BQ113" si="988">+AL88/AL109</f>
        <v>3.7744349722442507</v>
      </c>
      <c r="AM113" s="163">
        <f t="shared" si="988"/>
        <v>3.6080041901768922</v>
      </c>
      <c r="AN113" s="163">
        <f t="shared" si="988"/>
        <v>3.5588255375748168</v>
      </c>
      <c r="AO113" s="163">
        <f t="shared" si="988"/>
        <v>3.7913941985244803</v>
      </c>
      <c r="AP113" s="163">
        <f t="shared" si="988"/>
        <v>3.8830375201962779</v>
      </c>
      <c r="AQ113" s="163">
        <f t="shared" si="988"/>
        <v>3.3041498179564646</v>
      </c>
      <c r="AR113" s="163">
        <f t="shared" si="988"/>
        <v>3.6899096379751213</v>
      </c>
      <c r="AS113" s="163">
        <f t="shared" si="988"/>
        <v>4.2189833848019251</v>
      </c>
      <c r="AT113" s="163">
        <f t="shared" si="988"/>
        <v>4.4322331626624658</v>
      </c>
      <c r="AU113" s="163">
        <f t="shared" si="988"/>
        <v>4.1362548494617783</v>
      </c>
      <c r="AV113" s="163">
        <f t="shared" si="988"/>
        <v>4.1969088747464856</v>
      </c>
      <c r="AW113" s="163">
        <f t="shared" si="988"/>
        <v>4.1604937438872209</v>
      </c>
      <c r="AX113" s="163">
        <f t="shared" si="988"/>
        <v>4.002068512675967</v>
      </c>
      <c r="AY113" s="163">
        <f t="shared" si="988"/>
        <v>3.9875317948480786</v>
      </c>
      <c r="AZ113" s="163">
        <f t="shared" si="988"/>
        <v>3.6348599422938204</v>
      </c>
      <c r="BA113" s="163">
        <f t="shared" si="988"/>
        <v>3.2206976367518223</v>
      </c>
      <c r="BB113" s="163">
        <f t="shared" si="988"/>
        <v>3.0883843177338108</v>
      </c>
      <c r="BC113" s="163">
        <f t="shared" si="988"/>
        <v>3.0324246521568456</v>
      </c>
      <c r="BD113" s="163">
        <f t="shared" si="988"/>
        <v>3.0164454358469253</v>
      </c>
      <c r="BE113" s="163">
        <f t="shared" si="988"/>
        <v>3.0438999985623716</v>
      </c>
      <c r="BF113" s="163">
        <f t="shared" si="988"/>
        <v>3.5014321771929331</v>
      </c>
      <c r="BG113" s="163">
        <f t="shared" si="988"/>
        <v>3.6631521799040954</v>
      </c>
      <c r="BH113" s="163">
        <f t="shared" si="988"/>
        <v>4.006831539132965</v>
      </c>
      <c r="BI113" s="163">
        <f t="shared" si="988"/>
        <v>3.8576591769755115</v>
      </c>
      <c r="BJ113" s="163">
        <f t="shared" si="988"/>
        <v>3.775721128259713</v>
      </c>
      <c r="BK113" s="163">
        <f t="shared" si="988"/>
        <v>3.6692425396304671</v>
      </c>
      <c r="BL113" s="163">
        <f t="shared" si="988"/>
        <v>3.9261027114259881</v>
      </c>
      <c r="BM113" s="163">
        <f t="shared" si="988"/>
        <v>3.7422058542829237</v>
      </c>
      <c r="BN113" s="163">
        <f t="shared" si="988"/>
        <v>3.616809595664769</v>
      </c>
      <c r="BO113" s="163">
        <f t="shared" si="988"/>
        <v>3.2806743440579367</v>
      </c>
      <c r="BP113" s="163">
        <f t="shared" si="988"/>
        <v>4.4381047423726656</v>
      </c>
      <c r="BQ113" s="163">
        <f t="shared" si="988"/>
        <v>5.2558478481766207</v>
      </c>
      <c r="BR113" s="163">
        <f t="shared" ref="BR113:CJ113" si="989">+BR88/BR109</f>
        <v>5.6657012331671197</v>
      </c>
      <c r="BS113" s="163">
        <f t="shared" si="989"/>
        <v>6.1504439180929094</v>
      </c>
      <c r="BT113" s="163">
        <f t="shared" si="989"/>
        <v>6.593825180433039</v>
      </c>
      <c r="BU113" s="163">
        <f t="shared" si="989"/>
        <v>6.6944085203499437</v>
      </c>
      <c r="BV113" s="163">
        <f t="shared" si="989"/>
        <v>6.501572331697373</v>
      </c>
      <c r="BW113" s="163">
        <f t="shared" si="989"/>
        <v>6.0300882112077376</v>
      </c>
      <c r="BX113" s="163">
        <f t="shared" si="989"/>
        <v>4.8851196069581437</v>
      </c>
      <c r="BY113" s="163">
        <f t="shared" si="989"/>
        <v>4.7810607194813635</v>
      </c>
      <c r="BZ113" s="163">
        <f t="shared" si="989"/>
        <v>4.4681433837306752</v>
      </c>
      <c r="CA113" s="163">
        <f t="shared" si="989"/>
        <v>3.8747413965253283</v>
      </c>
      <c r="CB113" s="163">
        <f t="shared" si="989"/>
        <v>4.0279569836134286</v>
      </c>
      <c r="CC113" s="163">
        <f t="shared" si="989"/>
        <v>4.2094824040890666</v>
      </c>
      <c r="CD113" s="163">
        <f t="shared" si="989"/>
        <v>4.5597985306271189</v>
      </c>
      <c r="CE113" s="163">
        <f t="shared" si="989"/>
        <v>4.145823686094432</v>
      </c>
      <c r="CF113" s="163">
        <f t="shared" si="989"/>
        <v>5.0908990416759528</v>
      </c>
      <c r="CG113" s="163">
        <f t="shared" si="989"/>
        <v>5.077584818861415</v>
      </c>
      <c r="CH113" s="163">
        <f t="shared" si="989"/>
        <v>4.9238372906313268</v>
      </c>
      <c r="CI113" s="163">
        <f t="shared" si="989"/>
        <v>4.0191195150463388</v>
      </c>
      <c r="CJ113" s="163">
        <f t="shared" si="989"/>
        <v>3.9391188377060984</v>
      </c>
      <c r="CK113" s="163">
        <f t="shared" ref="CK113:CL113" si="990">+CK88/CK109</f>
        <v>3.95723305596138</v>
      </c>
      <c r="CL113" s="163">
        <f t="shared" si="990"/>
        <v>3.9151059613769941</v>
      </c>
      <c r="CM113" s="94">
        <f t="shared" ref="CM113:DB113" si="991">+CL113</f>
        <v>3.9151059613769941</v>
      </c>
      <c r="CN113" s="94">
        <f t="shared" si="991"/>
        <v>3.9151059613769941</v>
      </c>
      <c r="CO113" s="94">
        <f t="shared" si="991"/>
        <v>3.9151059613769941</v>
      </c>
      <c r="CP113" s="94">
        <f t="shared" si="991"/>
        <v>3.9151059613769941</v>
      </c>
      <c r="CQ113" s="94">
        <f t="shared" si="991"/>
        <v>3.9151059613769941</v>
      </c>
      <c r="CR113" s="94">
        <f t="shared" si="991"/>
        <v>3.9151059613769941</v>
      </c>
      <c r="CS113" s="94">
        <f t="shared" si="991"/>
        <v>3.9151059613769941</v>
      </c>
      <c r="CT113" s="94">
        <f t="shared" si="991"/>
        <v>3.9151059613769941</v>
      </c>
      <c r="CU113" s="94">
        <f t="shared" si="991"/>
        <v>3.9151059613769941</v>
      </c>
      <c r="CV113" s="94">
        <f t="shared" si="991"/>
        <v>3.9151059613769941</v>
      </c>
      <c r="CW113" s="94">
        <f t="shared" si="991"/>
        <v>3.9151059613769941</v>
      </c>
      <c r="CX113" s="94">
        <f t="shared" si="991"/>
        <v>3.9151059613769941</v>
      </c>
      <c r="CY113" s="94">
        <f t="shared" si="991"/>
        <v>3.9151059613769941</v>
      </c>
      <c r="CZ113" s="94">
        <f t="shared" si="991"/>
        <v>3.9151059613769941</v>
      </c>
      <c r="DA113" s="94">
        <f t="shared" si="991"/>
        <v>3.9151059613769941</v>
      </c>
      <c r="DB113" s="94">
        <f t="shared" si="991"/>
        <v>3.9151059613769941</v>
      </c>
      <c r="DE113" s="164"/>
      <c r="DF113" s="163">
        <v>3.9151059613769941</v>
      </c>
      <c r="DG113" s="163">
        <v>3.947039782273277</v>
      </c>
    </row>
    <row r="114" spans="1:111" s="163" customFormat="1" x14ac:dyDescent="0.2">
      <c r="A114" s="163" t="s">
        <v>509</v>
      </c>
      <c r="E114" s="163">
        <f t="shared" ca="1" si="981"/>
        <v>3.3521672384838093</v>
      </c>
      <c r="F114" s="163">
        <f t="shared" ca="1" si="981"/>
        <v>4.0159314516129037</v>
      </c>
      <c r="G114" s="163">
        <f t="shared" ca="1" si="981"/>
        <v>4.9853303224451215</v>
      </c>
      <c r="H114" s="163">
        <f t="shared" ca="1" si="981"/>
        <v>4.4615993665874907</v>
      </c>
      <c r="I114" s="163">
        <f t="shared" ca="1" si="981"/>
        <v>3.6746537263359693</v>
      </c>
      <c r="J114" s="163">
        <f t="shared" ca="1" si="981"/>
        <v>2.4258516572166138</v>
      </c>
      <c r="K114" s="163">
        <f t="shared" ca="1" si="981"/>
        <v>2.8368217395127959</v>
      </c>
      <c r="L114" s="163">
        <f t="shared" ca="1" si="981"/>
        <v>4.6182320642885717</v>
      </c>
      <c r="M114" s="163">
        <f t="shared" ca="1" si="981"/>
        <v>3.2534357028517227</v>
      </c>
      <c r="N114" s="163">
        <f t="shared" ca="1" si="981"/>
        <v>2.635395767248216</v>
      </c>
      <c r="O114" s="163">
        <f t="shared" ca="1" si="981"/>
        <v>2.210400335108611</v>
      </c>
      <c r="P114" s="163">
        <f t="shared" ca="1" si="981"/>
        <v>2.7464206005363945</v>
      </c>
      <c r="Q114" s="163">
        <f t="shared" ca="1" si="981"/>
        <v>3.022823465351292</v>
      </c>
      <c r="R114" s="163">
        <f t="shared" ca="1" si="981"/>
        <v>2.6607779919397232</v>
      </c>
      <c r="S114" s="163">
        <f t="shared" ca="1" si="981"/>
        <v>2.4725277218456654</v>
      </c>
      <c r="T114" s="163">
        <f t="shared" ca="1" si="981"/>
        <v>2.6905061989718781</v>
      </c>
      <c r="U114" s="163">
        <f t="shared" ca="1" si="981"/>
        <v>2.2787862233040723</v>
      </c>
      <c r="V114" s="163">
        <f t="shared" ca="1" si="981"/>
        <v>2.3462783661119517</v>
      </c>
      <c r="W114" s="163">
        <f t="shared" ca="1" si="981"/>
        <v>4.3654412574707546</v>
      </c>
      <c r="X114" s="163">
        <f t="shared" ca="1" si="981"/>
        <v>3.7386224423746484</v>
      </c>
      <c r="Y114" s="163">
        <f t="shared" ca="1" si="981"/>
        <v>3.2017580529706513</v>
      </c>
      <c r="Z114" s="163">
        <f t="shared" ca="1" si="986"/>
        <v>3.3754443830909868</v>
      </c>
      <c r="AA114" s="163">
        <f t="shared" ref="AA114" ca="1" si="992">+AA89/AA$109</f>
        <v>3.3754443830909868</v>
      </c>
      <c r="AB114" s="94">
        <f t="shared" ca="1" si="981"/>
        <v>2.2920114903167947</v>
      </c>
      <c r="AC114" s="94">
        <f t="shared" ca="1" si="981"/>
        <v>2.2546383160709227</v>
      </c>
      <c r="AD114" s="94">
        <f t="shared" ca="1" si="981"/>
        <v>2.2201662720795881</v>
      </c>
      <c r="AE114" s="94">
        <f t="shared" ca="1" si="981"/>
        <v>2.0883281762722183</v>
      </c>
      <c r="AL114" s="163">
        <f t="shared" ref="AL114:BQ114" si="993">+AL89/AL109</f>
        <v>2.8876935467882632</v>
      </c>
      <c r="AM114" s="163">
        <f t="shared" si="993"/>
        <v>2.6382401257053067</v>
      </c>
      <c r="AN114" s="163">
        <f t="shared" si="993"/>
        <v>2.6840658390600751</v>
      </c>
      <c r="AO114" s="163">
        <f t="shared" si="993"/>
        <v>3.1752263581488935</v>
      </c>
      <c r="AP114" s="163">
        <f t="shared" si="993"/>
        <v>3.2469670676001838</v>
      </c>
      <c r="AQ114" s="163">
        <f t="shared" si="993"/>
        <v>2.8359361685645674</v>
      </c>
      <c r="AR114" s="163">
        <f t="shared" si="993"/>
        <v>3.1015884490415857</v>
      </c>
      <c r="AS114" s="163">
        <f t="shared" si="993"/>
        <v>3.4511111532122087</v>
      </c>
      <c r="AT114" s="163">
        <f t="shared" si="993"/>
        <v>3.6329811136743002</v>
      </c>
      <c r="AU114" s="163">
        <f t="shared" si="993"/>
        <v>3.5206090741853817</v>
      </c>
      <c r="AV114" s="163">
        <f t="shared" si="993"/>
        <v>3.3000230785369604</v>
      </c>
      <c r="AW114" s="163">
        <f t="shared" si="993"/>
        <v>3.4548480658325182</v>
      </c>
      <c r="AX114" s="163">
        <f t="shared" si="993"/>
        <v>3.3447004372127287</v>
      </c>
      <c r="AY114" s="163">
        <f t="shared" si="993"/>
        <v>3.5925227766729875</v>
      </c>
      <c r="AZ114" s="163">
        <f t="shared" si="993"/>
        <v>3.0695792257754269</v>
      </c>
      <c r="BA114" s="163">
        <f t="shared" si="993"/>
        <v>2.6830703084738277</v>
      </c>
      <c r="BB114" s="163">
        <f t="shared" si="993"/>
        <v>2.6746294809082283</v>
      </c>
      <c r="BC114" s="163">
        <f t="shared" si="993"/>
        <v>2.6790096102121224</v>
      </c>
      <c r="BD114" s="163">
        <f t="shared" si="993"/>
        <v>2.5256757148237203</v>
      </c>
      <c r="BE114" s="163">
        <f t="shared" si="993"/>
        <v>2.6113641656723074</v>
      </c>
      <c r="BF114" s="163">
        <f t="shared" si="993"/>
        <v>2.8879640395904826</v>
      </c>
      <c r="BG114" s="163">
        <f t="shared" si="993"/>
        <v>3.0650609050322437</v>
      </c>
      <c r="BH114" s="163">
        <f t="shared" si="993"/>
        <v>3.3963980215304042</v>
      </c>
      <c r="BI114" s="163">
        <f t="shared" si="993"/>
        <v>3.0692138348901792</v>
      </c>
      <c r="BJ114" s="163">
        <f t="shared" si="993"/>
        <v>3.1881745609366687</v>
      </c>
      <c r="BK114" s="163">
        <f t="shared" si="993"/>
        <v>3.3123492401963652</v>
      </c>
      <c r="BL114" s="163">
        <f t="shared" si="993"/>
        <v>3.2742232548557304</v>
      </c>
      <c r="BM114" s="163">
        <f t="shared" si="993"/>
        <v>2.7952348337693547</v>
      </c>
      <c r="BN114" s="163">
        <f t="shared" si="993"/>
        <v>2.2787862233040723</v>
      </c>
      <c r="BO114" s="163">
        <f t="shared" si="993"/>
        <v>2.5442811349875343</v>
      </c>
      <c r="BP114" s="163">
        <f t="shared" si="993"/>
        <v>3.1239190646341206</v>
      </c>
      <c r="BQ114" s="163">
        <f t="shared" si="993"/>
        <v>4.2042627964979626</v>
      </c>
      <c r="BR114" s="163">
        <f t="shared" ref="BR114:CJ114" si="994">+BR89/BR109</f>
        <v>4.955600011943508</v>
      </c>
      <c r="BS114" s="163">
        <f t="shared" si="994"/>
        <v>5.0715984107579457</v>
      </c>
      <c r="BT114" s="163">
        <f t="shared" si="994"/>
        <v>5.6623897353648758</v>
      </c>
      <c r="BU114" s="163">
        <f t="shared" si="994"/>
        <v>5.8134271586154433</v>
      </c>
      <c r="BV114" s="163">
        <f t="shared" si="994"/>
        <v>5.5408291612203131</v>
      </c>
      <c r="BW114" s="163">
        <f t="shared" si="994"/>
        <v>4.3165195959911093</v>
      </c>
      <c r="BX114" s="163">
        <f t="shared" si="994"/>
        <v>4.0599507217852633</v>
      </c>
      <c r="BY114" s="163">
        <f t="shared" si="994"/>
        <v>3.9650400418073191</v>
      </c>
      <c r="BZ114" s="163">
        <f t="shared" si="994"/>
        <v>3.7648245177730693</v>
      </c>
      <c r="CA114" s="163">
        <f t="shared" si="994"/>
        <v>3.2750726219796316</v>
      </c>
      <c r="CB114" s="163">
        <f t="shared" si="994"/>
        <v>3.4773042715114677</v>
      </c>
      <c r="CC114" s="163">
        <f t="shared" si="994"/>
        <v>3.5726429443367342</v>
      </c>
      <c r="CD114" s="163">
        <f t="shared" si="994"/>
        <v>3.9038829707622131</v>
      </c>
      <c r="CE114" s="163">
        <f t="shared" si="994"/>
        <v>3.5482298310900142</v>
      </c>
      <c r="CF114" s="163">
        <f t="shared" si="994"/>
        <v>4.0190019421185008</v>
      </c>
      <c r="CG114" s="163">
        <f t="shared" si="994"/>
        <v>4.348131109833238</v>
      </c>
      <c r="CH114" s="163">
        <f t="shared" si="994"/>
        <v>3.8520449107307195</v>
      </c>
      <c r="CI114" s="163">
        <f t="shared" si="994"/>
        <v>3.1883177265989371</v>
      </c>
      <c r="CJ114" s="163">
        <f t="shared" si="994"/>
        <v>3.378946995715753</v>
      </c>
      <c r="CK114" s="163">
        <f t="shared" ref="CK114:CL114" si="995">+CK89/CK109</f>
        <v>3.336497490948358</v>
      </c>
      <c r="CL114" s="163">
        <f t="shared" si="995"/>
        <v>2.7533877413937873</v>
      </c>
      <c r="CM114" s="94">
        <f t="shared" ref="CM114:DB114" si="996">+CL114</f>
        <v>2.7533877413937873</v>
      </c>
      <c r="CN114" s="94">
        <f t="shared" si="996"/>
        <v>2.7533877413937873</v>
      </c>
      <c r="CO114" s="94">
        <f t="shared" si="996"/>
        <v>2.7533877413937873</v>
      </c>
      <c r="CP114" s="94">
        <f t="shared" si="996"/>
        <v>2.7533877413937873</v>
      </c>
      <c r="CQ114" s="94">
        <f t="shared" si="996"/>
        <v>2.7533877413937873</v>
      </c>
      <c r="CR114" s="94">
        <f t="shared" si="996"/>
        <v>2.7533877413937873</v>
      </c>
      <c r="CS114" s="94">
        <f t="shared" si="996"/>
        <v>2.7533877413937873</v>
      </c>
      <c r="CT114" s="94">
        <f t="shared" si="996"/>
        <v>2.7533877413937873</v>
      </c>
      <c r="CU114" s="94">
        <f t="shared" si="996"/>
        <v>2.7533877413937873</v>
      </c>
      <c r="CV114" s="94">
        <f t="shared" si="996"/>
        <v>2.7533877413937873</v>
      </c>
      <c r="CW114" s="94">
        <f t="shared" si="996"/>
        <v>2.7533877413937873</v>
      </c>
      <c r="CX114" s="94">
        <f t="shared" si="996"/>
        <v>2.7533877413937873</v>
      </c>
      <c r="CY114" s="94">
        <f t="shared" si="996"/>
        <v>2.7533877413937873</v>
      </c>
      <c r="CZ114" s="94">
        <f t="shared" si="996"/>
        <v>2.7533877413937873</v>
      </c>
      <c r="DA114" s="94">
        <f t="shared" si="996"/>
        <v>2.7533877413937873</v>
      </c>
      <c r="DB114" s="94">
        <f t="shared" si="996"/>
        <v>2.7533877413937873</v>
      </c>
      <c r="DE114" s="164"/>
      <c r="DF114" s="163">
        <v>2.7533877413937873</v>
      </c>
      <c r="DG114" s="163">
        <v>2.7758459307401528</v>
      </c>
    </row>
    <row r="115" spans="1:111" s="4" customFormat="1" x14ac:dyDescent="0.2">
      <c r="A115" s="3"/>
      <c r="AB115" s="17"/>
      <c r="AC115" s="17"/>
      <c r="AD115" s="17"/>
      <c r="AE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7"/>
      <c r="DE115" s="119"/>
    </row>
    <row r="116" spans="1:111" s="4" customFormat="1" x14ac:dyDescent="0.2">
      <c r="A116" s="3"/>
      <c r="AB116" s="17"/>
      <c r="AC116" s="17"/>
      <c r="AD116" s="17"/>
      <c r="AE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E116" s="119"/>
    </row>
    <row r="117" spans="1:111" s="162" customFormat="1" x14ac:dyDescent="0.2">
      <c r="A117" s="49" t="s">
        <v>340</v>
      </c>
      <c r="B117" s="162">
        <f t="shared" ref="B117:AE117" si="997">+B88*B75</f>
        <v>1098.4211491098438</v>
      </c>
      <c r="C117" s="162">
        <f t="shared" si="997"/>
        <v>502.67846250000002</v>
      </c>
      <c r="D117" s="162">
        <f t="shared" si="997"/>
        <v>504.35549999999995</v>
      </c>
      <c r="E117" s="162">
        <f t="shared" ca="1" si="997"/>
        <v>38765.925000000003</v>
      </c>
      <c r="F117" s="162">
        <f t="shared" ca="1" si="997"/>
        <v>58050.85</v>
      </c>
      <c r="G117" s="162">
        <f t="shared" ca="1" si="997"/>
        <v>77797.5</v>
      </c>
      <c r="H117" s="162">
        <f t="shared" ca="1" si="997"/>
        <v>123413.40000000001</v>
      </c>
      <c r="I117" s="162">
        <f t="shared" ca="1" si="997"/>
        <v>108284</v>
      </c>
      <c r="J117" s="162">
        <f t="shared" ca="1" si="997"/>
        <v>102060.2</v>
      </c>
      <c r="K117" s="162">
        <f t="shared" ca="1" si="997"/>
        <v>142762.84</v>
      </c>
      <c r="L117" s="162">
        <f t="shared" ca="1" si="997"/>
        <v>176793.87</v>
      </c>
      <c r="M117" s="162">
        <f t="shared" ca="1" si="997"/>
        <v>167832.61</v>
      </c>
      <c r="N117" s="162">
        <f t="shared" ca="1" si="997"/>
        <v>152306</v>
      </c>
      <c r="O117" s="162">
        <f t="shared" ca="1" si="997"/>
        <v>194668.32</v>
      </c>
      <c r="P117" s="162">
        <f t="shared" ca="1" si="997"/>
        <v>236322.24</v>
      </c>
      <c r="Q117" s="162">
        <f t="shared" ca="1" si="997"/>
        <v>249893.16000000003</v>
      </c>
      <c r="R117" s="162">
        <f t="shared" ca="1" si="997"/>
        <v>258667.2</v>
      </c>
      <c r="S117" s="162">
        <f t="shared" ca="1" si="997"/>
        <v>246928</v>
      </c>
      <c r="T117" s="162">
        <f t="shared" ca="1" si="997"/>
        <v>312161.52</v>
      </c>
      <c r="U117" s="162">
        <f t="shared" ca="1" si="997"/>
        <v>343027.52</v>
      </c>
      <c r="V117" s="162">
        <f t="shared" ca="1" si="997"/>
        <v>569250</v>
      </c>
      <c r="W117" s="162">
        <f t="shared" ca="1" si="997"/>
        <v>790857.76</v>
      </c>
      <c r="X117" s="162">
        <f t="shared" ca="1" si="997"/>
        <v>773147.76</v>
      </c>
      <c r="Y117" s="162">
        <f t="shared" ca="1" si="997"/>
        <v>700708.8</v>
      </c>
      <c r="Z117" s="162">
        <f t="shared" ca="1" si="997"/>
        <v>812352.64</v>
      </c>
      <c r="AA117" s="162">
        <f t="shared" ref="AA117" ca="1" si="998">+AA88*AA75</f>
        <v>812352.64</v>
      </c>
      <c r="AB117" s="21">
        <f t="shared" ca="1" si="997"/>
        <v>731286.60643237038</v>
      </c>
      <c r="AC117" s="21">
        <f t="shared" ca="1" si="997"/>
        <v>786507.40606630011</v>
      </c>
      <c r="AD117" s="21">
        <f t="shared" ca="1" si="997"/>
        <v>796201.29345580772</v>
      </c>
      <c r="AE117" s="21">
        <f t="shared" ca="1" si="997"/>
        <v>945574.21696818422</v>
      </c>
      <c r="AL117" s="162">
        <f t="shared" ref="AL117:BQ117" si="999">+AL88*AL75</f>
        <v>152306</v>
      </c>
      <c r="AM117" s="162">
        <f t="shared" si="999"/>
        <v>151547</v>
      </c>
      <c r="AN117" s="162">
        <f t="shared" si="999"/>
        <v>160538.62</v>
      </c>
      <c r="AO117" s="162">
        <f t="shared" si="999"/>
        <v>180895</v>
      </c>
      <c r="AP117" s="162">
        <f t="shared" si="999"/>
        <v>194668.32</v>
      </c>
      <c r="AQ117" s="162">
        <f t="shared" si="999"/>
        <v>170613.08000000002</v>
      </c>
      <c r="AR117" s="162">
        <f t="shared" si="999"/>
        <v>191923.27</v>
      </c>
      <c r="AS117" s="162">
        <f t="shared" si="999"/>
        <v>222690.6</v>
      </c>
      <c r="AT117" s="162">
        <f t="shared" si="999"/>
        <v>236322.24</v>
      </c>
      <c r="AU117" s="162">
        <f t="shared" si="999"/>
        <v>227092.80000000002</v>
      </c>
      <c r="AV117" s="162">
        <f t="shared" si="999"/>
        <v>240046.4</v>
      </c>
      <c r="AW117" s="162">
        <f t="shared" si="999"/>
        <v>246725.6</v>
      </c>
      <c r="AX117" s="162">
        <f t="shared" si="999"/>
        <v>249893.16000000003</v>
      </c>
      <c r="AY117" s="162">
        <f t="shared" si="999"/>
        <v>258667.2</v>
      </c>
      <c r="AZ117" s="162">
        <f t="shared" si="999"/>
        <v>241878.12</v>
      </c>
      <c r="BA117" s="162">
        <f t="shared" si="999"/>
        <v>218733.68000000002</v>
      </c>
      <c r="BB117" s="162">
        <f t="shared" si="999"/>
        <v>211508</v>
      </c>
      <c r="BC117" s="162">
        <f t="shared" si="999"/>
        <v>208573.2</v>
      </c>
      <c r="BD117" s="162">
        <f t="shared" si="999"/>
        <v>208249.36000000002</v>
      </c>
      <c r="BE117" s="162">
        <f t="shared" si="999"/>
        <v>211730.63999999998</v>
      </c>
      <c r="BF117" s="162">
        <f t="shared" si="999"/>
        <v>246928</v>
      </c>
      <c r="BG117" s="162">
        <f t="shared" si="999"/>
        <v>265842.28000000003</v>
      </c>
      <c r="BH117" s="162">
        <f t="shared" si="999"/>
        <v>302972.56000000006</v>
      </c>
      <c r="BI117" s="162">
        <f t="shared" si="999"/>
        <v>305603.76</v>
      </c>
      <c r="BJ117" s="162">
        <f t="shared" si="999"/>
        <v>312161.52</v>
      </c>
      <c r="BK117" s="162">
        <f t="shared" si="999"/>
        <v>313173.52</v>
      </c>
      <c r="BL117" s="162">
        <f t="shared" si="999"/>
        <v>343027.52</v>
      </c>
      <c r="BM117" s="162">
        <f t="shared" si="999"/>
        <v>333292.08</v>
      </c>
      <c r="BN117" s="162">
        <f t="shared" si="999"/>
        <v>328373.76000000001</v>
      </c>
      <c r="BO117" s="162">
        <f t="shared" si="999"/>
        <v>303964.32</v>
      </c>
      <c r="BP117" s="162">
        <f t="shared" si="999"/>
        <v>419818.07999999996</v>
      </c>
      <c r="BQ117" s="162">
        <f t="shared" si="999"/>
        <v>512072</v>
      </c>
      <c r="BR117" s="162">
        <f t="shared" ref="BR117:CJ117" si="1000">+BR88*BR75</f>
        <v>569250</v>
      </c>
      <c r="BS117" s="162">
        <f t="shared" si="1000"/>
        <v>643976.07999999996</v>
      </c>
      <c r="BT117" s="162">
        <f t="shared" si="1000"/>
        <v>723580</v>
      </c>
      <c r="BU117" s="162">
        <f t="shared" si="1000"/>
        <v>774382.4</v>
      </c>
      <c r="BV117" s="162">
        <f t="shared" si="1000"/>
        <v>790857.76</v>
      </c>
      <c r="BW117" s="162">
        <f t="shared" si="1000"/>
        <v>773147.76</v>
      </c>
      <c r="BX117" s="162">
        <f t="shared" si="1000"/>
        <v>660228.80000000005</v>
      </c>
      <c r="BY117" s="162">
        <f t="shared" si="1000"/>
        <v>677007.76</v>
      </c>
      <c r="BZ117" s="162">
        <f t="shared" si="1000"/>
        <v>655776</v>
      </c>
      <c r="CA117" s="162">
        <f t="shared" si="1000"/>
        <v>582102.4</v>
      </c>
      <c r="CB117" s="162">
        <f t="shared" si="1000"/>
        <v>615012.64</v>
      </c>
      <c r="CC117" s="162">
        <f t="shared" si="1000"/>
        <v>644846.4</v>
      </c>
      <c r="CD117" s="162">
        <f t="shared" si="1000"/>
        <v>700708.8</v>
      </c>
      <c r="CE117" s="162">
        <f t="shared" si="1000"/>
        <v>642822.40000000002</v>
      </c>
      <c r="CF117" s="162">
        <f t="shared" si="1000"/>
        <v>799500.24</v>
      </c>
      <c r="CG117" s="162">
        <f t="shared" si="1000"/>
        <v>812352.64</v>
      </c>
      <c r="CH117" s="162">
        <f t="shared" si="1000"/>
        <v>802536.24</v>
      </c>
      <c r="CI117" s="162">
        <f t="shared" si="1000"/>
        <v>666988.96000000008</v>
      </c>
      <c r="CJ117" s="162">
        <f t="shared" si="1000"/>
        <v>667515.20000000007</v>
      </c>
      <c r="CK117" s="162">
        <f t="shared" ref="CK117:CL117" si="1001">+CK88*CK75</f>
        <v>685285.92</v>
      </c>
      <c r="CL117" s="162">
        <f t="shared" si="1001"/>
        <v>699433.67999999993</v>
      </c>
      <c r="CM117" s="21">
        <f t="shared" ref="CM117:DB117" si="1002">+CM88*CM75</f>
        <v>716286.76837396785</v>
      </c>
      <c r="CN117" s="21">
        <f t="shared" si="1002"/>
        <v>727983.9851034832</v>
      </c>
      <c r="CO117" s="21">
        <f t="shared" si="1002"/>
        <v>731286.60643237038</v>
      </c>
      <c r="CP117" s="21">
        <f t="shared" si="1002"/>
        <v>725808.77444344317</v>
      </c>
      <c r="CQ117" s="21">
        <f t="shared" si="1002"/>
        <v>742324.07562871848</v>
      </c>
      <c r="CR117" s="21">
        <f t="shared" si="1002"/>
        <v>759529.250827902</v>
      </c>
      <c r="CS117" s="21">
        <f t="shared" si="1002"/>
        <v>772631.19234477519</v>
      </c>
      <c r="CT117" s="21">
        <f t="shared" si="1002"/>
        <v>786507.40606630011</v>
      </c>
      <c r="CU117" s="21">
        <f t="shared" si="1002"/>
        <v>788713.15621240344</v>
      </c>
      <c r="CV117" s="21">
        <f t="shared" si="1002"/>
        <v>790139.64643066528</v>
      </c>
      <c r="CW117" s="21">
        <f t="shared" si="1002"/>
        <v>794155.82076956809</v>
      </c>
      <c r="CX117" s="21">
        <f t="shared" si="1002"/>
        <v>796201.29345580772</v>
      </c>
      <c r="CY117" s="21">
        <f t="shared" si="1002"/>
        <v>825998.48874954204</v>
      </c>
      <c r="CZ117" s="21">
        <f t="shared" si="1002"/>
        <v>859139.7158686386</v>
      </c>
      <c r="DA117" s="21">
        <f t="shared" si="1002"/>
        <v>898219.78461720049</v>
      </c>
      <c r="DB117" s="21">
        <f t="shared" si="1002"/>
        <v>945574.21696818422</v>
      </c>
      <c r="DE117" s="22"/>
      <c r="DF117" s="162">
        <v>699433.67999999993</v>
      </c>
      <c r="DG117" s="162">
        <v>699433.67999999993</v>
      </c>
    </row>
    <row r="118" spans="1:111" s="162" customFormat="1" x14ac:dyDescent="0.2">
      <c r="A118" s="49" t="s">
        <v>341</v>
      </c>
      <c r="B118" s="162">
        <f t="shared" ref="B118:AE118" si="1003">+B89*B75</f>
        <v>386.71486827656253</v>
      </c>
      <c r="C118" s="162">
        <f t="shared" si="1003"/>
        <v>222.94387500000002</v>
      </c>
      <c r="D118" s="162">
        <f t="shared" si="1003"/>
        <v>303.78285</v>
      </c>
      <c r="E118" s="162">
        <f t="shared" ca="1" si="1003"/>
        <v>16267.9</v>
      </c>
      <c r="F118" s="162">
        <f t="shared" ca="1" si="1003"/>
        <v>28633.591250000001</v>
      </c>
      <c r="G118" s="162">
        <f t="shared" ca="1" si="1003"/>
        <v>47465.33</v>
      </c>
      <c r="H118" s="162">
        <f t="shared" ca="1" si="1003"/>
        <v>61985</v>
      </c>
      <c r="I118" s="162">
        <f t="shared" ca="1" si="1003"/>
        <v>61337.320000000007</v>
      </c>
      <c r="J118" s="162">
        <f t="shared" ca="1" si="1003"/>
        <v>52624</v>
      </c>
      <c r="K118" s="162">
        <f t="shared" ca="1" si="1003"/>
        <v>64515</v>
      </c>
      <c r="L118" s="162">
        <f t="shared" ca="1" si="1003"/>
        <v>127006</v>
      </c>
      <c r="M118" s="162">
        <f t="shared" ca="1" si="1003"/>
        <v>109751.40000000001</v>
      </c>
      <c r="N118" s="162">
        <f t="shared" ca="1" si="1003"/>
        <v>106343.49</v>
      </c>
      <c r="O118" s="162">
        <f t="shared" ca="1" si="1003"/>
        <v>110814</v>
      </c>
      <c r="P118" s="162">
        <f t="shared" ca="1" si="1003"/>
        <v>146436.4</v>
      </c>
      <c r="Q118" s="162">
        <f t="shared" ca="1" si="1003"/>
        <v>188748.12</v>
      </c>
      <c r="R118" s="162">
        <f t="shared" ca="1" si="1003"/>
        <v>182220.72</v>
      </c>
      <c r="S118" s="162">
        <f t="shared" ca="1" si="1003"/>
        <v>174367.6</v>
      </c>
      <c r="T118" s="162">
        <f t="shared" ca="1" si="1003"/>
        <v>222437.6</v>
      </c>
      <c r="U118" s="162">
        <f t="shared" ca="1" si="1003"/>
        <v>206893.28000000003</v>
      </c>
      <c r="V118" s="162">
        <f t="shared" ca="1" si="1003"/>
        <v>235735.28000000003</v>
      </c>
      <c r="W118" s="162">
        <f t="shared" ca="1" si="1003"/>
        <v>531016.64</v>
      </c>
      <c r="X118" s="162">
        <f t="shared" ca="1" si="1003"/>
        <v>548706.4</v>
      </c>
      <c r="Y118" s="162">
        <f t="shared" ca="1" si="1003"/>
        <v>492014.16000000003</v>
      </c>
      <c r="Z118" s="162">
        <f t="shared" ca="1" si="1003"/>
        <v>550163.67999999993</v>
      </c>
      <c r="AA118" s="162">
        <f t="shared" ref="AA118" ca="1" si="1004">+AA89*AA75</f>
        <v>550163.67999999993</v>
      </c>
      <c r="AB118" s="21">
        <f t="shared" ca="1" si="1003"/>
        <v>440571.95740858698</v>
      </c>
      <c r="AC118" s="21">
        <f t="shared" ca="1" si="1003"/>
        <v>456586.92226535117</v>
      </c>
      <c r="AD118" s="21">
        <f t="shared" ca="1" si="1003"/>
        <v>485119.80732971459</v>
      </c>
      <c r="AE118" s="21">
        <f t="shared" ca="1" si="1003"/>
        <v>508053.18075472931</v>
      </c>
      <c r="AL118" s="162">
        <f t="shared" ref="AL118:BQ118" si="1005">+AL89*AL75</f>
        <v>116524.20999999999</v>
      </c>
      <c r="AM118" s="162">
        <f t="shared" si="1005"/>
        <v>110814</v>
      </c>
      <c r="AN118" s="162">
        <f t="shared" si="1005"/>
        <v>121078.20999999999</v>
      </c>
      <c r="AO118" s="162">
        <f t="shared" si="1005"/>
        <v>151496.4</v>
      </c>
      <c r="AP118" s="162">
        <f t="shared" si="1005"/>
        <v>162780.20000000001</v>
      </c>
      <c r="AQ118" s="162">
        <f t="shared" si="1005"/>
        <v>146436.4</v>
      </c>
      <c r="AR118" s="162">
        <f t="shared" si="1005"/>
        <v>161322.91999999998</v>
      </c>
      <c r="AS118" s="162">
        <f t="shared" si="1005"/>
        <v>182160</v>
      </c>
      <c r="AT118" s="162">
        <f t="shared" si="1005"/>
        <v>193706.91999999998</v>
      </c>
      <c r="AU118" s="162">
        <f t="shared" si="1005"/>
        <v>193292</v>
      </c>
      <c r="AV118" s="162">
        <f t="shared" si="1005"/>
        <v>188748.12</v>
      </c>
      <c r="AW118" s="162">
        <f t="shared" si="1005"/>
        <v>204879.4</v>
      </c>
      <c r="AX118" s="162">
        <f t="shared" si="1005"/>
        <v>208846.43999999997</v>
      </c>
      <c r="AY118" s="162">
        <f t="shared" si="1005"/>
        <v>233043.36000000002</v>
      </c>
      <c r="AZ118" s="162">
        <f t="shared" si="1005"/>
        <v>204262.08000000002</v>
      </c>
      <c r="BA118" s="162">
        <f t="shared" si="1005"/>
        <v>182220.72</v>
      </c>
      <c r="BB118" s="162">
        <f t="shared" si="1005"/>
        <v>183172</v>
      </c>
      <c r="BC118" s="162">
        <f t="shared" si="1005"/>
        <v>184264.95999999999</v>
      </c>
      <c r="BD118" s="162">
        <f t="shared" si="1005"/>
        <v>174367.6</v>
      </c>
      <c r="BE118" s="162">
        <f t="shared" si="1005"/>
        <v>181643.88</v>
      </c>
      <c r="BF118" s="162">
        <f t="shared" si="1005"/>
        <v>203665</v>
      </c>
      <c r="BG118" s="162">
        <f t="shared" si="1005"/>
        <v>222437.6</v>
      </c>
      <c r="BH118" s="162">
        <f t="shared" si="1005"/>
        <v>256815.24</v>
      </c>
      <c r="BI118" s="162">
        <f t="shared" si="1005"/>
        <v>243143.12</v>
      </c>
      <c r="BJ118" s="162">
        <f t="shared" si="1005"/>
        <v>263585.52</v>
      </c>
      <c r="BK118" s="162">
        <f t="shared" si="1005"/>
        <v>282712.32000000001</v>
      </c>
      <c r="BL118" s="162">
        <f t="shared" si="1005"/>
        <v>286072.16000000003</v>
      </c>
      <c r="BM118" s="162">
        <f t="shared" si="1005"/>
        <v>248952</v>
      </c>
      <c r="BN118" s="162">
        <f t="shared" si="1005"/>
        <v>206893.28000000003</v>
      </c>
      <c r="BO118" s="162">
        <f t="shared" si="1005"/>
        <v>235735.28000000003</v>
      </c>
      <c r="BP118" s="162">
        <f t="shared" si="1005"/>
        <v>295504</v>
      </c>
      <c r="BQ118" s="162">
        <f t="shared" si="1005"/>
        <v>409617.12</v>
      </c>
      <c r="BR118" s="162">
        <f t="shared" ref="BR118:CJ118" si="1006">+BR89*BR75</f>
        <v>497904</v>
      </c>
      <c r="BS118" s="162">
        <f t="shared" si="1006"/>
        <v>531016.64</v>
      </c>
      <c r="BT118" s="162">
        <f t="shared" si="1006"/>
        <v>621368</v>
      </c>
      <c r="BU118" s="162">
        <f t="shared" si="1006"/>
        <v>672474</v>
      </c>
      <c r="BV118" s="162">
        <f t="shared" si="1006"/>
        <v>673992</v>
      </c>
      <c r="BW118" s="162">
        <f t="shared" si="1006"/>
        <v>553442.56000000006</v>
      </c>
      <c r="BX118" s="162">
        <f t="shared" si="1006"/>
        <v>548706.4</v>
      </c>
      <c r="BY118" s="162">
        <f t="shared" si="1006"/>
        <v>561457.6</v>
      </c>
      <c r="BZ118" s="162">
        <f t="shared" si="1006"/>
        <v>552552</v>
      </c>
      <c r="CA118" s="162">
        <f t="shared" si="1006"/>
        <v>492014.16000000003</v>
      </c>
      <c r="CB118" s="162">
        <f t="shared" si="1006"/>
        <v>530935.67999999993</v>
      </c>
      <c r="CC118" s="162">
        <f t="shared" si="1006"/>
        <v>547289.59999999998</v>
      </c>
      <c r="CD118" s="162">
        <f t="shared" si="1006"/>
        <v>599913.6</v>
      </c>
      <c r="CE118" s="162">
        <f t="shared" si="1006"/>
        <v>550163.67999999993</v>
      </c>
      <c r="CF118" s="162">
        <f t="shared" si="1006"/>
        <v>631164.16000000003</v>
      </c>
      <c r="CG118" s="162">
        <f t="shared" si="1006"/>
        <v>695648.8</v>
      </c>
      <c r="CH118" s="162">
        <f t="shared" si="1006"/>
        <v>627844.80000000005</v>
      </c>
      <c r="CI118" s="162">
        <f t="shared" si="1006"/>
        <v>529114.07999999996</v>
      </c>
      <c r="CJ118" s="162">
        <f t="shared" si="1006"/>
        <v>572589.6</v>
      </c>
      <c r="CK118" s="162">
        <f t="shared" ref="CK118:CL118" si="1007">+CK89*CK75</f>
        <v>577791.28</v>
      </c>
      <c r="CL118" s="162">
        <f t="shared" si="1007"/>
        <v>491892.72000000003</v>
      </c>
      <c r="CM118" s="21">
        <f t="shared" ref="CM118:DB118" si="1008">+CM89*CM75</f>
        <v>440571.95740858698</v>
      </c>
      <c r="CN118" s="21">
        <f t="shared" si="1008"/>
        <v>447766.65358097875</v>
      </c>
      <c r="CO118" s="21">
        <f t="shared" si="1008"/>
        <v>449798.02203240251</v>
      </c>
      <c r="CP118" s="21">
        <f t="shared" si="1008"/>
        <v>446428.73019528587</v>
      </c>
      <c r="CQ118" s="21">
        <f t="shared" si="1008"/>
        <v>456586.92226535117</v>
      </c>
      <c r="CR118" s="21">
        <f t="shared" si="1008"/>
        <v>467169.44039879291</v>
      </c>
      <c r="CS118" s="21">
        <f t="shared" si="1008"/>
        <v>475228.15134363616</v>
      </c>
      <c r="CT118" s="21">
        <f t="shared" si="1008"/>
        <v>483763.09978975944</v>
      </c>
      <c r="CU118" s="21">
        <f t="shared" si="1008"/>
        <v>485119.80732971459</v>
      </c>
      <c r="CV118" s="21">
        <f t="shared" si="1008"/>
        <v>485997.20953150385</v>
      </c>
      <c r="CW118" s="21">
        <f t="shared" si="1008"/>
        <v>488467.4684667642</v>
      </c>
      <c r="CX118" s="21">
        <f t="shared" si="1008"/>
        <v>489725.59292890958</v>
      </c>
      <c r="CY118" s="21">
        <f t="shared" si="1008"/>
        <v>508053.18075472931</v>
      </c>
      <c r="CZ118" s="21">
        <f t="shared" si="1008"/>
        <v>528437.60770139575</v>
      </c>
      <c r="DA118" s="21">
        <f t="shared" si="1008"/>
        <v>552474.88319554087</v>
      </c>
      <c r="DB118" s="21">
        <f t="shared" si="1008"/>
        <v>581601.53452292236</v>
      </c>
      <c r="DE118" s="22"/>
      <c r="DF118" s="162">
        <v>491892.72000000003</v>
      </c>
      <c r="DG118" s="162">
        <v>491892.72000000003</v>
      </c>
    </row>
    <row r="119" spans="1:111" s="162" customFormat="1" x14ac:dyDescent="0.2">
      <c r="A119" s="49" t="s">
        <v>80</v>
      </c>
      <c r="B119" s="162">
        <f>+B178</f>
        <v>-385.06102850000002</v>
      </c>
      <c r="C119" s="162">
        <f t="shared" ref="C119:W119" si="1009">+C178</f>
        <v>-772.22</v>
      </c>
      <c r="D119" s="162">
        <f t="shared" si="1009"/>
        <v>-1346.54</v>
      </c>
      <c r="E119" s="162">
        <f t="shared" si="1009"/>
        <v>-2664.92</v>
      </c>
      <c r="F119" s="162">
        <f t="shared" si="1009"/>
        <v>-2785</v>
      </c>
      <c r="G119" s="162">
        <f t="shared" si="1009"/>
        <v>-4182</v>
      </c>
      <c r="H119" s="162">
        <f t="shared" si="1009"/>
        <v>-5859</v>
      </c>
      <c r="I119" s="162">
        <f t="shared" si="1009"/>
        <v>-7022</v>
      </c>
      <c r="J119" s="162">
        <f t="shared" si="1009"/>
        <v>-9695</v>
      </c>
      <c r="K119" s="162">
        <f t="shared" si="1009"/>
        <v>-14254</v>
      </c>
      <c r="L119" s="162">
        <f t="shared" si="1009"/>
        <v>-16806</v>
      </c>
      <c r="M119" s="162">
        <f t="shared" si="1009"/>
        <v>-20959</v>
      </c>
      <c r="N119" s="162">
        <f t="shared" si="1009"/>
        <v>-23571</v>
      </c>
      <c r="O119" s="162">
        <f t="shared" si="1009"/>
        <v>-28974</v>
      </c>
      <c r="P119" s="162">
        <f t="shared" si="1009"/>
        <v>-31239</v>
      </c>
      <c r="Q119" s="162">
        <f t="shared" si="1009"/>
        <v>-32772</v>
      </c>
      <c r="R119" s="162">
        <f t="shared" si="1009"/>
        <v>-32595</v>
      </c>
      <c r="S119" s="162">
        <f t="shared" si="1009"/>
        <v>-26225</v>
      </c>
      <c r="T119" s="162">
        <f t="shared" si="1009"/>
        <v>-26195</v>
      </c>
      <c r="U119" s="162">
        <f t="shared" si="1009"/>
        <v>-23304</v>
      </c>
      <c r="V119" s="162">
        <f t="shared" si="1009"/>
        <v>-27056</v>
      </c>
      <c r="W119" s="162">
        <f t="shared" si="1009"/>
        <v>-24145</v>
      </c>
      <c r="X119" s="162">
        <f t="shared" ref="X119:Y119" si="1010">+X178</f>
        <v>-19082</v>
      </c>
      <c r="Y119" s="162">
        <f t="shared" si="1010"/>
        <v>-27701</v>
      </c>
      <c r="Z119" s="162">
        <f t="shared" ref="Z119:AA119" si="1011">+Z178</f>
        <v>-36937</v>
      </c>
      <c r="AA119" s="162">
        <f t="shared" ref="AA119" si="1012">+AA178</f>
        <v>-35151</v>
      </c>
      <c r="AB119" s="21">
        <f t="shared" ref="AB119:AD119" si="1013">+AB178</f>
        <v>-62254.057499193237</v>
      </c>
      <c r="AC119" s="21">
        <f t="shared" si="1013"/>
        <v>-93983.088158215935</v>
      </c>
      <c r="AD119" s="21">
        <f t="shared" si="1013"/>
        <v>-132702.86596646052</v>
      </c>
      <c r="AE119" s="21">
        <f t="shared" ref="AE119" si="1014">+AE178</f>
        <v>-174945.20972765234</v>
      </c>
      <c r="AL119" s="162">
        <f t="shared" ref="AL119:AM119" si="1015">+AL178</f>
        <v>-23571</v>
      </c>
      <c r="AM119" s="162">
        <f t="shared" si="1015"/>
        <v>-25408.858618710543</v>
      </c>
      <c r="AN119" s="162">
        <f t="shared" ref="AN119:AO119" si="1016">+AN178</f>
        <v>-25881</v>
      </c>
      <c r="AO119" s="162">
        <f t="shared" si="1016"/>
        <v>-28717.216891631317</v>
      </c>
      <c r="AP119" s="162">
        <f t="shared" ref="AP119:CD119" si="1017">+AP178</f>
        <v>-29006</v>
      </c>
      <c r="AQ119" s="162">
        <f t="shared" si="1017"/>
        <v>-31958.69436893204</v>
      </c>
      <c r="AR119" s="162">
        <f t="shared" si="1017"/>
        <v>-32306</v>
      </c>
      <c r="AS119" s="162">
        <f t="shared" si="1017"/>
        <v>-35252.981711887274</v>
      </c>
      <c r="AT119" s="162">
        <f t="shared" si="1017"/>
        <v>-31241</v>
      </c>
      <c r="AU119" s="162">
        <f t="shared" si="1017"/>
        <v>-33595.870554022818</v>
      </c>
      <c r="AV119" s="162">
        <f t="shared" si="1017"/>
        <v>-30528</v>
      </c>
      <c r="AW119" s="162">
        <f t="shared" si="1017"/>
        <v>-33817.328173968657</v>
      </c>
      <c r="AX119" s="162">
        <f t="shared" si="1017"/>
        <v>-32772</v>
      </c>
      <c r="AY119" s="162">
        <f t="shared" si="1017"/>
        <v>-36054.585619335347</v>
      </c>
      <c r="AZ119" s="162">
        <f t="shared" si="1017"/>
        <v>-33886</v>
      </c>
      <c r="BA119" s="162">
        <f t="shared" si="1017"/>
        <v>-37618.076718659737</v>
      </c>
      <c r="BB119" s="162">
        <f t="shared" si="1017"/>
        <v>-32595</v>
      </c>
      <c r="BC119" s="162">
        <f t="shared" si="1017"/>
        <v>-36107.328855140186</v>
      </c>
      <c r="BD119" s="162">
        <f t="shared" si="1017"/>
        <v>-35461</v>
      </c>
      <c r="BE119" s="162">
        <f t="shared" si="1017"/>
        <v>-40423.500597711616</v>
      </c>
      <c r="BF119" s="162">
        <f t="shared" si="1017"/>
        <v>-26225</v>
      </c>
      <c r="BG119" s="162">
        <f t="shared" si="1017"/>
        <v>-29117.641486479013</v>
      </c>
      <c r="BH119" s="162">
        <f t="shared" si="1017"/>
        <v>-25431</v>
      </c>
      <c r="BI119" s="162">
        <f t="shared" si="1017"/>
        <v>-28518.47503517881</v>
      </c>
      <c r="BJ119" s="162">
        <f t="shared" si="1017"/>
        <v>-26195</v>
      </c>
      <c r="BK119" s="162">
        <f t="shared" si="1017"/>
        <v>-29831.552950461948</v>
      </c>
      <c r="BL119" s="162">
        <f t="shared" si="1017"/>
        <v>-19991</v>
      </c>
      <c r="BM119" s="162">
        <f t="shared" si="1017"/>
        <v>-24163.169782137968</v>
      </c>
      <c r="BN119" s="162">
        <f t="shared" si="1017"/>
        <v>-23304</v>
      </c>
      <c r="BO119" s="162">
        <f t="shared" si="1017"/>
        <v>-27269.551252847377</v>
      </c>
      <c r="BP119" s="162">
        <f t="shared" si="1017"/>
        <v>-26011</v>
      </c>
      <c r="BQ119" s="162">
        <f t="shared" si="1017"/>
        <v>-30348.898046398048</v>
      </c>
      <c r="BR119" s="162">
        <f t="shared" si="1017"/>
        <v>-27056</v>
      </c>
      <c r="BS119" s="162">
        <f t="shared" si="1017"/>
        <v>-31248.048192771086</v>
      </c>
      <c r="BT119" s="162">
        <f t="shared" si="1017"/>
        <v>-23039</v>
      </c>
      <c r="BU119" s="162">
        <f t="shared" si="1017"/>
        <v>-27551.451624890207</v>
      </c>
      <c r="BV119" s="162">
        <f t="shared" si="1017"/>
        <v>-24145</v>
      </c>
      <c r="BW119" s="162">
        <f t="shared" si="1017"/>
        <v>-28243.089726112281</v>
      </c>
      <c r="BX119" s="162">
        <f t="shared" si="1017"/>
        <v>-26647</v>
      </c>
      <c r="BY119" s="162">
        <f t="shared" si="1017"/>
        <v>-32198.50714324812</v>
      </c>
      <c r="BZ119" s="162">
        <f t="shared" si="1017"/>
        <v>-19082</v>
      </c>
      <c r="CA119" s="162">
        <f t="shared" si="1017"/>
        <v>-24743.700194973419</v>
      </c>
      <c r="CB119" s="162">
        <f t="shared" si="1017"/>
        <v>-23292</v>
      </c>
      <c r="CC119" s="162">
        <f t="shared" si="1017"/>
        <v>-29509.171821305834</v>
      </c>
      <c r="CD119" s="162">
        <f t="shared" si="1017"/>
        <v>-27701</v>
      </c>
      <c r="CE119" s="162">
        <f t="shared" ref="CE119:CF119" si="1018">+CE178</f>
        <v>-33105.945811249112</v>
      </c>
      <c r="CF119" s="162">
        <f t="shared" si="1018"/>
        <v>-29231</v>
      </c>
      <c r="CG119" s="162">
        <f t="shared" ref="CG119:CH119" si="1019">+CG178</f>
        <v>-35502.236519787257</v>
      </c>
      <c r="CH119" s="162">
        <f t="shared" si="1019"/>
        <v>-36937</v>
      </c>
      <c r="CI119" s="162">
        <f t="shared" ref="CI119:CJ119" si="1020">+CI178</f>
        <v>-44434.034599877828</v>
      </c>
      <c r="CJ119" s="162">
        <f t="shared" si="1020"/>
        <v>-44438</v>
      </c>
      <c r="CK119" s="162">
        <f t="shared" ref="CK119:CL119" si="1021">+CK178</f>
        <v>-49775.752281411558</v>
      </c>
      <c r="CL119" s="162">
        <f t="shared" si="1021"/>
        <v>-35151</v>
      </c>
      <c r="CM119" s="21">
        <f t="shared" ref="CM119:DB119" si="1022">+CM178</f>
        <v>-40212.78402253869</v>
      </c>
      <c r="CN119" s="21">
        <f t="shared" si="1022"/>
        <v>-47280.908808620981</v>
      </c>
      <c r="CO119" s="21">
        <f t="shared" si="1022"/>
        <v>-54660.343595896484</v>
      </c>
      <c r="CP119" s="21">
        <f t="shared" si="1022"/>
        <v>-62254.057499193237</v>
      </c>
      <c r="CQ119" s="21">
        <f t="shared" si="1022"/>
        <v>-69888.409948084562</v>
      </c>
      <c r="CR119" s="21">
        <f t="shared" si="1022"/>
        <v>-77821.94749793259</v>
      </c>
      <c r="CS119" s="21">
        <f t="shared" si="1022"/>
        <v>-85801.896988807828</v>
      </c>
      <c r="CT119" s="21">
        <f t="shared" si="1022"/>
        <v>-93983.088158215935</v>
      </c>
      <c r="CU119" s="21">
        <f t="shared" si="1022"/>
        <v>-103699.67993461408</v>
      </c>
      <c r="CV119" s="21">
        <f t="shared" si="1022"/>
        <v>-113430.68809409064</v>
      </c>
      <c r="CW119" s="21">
        <f t="shared" si="1022"/>
        <v>-123105.89950152385</v>
      </c>
      <c r="CX119" s="21">
        <f t="shared" si="1022"/>
        <v>-132702.86596646052</v>
      </c>
      <c r="CY119" s="21">
        <f t="shared" si="1022"/>
        <v>-142937.12012054754</v>
      </c>
      <c r="CZ119" s="21">
        <f t="shared" si="1022"/>
        <v>-153352.721308087</v>
      </c>
      <c r="DA119" s="21">
        <f t="shared" si="1022"/>
        <v>-163995.42088191333</v>
      </c>
      <c r="DB119" s="21">
        <f t="shared" si="1022"/>
        <v>-174945.20972765234</v>
      </c>
      <c r="DE119" s="22"/>
      <c r="DF119" s="162">
        <v>-35151</v>
      </c>
      <c r="DG119" s="162">
        <v>-56477.621528945856</v>
      </c>
    </row>
    <row r="120" spans="1:111" s="162" customFormat="1" x14ac:dyDescent="0.2">
      <c r="A120" s="49" t="s">
        <v>342</v>
      </c>
      <c r="B120" s="162">
        <f>+B117+B119</f>
        <v>713.36012060984376</v>
      </c>
      <c r="C120" s="162">
        <f t="shared" ref="C120:W120" si="1023">+C117+C119</f>
        <v>-269.5415375</v>
      </c>
      <c r="D120" s="162">
        <f t="shared" si="1023"/>
        <v>-842.18450000000007</v>
      </c>
      <c r="E120" s="162">
        <f t="shared" ca="1" si="1023"/>
        <v>36101.005000000005</v>
      </c>
      <c r="F120" s="162">
        <f t="shared" ca="1" si="1023"/>
        <v>55265.85</v>
      </c>
      <c r="G120" s="162">
        <f t="shared" ca="1" si="1023"/>
        <v>73615.5</v>
      </c>
      <c r="H120" s="162">
        <f t="shared" ca="1" si="1023"/>
        <v>117554.40000000001</v>
      </c>
      <c r="I120" s="162">
        <f t="shared" ca="1" si="1023"/>
        <v>101262</v>
      </c>
      <c r="J120" s="162">
        <f t="shared" ca="1" si="1023"/>
        <v>92365.2</v>
      </c>
      <c r="K120" s="162">
        <f t="shared" ca="1" si="1023"/>
        <v>128508.84</v>
      </c>
      <c r="L120" s="162">
        <f t="shared" ca="1" si="1023"/>
        <v>159987.87</v>
      </c>
      <c r="M120" s="162">
        <f t="shared" ca="1" si="1023"/>
        <v>146873.60999999999</v>
      </c>
      <c r="N120" s="162">
        <f t="shared" ca="1" si="1023"/>
        <v>128735</v>
      </c>
      <c r="O120" s="162">
        <f t="shared" ca="1" si="1023"/>
        <v>165694.32</v>
      </c>
      <c r="P120" s="162">
        <f t="shared" ca="1" si="1023"/>
        <v>205083.24</v>
      </c>
      <c r="Q120" s="162">
        <f t="shared" ca="1" si="1023"/>
        <v>217121.16000000003</v>
      </c>
      <c r="R120" s="162">
        <f t="shared" ca="1" si="1023"/>
        <v>226072.2</v>
      </c>
      <c r="S120" s="162">
        <f t="shared" ca="1" si="1023"/>
        <v>220703</v>
      </c>
      <c r="T120" s="162">
        <f t="shared" ca="1" si="1023"/>
        <v>285966.52</v>
      </c>
      <c r="U120" s="162">
        <f t="shared" ca="1" si="1023"/>
        <v>319723.52000000002</v>
      </c>
      <c r="V120" s="162">
        <f t="shared" ca="1" si="1023"/>
        <v>542194</v>
      </c>
      <c r="W120" s="162">
        <f t="shared" ca="1" si="1023"/>
        <v>766712.76</v>
      </c>
      <c r="X120" s="162">
        <f t="shared" ref="X120:Y120" ca="1" si="1024">+X117+X119</f>
        <v>754065.76</v>
      </c>
      <c r="Y120" s="162">
        <f t="shared" ca="1" si="1024"/>
        <v>673007.8</v>
      </c>
      <c r="Z120" s="162">
        <f t="shared" ref="Z120:AA120" ca="1" si="1025">+Z117+Z119</f>
        <v>775415.64</v>
      </c>
      <c r="AA120" s="162">
        <f t="shared" ref="AA120" ca="1" si="1026">+AA117+AA119</f>
        <v>775415.64</v>
      </c>
      <c r="AB120" s="21">
        <f t="shared" ref="AB120:AD120" ca="1" si="1027">+AB117+AB119</f>
        <v>669032.54893317714</v>
      </c>
      <c r="AC120" s="21">
        <f t="shared" ca="1" si="1027"/>
        <v>692524.31790808414</v>
      </c>
      <c r="AD120" s="21">
        <f t="shared" ca="1" si="1027"/>
        <v>663498.42748934717</v>
      </c>
      <c r="AE120" s="21">
        <f t="shared" ref="AE120" ca="1" si="1028">+AE117+AE119</f>
        <v>770629.00724053185</v>
      </c>
      <c r="AL120" s="162">
        <f t="shared" ref="AL120" si="1029">+AL117+AL119</f>
        <v>128735</v>
      </c>
      <c r="AM120" s="162">
        <f t="shared" ref="AM120:AO120" si="1030">+AM117+AM119</f>
        <v>126138.14138128946</v>
      </c>
      <c r="AN120" s="162">
        <f t="shared" si="1030"/>
        <v>134657.62</v>
      </c>
      <c r="AO120" s="162">
        <f t="shared" si="1030"/>
        <v>152177.78310836869</v>
      </c>
      <c r="AP120" s="162">
        <f t="shared" ref="AP120:CD120" si="1031">+AP117+AP119</f>
        <v>165662.32</v>
      </c>
      <c r="AQ120" s="162">
        <f t="shared" si="1031"/>
        <v>138654.38563106797</v>
      </c>
      <c r="AR120" s="162">
        <f t="shared" si="1031"/>
        <v>159617.26999999999</v>
      </c>
      <c r="AS120" s="162">
        <f t="shared" si="1031"/>
        <v>187437.61828811275</v>
      </c>
      <c r="AT120" s="162">
        <f t="shared" si="1031"/>
        <v>205081.24</v>
      </c>
      <c r="AU120" s="162">
        <f t="shared" si="1031"/>
        <v>193496.92944597721</v>
      </c>
      <c r="AV120" s="162">
        <f t="shared" si="1031"/>
        <v>209518.4</v>
      </c>
      <c r="AW120" s="162">
        <f t="shared" si="1031"/>
        <v>212908.27182603136</v>
      </c>
      <c r="AX120" s="162">
        <f t="shared" si="1031"/>
        <v>217121.16000000003</v>
      </c>
      <c r="AY120" s="162">
        <f t="shared" si="1031"/>
        <v>222612.61438066466</v>
      </c>
      <c r="AZ120" s="162">
        <f t="shared" si="1031"/>
        <v>207992.12</v>
      </c>
      <c r="BA120" s="162">
        <f t="shared" si="1031"/>
        <v>181115.60328134027</v>
      </c>
      <c r="BB120" s="162">
        <f t="shared" si="1031"/>
        <v>178913</v>
      </c>
      <c r="BC120" s="162">
        <f t="shared" si="1031"/>
        <v>172465.87114485982</v>
      </c>
      <c r="BD120" s="162">
        <f t="shared" si="1031"/>
        <v>172788.36000000002</v>
      </c>
      <c r="BE120" s="162">
        <f t="shared" si="1031"/>
        <v>171307.13940228836</v>
      </c>
      <c r="BF120" s="162">
        <f t="shared" si="1031"/>
        <v>220703</v>
      </c>
      <c r="BG120" s="162">
        <f t="shared" si="1031"/>
        <v>236724.638513521</v>
      </c>
      <c r="BH120" s="162">
        <f t="shared" si="1031"/>
        <v>277541.56000000006</v>
      </c>
      <c r="BI120" s="162">
        <f t="shared" si="1031"/>
        <v>277085.28496482118</v>
      </c>
      <c r="BJ120" s="162">
        <f t="shared" si="1031"/>
        <v>285966.52</v>
      </c>
      <c r="BK120" s="162">
        <f t="shared" si="1031"/>
        <v>283341.96704953804</v>
      </c>
      <c r="BL120" s="162">
        <f t="shared" si="1031"/>
        <v>323036.52</v>
      </c>
      <c r="BM120" s="162">
        <f t="shared" si="1031"/>
        <v>309128.91021786205</v>
      </c>
      <c r="BN120" s="162">
        <f t="shared" si="1031"/>
        <v>305069.76</v>
      </c>
      <c r="BO120" s="162">
        <f t="shared" si="1031"/>
        <v>276694.76874715264</v>
      </c>
      <c r="BP120" s="162">
        <f t="shared" si="1031"/>
        <v>393807.07999999996</v>
      </c>
      <c r="BQ120" s="162">
        <f t="shared" si="1031"/>
        <v>481723.10195360193</v>
      </c>
      <c r="BR120" s="162">
        <f t="shared" si="1031"/>
        <v>542194</v>
      </c>
      <c r="BS120" s="162">
        <f t="shared" si="1031"/>
        <v>612728.03180722892</v>
      </c>
      <c r="BT120" s="162">
        <f t="shared" si="1031"/>
        <v>700541</v>
      </c>
      <c r="BU120" s="162">
        <f t="shared" si="1031"/>
        <v>746830.94837510982</v>
      </c>
      <c r="BV120" s="162">
        <f t="shared" si="1031"/>
        <v>766712.76</v>
      </c>
      <c r="BW120" s="162">
        <f t="shared" si="1031"/>
        <v>744904.67027388769</v>
      </c>
      <c r="BX120" s="162">
        <f t="shared" si="1031"/>
        <v>633581.80000000005</v>
      </c>
      <c r="BY120" s="162">
        <f t="shared" si="1031"/>
        <v>644809.2528567519</v>
      </c>
      <c r="BZ120" s="162">
        <f t="shared" si="1031"/>
        <v>636694</v>
      </c>
      <c r="CA120" s="162">
        <f t="shared" si="1031"/>
        <v>557358.69980502664</v>
      </c>
      <c r="CB120" s="162">
        <f t="shared" si="1031"/>
        <v>591720.64</v>
      </c>
      <c r="CC120" s="162">
        <f t="shared" si="1031"/>
        <v>615337.22817869415</v>
      </c>
      <c r="CD120" s="162">
        <f t="shared" si="1031"/>
        <v>673007.8</v>
      </c>
      <c r="CE120" s="162">
        <f t="shared" ref="CE120:CF120" si="1032">+CE117+CE119</f>
        <v>609716.45418875094</v>
      </c>
      <c r="CF120" s="162">
        <f t="shared" si="1032"/>
        <v>770269.24</v>
      </c>
      <c r="CG120" s="162">
        <f t="shared" ref="CG120:CH120" si="1033">+CG117+CG119</f>
        <v>776850.40348021279</v>
      </c>
      <c r="CH120" s="162">
        <f t="shared" si="1033"/>
        <v>765599.24</v>
      </c>
      <c r="CI120" s="162">
        <f t="shared" ref="CI120:CJ120" si="1034">+CI117+CI119</f>
        <v>622554.9254001223</v>
      </c>
      <c r="CJ120" s="162">
        <f t="shared" si="1034"/>
        <v>623077.20000000007</v>
      </c>
      <c r="CK120" s="162">
        <f t="shared" ref="CK120:CL120" si="1035">+CK117+CK119</f>
        <v>635510.16771858849</v>
      </c>
      <c r="CL120" s="162">
        <f t="shared" si="1035"/>
        <v>664282.67999999993</v>
      </c>
      <c r="CM120" s="21">
        <f t="shared" ref="CM120:DB120" si="1036">+CM117+CM119</f>
        <v>676073.98435142916</v>
      </c>
      <c r="CN120" s="21">
        <f t="shared" si="1036"/>
        <v>680703.0762948622</v>
      </c>
      <c r="CO120" s="21">
        <f t="shared" si="1036"/>
        <v>676626.26283647388</v>
      </c>
      <c r="CP120" s="21">
        <f t="shared" si="1036"/>
        <v>663554.71694424993</v>
      </c>
      <c r="CQ120" s="21">
        <f t="shared" si="1036"/>
        <v>672435.66568063386</v>
      </c>
      <c r="CR120" s="21">
        <f t="shared" si="1036"/>
        <v>681707.30332996941</v>
      </c>
      <c r="CS120" s="21">
        <f t="shared" si="1036"/>
        <v>686829.29535596736</v>
      </c>
      <c r="CT120" s="21">
        <f t="shared" si="1036"/>
        <v>692524.31790808414</v>
      </c>
      <c r="CU120" s="21">
        <f t="shared" si="1036"/>
        <v>685013.47627778933</v>
      </c>
      <c r="CV120" s="21">
        <f t="shared" si="1036"/>
        <v>676708.95833657461</v>
      </c>
      <c r="CW120" s="21">
        <f t="shared" si="1036"/>
        <v>671049.92126804427</v>
      </c>
      <c r="CX120" s="21">
        <f t="shared" si="1036"/>
        <v>663498.42748934717</v>
      </c>
      <c r="CY120" s="21">
        <f t="shared" si="1036"/>
        <v>683061.36862899456</v>
      </c>
      <c r="CZ120" s="21">
        <f t="shared" si="1036"/>
        <v>705786.9945605516</v>
      </c>
      <c r="DA120" s="21">
        <f t="shared" si="1036"/>
        <v>734224.36373528722</v>
      </c>
      <c r="DB120" s="21">
        <f t="shared" si="1036"/>
        <v>770629.00724053185</v>
      </c>
      <c r="DE120" s="22"/>
      <c r="DF120" s="162">
        <v>664282.67999999993</v>
      </c>
      <c r="DG120" s="162">
        <v>642956.05847105407</v>
      </c>
    </row>
    <row r="121" spans="1:111" s="162" customFormat="1" x14ac:dyDescent="0.2">
      <c r="A121" s="49" t="s">
        <v>345</v>
      </c>
      <c r="B121" s="162">
        <f>+B118+B119</f>
        <v>1.6538397765625064</v>
      </c>
      <c r="C121" s="162">
        <f t="shared" ref="C121:W121" si="1037">+C118+C119</f>
        <v>-549.27612499999998</v>
      </c>
      <c r="D121" s="162">
        <f t="shared" si="1037"/>
        <v>-1042.7571499999999</v>
      </c>
      <c r="E121" s="162">
        <f t="shared" ca="1" si="1037"/>
        <v>13602.98</v>
      </c>
      <c r="F121" s="162">
        <f t="shared" ca="1" si="1037"/>
        <v>25848.591250000001</v>
      </c>
      <c r="G121" s="162">
        <f t="shared" ca="1" si="1037"/>
        <v>43283.33</v>
      </c>
      <c r="H121" s="162">
        <f t="shared" ca="1" si="1037"/>
        <v>56126</v>
      </c>
      <c r="I121" s="162">
        <f t="shared" ca="1" si="1037"/>
        <v>54315.320000000007</v>
      </c>
      <c r="J121" s="162">
        <f t="shared" ca="1" si="1037"/>
        <v>42929</v>
      </c>
      <c r="K121" s="162">
        <f t="shared" ca="1" si="1037"/>
        <v>50261</v>
      </c>
      <c r="L121" s="162">
        <f t="shared" ca="1" si="1037"/>
        <v>110200</v>
      </c>
      <c r="M121" s="162">
        <f t="shared" ca="1" si="1037"/>
        <v>88792.400000000009</v>
      </c>
      <c r="N121" s="162">
        <f t="shared" ca="1" si="1037"/>
        <v>82772.490000000005</v>
      </c>
      <c r="O121" s="162">
        <f t="shared" ca="1" si="1037"/>
        <v>81840</v>
      </c>
      <c r="P121" s="162">
        <f t="shared" ca="1" si="1037"/>
        <v>115197.4</v>
      </c>
      <c r="Q121" s="162">
        <f t="shared" ca="1" si="1037"/>
        <v>155976.12</v>
      </c>
      <c r="R121" s="162">
        <f t="shared" ca="1" si="1037"/>
        <v>149625.72</v>
      </c>
      <c r="S121" s="162">
        <f t="shared" ca="1" si="1037"/>
        <v>148142.6</v>
      </c>
      <c r="T121" s="162">
        <f t="shared" ca="1" si="1037"/>
        <v>196242.6</v>
      </c>
      <c r="U121" s="162">
        <f t="shared" ca="1" si="1037"/>
        <v>183589.28000000003</v>
      </c>
      <c r="V121" s="162">
        <f t="shared" ca="1" si="1037"/>
        <v>208679.28000000003</v>
      </c>
      <c r="W121" s="162">
        <f t="shared" ca="1" si="1037"/>
        <v>506871.64</v>
      </c>
      <c r="X121" s="162">
        <f t="shared" ref="X121:Y121" ca="1" si="1038">+X118+X119</f>
        <v>529624.4</v>
      </c>
      <c r="Y121" s="162">
        <f t="shared" ca="1" si="1038"/>
        <v>464313.16000000003</v>
      </c>
      <c r="Z121" s="162">
        <f t="shared" ref="Z121:AA121" ca="1" si="1039">+Z118+Z119</f>
        <v>513226.67999999993</v>
      </c>
      <c r="AA121" s="162">
        <f t="shared" ref="AA121" ca="1" si="1040">+AA118+AA119</f>
        <v>513226.67999999993</v>
      </c>
      <c r="AB121" s="21">
        <f t="shared" ref="AB121:AD121" ca="1" si="1041">+AB118+AB119</f>
        <v>378317.89990939375</v>
      </c>
      <c r="AC121" s="21">
        <f t="shared" ca="1" si="1041"/>
        <v>362603.83410713525</v>
      </c>
      <c r="AD121" s="21">
        <f t="shared" ca="1" si="1041"/>
        <v>352416.9413632541</v>
      </c>
      <c r="AE121" s="21">
        <f t="shared" ref="AE121" ca="1" si="1042">+AE118+AE119</f>
        <v>333107.97102707694</v>
      </c>
      <c r="AL121" s="162">
        <f t="shared" ref="AL121:AM121" si="1043">+AL118+AL119</f>
        <v>92953.209999999992</v>
      </c>
      <c r="AM121" s="162">
        <f t="shared" si="1043"/>
        <v>85405.141381289461</v>
      </c>
      <c r="AN121" s="162">
        <f t="shared" ref="AN121:AO121" si="1044">+AN118+AN119</f>
        <v>95197.209999999992</v>
      </c>
      <c r="AO121" s="162">
        <f t="shared" si="1044"/>
        <v>122779.18310836868</v>
      </c>
      <c r="AP121" s="162">
        <f t="shared" ref="AP121:CD121" si="1045">+AP118+AP119</f>
        <v>133774.20000000001</v>
      </c>
      <c r="AQ121" s="162">
        <f t="shared" si="1045"/>
        <v>114477.70563106795</v>
      </c>
      <c r="AR121" s="162">
        <f t="shared" si="1045"/>
        <v>129016.91999999998</v>
      </c>
      <c r="AS121" s="162">
        <f t="shared" si="1045"/>
        <v>146907.01828811271</v>
      </c>
      <c r="AT121" s="162">
        <f t="shared" si="1045"/>
        <v>162465.91999999998</v>
      </c>
      <c r="AU121" s="162">
        <f t="shared" si="1045"/>
        <v>159696.12944597719</v>
      </c>
      <c r="AV121" s="162">
        <f t="shared" si="1045"/>
        <v>158220.12</v>
      </c>
      <c r="AW121" s="162">
        <f t="shared" si="1045"/>
        <v>171062.07182603134</v>
      </c>
      <c r="AX121" s="162">
        <f t="shared" si="1045"/>
        <v>176074.43999999997</v>
      </c>
      <c r="AY121" s="162">
        <f t="shared" si="1045"/>
        <v>196988.77438066466</v>
      </c>
      <c r="AZ121" s="162">
        <f t="shared" si="1045"/>
        <v>170376.08000000002</v>
      </c>
      <c r="BA121" s="162">
        <f t="shared" si="1045"/>
        <v>144602.64328134025</v>
      </c>
      <c r="BB121" s="162">
        <f t="shared" si="1045"/>
        <v>150577</v>
      </c>
      <c r="BC121" s="162">
        <f t="shared" si="1045"/>
        <v>148157.6311448598</v>
      </c>
      <c r="BD121" s="162">
        <f t="shared" si="1045"/>
        <v>138906.6</v>
      </c>
      <c r="BE121" s="162">
        <f t="shared" si="1045"/>
        <v>141220.37940228838</v>
      </c>
      <c r="BF121" s="162">
        <f t="shared" si="1045"/>
        <v>177440</v>
      </c>
      <c r="BG121" s="162">
        <f t="shared" si="1045"/>
        <v>193319.95851352101</v>
      </c>
      <c r="BH121" s="162">
        <f t="shared" si="1045"/>
        <v>231384.24</v>
      </c>
      <c r="BI121" s="162">
        <f t="shared" si="1045"/>
        <v>214624.64496482117</v>
      </c>
      <c r="BJ121" s="162">
        <f t="shared" si="1045"/>
        <v>237390.52000000002</v>
      </c>
      <c r="BK121" s="162">
        <f t="shared" si="1045"/>
        <v>252880.76704953806</v>
      </c>
      <c r="BL121" s="162">
        <f t="shared" si="1045"/>
        <v>266081.16000000003</v>
      </c>
      <c r="BM121" s="162">
        <f t="shared" si="1045"/>
        <v>224788.83021786204</v>
      </c>
      <c r="BN121" s="162">
        <f t="shared" si="1045"/>
        <v>183589.28000000003</v>
      </c>
      <c r="BO121" s="162">
        <f t="shared" si="1045"/>
        <v>208465.72874715267</v>
      </c>
      <c r="BP121" s="162">
        <f t="shared" si="1045"/>
        <v>269493</v>
      </c>
      <c r="BQ121" s="162">
        <f t="shared" si="1045"/>
        <v>379268.22195360193</v>
      </c>
      <c r="BR121" s="162">
        <f t="shared" si="1045"/>
        <v>470848</v>
      </c>
      <c r="BS121" s="162">
        <f t="shared" si="1045"/>
        <v>499768.59180722892</v>
      </c>
      <c r="BT121" s="162">
        <f t="shared" si="1045"/>
        <v>598329</v>
      </c>
      <c r="BU121" s="162">
        <f t="shared" si="1045"/>
        <v>644922.54837510979</v>
      </c>
      <c r="BV121" s="162">
        <f t="shared" si="1045"/>
        <v>649847</v>
      </c>
      <c r="BW121" s="162">
        <f t="shared" si="1045"/>
        <v>525199.47027388774</v>
      </c>
      <c r="BX121" s="162">
        <f t="shared" si="1045"/>
        <v>522059.4</v>
      </c>
      <c r="BY121" s="162">
        <f t="shared" si="1045"/>
        <v>529259.09285675187</v>
      </c>
      <c r="BZ121" s="162">
        <f t="shared" si="1045"/>
        <v>533470</v>
      </c>
      <c r="CA121" s="162">
        <f t="shared" si="1045"/>
        <v>467270.45980502659</v>
      </c>
      <c r="CB121" s="162">
        <f t="shared" si="1045"/>
        <v>507643.67999999993</v>
      </c>
      <c r="CC121" s="162">
        <f t="shared" si="1045"/>
        <v>517780.42817869416</v>
      </c>
      <c r="CD121" s="162">
        <f t="shared" si="1045"/>
        <v>572212.6</v>
      </c>
      <c r="CE121" s="162">
        <f t="shared" ref="CE121:CF121" si="1046">+CE118+CE119</f>
        <v>517057.73418875085</v>
      </c>
      <c r="CF121" s="162">
        <f t="shared" si="1046"/>
        <v>601933.16</v>
      </c>
      <c r="CG121" s="162">
        <f t="shared" ref="CG121:CH121" si="1047">+CG118+CG119</f>
        <v>660146.56348021282</v>
      </c>
      <c r="CH121" s="162">
        <f t="shared" si="1047"/>
        <v>590907.80000000005</v>
      </c>
      <c r="CI121" s="162">
        <f t="shared" ref="CI121:CJ121" si="1048">+CI118+CI119</f>
        <v>484680.04540012212</v>
      </c>
      <c r="CJ121" s="162">
        <f t="shared" si="1048"/>
        <v>528151.6</v>
      </c>
      <c r="CK121" s="162">
        <f t="shared" ref="CK121:CL121" si="1049">+CK118+CK119</f>
        <v>528015.52771858848</v>
      </c>
      <c r="CL121" s="162">
        <f t="shared" si="1049"/>
        <v>456741.72000000003</v>
      </c>
      <c r="CM121" s="21">
        <f t="shared" ref="CM121:DB121" si="1050">+CM118+CM119</f>
        <v>400359.17338604829</v>
      </c>
      <c r="CN121" s="21">
        <f t="shared" si="1050"/>
        <v>400485.74477235775</v>
      </c>
      <c r="CO121" s="21">
        <f t="shared" si="1050"/>
        <v>395137.67843650602</v>
      </c>
      <c r="CP121" s="21">
        <f t="shared" si="1050"/>
        <v>384174.67269609263</v>
      </c>
      <c r="CQ121" s="21">
        <f t="shared" si="1050"/>
        <v>386698.51231726661</v>
      </c>
      <c r="CR121" s="21">
        <f t="shared" si="1050"/>
        <v>389347.49290086032</v>
      </c>
      <c r="CS121" s="21">
        <f t="shared" si="1050"/>
        <v>389426.25435482833</v>
      </c>
      <c r="CT121" s="21">
        <f t="shared" si="1050"/>
        <v>389780.01163154352</v>
      </c>
      <c r="CU121" s="21">
        <f t="shared" si="1050"/>
        <v>381420.12739510054</v>
      </c>
      <c r="CV121" s="21">
        <f t="shared" si="1050"/>
        <v>372566.52143741318</v>
      </c>
      <c r="CW121" s="21">
        <f t="shared" si="1050"/>
        <v>365361.56896524038</v>
      </c>
      <c r="CX121" s="21">
        <f t="shared" si="1050"/>
        <v>357022.72696244903</v>
      </c>
      <c r="CY121" s="21">
        <f t="shared" si="1050"/>
        <v>365116.06063418178</v>
      </c>
      <c r="CZ121" s="21">
        <f t="shared" si="1050"/>
        <v>375084.88639330876</v>
      </c>
      <c r="DA121" s="21">
        <f t="shared" si="1050"/>
        <v>388479.46231362753</v>
      </c>
      <c r="DB121" s="21">
        <f t="shared" si="1050"/>
        <v>406656.32479526999</v>
      </c>
      <c r="DE121" s="22"/>
      <c r="DF121" s="162">
        <v>456741.72000000003</v>
      </c>
      <c r="DG121" s="162">
        <v>435415.09847105417</v>
      </c>
    </row>
    <row r="122" spans="1:111" s="162" customFormat="1" x14ac:dyDescent="0.2">
      <c r="A122" s="49" t="s">
        <v>13</v>
      </c>
      <c r="B122" s="162">
        <f t="shared" ref="B122:AE122" si="1051">+B38</f>
        <v>750.1462061000002</v>
      </c>
      <c r="C122" s="162">
        <f t="shared" si="1051"/>
        <v>1038.3399999999999</v>
      </c>
      <c r="D122" s="162">
        <f t="shared" si="1051"/>
        <v>1240.3600000000001</v>
      </c>
      <c r="E122" s="162">
        <f t="shared" si="1051"/>
        <v>1585.27</v>
      </c>
      <c r="F122" s="162">
        <f t="shared" si="1051"/>
        <v>2336</v>
      </c>
      <c r="G122" s="162">
        <f t="shared" si="1051"/>
        <v>2998</v>
      </c>
      <c r="H122" s="162">
        <f t="shared" si="1051"/>
        <v>4390</v>
      </c>
      <c r="I122" s="162">
        <f t="shared" si="1051"/>
        <v>5237</v>
      </c>
      <c r="J122" s="162">
        <f t="shared" si="1051"/>
        <v>6757</v>
      </c>
      <c r="K122" s="162">
        <f t="shared" si="1051"/>
        <v>7861</v>
      </c>
      <c r="L122" s="162">
        <f t="shared" si="1051"/>
        <v>8970</v>
      </c>
      <c r="M122" s="162">
        <f t="shared" si="1051"/>
        <v>10727</v>
      </c>
      <c r="N122" s="162">
        <f t="shared" si="1051"/>
        <v>11538</v>
      </c>
      <c r="O122" s="162">
        <f t="shared" si="1051"/>
        <v>13390</v>
      </c>
      <c r="P122" s="162">
        <f t="shared" si="1051"/>
        <v>14883</v>
      </c>
      <c r="Q122" s="162">
        <f t="shared" si="1051"/>
        <v>17033</v>
      </c>
      <c r="R122" s="162">
        <f t="shared" si="1051"/>
        <v>18245</v>
      </c>
      <c r="S122" s="162">
        <f t="shared" si="1051"/>
        <v>18893</v>
      </c>
      <c r="T122" s="162">
        <f t="shared" si="1051"/>
        <v>20170</v>
      </c>
      <c r="U122" s="162">
        <f t="shared" si="1051"/>
        <v>21756</v>
      </c>
      <c r="V122" s="162">
        <f t="shared" si="1051"/>
        <v>27543</v>
      </c>
      <c r="W122" s="162">
        <f t="shared" si="1051"/>
        <v>31491</v>
      </c>
      <c r="X122" s="162">
        <f t="shared" si="1051"/>
        <v>34483</v>
      </c>
      <c r="Y122" s="162">
        <f t="shared" si="1051"/>
        <v>36425</v>
      </c>
      <c r="Z122" s="162">
        <f t="shared" si="1051"/>
        <v>38921</v>
      </c>
      <c r="AA122" s="162">
        <f t="shared" ref="AA122" si="1052">+AA38</f>
        <v>39662</v>
      </c>
      <c r="AB122" s="21">
        <f t="shared" si="1051"/>
        <v>45577.158292552936</v>
      </c>
      <c r="AC122" s="21">
        <f t="shared" si="1051"/>
        <v>49087.577611092216</v>
      </c>
      <c r="AD122" s="21">
        <f t="shared" si="1051"/>
        <v>47285.91464906343</v>
      </c>
      <c r="AE122" s="21">
        <f t="shared" si="1051"/>
        <v>52107.624370690552</v>
      </c>
      <c r="AL122" s="162">
        <f t="shared" ref="AL122:BQ122" si="1053">+SUM(AI38:AL38)</f>
        <v>10395</v>
      </c>
      <c r="AM122" s="162">
        <f t="shared" si="1053"/>
        <v>10400</v>
      </c>
      <c r="AN122" s="162">
        <f t="shared" si="1053"/>
        <v>10554</v>
      </c>
      <c r="AO122" s="162">
        <f t="shared" si="1053"/>
        <v>11136</v>
      </c>
      <c r="AP122" s="162">
        <f t="shared" si="1053"/>
        <v>11955</v>
      </c>
      <c r="AQ122" s="162">
        <f t="shared" si="1053"/>
        <v>12502</v>
      </c>
      <c r="AR122" s="162">
        <f t="shared" si="1053"/>
        <v>13234</v>
      </c>
      <c r="AS122" s="162">
        <f t="shared" si="1053"/>
        <v>13664</v>
      </c>
      <c r="AT122" s="162">
        <f t="shared" si="1053"/>
        <v>13832</v>
      </c>
      <c r="AU122" s="162">
        <f t="shared" si="1053"/>
        <v>14381</v>
      </c>
      <c r="AV122" s="162">
        <f t="shared" si="1053"/>
        <v>15249</v>
      </c>
      <c r="AW122" s="162">
        <f t="shared" si="1053"/>
        <v>15888</v>
      </c>
      <c r="AX122" s="162">
        <f t="shared" si="1053"/>
        <v>17078</v>
      </c>
      <c r="AY122" s="162">
        <f t="shared" si="1053"/>
        <v>17765</v>
      </c>
      <c r="AZ122" s="162">
        <f t="shared" si="1053"/>
        <v>18147</v>
      </c>
      <c r="BA122" s="162">
        <f t="shared" si="1053"/>
        <v>18586</v>
      </c>
      <c r="BB122" s="162">
        <f t="shared" si="1053"/>
        <v>18605</v>
      </c>
      <c r="BC122" s="162">
        <f t="shared" si="1053"/>
        <v>18719</v>
      </c>
      <c r="BD122" s="162">
        <f t="shared" si="1053"/>
        <v>18688</v>
      </c>
      <c r="BE122" s="162">
        <f t="shared" si="1053"/>
        <v>18738</v>
      </c>
      <c r="BF122" s="162">
        <f t="shared" si="1053"/>
        <v>18892</v>
      </c>
      <c r="BG122" s="162">
        <f t="shared" si="1053"/>
        <v>19034</v>
      </c>
      <c r="BH122" s="162">
        <f t="shared" si="1053"/>
        <v>19689</v>
      </c>
      <c r="BI122" s="162">
        <f t="shared" si="1053"/>
        <v>19831</v>
      </c>
      <c r="BJ122" s="162">
        <f t="shared" si="1053"/>
        <v>20168</v>
      </c>
      <c r="BK122" s="162">
        <f t="shared" si="1053"/>
        <v>20617</v>
      </c>
      <c r="BL122" s="162">
        <f t="shared" si="1053"/>
        <v>20899</v>
      </c>
      <c r="BM122" s="162">
        <f t="shared" si="1053"/>
        <v>21741</v>
      </c>
      <c r="BN122" s="162">
        <f t="shared" si="1053"/>
        <v>22268</v>
      </c>
      <c r="BO122" s="162">
        <f t="shared" si="1053"/>
        <v>23237</v>
      </c>
      <c r="BP122" s="162">
        <f t="shared" si="1053"/>
        <v>24681</v>
      </c>
      <c r="BQ122" s="162">
        <f t="shared" si="1053"/>
        <v>26295</v>
      </c>
      <c r="BR122" s="162">
        <f t="shared" ref="BR122:CW122" si="1054">+SUM(BO38:BR38)</f>
        <v>27890</v>
      </c>
      <c r="BS122" s="162">
        <f t="shared" si="1054"/>
        <v>29201</v>
      </c>
      <c r="BT122" s="162">
        <f t="shared" si="1054"/>
        <v>29949</v>
      </c>
      <c r="BU122" s="162">
        <f t="shared" si="1054"/>
        <v>30917</v>
      </c>
      <c r="BV122" s="162">
        <f t="shared" si="1054"/>
        <v>31492</v>
      </c>
      <c r="BW122" s="162">
        <f t="shared" si="1054"/>
        <v>31924</v>
      </c>
      <c r="BX122" s="162">
        <f t="shared" si="1054"/>
        <v>32995</v>
      </c>
      <c r="BY122" s="162">
        <f t="shared" si="1054"/>
        <v>33979</v>
      </c>
      <c r="BZ122" s="162">
        <f t="shared" si="1054"/>
        <v>35131</v>
      </c>
      <c r="CA122" s="162">
        <f t="shared" si="1054"/>
        <v>36331</v>
      </c>
      <c r="CB122" s="162">
        <f t="shared" si="1054"/>
        <v>36869</v>
      </c>
      <c r="CC122" s="162">
        <f t="shared" si="1054"/>
        <v>36639</v>
      </c>
      <c r="CD122" s="162">
        <f t="shared" si="1054"/>
        <v>36425</v>
      </c>
      <c r="CE122" s="162">
        <f t="shared" si="1054"/>
        <v>36798</v>
      </c>
      <c r="CF122" s="162">
        <f t="shared" si="1054"/>
        <v>37167</v>
      </c>
      <c r="CG122" s="162">
        <f t="shared" si="1054"/>
        <v>38145</v>
      </c>
      <c r="CH122" s="162">
        <f t="shared" si="1054"/>
        <v>39235</v>
      </c>
      <c r="CI122" s="162">
        <f t="shared" si="1054"/>
        <v>39741</v>
      </c>
      <c r="CJ122" s="162">
        <f t="shared" si="1054"/>
        <v>40467</v>
      </c>
      <c r="CK122" s="162">
        <f t="shared" si="1054"/>
        <v>40986</v>
      </c>
      <c r="CL122" s="162">
        <f t="shared" si="1054"/>
        <v>42279</v>
      </c>
      <c r="CM122" s="21">
        <f t="shared" si="1054"/>
        <v>43520.614269689177</v>
      </c>
      <c r="CN122" s="21">
        <f t="shared" si="1054"/>
        <v>44324.124168450377</v>
      </c>
      <c r="CO122" s="21">
        <f t="shared" si="1054"/>
        <v>45141.649545311753</v>
      </c>
      <c r="CP122" s="21">
        <f t="shared" si="1054"/>
        <v>45577.158292552929</v>
      </c>
      <c r="CQ122" s="21">
        <f t="shared" si="1054"/>
        <v>46426.780659480064</v>
      </c>
      <c r="CR122" s="21">
        <f t="shared" si="1054"/>
        <v>47372.981861169792</v>
      </c>
      <c r="CS122" s="21">
        <f t="shared" si="1054"/>
        <v>48184.705468906483</v>
      </c>
      <c r="CT122" s="21">
        <f t="shared" si="1054"/>
        <v>49087.577611092216</v>
      </c>
      <c r="CU122" s="21">
        <f t="shared" si="1054"/>
        <v>48933.149113917381</v>
      </c>
      <c r="CV122" s="21">
        <f t="shared" si="1054"/>
        <v>48529.335257580547</v>
      </c>
      <c r="CW122" s="21">
        <f t="shared" si="1054"/>
        <v>48074.538461173986</v>
      </c>
      <c r="CX122" s="21">
        <f t="shared" ref="CX122:DB122" si="1055">+SUM(CU38:CX38)</f>
        <v>47285.91464906343</v>
      </c>
      <c r="CY122" s="21">
        <f t="shared" si="1055"/>
        <v>47991.03610160105</v>
      </c>
      <c r="CZ122" s="21">
        <f t="shared" si="1055"/>
        <v>48937.245017339083</v>
      </c>
      <c r="DA122" s="21">
        <f t="shared" si="1055"/>
        <v>50266.282033223913</v>
      </c>
      <c r="DB122" s="21">
        <f t="shared" si="1055"/>
        <v>52107.624370690544</v>
      </c>
      <c r="DE122" s="22"/>
      <c r="DF122" s="162">
        <v>42279</v>
      </c>
      <c r="DG122" s="162">
        <v>41227.702733033759</v>
      </c>
    </row>
    <row r="123" spans="1:111" s="162" customFormat="1" x14ac:dyDescent="0.2">
      <c r="A123" s="49" t="s">
        <v>343</v>
      </c>
      <c r="B123" s="162">
        <f>+B120/B122</f>
        <v>0.95096144566083085</v>
      </c>
      <c r="C123" s="162">
        <f t="shared" ref="C123:W123" si="1056">+C120/C122</f>
        <v>-0.25958889910819194</v>
      </c>
      <c r="D123" s="162">
        <f t="shared" si="1056"/>
        <v>-0.67898392402205809</v>
      </c>
      <c r="E123" s="162">
        <f t="shared" ca="1" si="1056"/>
        <v>22.772780031161886</v>
      </c>
      <c r="F123" s="162">
        <f t="shared" ca="1" si="1056"/>
        <v>23.658326198630135</v>
      </c>
      <c r="G123" s="162">
        <f t="shared" ca="1" si="1056"/>
        <v>24.554869913275517</v>
      </c>
      <c r="H123" s="162">
        <f t="shared" ca="1" si="1056"/>
        <v>26.777767653758545</v>
      </c>
      <c r="I123" s="162">
        <f t="shared" ca="1" si="1056"/>
        <v>19.335879320221501</v>
      </c>
      <c r="J123" s="162">
        <f t="shared" ca="1" si="1056"/>
        <v>13.669557495930146</v>
      </c>
      <c r="K123" s="162">
        <f t="shared" ca="1" si="1056"/>
        <v>16.347645337743288</v>
      </c>
      <c r="L123" s="162">
        <f t="shared" ca="1" si="1056"/>
        <v>17.835882943143812</v>
      </c>
      <c r="M123" s="162">
        <f t="shared" ca="1" si="1056"/>
        <v>13.691955812435909</v>
      </c>
      <c r="N123" s="162">
        <f t="shared" ca="1" si="1056"/>
        <v>11.157479632518633</v>
      </c>
      <c r="O123" s="162">
        <f t="shared" ca="1" si="1056"/>
        <v>12.374482449589246</v>
      </c>
      <c r="P123" s="162">
        <f t="shared" ca="1" si="1056"/>
        <v>13.779697641604514</v>
      </c>
      <c r="Q123" s="162">
        <f t="shared" ca="1" si="1056"/>
        <v>12.747088592731759</v>
      </c>
      <c r="R123" s="162">
        <f t="shared" ca="1" si="1056"/>
        <v>12.39091257878871</v>
      </c>
      <c r="S123" s="162">
        <f t="shared" ca="1" si="1056"/>
        <v>11.681733975546498</v>
      </c>
      <c r="T123" s="162">
        <f t="shared" ca="1" si="1056"/>
        <v>14.177814576103124</v>
      </c>
      <c r="U123" s="162">
        <f t="shared" ca="1" si="1056"/>
        <v>14.695877918735063</v>
      </c>
      <c r="V123" s="162">
        <f t="shared" ca="1" si="1056"/>
        <v>19.685364702465236</v>
      </c>
      <c r="W123" s="162">
        <f t="shared" ca="1" si="1056"/>
        <v>24.347043917309708</v>
      </c>
      <c r="X123" s="162">
        <f t="shared" ref="X123:Y123" ca="1" si="1057">+X120/X122</f>
        <v>21.86775396572224</v>
      </c>
      <c r="Y123" s="162">
        <f t="shared" ca="1" si="1057"/>
        <v>18.47653534660261</v>
      </c>
      <c r="Z123" s="162">
        <f t="shared" ref="Z123:AA123" ca="1" si="1058">+Z120/Z122</f>
        <v>19.922808766475683</v>
      </c>
      <c r="AA123" s="162">
        <f t="shared" ref="AA123" ca="1" si="1059">+AA120/AA122</f>
        <v>19.922808766475683</v>
      </c>
      <c r="AB123" s="21">
        <f t="shared" ref="AB123:AD123" ca="1" si="1060">+AB120/AB122</f>
        <v>14.67911940974375</v>
      </c>
      <c r="AC123" s="21">
        <f t="shared" ca="1" si="1060"/>
        <v>14.10793425975854</v>
      </c>
      <c r="AD123" s="21">
        <f t="shared" ca="1" si="1060"/>
        <v>14.031629342766426</v>
      </c>
      <c r="AE123" s="21">
        <f t="shared" ref="AE123" ca="1" si="1061">+AE120/AE122</f>
        <v>14.789179444419165</v>
      </c>
      <c r="AL123" s="162">
        <f t="shared" ref="AL123" si="1062">+AL120/AL122</f>
        <v>12.384319384319385</v>
      </c>
      <c r="AM123" s="162">
        <f t="shared" ref="AM123:AO123" si="1063">+AM120/AM122</f>
        <v>12.128667440508602</v>
      </c>
      <c r="AN123" s="162">
        <f t="shared" si="1063"/>
        <v>12.758917945802539</v>
      </c>
      <c r="AO123" s="162">
        <f t="shared" si="1063"/>
        <v>13.665390006139431</v>
      </c>
      <c r="AP123" s="162">
        <f t="shared" ref="AP123:CD123" si="1064">+AP120/AP122</f>
        <v>13.857157674613132</v>
      </c>
      <c r="AQ123" s="162">
        <f t="shared" si="1064"/>
        <v>11.090576358268114</v>
      </c>
      <c r="AR123" s="162">
        <f t="shared" si="1064"/>
        <v>12.061150823636089</v>
      </c>
      <c r="AS123" s="162">
        <f t="shared" si="1064"/>
        <v>13.717624289235417</v>
      </c>
      <c r="AT123" s="162">
        <f t="shared" si="1064"/>
        <v>14.82657894736842</v>
      </c>
      <c r="AU123" s="162">
        <f t="shared" si="1064"/>
        <v>13.455039944786677</v>
      </c>
      <c r="AV123" s="162">
        <f t="shared" si="1064"/>
        <v>13.739812446717817</v>
      </c>
      <c r="AW123" s="162">
        <f t="shared" si="1064"/>
        <v>13.400570986029164</v>
      </c>
      <c r="AX123" s="162">
        <f t="shared" si="1064"/>
        <v>12.713500409884062</v>
      </c>
      <c r="AY123" s="162">
        <f t="shared" si="1064"/>
        <v>12.530966190862069</v>
      </c>
      <c r="AZ123" s="162">
        <f t="shared" si="1064"/>
        <v>11.46151540199482</v>
      </c>
      <c r="BA123" s="162">
        <f t="shared" si="1064"/>
        <v>9.7447327709749416</v>
      </c>
      <c r="BB123" s="162">
        <f t="shared" si="1064"/>
        <v>9.6163934426229503</v>
      </c>
      <c r="BC123" s="162">
        <f t="shared" si="1064"/>
        <v>9.2134126366183988</v>
      </c>
      <c r="BD123" s="162">
        <f t="shared" si="1064"/>
        <v>9.2459524828767137</v>
      </c>
      <c r="BE123" s="162">
        <f t="shared" si="1064"/>
        <v>9.1422317964717887</v>
      </c>
      <c r="BF123" s="162">
        <f t="shared" si="1064"/>
        <v>11.682352318441668</v>
      </c>
      <c r="BG123" s="162">
        <f t="shared" si="1064"/>
        <v>12.436935931150625</v>
      </c>
      <c r="BH123" s="162">
        <f t="shared" si="1064"/>
        <v>14.096275077454418</v>
      </c>
      <c r="BI123" s="162">
        <f t="shared" si="1064"/>
        <v>13.972330440462972</v>
      </c>
      <c r="BJ123" s="162">
        <f t="shared" si="1064"/>
        <v>14.179220547401826</v>
      </c>
      <c r="BK123" s="162">
        <f t="shared" si="1064"/>
        <v>13.743123007689675</v>
      </c>
      <c r="BL123" s="162">
        <f t="shared" si="1064"/>
        <v>15.457032393894446</v>
      </c>
      <c r="BM123" s="162">
        <f t="shared" si="1064"/>
        <v>14.21870706121439</v>
      </c>
      <c r="BN123" s="162">
        <f t="shared" si="1064"/>
        <v>13.699917370217353</v>
      </c>
      <c r="BO123" s="162">
        <f t="shared" si="1064"/>
        <v>11.907508230285865</v>
      </c>
      <c r="BP123" s="162">
        <f t="shared" si="1064"/>
        <v>15.95588023175722</v>
      </c>
      <c r="BQ123" s="162">
        <f t="shared" si="1064"/>
        <v>18.319950635238712</v>
      </c>
      <c r="BR123" s="162">
        <f t="shared" si="1064"/>
        <v>19.440444603800646</v>
      </c>
      <c r="BS123" s="162">
        <f t="shared" si="1064"/>
        <v>20.983118105791888</v>
      </c>
      <c r="BT123" s="162">
        <f t="shared" si="1064"/>
        <v>23.391131590370296</v>
      </c>
      <c r="BU123" s="162">
        <f t="shared" si="1064"/>
        <v>24.155996648287669</v>
      </c>
      <c r="BV123" s="162">
        <f t="shared" si="1064"/>
        <v>24.346270798933062</v>
      </c>
      <c r="BW123" s="162">
        <f t="shared" si="1064"/>
        <v>23.33368845614233</v>
      </c>
      <c r="BX123" s="162">
        <f t="shared" si="1064"/>
        <v>19.202357933020156</v>
      </c>
      <c r="BY123" s="162">
        <f t="shared" si="1064"/>
        <v>18.976698927477322</v>
      </c>
      <c r="BZ123" s="162">
        <f t="shared" si="1064"/>
        <v>18.123423756795994</v>
      </c>
      <c r="CA123" s="162">
        <f t="shared" si="1064"/>
        <v>15.341132911426238</v>
      </c>
      <c r="CB123" s="162">
        <f t="shared" si="1064"/>
        <v>16.049272830833491</v>
      </c>
      <c r="CC123" s="162">
        <f t="shared" si="1064"/>
        <v>16.794596691467948</v>
      </c>
      <c r="CD123" s="162">
        <f t="shared" si="1064"/>
        <v>18.47653534660261</v>
      </c>
      <c r="CE123" s="162">
        <f t="shared" ref="CE123:CF123" si="1065">+CE120/CE122</f>
        <v>16.569282411781916</v>
      </c>
      <c r="CF123" s="162">
        <f t="shared" si="1065"/>
        <v>20.724547044421126</v>
      </c>
      <c r="CG123" s="162">
        <f t="shared" ref="CG123:CH123" si="1066">+CG120/CG122</f>
        <v>20.365720369123419</v>
      </c>
      <c r="CH123" s="162">
        <f t="shared" si="1066"/>
        <v>19.513170383586083</v>
      </c>
      <c r="CI123" s="162">
        <f t="shared" ref="CI123:CJ123" si="1067">+CI120/CI122</f>
        <v>15.665305991296703</v>
      </c>
      <c r="CJ123" s="162">
        <f t="shared" si="1067"/>
        <v>15.39716806286604</v>
      </c>
      <c r="CK123" s="162">
        <f t="shared" ref="CK123:CL123" si="1068">+CK120/CK122</f>
        <v>15.505542568647551</v>
      </c>
      <c r="CL123" s="162">
        <f t="shared" si="1068"/>
        <v>15.711882494855601</v>
      </c>
      <c r="CM123" s="21">
        <f t="shared" ref="CM123:DB123" si="1069">+CM120/CM122</f>
        <v>15.534568978321952</v>
      </c>
      <c r="CN123" s="21">
        <f t="shared" si="1069"/>
        <v>15.357394851343328</v>
      </c>
      <c r="CO123" s="21">
        <f t="shared" si="1069"/>
        <v>14.988957418520959</v>
      </c>
      <c r="CP123" s="21">
        <f t="shared" si="1069"/>
        <v>14.558931311272017</v>
      </c>
      <c r="CQ123" s="21">
        <f t="shared" si="1069"/>
        <v>14.483788368025182</v>
      </c>
      <c r="CR123" s="21">
        <f t="shared" si="1069"/>
        <v>14.390213082380283</v>
      </c>
      <c r="CS123" s="21">
        <f t="shared" si="1069"/>
        <v>14.254093465387628</v>
      </c>
      <c r="CT123" s="21">
        <f t="shared" si="1069"/>
        <v>14.10793425975854</v>
      </c>
      <c r="CU123" s="21">
        <f t="shared" si="1069"/>
        <v>13.998965704885737</v>
      </c>
      <c r="CV123" s="21">
        <f t="shared" si="1069"/>
        <v>13.94432779152624</v>
      </c>
      <c r="CW123" s="21">
        <f t="shared" si="1069"/>
        <v>13.95853070560414</v>
      </c>
      <c r="CX123" s="21">
        <f t="shared" si="1069"/>
        <v>14.031629342766426</v>
      </c>
      <c r="CY123" s="21">
        <f t="shared" si="1069"/>
        <v>14.23310318166285</v>
      </c>
      <c r="CZ123" s="21">
        <f t="shared" si="1069"/>
        <v>14.422287039462118</v>
      </c>
      <c r="DA123" s="21">
        <f t="shared" si="1069"/>
        <v>14.606697253836987</v>
      </c>
      <c r="DB123" s="21">
        <f t="shared" si="1069"/>
        <v>14.789179444419167</v>
      </c>
      <c r="DE123" s="22"/>
      <c r="DF123" s="162">
        <v>15.711882494855601</v>
      </c>
      <c r="DG123" s="162">
        <v>15.595243388516153</v>
      </c>
    </row>
    <row r="124" spans="1:111" s="162" customFormat="1" x14ac:dyDescent="0.2">
      <c r="A124" s="49" t="s">
        <v>344</v>
      </c>
      <c r="B124" s="162">
        <f>+B121/B122</f>
        <v>2.2046899165974543E-3</v>
      </c>
      <c r="C124" s="162">
        <f t="shared" ref="C124:W124" si="1070">+C121/C122</f>
        <v>-0.52899447676098388</v>
      </c>
      <c r="D124" s="162">
        <f t="shared" si="1070"/>
        <v>-0.8406891144506432</v>
      </c>
      <c r="E124" s="162">
        <f t="shared" ca="1" si="1070"/>
        <v>8.5808600427687391</v>
      </c>
      <c r="F124" s="162">
        <f t="shared" ca="1" si="1070"/>
        <v>11.065321596746577</v>
      </c>
      <c r="G124" s="162">
        <f t="shared" ca="1" si="1070"/>
        <v>14.437401601067378</v>
      </c>
      <c r="H124" s="162">
        <f t="shared" ca="1" si="1070"/>
        <v>12.78496583143508</v>
      </c>
      <c r="I124" s="162">
        <f t="shared" ca="1" si="1070"/>
        <v>10.371456940996755</v>
      </c>
      <c r="J124" s="162">
        <f t="shared" ca="1" si="1070"/>
        <v>6.3532632825218291</v>
      </c>
      <c r="K124" s="162">
        <f t="shared" ca="1" si="1070"/>
        <v>6.3937158122376285</v>
      </c>
      <c r="L124" s="162">
        <f t="shared" ca="1" si="1070"/>
        <v>12.285395763656632</v>
      </c>
      <c r="M124" s="162">
        <f t="shared" ca="1" si="1070"/>
        <v>8.2774680712221507</v>
      </c>
      <c r="N124" s="162">
        <f t="shared" ca="1" si="1070"/>
        <v>7.1739027561102446</v>
      </c>
      <c r="O124" s="162">
        <f t="shared" ca="1" si="1070"/>
        <v>6.1120238984316657</v>
      </c>
      <c r="P124" s="162">
        <f t="shared" ca="1" si="1070"/>
        <v>7.7402002284485647</v>
      </c>
      <c r="Q124" s="162">
        <f t="shared" ca="1" si="1070"/>
        <v>9.1572899665355489</v>
      </c>
      <c r="R124" s="162">
        <f t="shared" ca="1" si="1070"/>
        <v>8.2009164154562892</v>
      </c>
      <c r="S124" s="162">
        <f t="shared" ca="1" si="1070"/>
        <v>7.8411369290213306</v>
      </c>
      <c r="T124" s="162">
        <f t="shared" ca="1" si="1070"/>
        <v>9.7294298463063953</v>
      </c>
      <c r="U124" s="162">
        <f t="shared" ca="1" si="1070"/>
        <v>8.4385585585585599</v>
      </c>
      <c r="V124" s="162">
        <f t="shared" ca="1" si="1070"/>
        <v>7.5764905783683707</v>
      </c>
      <c r="W124" s="162">
        <f t="shared" ca="1" si="1070"/>
        <v>16.095761963735672</v>
      </c>
      <c r="X124" s="162">
        <f t="shared" ref="X124:Y124" ca="1" si="1071">+X121/X122</f>
        <v>15.359000086999393</v>
      </c>
      <c r="Y124" s="162">
        <f t="shared" ca="1" si="1071"/>
        <v>12.747101166781057</v>
      </c>
      <c r="Z124" s="162">
        <f t="shared" ref="Z124:AA124" ca="1" si="1072">+Z121/Z122</f>
        <v>13.186369312196499</v>
      </c>
      <c r="AA124" s="162">
        <f t="shared" ref="AA124" ca="1" si="1073">+AA121/AA122</f>
        <v>13.186369312196499</v>
      </c>
      <c r="AB124" s="21">
        <f t="shared" ref="AB124:AD124" ca="1" si="1074">+AB121/AB122</f>
        <v>8.3006030670237916</v>
      </c>
      <c r="AC124" s="21">
        <f t="shared" ca="1" si="1074"/>
        <v>7.3868756975532328</v>
      </c>
      <c r="AD124" s="21">
        <f t="shared" ca="1" si="1074"/>
        <v>7.4528946723088128</v>
      </c>
      <c r="AE124" s="21">
        <f t="shared" ref="AE124" ca="1" si="1075">+AE121/AE122</f>
        <v>6.3926915696130493</v>
      </c>
      <c r="AL124" s="162">
        <f t="shared" ref="AL124:AM124" si="1076">+AL121/AL122</f>
        <v>8.9421077441077426</v>
      </c>
      <c r="AM124" s="162">
        <f t="shared" si="1076"/>
        <v>8.2120328251239858</v>
      </c>
      <c r="AN124" s="162">
        <f t="shared" ref="AN124:AO124" si="1077">+AN121/AN122</f>
        <v>9.0200123176046993</v>
      </c>
      <c r="AO124" s="162">
        <f t="shared" si="1077"/>
        <v>11.025429517633683</v>
      </c>
      <c r="AP124" s="162">
        <f t="shared" ref="AP124:CD124" si="1078">+AP121/AP122</f>
        <v>11.189811794228357</v>
      </c>
      <c r="AQ124" s="162">
        <f t="shared" si="1078"/>
        <v>9.1567513702661927</v>
      </c>
      <c r="AR124" s="162">
        <f t="shared" si="1078"/>
        <v>9.7488982922774667</v>
      </c>
      <c r="AS124" s="162">
        <f t="shared" si="1078"/>
        <v>10.751391853638225</v>
      </c>
      <c r="AT124" s="162">
        <f t="shared" si="1078"/>
        <v>11.745656448814342</v>
      </c>
      <c r="AU124" s="162">
        <f t="shared" si="1078"/>
        <v>11.104660972531617</v>
      </c>
      <c r="AV124" s="162">
        <f t="shared" si="1078"/>
        <v>10.375770214440291</v>
      </c>
      <c r="AW124" s="162">
        <f t="shared" si="1078"/>
        <v>10.766746716139938</v>
      </c>
      <c r="AX124" s="162">
        <f t="shared" si="1078"/>
        <v>10.310015224265134</v>
      </c>
      <c r="AY124" s="162">
        <f t="shared" si="1078"/>
        <v>11.088588481883741</v>
      </c>
      <c r="AZ124" s="162">
        <f t="shared" si="1078"/>
        <v>9.3886636909682046</v>
      </c>
      <c r="BA124" s="162">
        <f t="shared" si="1078"/>
        <v>7.7801917185699043</v>
      </c>
      <c r="BB124" s="162">
        <f t="shared" si="1078"/>
        <v>8.0933619994625108</v>
      </c>
      <c r="BC124" s="162">
        <f t="shared" si="1078"/>
        <v>7.9148261736663175</v>
      </c>
      <c r="BD124" s="162">
        <f t="shared" si="1078"/>
        <v>7.4329302226027396</v>
      </c>
      <c r="BE124" s="162">
        <f t="shared" si="1078"/>
        <v>7.5365769773875755</v>
      </c>
      <c r="BF124" s="162">
        <f t="shared" si="1078"/>
        <v>9.3923353800550498</v>
      </c>
      <c r="BG124" s="162">
        <f t="shared" si="1078"/>
        <v>10.156559762189818</v>
      </c>
      <c r="BH124" s="162">
        <f t="shared" si="1078"/>
        <v>11.751954898674386</v>
      </c>
      <c r="BI124" s="162">
        <f t="shared" si="1078"/>
        <v>10.822683927427823</v>
      </c>
      <c r="BJ124" s="162">
        <f t="shared" si="1078"/>
        <v>11.770652518841731</v>
      </c>
      <c r="BK124" s="162">
        <f t="shared" si="1078"/>
        <v>12.265643257968572</v>
      </c>
      <c r="BL124" s="162">
        <f t="shared" si="1078"/>
        <v>12.731765156227572</v>
      </c>
      <c r="BM124" s="162">
        <f t="shared" si="1078"/>
        <v>10.339397001879492</v>
      </c>
      <c r="BN124" s="162">
        <f t="shared" si="1078"/>
        <v>8.2445338602478913</v>
      </c>
      <c r="BO124" s="162">
        <f t="shared" si="1078"/>
        <v>8.9712841049684844</v>
      </c>
      <c r="BP124" s="162">
        <f t="shared" si="1078"/>
        <v>10.919047040233378</v>
      </c>
      <c r="BQ124" s="162">
        <f t="shared" si="1078"/>
        <v>14.423587068020609</v>
      </c>
      <c r="BR124" s="162">
        <f t="shared" si="1078"/>
        <v>16.882323413409825</v>
      </c>
      <c r="BS124" s="162">
        <f t="shared" si="1078"/>
        <v>17.114776610637612</v>
      </c>
      <c r="BT124" s="162">
        <f t="shared" si="1078"/>
        <v>19.978263047180207</v>
      </c>
      <c r="BU124" s="162">
        <f t="shared" si="1078"/>
        <v>20.859803615328453</v>
      </c>
      <c r="BV124" s="162">
        <f t="shared" si="1078"/>
        <v>20.635304204242349</v>
      </c>
      <c r="BW124" s="162">
        <f t="shared" si="1078"/>
        <v>16.451555891300831</v>
      </c>
      <c r="BX124" s="162">
        <f t="shared" si="1078"/>
        <v>15.822379148355813</v>
      </c>
      <c r="BY124" s="162">
        <f t="shared" si="1078"/>
        <v>15.576064417927304</v>
      </c>
      <c r="BZ124" s="162">
        <f t="shared" si="1078"/>
        <v>15.185164100082549</v>
      </c>
      <c r="CA124" s="162">
        <f t="shared" si="1078"/>
        <v>12.861480823677482</v>
      </c>
      <c r="CB124" s="162">
        <f t="shared" si="1078"/>
        <v>13.768848626217146</v>
      </c>
      <c r="CC124" s="162">
        <f t="shared" si="1078"/>
        <v>14.131947601700215</v>
      </c>
      <c r="CD124" s="162">
        <f t="shared" si="1078"/>
        <v>15.709336993822923</v>
      </c>
      <c r="CE124" s="162">
        <f t="shared" ref="CE124:CF124" si="1079">+CE121/CE122</f>
        <v>14.051245561953118</v>
      </c>
      <c r="CF124" s="162">
        <f t="shared" si="1079"/>
        <v>16.195365781472812</v>
      </c>
      <c r="CG124" s="162">
        <f t="shared" ref="CG124:CH124" si="1080">+CG121/CG122</f>
        <v>17.306241014031009</v>
      </c>
      <c r="CH124" s="162">
        <f t="shared" si="1080"/>
        <v>15.060731489741304</v>
      </c>
      <c r="CI124" s="162">
        <f t="shared" ref="CI124:CJ124" si="1081">+CI121/CI122</f>
        <v>12.195970041018649</v>
      </c>
      <c r="CJ124" s="162">
        <f t="shared" si="1081"/>
        <v>13.051414732992313</v>
      </c>
      <c r="CK124" s="162">
        <f t="shared" ref="CK124:CL124" si="1082">+CK121/CK122</f>
        <v>12.882826519264833</v>
      </c>
      <c r="CL124" s="162">
        <f t="shared" si="1082"/>
        <v>10.803039806996383</v>
      </c>
      <c r="CM124" s="21">
        <f t="shared" ref="CM124:DB124" si="1083">+CM121/CM122</f>
        <v>9.1992996906040148</v>
      </c>
      <c r="CN124" s="21">
        <f t="shared" si="1083"/>
        <v>9.0353899210809647</v>
      </c>
      <c r="CO124" s="21">
        <f t="shared" si="1083"/>
        <v>8.7532839941943053</v>
      </c>
      <c r="CP124" s="21">
        <f t="shared" si="1083"/>
        <v>8.4291054354493351</v>
      </c>
      <c r="CQ124" s="21">
        <f t="shared" si="1083"/>
        <v>8.3292122956689472</v>
      </c>
      <c r="CR124" s="21">
        <f t="shared" si="1083"/>
        <v>8.2187668498865758</v>
      </c>
      <c r="CS124" s="21">
        <f t="shared" si="1083"/>
        <v>8.0819473848631187</v>
      </c>
      <c r="CT124" s="21">
        <f t="shared" si="1083"/>
        <v>7.9405020699873718</v>
      </c>
      <c r="CU124" s="21">
        <f t="shared" si="1083"/>
        <v>7.7947185967358568</v>
      </c>
      <c r="CV124" s="21">
        <f t="shared" si="1083"/>
        <v>7.6771404236207061</v>
      </c>
      <c r="CW124" s="21">
        <f t="shared" si="1083"/>
        <v>7.5998975894550522</v>
      </c>
      <c r="CX124" s="21">
        <f t="shared" si="1083"/>
        <v>7.5502975804132069</v>
      </c>
      <c r="CY124" s="21">
        <f t="shared" si="1083"/>
        <v>7.6080053754455399</v>
      </c>
      <c r="CZ124" s="21">
        <f t="shared" si="1083"/>
        <v>7.6646097723811684</v>
      </c>
      <c r="DA124" s="21">
        <f t="shared" si="1083"/>
        <v>7.7284304030455013</v>
      </c>
      <c r="DB124" s="21">
        <f t="shared" si="1083"/>
        <v>7.8041616693622613</v>
      </c>
      <c r="DE124" s="22"/>
      <c r="DF124" s="162">
        <v>10.803039806996383</v>
      </c>
      <c r="DG124" s="162">
        <v>10.56122630190057</v>
      </c>
    </row>
    <row r="125" spans="1:111" s="10" customFormat="1" x14ac:dyDescent="0.2">
      <c r="A125" s="149" t="s">
        <v>490</v>
      </c>
      <c r="AB125" s="20"/>
      <c r="AC125" s="20"/>
      <c r="AD125" s="20"/>
      <c r="AE125" s="20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E125" s="126"/>
    </row>
    <row r="126" spans="1:111" x14ac:dyDescent="0.2">
      <c r="A126" s="152" t="s">
        <v>491</v>
      </c>
      <c r="AA126" s="2"/>
    </row>
    <row r="127" spans="1:111" s="23" customFormat="1" outlineLevel="1" x14ac:dyDescent="0.2">
      <c r="A127" s="23" t="s">
        <v>41</v>
      </c>
      <c r="B127" s="23">
        <f>'Annual Raw'!C41</f>
        <v>33.0792085</v>
      </c>
      <c r="C127" s="23">
        <f>'Annual Raw'!D41</f>
        <v>33.090000000000003</v>
      </c>
      <c r="D127" s="23">
        <f>'Annual Raw'!E41</f>
        <v>82.12</v>
      </c>
      <c r="E127" s="23">
        <f>'Annual Raw'!F41</f>
        <v>126.88</v>
      </c>
      <c r="F127" s="23">
        <f>'Annual Raw'!G41</f>
        <v>229</v>
      </c>
      <c r="G127" s="23">
        <f>'Annual Raw'!H41</f>
        <v>138</v>
      </c>
      <c r="H127" s="23">
        <f>'Annual Raw'!I41</f>
        <v>286</v>
      </c>
      <c r="I127" s="23">
        <f>'Annual Raw'!J41</f>
        <v>286</v>
      </c>
      <c r="J127" s="23">
        <f>'Annual Raw'!K41</f>
        <v>286</v>
      </c>
      <c r="K127" s="23">
        <f>'Annual Raw'!L41</f>
        <v>286</v>
      </c>
      <c r="L127" s="23">
        <f>'Annual Raw'!M41</f>
        <v>286</v>
      </c>
      <c r="M127" s="23">
        <f>'Annual Raw'!N41</f>
        <v>286</v>
      </c>
      <c r="N127" s="23">
        <f>'Annual Raw'!O41</f>
        <v>286</v>
      </c>
      <c r="O127" s="23">
        <f>'Annual Raw'!P41</f>
        <v>286</v>
      </c>
      <c r="P127" s="23">
        <f>'Annual Raw'!Q41</f>
        <v>572</v>
      </c>
      <c r="Q127" s="23">
        <f>'Annual Raw'!R41</f>
        <v>1144</v>
      </c>
      <c r="R127" s="23">
        <f>'Annual Raw'!S41</f>
        <v>1144</v>
      </c>
      <c r="S127" s="23">
        <f>'Annual Raw'!T41</f>
        <v>1088</v>
      </c>
      <c r="T127" s="23">
        <f>'Annual Raw'!U41</f>
        <v>2170</v>
      </c>
      <c r="U127" s="23">
        <f>'Annual Raw'!V41</f>
        <v>2122</v>
      </c>
      <c r="V127" s="23">
        <f>'Annual Raw'!W41</f>
        <v>2124</v>
      </c>
      <c r="W127" s="23">
        <f>'Annual Raw'!X41</f>
        <v>2098</v>
      </c>
      <c r="X127" s="23">
        <f>'Annual Raw'!Y41</f>
        <v>2069</v>
      </c>
      <c r="Y127" s="23">
        <f>'Annual Raw'!Z41</f>
        <v>2071</v>
      </c>
      <c r="Z127" s="23">
        <f>'Annual Raw'!AA41</f>
        <v>2073</v>
      </c>
      <c r="AA127" s="23">
        <f>'Annual Raw'!AB41</f>
        <v>2024</v>
      </c>
      <c r="AB127" s="24">
        <f>+CP127</f>
        <v>2024</v>
      </c>
      <c r="AC127" s="24">
        <f>+CT127</f>
        <v>2024</v>
      </c>
      <c r="AD127" s="24">
        <f>+CX127</f>
        <v>2024</v>
      </c>
      <c r="AE127" s="24">
        <f>+DB127</f>
        <v>2024</v>
      </c>
      <c r="AJ127" s="23">
        <f>+'QTR Raw'!D56</f>
        <v>286</v>
      </c>
      <c r="AK127" s="23">
        <f t="shared" ref="AK127:CE127" si="1084">+AJ127</f>
        <v>286</v>
      </c>
      <c r="AL127" s="23">
        <f>+'QTR Raw'!F56</f>
        <v>286</v>
      </c>
      <c r="AM127" s="23">
        <f t="shared" si="1084"/>
        <v>286</v>
      </c>
      <c r="AN127" s="23">
        <f>+'QTR Raw'!H56</f>
        <v>286</v>
      </c>
      <c r="AO127" s="23">
        <f t="shared" si="1084"/>
        <v>286</v>
      </c>
      <c r="AP127" s="23">
        <f>+'QTR Raw'!J56</f>
        <v>286</v>
      </c>
      <c r="AQ127" s="23">
        <f t="shared" si="1084"/>
        <v>286</v>
      </c>
      <c r="AR127" s="23">
        <f>+'QTR Raw'!L56</f>
        <v>286</v>
      </c>
      <c r="AS127" s="23">
        <f t="shared" si="1084"/>
        <v>286</v>
      </c>
      <c r="AT127" s="23">
        <f>+'QTR Raw'!N56</f>
        <v>572</v>
      </c>
      <c r="AU127" s="23">
        <f t="shared" si="1084"/>
        <v>572</v>
      </c>
      <c r="AV127" s="23">
        <f>+'QTR Raw'!P56</f>
        <v>1144</v>
      </c>
      <c r="AW127" s="23">
        <f t="shared" si="1084"/>
        <v>1144</v>
      </c>
      <c r="AX127" s="23">
        <f>+'QTR Raw'!R56</f>
        <v>1144</v>
      </c>
      <c r="AY127" s="23">
        <f t="shared" si="1084"/>
        <v>1144</v>
      </c>
      <c r="AZ127" s="23">
        <f>+'QTR Raw'!T56</f>
        <v>1144</v>
      </c>
      <c r="BA127" s="23">
        <f t="shared" si="1084"/>
        <v>1144</v>
      </c>
      <c r="BB127" s="23">
        <f>+'QTR Raw'!V56</f>
        <v>1144</v>
      </c>
      <c r="BC127" s="23">
        <f t="shared" si="1084"/>
        <v>1144</v>
      </c>
      <c r="BD127" s="23">
        <f>+'QTR Raw'!X56</f>
        <v>1144</v>
      </c>
      <c r="BE127" s="23">
        <f t="shared" si="1084"/>
        <v>1144</v>
      </c>
      <c r="BF127" s="23">
        <f>+'QTR Raw'!Z56</f>
        <v>1088</v>
      </c>
      <c r="BG127" s="23">
        <f t="shared" si="1084"/>
        <v>1088</v>
      </c>
      <c r="BH127" s="23">
        <f>+'QTR Raw'!AB56</f>
        <v>2176</v>
      </c>
      <c r="BI127" s="23">
        <f t="shared" si="1084"/>
        <v>2176</v>
      </c>
      <c r="BJ127" s="23">
        <f>+'QTR Raw'!AD56</f>
        <v>2170</v>
      </c>
      <c r="BK127" s="23">
        <f t="shared" si="1084"/>
        <v>2170</v>
      </c>
      <c r="BL127" s="23">
        <f>+'QTR Raw'!AF56</f>
        <v>2121</v>
      </c>
      <c r="BM127" s="23">
        <f t="shared" si="1084"/>
        <v>2121</v>
      </c>
      <c r="BN127" s="23">
        <f>+'QTR Raw'!AH56</f>
        <v>2122</v>
      </c>
      <c r="BO127" s="23">
        <f t="shared" si="1084"/>
        <v>2122</v>
      </c>
      <c r="BP127" s="23">
        <f>+'QTR Raw'!AJ56</f>
        <v>2123</v>
      </c>
      <c r="BQ127" s="23">
        <f t="shared" si="1084"/>
        <v>2123</v>
      </c>
      <c r="BR127" s="23">
        <f>+'QTR Raw'!AL56</f>
        <v>2124</v>
      </c>
      <c r="BS127" s="23">
        <f t="shared" si="1084"/>
        <v>2124</v>
      </c>
      <c r="BT127" s="23">
        <f>+'QTR Raw'!AN56</f>
        <v>2097</v>
      </c>
      <c r="BU127" s="23">
        <f t="shared" si="1084"/>
        <v>2097</v>
      </c>
      <c r="BV127" s="23">
        <f>+'QTR Raw'!AP56</f>
        <v>2098</v>
      </c>
      <c r="BW127" s="23">
        <f t="shared" si="1084"/>
        <v>2098</v>
      </c>
      <c r="BX127" s="23">
        <f>+'QTR Raw'!AR56</f>
        <v>2099</v>
      </c>
      <c r="BY127" s="23">
        <f t="shared" si="1084"/>
        <v>2099</v>
      </c>
      <c r="BZ127" s="23">
        <f>+'QTR Raw'!AT56</f>
        <v>2069</v>
      </c>
      <c r="CA127" s="23">
        <f t="shared" si="1084"/>
        <v>2069</v>
      </c>
      <c r="CB127" s="23">
        <f>+'QTR Raw'!AV56</f>
        <v>2070</v>
      </c>
      <c r="CC127" s="23">
        <f t="shared" si="1084"/>
        <v>2070</v>
      </c>
      <c r="CD127" s="23">
        <f>+'QTR Raw'!AX56</f>
        <v>2071</v>
      </c>
      <c r="CE127" s="23">
        <f t="shared" si="1084"/>
        <v>2071</v>
      </c>
      <c r="CF127" s="23">
        <f>+'QTR Raw'!AZ56</f>
        <v>2072</v>
      </c>
      <c r="CG127" s="23">
        <f t="shared" ref="CG127:CG128" si="1085">+CF127</f>
        <v>2072</v>
      </c>
      <c r="CH127" s="23">
        <f>Z127</f>
        <v>2073</v>
      </c>
      <c r="CI127" s="23">
        <f>CH127</f>
        <v>2073</v>
      </c>
      <c r="CJ127" s="23">
        <f>+'QTR Raw'!BD56</f>
        <v>2074</v>
      </c>
      <c r="CK127" s="23">
        <f t="shared" ref="CK127:DB127" si="1086">CJ127</f>
        <v>2074</v>
      </c>
      <c r="CL127" s="23">
        <f>+'QTR Raw'!BF56</f>
        <v>2024</v>
      </c>
      <c r="CM127" s="24">
        <f t="shared" si="1086"/>
        <v>2024</v>
      </c>
      <c r="CN127" s="24">
        <f t="shared" si="1086"/>
        <v>2024</v>
      </c>
      <c r="CO127" s="24">
        <f t="shared" si="1086"/>
        <v>2024</v>
      </c>
      <c r="CP127" s="24">
        <f t="shared" si="1086"/>
        <v>2024</v>
      </c>
      <c r="CQ127" s="24">
        <f t="shared" si="1086"/>
        <v>2024</v>
      </c>
      <c r="CR127" s="24">
        <f t="shared" si="1086"/>
        <v>2024</v>
      </c>
      <c r="CS127" s="24">
        <f t="shared" si="1086"/>
        <v>2024</v>
      </c>
      <c r="CT127" s="24">
        <f t="shared" si="1086"/>
        <v>2024</v>
      </c>
      <c r="CU127" s="24">
        <f t="shared" si="1086"/>
        <v>2024</v>
      </c>
      <c r="CV127" s="24">
        <f t="shared" si="1086"/>
        <v>2024</v>
      </c>
      <c r="CW127" s="24">
        <f t="shared" si="1086"/>
        <v>2024</v>
      </c>
      <c r="CX127" s="24">
        <f t="shared" si="1086"/>
        <v>2024</v>
      </c>
      <c r="CY127" s="24">
        <f t="shared" si="1086"/>
        <v>2024</v>
      </c>
      <c r="CZ127" s="24">
        <f t="shared" si="1086"/>
        <v>2024</v>
      </c>
      <c r="DA127" s="24">
        <f t="shared" si="1086"/>
        <v>2024</v>
      </c>
      <c r="DB127" s="24">
        <f t="shared" si="1086"/>
        <v>2024</v>
      </c>
      <c r="DE127" s="123"/>
      <c r="DF127" s="23">
        <v>2024</v>
      </c>
      <c r="DG127" s="23">
        <v>2074</v>
      </c>
    </row>
    <row r="128" spans="1:111" s="23" customFormat="1" outlineLevel="1" x14ac:dyDescent="0.2">
      <c r="A128" s="23" t="s">
        <v>42</v>
      </c>
      <c r="B128" s="23">
        <f>'Annual Raw'!C42</f>
        <v>0</v>
      </c>
      <c r="C128" s="23">
        <f>'Annual Raw'!D42</f>
        <v>0</v>
      </c>
      <c r="D128" s="23">
        <f>'Annual Raw'!E42</f>
        <v>0</v>
      </c>
      <c r="E128" s="23">
        <f>'Annual Raw'!F42</f>
        <v>0</v>
      </c>
      <c r="F128" s="23">
        <f>'Annual Raw'!G42</f>
        <v>0</v>
      </c>
      <c r="G128" s="23">
        <f>'Annual Raw'!H42</f>
        <v>0</v>
      </c>
      <c r="H128" s="23">
        <f>'Annual Raw'!I42</f>
        <v>0</v>
      </c>
      <c r="I128" s="23">
        <f>'Annual Raw'!J42</f>
        <v>0</v>
      </c>
      <c r="J128" s="23">
        <f>'Annual Raw'!K42</f>
        <v>0</v>
      </c>
      <c r="K128" s="23">
        <f>'Annual Raw'!L42</f>
        <v>0</v>
      </c>
      <c r="L128" s="23">
        <f>'Annual Raw'!M42</f>
        <v>0</v>
      </c>
      <c r="M128" s="23">
        <f>'Annual Raw'!N42</f>
        <v>0</v>
      </c>
      <c r="N128" s="23">
        <f>'Annual Raw'!O42</f>
        <v>0</v>
      </c>
      <c r="O128" s="23">
        <f>'Annual Raw'!P42</f>
        <v>0</v>
      </c>
      <c r="P128" s="23">
        <f>'Annual Raw'!Q42</f>
        <v>2</v>
      </c>
      <c r="Q128" s="23">
        <f>'Annual Raw'!R42</f>
        <v>8</v>
      </c>
      <c r="R128" s="23">
        <f>'Annual Raw'!S42</f>
        <v>120</v>
      </c>
      <c r="S128" s="23">
        <f>'Annual Raw'!T42</f>
        <v>130</v>
      </c>
      <c r="T128" s="23">
        <f>'Annual Raw'!U42</f>
        <v>227</v>
      </c>
      <c r="U128" s="23">
        <f>'Annual Raw'!V42</f>
        <v>297</v>
      </c>
      <c r="V128" s="23">
        <f>'Annual Raw'!W42</f>
        <v>372</v>
      </c>
      <c r="W128" s="23">
        <f>'Annual Raw'!X42</f>
        <v>606</v>
      </c>
      <c r="X128" s="23">
        <f>'Annual Raw'!Y42</f>
        <v>878</v>
      </c>
      <c r="Y128" s="23">
        <f>'Annual Raw'!Z42</f>
        <v>913</v>
      </c>
      <c r="Z128" s="23">
        <f>'Annual Raw'!AA42</f>
        <v>1068</v>
      </c>
      <c r="AA128" s="23">
        <f>'Annual Raw'!AB42</f>
        <v>1538</v>
      </c>
      <c r="AB128" s="24">
        <f t="shared" ref="AB128:AB129" si="1087">+CP128</f>
        <v>0</v>
      </c>
      <c r="AC128" s="24">
        <f t="shared" ref="AC128:AC129" si="1088">+CT128</f>
        <v>0</v>
      </c>
      <c r="AD128" s="24">
        <f t="shared" ref="AD128:AD129" si="1089">+CX128</f>
        <v>0</v>
      </c>
      <c r="AE128" s="24">
        <f t="shared" ref="AE128:AE129" si="1090">+DB128</f>
        <v>0</v>
      </c>
      <c r="AJ128" s="23">
        <f>+'QTR Raw'!D57</f>
        <v>0</v>
      </c>
      <c r="AK128" s="23">
        <f t="shared" ref="AK128:CE128" si="1091">+AJ128</f>
        <v>0</v>
      </c>
      <c r="AL128" s="23">
        <f>+'QTR Raw'!F57</f>
        <v>0</v>
      </c>
      <c r="AM128" s="23">
        <f t="shared" si="1091"/>
        <v>0</v>
      </c>
      <c r="AN128" s="23">
        <f>+'QTR Raw'!H57</f>
        <v>0</v>
      </c>
      <c r="AO128" s="23">
        <f t="shared" si="1091"/>
        <v>0</v>
      </c>
      <c r="AP128" s="23">
        <f>+'QTR Raw'!J57</f>
        <v>0</v>
      </c>
      <c r="AQ128" s="23">
        <f t="shared" si="1091"/>
        <v>0</v>
      </c>
      <c r="AR128" s="23">
        <f>+'QTR Raw'!L57</f>
        <v>0</v>
      </c>
      <c r="AS128" s="23">
        <f t="shared" si="1091"/>
        <v>0</v>
      </c>
      <c r="AT128" s="23">
        <f>+'QTR Raw'!N57</f>
        <v>0</v>
      </c>
      <c r="AU128" s="23">
        <f t="shared" si="1091"/>
        <v>0</v>
      </c>
      <c r="AV128" s="23">
        <f>+'QTR Raw'!P57</f>
        <v>0</v>
      </c>
      <c r="AW128" s="23">
        <f t="shared" si="1091"/>
        <v>0</v>
      </c>
      <c r="AX128" s="23">
        <f>+'QTR Raw'!R57</f>
        <v>0</v>
      </c>
      <c r="AY128" s="23">
        <f t="shared" si="1091"/>
        <v>0</v>
      </c>
      <c r="AZ128" s="23">
        <f>+'QTR Raw'!T57</f>
        <v>0</v>
      </c>
      <c r="BA128" s="23">
        <f t="shared" si="1091"/>
        <v>0</v>
      </c>
      <c r="BB128" s="23">
        <f>+'QTR Raw'!V57</f>
        <v>0</v>
      </c>
      <c r="BC128" s="23">
        <f t="shared" si="1091"/>
        <v>0</v>
      </c>
      <c r="BD128" s="23">
        <f>+'QTR Raw'!X57</f>
        <v>0</v>
      </c>
      <c r="BE128" s="23">
        <f t="shared" si="1091"/>
        <v>0</v>
      </c>
      <c r="BF128" s="23">
        <f>+'QTR Raw'!Z57</f>
        <v>0</v>
      </c>
      <c r="BG128" s="23">
        <f t="shared" si="1091"/>
        <v>0</v>
      </c>
      <c r="BH128" s="23">
        <f>+'QTR Raw'!AB57</f>
        <v>0</v>
      </c>
      <c r="BI128" s="23">
        <f t="shared" si="1091"/>
        <v>0</v>
      </c>
      <c r="BJ128" s="23">
        <f>+'QTR Raw'!AD57</f>
        <v>0</v>
      </c>
      <c r="BK128" s="23">
        <f t="shared" si="1091"/>
        <v>0</v>
      </c>
      <c r="BL128" s="23">
        <f>+'QTR Raw'!AF57</f>
        <v>0</v>
      </c>
      <c r="BM128" s="23">
        <f t="shared" si="1091"/>
        <v>0</v>
      </c>
      <c r="BN128" s="23">
        <f>+'QTR Raw'!AH57</f>
        <v>0</v>
      </c>
      <c r="BO128" s="23">
        <f t="shared" si="1091"/>
        <v>0</v>
      </c>
      <c r="BP128" s="23">
        <f>+'QTR Raw'!AJ57</f>
        <v>0</v>
      </c>
      <c r="BQ128" s="23">
        <f t="shared" si="1091"/>
        <v>0</v>
      </c>
      <c r="BR128" s="23">
        <f>+'QTR Raw'!AL57</f>
        <v>0</v>
      </c>
      <c r="BS128" s="23">
        <f t="shared" si="1091"/>
        <v>0</v>
      </c>
      <c r="BT128" s="23">
        <f>+'QTR Raw'!AN57</f>
        <v>0</v>
      </c>
      <c r="BU128" s="23">
        <f t="shared" si="1091"/>
        <v>0</v>
      </c>
      <c r="BV128" s="23">
        <f>+'QTR Raw'!AP57</f>
        <v>0</v>
      </c>
      <c r="BW128" s="23">
        <f t="shared" si="1091"/>
        <v>0</v>
      </c>
      <c r="BX128" s="23">
        <f>+'QTR Raw'!AR57</f>
        <v>0</v>
      </c>
      <c r="BY128" s="23">
        <f t="shared" si="1091"/>
        <v>0</v>
      </c>
      <c r="BZ128" s="23">
        <f>+'QTR Raw'!AT57</f>
        <v>0</v>
      </c>
      <c r="CA128" s="23">
        <f t="shared" si="1091"/>
        <v>0</v>
      </c>
      <c r="CB128" s="23">
        <f>+'QTR Raw'!AV57</f>
        <v>0</v>
      </c>
      <c r="CC128" s="23">
        <f t="shared" si="1091"/>
        <v>0</v>
      </c>
      <c r="CD128" s="23">
        <f>+'QTR Raw'!AX57</f>
        <v>0</v>
      </c>
      <c r="CE128" s="23">
        <f t="shared" si="1091"/>
        <v>0</v>
      </c>
      <c r="CF128" s="23">
        <f>+'QTR Raw'!AZ57</f>
        <v>0</v>
      </c>
      <c r="CG128" s="23">
        <f t="shared" si="1085"/>
        <v>0</v>
      </c>
      <c r="CH128" s="23">
        <f t="shared" ref="CH128:CH129" si="1092">Z128</f>
        <v>1068</v>
      </c>
      <c r="CI128" s="23">
        <f>CH128</f>
        <v>1068</v>
      </c>
      <c r="CJ128" s="23">
        <f>+'QTR Raw'!BD57</f>
        <v>0</v>
      </c>
      <c r="CK128" s="23">
        <f t="shared" ref="CK128:DB128" si="1093">CJ128</f>
        <v>0</v>
      </c>
      <c r="CL128" s="23">
        <f>+'QTR Raw'!BF57</f>
        <v>0</v>
      </c>
      <c r="CM128" s="24">
        <f t="shared" si="1093"/>
        <v>0</v>
      </c>
      <c r="CN128" s="24">
        <f t="shared" si="1093"/>
        <v>0</v>
      </c>
      <c r="CO128" s="24">
        <f t="shared" si="1093"/>
        <v>0</v>
      </c>
      <c r="CP128" s="24">
        <f t="shared" si="1093"/>
        <v>0</v>
      </c>
      <c r="CQ128" s="24">
        <f t="shared" si="1093"/>
        <v>0</v>
      </c>
      <c r="CR128" s="24">
        <f t="shared" si="1093"/>
        <v>0</v>
      </c>
      <c r="CS128" s="24">
        <f t="shared" si="1093"/>
        <v>0</v>
      </c>
      <c r="CT128" s="24">
        <f t="shared" si="1093"/>
        <v>0</v>
      </c>
      <c r="CU128" s="24">
        <f t="shared" si="1093"/>
        <v>0</v>
      </c>
      <c r="CV128" s="24">
        <f t="shared" si="1093"/>
        <v>0</v>
      </c>
      <c r="CW128" s="24">
        <f t="shared" si="1093"/>
        <v>0</v>
      </c>
      <c r="CX128" s="24">
        <f t="shared" si="1093"/>
        <v>0</v>
      </c>
      <c r="CY128" s="24">
        <f t="shared" si="1093"/>
        <v>0</v>
      </c>
      <c r="CZ128" s="24">
        <f t="shared" si="1093"/>
        <v>0</v>
      </c>
      <c r="DA128" s="24">
        <f t="shared" si="1093"/>
        <v>0</v>
      </c>
      <c r="DB128" s="24">
        <f t="shared" si="1093"/>
        <v>0</v>
      </c>
      <c r="DE128" s="123"/>
      <c r="DF128" s="23">
        <v>0</v>
      </c>
      <c r="DG128" s="23">
        <v>0</v>
      </c>
    </row>
    <row r="129" spans="1:111" s="23" customFormat="1" outlineLevel="1" x14ac:dyDescent="0.2">
      <c r="A129" s="23" t="s">
        <v>43</v>
      </c>
      <c r="B129" s="23">
        <f>'Annual Raw'!C43</f>
        <v>1356.5599903</v>
      </c>
      <c r="C129" s="23">
        <f>'Annual Raw'!D43</f>
        <v>2047.22</v>
      </c>
      <c r="D129" s="23">
        <f>'Annual Raw'!E43</f>
        <v>2824.37</v>
      </c>
      <c r="E129" s="23">
        <f>'Annual Raw'!F43</f>
        <v>3216.26</v>
      </c>
      <c r="F129" s="23">
        <f>'Annual Raw'!G43</f>
        <v>5090</v>
      </c>
      <c r="G129" s="23">
        <f>'Annual Raw'!H43</f>
        <v>6828</v>
      </c>
      <c r="H129" s="23">
        <f>'Annual Raw'!I43</f>
        <v>10969</v>
      </c>
      <c r="I129" s="23">
        <f>'Annual Raw'!J43</f>
        <v>13509</v>
      </c>
      <c r="J129" s="23">
        <f>'Annual Raw'!K43</f>
        <v>17968</v>
      </c>
      <c r="K129" s="23">
        <f>'Annual Raw'!L43</f>
        <v>22763</v>
      </c>
      <c r="L129" s="23">
        <f>'Annual Raw'!M43</f>
        <v>25690</v>
      </c>
      <c r="M129" s="23">
        <f>'Annual Raw'!N43</f>
        <v>31046</v>
      </c>
      <c r="N129" s="23">
        <f>'Annual Raw'!O43</f>
        <v>37708</v>
      </c>
      <c r="O129" s="23">
        <f>'Annual Raw'!P43</f>
        <v>44244</v>
      </c>
      <c r="P129" s="23">
        <f>'Annual Raw'!Q43</f>
        <v>50162</v>
      </c>
      <c r="Q129" s="23">
        <f>'Annual Raw'!R43</f>
        <v>60592</v>
      </c>
      <c r="R129" s="23">
        <f>'Annual Raw'!S43</f>
        <v>67718</v>
      </c>
      <c r="S129" s="23">
        <f>'Annual Raw'!T43</f>
        <v>63705</v>
      </c>
      <c r="T129" s="23">
        <f>'Annual Raw'!U43</f>
        <v>62551</v>
      </c>
      <c r="U129" s="23">
        <f>'Annual Raw'!V43</f>
        <v>63031</v>
      </c>
      <c r="V129" s="23">
        <f>'Annual Raw'!W43</f>
        <v>73855</v>
      </c>
      <c r="W129" s="23">
        <f>'Annual Raw'!X43</f>
        <v>72646</v>
      </c>
      <c r="X129" s="23">
        <f>'Annual Raw'!Y43</f>
        <v>72460</v>
      </c>
      <c r="Y129" s="23">
        <f>'Annual Raw'!Z43</f>
        <v>85132</v>
      </c>
      <c r="Z129" s="23">
        <f>'Annual Raw'!AA43</f>
        <v>92677</v>
      </c>
      <c r="AA129" s="23">
        <f>'Annual Raw'!AB43</f>
        <v>89290</v>
      </c>
      <c r="AB129" s="24">
        <f t="shared" si="1087"/>
        <v>122715.76644252043</v>
      </c>
      <c r="AC129" s="24">
        <f t="shared" si="1088"/>
        <v>157270.27357036038</v>
      </c>
      <c r="AD129" s="24">
        <f t="shared" si="1089"/>
        <v>192250.67306528249</v>
      </c>
      <c r="AE129" s="24">
        <f t="shared" si="1090"/>
        <v>233793.63981691981</v>
      </c>
      <c r="AJ129" s="23">
        <f>+'QTR Raw'!D58</f>
        <v>35730</v>
      </c>
      <c r="AK129" s="23">
        <f>+AJ129+AK58</f>
        <v>38099</v>
      </c>
      <c r="AL129" s="23">
        <f>+'QTR Raw'!F58</f>
        <v>39511</v>
      </c>
      <c r="AM129" s="23">
        <f>+AL129+AM58</f>
        <v>41885</v>
      </c>
      <c r="AN129" s="23">
        <f>+'QTR Raw'!H58</f>
        <v>42913</v>
      </c>
      <c r="AO129" s="23">
        <f>+AN129+AO58</f>
        <v>45788</v>
      </c>
      <c r="AP129" s="23">
        <f>+'QTR Raw'!J58</f>
        <v>47244</v>
      </c>
      <c r="AQ129" s="23">
        <f>+AP129+AQ58</f>
        <v>50130</v>
      </c>
      <c r="AR129" s="23">
        <f>+'QTR Raw'!L58</f>
        <v>50296</v>
      </c>
      <c r="AS129" s="23">
        <f>+AR129+AS58</f>
        <v>53546</v>
      </c>
      <c r="AT129" s="23">
        <f>+'QTR Raw'!N58</f>
        <v>54191</v>
      </c>
      <c r="AU129" s="23">
        <f>+AT129+AU58</f>
        <v>57219</v>
      </c>
      <c r="AV129" s="23">
        <f>+'QTR Raw'!P58</f>
        <v>56201</v>
      </c>
      <c r="AW129" s="23">
        <f>+AV129+AW58</f>
        <v>59666</v>
      </c>
      <c r="AX129" s="23">
        <f>+'QTR Raw'!R58</f>
        <v>60600</v>
      </c>
      <c r="AY129" s="23">
        <f>+AX129+AY58</f>
        <v>64036</v>
      </c>
      <c r="AZ129" s="23">
        <f>+'QTR Raw'!T58</f>
        <v>63681</v>
      </c>
      <c r="BA129" s="23">
        <f>+AZ129+BA58</f>
        <v>67389</v>
      </c>
      <c r="BB129" s="23">
        <f>+'QTR Raw'!V58</f>
        <v>67838</v>
      </c>
      <c r="BC129" s="23">
        <f>+BB129+BC58</f>
        <v>71321</v>
      </c>
      <c r="BD129" s="23">
        <f>+'QTR Raw'!X58</f>
        <v>71226</v>
      </c>
      <c r="BE129" s="23">
        <f>+BD129+BE58</f>
        <v>76355</v>
      </c>
      <c r="BF129" s="23">
        <f>+'QTR Raw'!Z58</f>
        <v>63835</v>
      </c>
      <c r="BG129" s="23">
        <f>+BF129+BG58</f>
        <v>67447</v>
      </c>
      <c r="BH129" s="23">
        <f>+'QTR Raw'!AB58</f>
        <v>62972</v>
      </c>
      <c r="BI129" s="23">
        <f>+BH129+BI58</f>
        <v>66581</v>
      </c>
      <c r="BJ129" s="23">
        <f>+'QTR Raw'!AD58</f>
        <v>62778</v>
      </c>
      <c r="BK129" s="23">
        <f>+BJ129+BK58</f>
        <v>66576</v>
      </c>
      <c r="BL129" s="23">
        <f>+'QTR Raw'!AF58</f>
        <v>58400</v>
      </c>
      <c r="BM129" s="23">
        <f>+BL129+BM58</f>
        <v>62857</v>
      </c>
      <c r="BN129" s="23">
        <f>+'QTR Raw'!AH58</f>
        <v>63328</v>
      </c>
      <c r="BO129" s="23">
        <f>+BN129+BO58</f>
        <v>67561</v>
      </c>
      <c r="BP129" s="23">
        <f>+'QTR Raw'!AJ58</f>
        <v>68877</v>
      </c>
      <c r="BQ129" s="23">
        <f>+BP129+BQ58</f>
        <v>74074</v>
      </c>
      <c r="BR129" s="23">
        <f>+'QTR Raw'!AL58</f>
        <v>74227</v>
      </c>
      <c r="BS129" s="23">
        <f>+BR129+BS58</f>
        <v>79422</v>
      </c>
      <c r="BT129" s="23">
        <f>+'QTR Raw'!AN58</f>
        <v>67842</v>
      </c>
      <c r="BU129" s="23">
        <f>+BT129+BU58</f>
        <v>73651</v>
      </c>
      <c r="BV129" s="23">
        <f>+'QTR Raw'!AP58</f>
        <v>73252</v>
      </c>
      <c r="BW129" s="23">
        <f>+BV129+BW58</f>
        <v>78612</v>
      </c>
      <c r="BX129" s="23">
        <f>+'QTR Raw'!AR58</f>
        <v>77882</v>
      </c>
      <c r="BY129" s="23">
        <f>+BX129+BY58</f>
        <v>84468</v>
      </c>
      <c r="BZ129" s="23">
        <f>+'QTR Raw'!AT58</f>
        <v>73338</v>
      </c>
      <c r="CA129" s="23">
        <f>+BZ129+CA58</f>
        <v>79283</v>
      </c>
      <c r="CB129" s="23">
        <f>+'QTR Raw'!AV58</f>
        <v>78698</v>
      </c>
      <c r="CC129" s="23">
        <f>+CB129+CC58</f>
        <v>84804</v>
      </c>
      <c r="CD129" s="23">
        <f>+'QTR Raw'!AX58</f>
        <v>86045</v>
      </c>
      <c r="CE129" s="23">
        <f>+CD129+CE58</f>
        <v>92413</v>
      </c>
      <c r="CF129" s="23">
        <f>+'QTR Raw'!AZ58</f>
        <v>88391</v>
      </c>
      <c r="CG129" s="23">
        <f>+CF129+CG58</f>
        <v>95197</v>
      </c>
      <c r="CH129" s="23">
        <f t="shared" si="1092"/>
        <v>92677</v>
      </c>
      <c r="CI129" s="23">
        <f>CH129+CI58</f>
        <v>99598</v>
      </c>
      <c r="CJ129" s="23">
        <f>+'QTR Raw'!BD58</f>
        <v>101256</v>
      </c>
      <c r="CK129" s="23">
        <f t="shared" ref="CK129:DB129" si="1094">CJ129+CK58</f>
        <v>107910</v>
      </c>
      <c r="CL129" s="23">
        <f>+'QTR Raw'!BF58</f>
        <v>90828</v>
      </c>
      <c r="CM129" s="24">
        <f t="shared" si="1094"/>
        <v>98489.42552918478</v>
      </c>
      <c r="CN129" s="24">
        <f t="shared" si="1094"/>
        <v>106367.33239864135</v>
      </c>
      <c r="CO129" s="24">
        <f t="shared" si="1094"/>
        <v>114455.43014517162</v>
      </c>
      <c r="CP129" s="24">
        <f t="shared" si="1094"/>
        <v>122715.76644252043</v>
      </c>
      <c r="CQ129" s="24">
        <f t="shared" si="1094"/>
        <v>131102.77711956701</v>
      </c>
      <c r="CR129" s="24">
        <f t="shared" si="1094"/>
        <v>139736.57814141226</v>
      </c>
      <c r="CS129" s="24">
        <f t="shared" si="1094"/>
        <v>148400.29809828848</v>
      </c>
      <c r="CT129" s="24">
        <f t="shared" si="1094"/>
        <v>157270.27357036038</v>
      </c>
      <c r="CU129" s="24">
        <f t="shared" si="1094"/>
        <v>165754.19192883233</v>
      </c>
      <c r="CV129" s="24">
        <f t="shared" si="1094"/>
        <v>174450.66453651967</v>
      </c>
      <c r="CW129" s="24">
        <f t="shared" si="1094"/>
        <v>183290.8315602002</v>
      </c>
      <c r="CX129" s="24">
        <f t="shared" si="1094"/>
        <v>192250.67306528249</v>
      </c>
      <c r="CY129" s="24">
        <f t="shared" si="1094"/>
        <v>202043.70483988442</v>
      </c>
      <c r="CZ129" s="24">
        <f t="shared" si="1094"/>
        <v>212196.20794376222</v>
      </c>
      <c r="DA129" s="24">
        <f t="shared" si="1094"/>
        <v>222753.32321702453</v>
      </c>
      <c r="DB129" s="24">
        <f t="shared" si="1094"/>
        <v>233793.63981691981</v>
      </c>
      <c r="DE129" s="123"/>
      <c r="DF129" s="23">
        <v>90828</v>
      </c>
      <c r="DG129" s="23">
        <v>115141.85524680595</v>
      </c>
    </row>
    <row r="130" spans="1:111" s="22" customFormat="1" x14ac:dyDescent="0.2">
      <c r="A130" s="22" t="s">
        <v>44</v>
      </c>
      <c r="B130" s="22">
        <f>B127+B128+B129</f>
        <v>1389.6391988</v>
      </c>
      <c r="C130" s="22">
        <f t="shared" ref="C130:V130" si="1095">C127+C128+C129</f>
        <v>2080.31</v>
      </c>
      <c r="D130" s="22">
        <f t="shared" si="1095"/>
        <v>2906.49</v>
      </c>
      <c r="E130" s="22">
        <f t="shared" si="1095"/>
        <v>3343.1400000000003</v>
      </c>
      <c r="F130" s="22">
        <f t="shared" si="1095"/>
        <v>5319</v>
      </c>
      <c r="G130" s="22">
        <f t="shared" si="1095"/>
        <v>6966</v>
      </c>
      <c r="H130" s="22">
        <f t="shared" si="1095"/>
        <v>11255</v>
      </c>
      <c r="I130" s="22">
        <f t="shared" si="1095"/>
        <v>13795</v>
      </c>
      <c r="J130" s="22">
        <f t="shared" si="1095"/>
        <v>18254</v>
      </c>
      <c r="K130" s="22">
        <f t="shared" si="1095"/>
        <v>23049</v>
      </c>
      <c r="L130" s="22">
        <f t="shared" si="1095"/>
        <v>25976</v>
      </c>
      <c r="M130" s="22">
        <f>M127+M128+M129</f>
        <v>31332</v>
      </c>
      <c r="N130" s="22">
        <f t="shared" si="1095"/>
        <v>37994</v>
      </c>
      <c r="O130" s="22">
        <f t="shared" si="1095"/>
        <v>44530</v>
      </c>
      <c r="P130" s="22">
        <f t="shared" si="1095"/>
        <v>50736</v>
      </c>
      <c r="Q130" s="22">
        <f t="shared" si="1095"/>
        <v>61744</v>
      </c>
      <c r="R130" s="22">
        <f t="shared" si="1095"/>
        <v>68982</v>
      </c>
      <c r="S130" s="22">
        <f t="shared" si="1095"/>
        <v>64923</v>
      </c>
      <c r="T130" s="22">
        <f t="shared" si="1095"/>
        <v>64948</v>
      </c>
      <c r="U130" s="22">
        <f t="shared" si="1095"/>
        <v>65450</v>
      </c>
      <c r="V130" s="22">
        <f t="shared" si="1095"/>
        <v>76351</v>
      </c>
      <c r="W130" s="22">
        <f t="shared" ref="W130" si="1096">W127+W128+W129</f>
        <v>75350</v>
      </c>
      <c r="X130" s="22">
        <f t="shared" ref="X130:Y130" si="1097">X127+X128+X129</f>
        <v>75407</v>
      </c>
      <c r="Y130" s="22">
        <f t="shared" si="1097"/>
        <v>88116</v>
      </c>
      <c r="Z130" s="22">
        <f t="shared" ref="Z130:AA130" si="1098">Z127+Z128+Z129</f>
        <v>95818</v>
      </c>
      <c r="AA130" s="22">
        <f t="shared" ref="AA130" si="1099">AA127+AA128+AA129</f>
        <v>92852</v>
      </c>
      <c r="AB130" s="21">
        <f t="shared" ref="AB130:AD130" si="1100">AB127+AB128+AB129</f>
        <v>124739.76644252043</v>
      </c>
      <c r="AC130" s="21">
        <f t="shared" si="1100"/>
        <v>159294.27357036038</v>
      </c>
      <c r="AD130" s="21">
        <f t="shared" si="1100"/>
        <v>194274.67306528249</v>
      </c>
      <c r="AE130" s="21">
        <f t="shared" ref="AE130" si="1101">AE127+AE128+AE129</f>
        <v>235817.63981691981</v>
      </c>
      <c r="AJ130" s="22">
        <f t="shared" ref="AJ130" si="1102">AJ127+AJ128+AJ129</f>
        <v>36016</v>
      </c>
      <c r="AK130" s="22">
        <f t="shared" ref="AK130" si="1103">AK127+AK128+AK129</f>
        <v>38385</v>
      </c>
      <c r="AL130" s="22">
        <f t="shared" ref="AL130:AM130" si="1104">AL127+AL128+AL129</f>
        <v>39797</v>
      </c>
      <c r="AM130" s="22">
        <f t="shared" si="1104"/>
        <v>42171</v>
      </c>
      <c r="AN130" s="22">
        <f t="shared" ref="AN130:AO130" si="1105">AN127+AN128+AN129</f>
        <v>43199</v>
      </c>
      <c r="AO130" s="22">
        <f t="shared" si="1105"/>
        <v>46074</v>
      </c>
      <c r="AP130" s="22">
        <f t="shared" ref="AP130:CE130" si="1106">AP127+AP128+AP129</f>
        <v>47530</v>
      </c>
      <c r="AQ130" s="22">
        <f t="shared" si="1106"/>
        <v>50416</v>
      </c>
      <c r="AR130" s="22">
        <f t="shared" si="1106"/>
        <v>50582</v>
      </c>
      <c r="AS130" s="22">
        <f t="shared" si="1106"/>
        <v>53832</v>
      </c>
      <c r="AT130" s="22">
        <f t="shared" si="1106"/>
        <v>54763</v>
      </c>
      <c r="AU130" s="22">
        <f t="shared" si="1106"/>
        <v>57791</v>
      </c>
      <c r="AV130" s="22">
        <f t="shared" si="1106"/>
        <v>57345</v>
      </c>
      <c r="AW130" s="22">
        <f t="shared" si="1106"/>
        <v>60810</v>
      </c>
      <c r="AX130" s="22">
        <f t="shared" si="1106"/>
        <v>61744</v>
      </c>
      <c r="AY130" s="22">
        <f t="shared" si="1106"/>
        <v>65180</v>
      </c>
      <c r="AZ130" s="22">
        <f t="shared" si="1106"/>
        <v>64825</v>
      </c>
      <c r="BA130" s="22">
        <f t="shared" si="1106"/>
        <v>68533</v>
      </c>
      <c r="BB130" s="22">
        <f t="shared" si="1106"/>
        <v>68982</v>
      </c>
      <c r="BC130" s="22">
        <f t="shared" si="1106"/>
        <v>72465</v>
      </c>
      <c r="BD130" s="22">
        <f t="shared" si="1106"/>
        <v>72370</v>
      </c>
      <c r="BE130" s="22">
        <f t="shared" si="1106"/>
        <v>77499</v>
      </c>
      <c r="BF130" s="22">
        <f t="shared" si="1106"/>
        <v>64923</v>
      </c>
      <c r="BG130" s="22">
        <f t="shared" si="1106"/>
        <v>68535</v>
      </c>
      <c r="BH130" s="22">
        <f t="shared" si="1106"/>
        <v>65148</v>
      </c>
      <c r="BI130" s="22">
        <f t="shared" si="1106"/>
        <v>68757</v>
      </c>
      <c r="BJ130" s="22">
        <f t="shared" si="1106"/>
        <v>64948</v>
      </c>
      <c r="BK130" s="22">
        <f t="shared" si="1106"/>
        <v>68746</v>
      </c>
      <c r="BL130" s="22">
        <f t="shared" si="1106"/>
        <v>60521</v>
      </c>
      <c r="BM130" s="22">
        <f t="shared" si="1106"/>
        <v>64978</v>
      </c>
      <c r="BN130" s="22">
        <f t="shared" si="1106"/>
        <v>65450</v>
      </c>
      <c r="BO130" s="22">
        <f t="shared" si="1106"/>
        <v>69683</v>
      </c>
      <c r="BP130" s="22">
        <f t="shared" si="1106"/>
        <v>71000</v>
      </c>
      <c r="BQ130" s="22">
        <f t="shared" si="1106"/>
        <v>76197</v>
      </c>
      <c r="BR130" s="22">
        <f t="shared" si="1106"/>
        <v>76351</v>
      </c>
      <c r="BS130" s="22">
        <f t="shared" si="1106"/>
        <v>81546</v>
      </c>
      <c r="BT130" s="22">
        <f t="shared" si="1106"/>
        <v>69939</v>
      </c>
      <c r="BU130" s="22">
        <f t="shared" si="1106"/>
        <v>75748</v>
      </c>
      <c r="BV130" s="22">
        <f t="shared" si="1106"/>
        <v>75350</v>
      </c>
      <c r="BW130" s="22">
        <f t="shared" si="1106"/>
        <v>80710</v>
      </c>
      <c r="BX130" s="22">
        <f t="shared" si="1106"/>
        <v>79981</v>
      </c>
      <c r="BY130" s="22">
        <f t="shared" si="1106"/>
        <v>86567</v>
      </c>
      <c r="BZ130" s="22">
        <f t="shared" si="1106"/>
        <v>75407</v>
      </c>
      <c r="CA130" s="22">
        <f t="shared" si="1106"/>
        <v>81352</v>
      </c>
      <c r="CB130" s="22">
        <f t="shared" si="1106"/>
        <v>80768</v>
      </c>
      <c r="CC130" s="22">
        <f t="shared" si="1106"/>
        <v>86874</v>
      </c>
      <c r="CD130" s="22">
        <f t="shared" si="1106"/>
        <v>88116</v>
      </c>
      <c r="CE130" s="22">
        <f t="shared" si="1106"/>
        <v>94484</v>
      </c>
      <c r="CF130" s="22">
        <f t="shared" ref="CF130:CG130" si="1107">CF127+CF128+CF129</f>
        <v>90463</v>
      </c>
      <c r="CG130" s="22">
        <f t="shared" si="1107"/>
        <v>97269</v>
      </c>
      <c r="CH130" s="22">
        <f t="shared" ref="CH130:CI130" si="1108">CH127+CH128+CH129</f>
        <v>95818</v>
      </c>
      <c r="CI130" s="22">
        <f t="shared" si="1108"/>
        <v>102739</v>
      </c>
      <c r="CJ130" s="22">
        <f t="shared" ref="CJ130:DB130" si="1109">CJ127+CJ128+CJ129</f>
        <v>103330</v>
      </c>
      <c r="CK130" s="22">
        <f t="shared" si="1109"/>
        <v>109984</v>
      </c>
      <c r="CL130" s="22">
        <f t="shared" ref="CL130" si="1110">CL127+CL128+CL129</f>
        <v>92852</v>
      </c>
      <c r="CM130" s="21">
        <f t="shared" si="1109"/>
        <v>100513.42552918478</v>
      </c>
      <c r="CN130" s="21">
        <f t="shared" si="1109"/>
        <v>108391.33239864135</v>
      </c>
      <c r="CO130" s="21">
        <f t="shared" si="1109"/>
        <v>116479.43014517162</v>
      </c>
      <c r="CP130" s="21">
        <f t="shared" si="1109"/>
        <v>124739.76644252043</v>
      </c>
      <c r="CQ130" s="21">
        <f t="shared" si="1109"/>
        <v>133126.77711956701</v>
      </c>
      <c r="CR130" s="21">
        <f t="shared" si="1109"/>
        <v>141760.57814141226</v>
      </c>
      <c r="CS130" s="21">
        <f t="shared" si="1109"/>
        <v>150424.29809828848</v>
      </c>
      <c r="CT130" s="21">
        <f t="shared" si="1109"/>
        <v>159294.27357036038</v>
      </c>
      <c r="CU130" s="21">
        <f t="shared" si="1109"/>
        <v>167778.19192883233</v>
      </c>
      <c r="CV130" s="21">
        <f t="shared" si="1109"/>
        <v>176474.66453651967</v>
      </c>
      <c r="CW130" s="21">
        <f t="shared" si="1109"/>
        <v>185314.8315602002</v>
      </c>
      <c r="CX130" s="21">
        <f t="shared" si="1109"/>
        <v>194274.67306528249</v>
      </c>
      <c r="CY130" s="21">
        <f t="shared" si="1109"/>
        <v>204067.70483988442</v>
      </c>
      <c r="CZ130" s="21">
        <f t="shared" si="1109"/>
        <v>214220.20794376222</v>
      </c>
      <c r="DA130" s="21">
        <f t="shared" si="1109"/>
        <v>224777.32321702453</v>
      </c>
      <c r="DB130" s="21">
        <f t="shared" si="1109"/>
        <v>235817.63981691981</v>
      </c>
      <c r="DE130" s="126"/>
      <c r="DF130" s="22">
        <v>92852</v>
      </c>
      <c r="DG130" s="22">
        <v>117215.85524680595</v>
      </c>
    </row>
    <row r="131" spans="1:111" s="22" customFormat="1" x14ac:dyDescent="0.2">
      <c r="AB131" s="21"/>
      <c r="AC131" s="21"/>
      <c r="AD131" s="21"/>
      <c r="AE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E131" s="126"/>
    </row>
    <row r="132" spans="1:111" s="23" customFormat="1" x14ac:dyDescent="0.2">
      <c r="A132" s="23" t="s">
        <v>23</v>
      </c>
      <c r="B132" s="23">
        <f>'Annual Raw'!C45</f>
        <v>0</v>
      </c>
      <c r="C132" s="23">
        <f>'Annual Raw'!D45</f>
        <v>0</v>
      </c>
      <c r="D132" s="23">
        <f>'Annual Raw'!E45</f>
        <v>0</v>
      </c>
      <c r="E132" s="23">
        <f>'Annual Raw'!F45</f>
        <v>0</v>
      </c>
      <c r="F132" s="23">
        <f>'Annual Raw'!G45</f>
        <v>0</v>
      </c>
      <c r="G132" s="23">
        <f>'Annual Raw'!H45</f>
        <v>68</v>
      </c>
      <c r="H132" s="23">
        <f>'Annual Raw'!I45</f>
        <v>4</v>
      </c>
      <c r="I132" s="23">
        <f>'Annual Raw'!J45</f>
        <v>0</v>
      </c>
      <c r="J132" s="23">
        <f>'Annual Raw'!K45</f>
        <v>0</v>
      </c>
      <c r="K132" s="23">
        <f>'Annual Raw'!L45</f>
        <v>0</v>
      </c>
      <c r="L132" s="23">
        <f>'Annual Raw'!M45</f>
        <v>0</v>
      </c>
      <c r="M132" s="23">
        <f>'Annual Raw'!N45</f>
        <v>0</v>
      </c>
      <c r="N132" s="23">
        <f>'Annual Raw'!O45</f>
        <v>0</v>
      </c>
      <c r="O132" s="23">
        <f>'Annual Raw'!P45</f>
        <v>0</v>
      </c>
      <c r="P132" s="23">
        <f>'Annual Raw'!Q45</f>
        <v>0</v>
      </c>
      <c r="Q132" s="23">
        <f>'Annual Raw'!R45</f>
        <v>0</v>
      </c>
      <c r="R132" s="23">
        <f>'Annual Raw'!S45</f>
        <v>0</v>
      </c>
      <c r="S132" s="23">
        <f>'Annual Raw'!T45</f>
        <v>1</v>
      </c>
      <c r="T132" s="23">
        <f>'Annual Raw'!U45</f>
        <v>58</v>
      </c>
      <c r="U132" s="23">
        <f>'Annual Raw'!V45</f>
        <v>394</v>
      </c>
      <c r="V132" s="23">
        <f>'Annual Raw'!W45</f>
        <v>431</v>
      </c>
      <c r="W132" s="23">
        <f>'Annual Raw'!X45</f>
        <v>386</v>
      </c>
      <c r="X132" s="23">
        <f>'Annual Raw'!Y45</f>
        <v>388</v>
      </c>
      <c r="Y132" s="23">
        <f>'Annual Raw'!Z45</f>
        <v>345</v>
      </c>
      <c r="Z132" s="23">
        <f>'Annual Raw'!AA45</f>
        <v>385</v>
      </c>
      <c r="AA132" s="23">
        <f>'Annual Raw'!AB45</f>
        <v>445</v>
      </c>
      <c r="AB132" s="24">
        <f>+CP132</f>
        <v>445</v>
      </c>
      <c r="AC132" s="24">
        <f>+CT132</f>
        <v>445</v>
      </c>
      <c r="AD132" s="24">
        <f>+CX132</f>
        <v>445</v>
      </c>
      <c r="AE132" s="24">
        <f>+DB132</f>
        <v>445</v>
      </c>
      <c r="AJ132" s="23">
        <f>+'QTR Raw'!D60</f>
        <v>0</v>
      </c>
      <c r="AK132" s="23">
        <f t="shared" ref="AK132:CE132" si="1111">+AJ132</f>
        <v>0</v>
      </c>
      <c r="AL132" s="23">
        <f>+'QTR Raw'!F60</f>
        <v>0</v>
      </c>
      <c r="AM132" s="23">
        <f t="shared" si="1111"/>
        <v>0</v>
      </c>
      <c r="AN132" s="23">
        <f>+'QTR Raw'!H60</f>
        <v>0</v>
      </c>
      <c r="AO132" s="23">
        <f t="shared" si="1111"/>
        <v>0</v>
      </c>
      <c r="AP132" s="23">
        <f>+'QTR Raw'!J60</f>
        <v>0</v>
      </c>
      <c r="AQ132" s="23">
        <f t="shared" si="1111"/>
        <v>0</v>
      </c>
      <c r="AR132" s="23">
        <f>+'QTR Raw'!L60</f>
        <v>0</v>
      </c>
      <c r="AS132" s="23">
        <f t="shared" si="1111"/>
        <v>0</v>
      </c>
      <c r="AT132" s="23">
        <f>+'QTR Raw'!N60</f>
        <v>0</v>
      </c>
      <c r="AU132" s="23">
        <f t="shared" si="1111"/>
        <v>0</v>
      </c>
      <c r="AV132" s="23">
        <f>+'QTR Raw'!P60</f>
        <v>0</v>
      </c>
      <c r="AW132" s="23">
        <f t="shared" si="1111"/>
        <v>0</v>
      </c>
      <c r="AX132" s="23">
        <f>+'QTR Raw'!R60</f>
        <v>0</v>
      </c>
      <c r="AY132" s="23">
        <f t="shared" si="1111"/>
        <v>0</v>
      </c>
      <c r="AZ132" s="23">
        <f>+'QTR Raw'!T60</f>
        <v>0</v>
      </c>
      <c r="BA132" s="23">
        <f t="shared" si="1111"/>
        <v>0</v>
      </c>
      <c r="BB132" s="23">
        <f>+'QTR Raw'!V60</f>
        <v>0</v>
      </c>
      <c r="BC132" s="23">
        <f t="shared" si="1111"/>
        <v>0</v>
      </c>
      <c r="BD132" s="23">
        <f>+'QTR Raw'!X60</f>
        <v>0</v>
      </c>
      <c r="BE132" s="23">
        <f t="shared" si="1111"/>
        <v>0</v>
      </c>
      <c r="BF132" s="23">
        <f>+'QTR Raw'!Z60</f>
        <v>1</v>
      </c>
      <c r="BG132" s="23">
        <f t="shared" si="1111"/>
        <v>1</v>
      </c>
      <c r="BH132" s="22">
        <f>+'QTR Raw'!AB60</f>
        <v>1</v>
      </c>
      <c r="BI132" s="23">
        <f t="shared" si="1111"/>
        <v>1</v>
      </c>
      <c r="BJ132" s="23">
        <f>+'QTR Raw'!AD60</f>
        <v>58</v>
      </c>
      <c r="BK132" s="23">
        <f t="shared" si="1111"/>
        <v>58</v>
      </c>
      <c r="BL132" s="23">
        <f>+'QTR Raw'!AF60</f>
        <v>360</v>
      </c>
      <c r="BM132" s="23">
        <f t="shared" si="1111"/>
        <v>360</v>
      </c>
      <c r="BN132" s="23">
        <f>+'QTR Raw'!AH60</f>
        <v>394</v>
      </c>
      <c r="BO132" s="23">
        <f t="shared" si="1111"/>
        <v>394</v>
      </c>
      <c r="BP132" s="23">
        <f>+'QTR Raw'!AJ60</f>
        <v>434</v>
      </c>
      <c r="BQ132" s="23">
        <f t="shared" si="1111"/>
        <v>434</v>
      </c>
      <c r="BR132" s="23">
        <f>+'QTR Raw'!AL60</f>
        <v>431</v>
      </c>
      <c r="BS132" s="23">
        <f t="shared" si="1111"/>
        <v>431</v>
      </c>
      <c r="BT132" s="23">
        <f>+'QTR Raw'!AN60</f>
        <v>409</v>
      </c>
      <c r="BU132" s="23">
        <f t="shared" si="1111"/>
        <v>409</v>
      </c>
      <c r="BV132" s="23">
        <f>+'QTR Raw'!AP60</f>
        <v>386</v>
      </c>
      <c r="BW132" s="23">
        <f t="shared" si="1111"/>
        <v>386</v>
      </c>
      <c r="BX132" s="23">
        <f>+'QTR Raw'!AR60</f>
        <v>366</v>
      </c>
      <c r="BY132" s="23">
        <f t="shared" si="1111"/>
        <v>366</v>
      </c>
      <c r="BZ132" s="23">
        <f>+'QTR Raw'!AT60</f>
        <v>388</v>
      </c>
      <c r="CA132" s="23">
        <f t="shared" si="1111"/>
        <v>388</v>
      </c>
      <c r="CB132" s="23">
        <f>+'QTR Raw'!AV60</f>
        <v>386</v>
      </c>
      <c r="CC132" s="23">
        <f t="shared" si="1111"/>
        <v>386</v>
      </c>
      <c r="CD132" s="23">
        <f>+'QTR Raw'!AX60</f>
        <v>345</v>
      </c>
      <c r="CE132" s="23">
        <f t="shared" si="1111"/>
        <v>345</v>
      </c>
      <c r="CF132" s="23">
        <f>+'QTR Raw'!AZ60</f>
        <v>367</v>
      </c>
      <c r="CG132" s="23">
        <f t="shared" ref="CG132:CI132" si="1112">+CF132</f>
        <v>367</v>
      </c>
      <c r="CH132" s="23">
        <f t="shared" ref="CH132:CH137" si="1113">Z132</f>
        <v>385</v>
      </c>
      <c r="CI132" s="23">
        <f t="shared" si="1112"/>
        <v>385</v>
      </c>
      <c r="CJ132" s="23">
        <f>+'QTR Raw'!BD60</f>
        <v>414</v>
      </c>
      <c r="CK132" s="23">
        <f t="shared" ref="CK132" si="1114">+CJ132</f>
        <v>414</v>
      </c>
      <c r="CL132" s="23">
        <f>+'QTR Raw'!BF60</f>
        <v>445</v>
      </c>
      <c r="CM132" s="24">
        <f t="shared" ref="CM132" si="1115">+CL132</f>
        <v>445</v>
      </c>
      <c r="CN132" s="24">
        <f t="shared" ref="CN132" si="1116">+CM132</f>
        <v>445</v>
      </c>
      <c r="CO132" s="24">
        <f t="shared" ref="CO132" si="1117">+CN132</f>
        <v>445</v>
      </c>
      <c r="CP132" s="24">
        <f t="shared" ref="CP132" si="1118">+CO132</f>
        <v>445</v>
      </c>
      <c r="CQ132" s="24">
        <f t="shared" ref="CQ132" si="1119">+CP132</f>
        <v>445</v>
      </c>
      <c r="CR132" s="24">
        <f t="shared" ref="CR132" si="1120">+CQ132</f>
        <v>445</v>
      </c>
      <c r="CS132" s="24">
        <f t="shared" ref="CS132" si="1121">+CR132</f>
        <v>445</v>
      </c>
      <c r="CT132" s="24">
        <f t="shared" ref="CT132" si="1122">+CS132</f>
        <v>445</v>
      </c>
      <c r="CU132" s="24">
        <f t="shared" ref="CU132" si="1123">+CT132</f>
        <v>445</v>
      </c>
      <c r="CV132" s="24">
        <f t="shared" ref="CV132" si="1124">+CU132</f>
        <v>445</v>
      </c>
      <c r="CW132" s="24">
        <f t="shared" ref="CW132" si="1125">+CV132</f>
        <v>445</v>
      </c>
      <c r="CX132" s="24">
        <f t="shared" ref="CX132" si="1126">+CW132</f>
        <v>445</v>
      </c>
      <c r="CY132" s="24">
        <f t="shared" ref="CY132" si="1127">+CX132</f>
        <v>445</v>
      </c>
      <c r="CZ132" s="24">
        <f t="shared" ref="CZ132" si="1128">+CY132</f>
        <v>445</v>
      </c>
      <c r="DA132" s="24">
        <f t="shared" ref="DA132" si="1129">+CZ132</f>
        <v>445</v>
      </c>
      <c r="DB132" s="24">
        <f t="shared" ref="DB132" si="1130">+DA132</f>
        <v>445</v>
      </c>
      <c r="DE132" s="123"/>
      <c r="DF132" s="23">
        <v>445</v>
      </c>
      <c r="DG132" s="23">
        <v>414</v>
      </c>
    </row>
    <row r="133" spans="1:111" s="23" customFormat="1" x14ac:dyDescent="0.2">
      <c r="AB133" s="24"/>
      <c r="AC133" s="24"/>
      <c r="AD133" s="24"/>
      <c r="AE133" s="24"/>
      <c r="BH133" s="22"/>
      <c r="CM133" s="24"/>
      <c r="CN133" s="24"/>
      <c r="CO133" s="24"/>
      <c r="CP133" s="24"/>
      <c r="CQ133" s="24"/>
      <c r="CR133" s="24"/>
      <c r="CS133" s="24"/>
      <c r="CT133" s="24"/>
      <c r="CU133" s="24"/>
      <c r="CV133" s="24"/>
      <c r="CW133" s="24"/>
      <c r="CX133" s="24"/>
      <c r="CY133" s="24"/>
      <c r="CZ133" s="24"/>
      <c r="DA133" s="24"/>
      <c r="DB133" s="24"/>
      <c r="DE133" s="123"/>
    </row>
    <row r="134" spans="1:111" s="23" customFormat="1" outlineLevel="1" x14ac:dyDescent="0.2">
      <c r="A134" s="23" t="s">
        <v>45</v>
      </c>
      <c r="B134" s="23">
        <f>'Annual Raw'!C47</f>
        <v>0</v>
      </c>
      <c r="C134" s="23">
        <f>'Annual Raw'!D47</f>
        <v>0</v>
      </c>
      <c r="D134" s="23">
        <f>'Annual Raw'!E47</f>
        <v>0</v>
      </c>
      <c r="E134" s="23">
        <f>'Annual Raw'!F47</f>
        <v>0</v>
      </c>
      <c r="F134" s="23">
        <f>'Annual Raw'!G47</f>
        <v>0</v>
      </c>
      <c r="G134" s="23">
        <f>'Annual Raw'!H47</f>
        <v>0</v>
      </c>
      <c r="H134" s="23">
        <f>'Annual Raw'!I47</f>
        <v>0</v>
      </c>
      <c r="I134" s="23">
        <f>'Annual Raw'!J47</f>
        <v>0</v>
      </c>
      <c r="J134" s="23">
        <f>'Annual Raw'!K47</f>
        <v>0</v>
      </c>
      <c r="K134" s="23">
        <f>'Annual Raw'!L47</f>
        <v>0</v>
      </c>
      <c r="L134" s="23">
        <f>'Annual Raw'!M47</f>
        <v>0</v>
      </c>
      <c r="M134" s="23">
        <f>'Annual Raw'!N47</f>
        <v>0</v>
      </c>
      <c r="N134" s="23">
        <f>'Annual Raw'!O47</f>
        <v>0</v>
      </c>
      <c r="O134" s="23">
        <f>'Annual Raw'!P47</f>
        <v>0</v>
      </c>
      <c r="P134" s="23">
        <f>'Annual Raw'!Q47</f>
        <v>0</v>
      </c>
      <c r="Q134" s="23">
        <f>'Annual Raw'!R47</f>
        <v>0</v>
      </c>
      <c r="R134" s="23">
        <f>'Annual Raw'!S47</f>
        <v>0</v>
      </c>
      <c r="S134" s="23">
        <f>'Annual Raw'!T47</f>
        <v>0</v>
      </c>
      <c r="T134" s="23">
        <f>'Annual Raw'!U47</f>
        <v>0</v>
      </c>
      <c r="U134" s="23">
        <f>'Annual Raw'!V47</f>
        <v>0</v>
      </c>
      <c r="V134" s="23">
        <f>'Annual Raw'!W47</f>
        <v>0</v>
      </c>
      <c r="W134" s="23">
        <f>'Annual Raw'!X47</f>
        <v>0</v>
      </c>
      <c r="X134" s="23">
        <f>'Annual Raw'!Y47</f>
        <v>0</v>
      </c>
      <c r="Y134" s="23">
        <f>'Annual Raw'!Z47</f>
        <v>0</v>
      </c>
      <c r="Z134" s="23">
        <f>'Annual Raw'!AA47</f>
        <v>0</v>
      </c>
      <c r="AA134" s="23">
        <f>'Annual Raw'!AB47</f>
        <v>0</v>
      </c>
      <c r="AB134" s="24">
        <f t="shared" ref="AB134:AB137" si="1131">+CP134</f>
        <v>0</v>
      </c>
      <c r="AC134" s="24">
        <f t="shared" ref="AC134:AC137" si="1132">+CT134</f>
        <v>0</v>
      </c>
      <c r="AD134" s="24">
        <f t="shared" ref="AD134:AD137" si="1133">+CX134</f>
        <v>0</v>
      </c>
      <c r="AE134" s="24">
        <f t="shared" ref="AE134:AE137" si="1134">+DB134</f>
        <v>0</v>
      </c>
      <c r="AJ134" s="23">
        <f>+'QTR Raw'!D62</f>
        <v>0</v>
      </c>
      <c r="AK134" s="23">
        <f t="shared" ref="AK134:CC137" si="1135">+AJ134</f>
        <v>0</v>
      </c>
      <c r="AL134" s="23">
        <f>+'QTR Raw'!F62</f>
        <v>0</v>
      </c>
      <c r="AM134" s="23">
        <f t="shared" si="1135"/>
        <v>0</v>
      </c>
      <c r="AN134" s="23">
        <f>+'QTR Raw'!H62</f>
        <v>0</v>
      </c>
      <c r="AO134" s="23">
        <f t="shared" si="1135"/>
        <v>0</v>
      </c>
      <c r="AP134" s="23">
        <f>+'QTR Raw'!J62</f>
        <v>0</v>
      </c>
      <c r="AQ134" s="23">
        <f t="shared" si="1135"/>
        <v>0</v>
      </c>
      <c r="AR134" s="23">
        <f>+'QTR Raw'!L62</f>
        <v>0</v>
      </c>
      <c r="AS134" s="23">
        <f t="shared" si="1135"/>
        <v>0</v>
      </c>
      <c r="AT134" s="23">
        <f>+'QTR Raw'!N62</f>
        <v>0</v>
      </c>
      <c r="AU134" s="23">
        <f t="shared" si="1135"/>
        <v>0</v>
      </c>
      <c r="AV134" s="23">
        <f>+'QTR Raw'!P62</f>
        <v>0</v>
      </c>
      <c r="AW134" s="23">
        <f t="shared" si="1135"/>
        <v>0</v>
      </c>
      <c r="AX134" s="23">
        <f>+'QTR Raw'!R62</f>
        <v>0</v>
      </c>
      <c r="AY134" s="23">
        <f t="shared" si="1135"/>
        <v>0</v>
      </c>
      <c r="AZ134" s="23">
        <f>+'QTR Raw'!T62</f>
        <v>0</v>
      </c>
      <c r="BA134" s="23">
        <f t="shared" si="1135"/>
        <v>0</v>
      </c>
      <c r="BB134" s="23">
        <f>+'QTR Raw'!V62</f>
        <v>0</v>
      </c>
      <c r="BC134" s="23">
        <f t="shared" si="1135"/>
        <v>0</v>
      </c>
      <c r="BD134" s="23">
        <f>+'QTR Raw'!X62</f>
        <v>0</v>
      </c>
      <c r="BE134" s="23">
        <f t="shared" si="1135"/>
        <v>0</v>
      </c>
      <c r="BF134" s="23">
        <f>+'QTR Raw'!Z62</f>
        <v>0</v>
      </c>
      <c r="BG134" s="23">
        <f t="shared" si="1135"/>
        <v>0</v>
      </c>
      <c r="BH134" s="22">
        <f>+'QTR Raw'!AB62</f>
        <v>0</v>
      </c>
      <c r="BI134" s="23">
        <f t="shared" si="1135"/>
        <v>0</v>
      </c>
      <c r="BJ134" s="23">
        <f>+'QTR Raw'!AD62</f>
        <v>0</v>
      </c>
      <c r="BK134" s="23">
        <f t="shared" si="1135"/>
        <v>0</v>
      </c>
      <c r="BL134" s="23">
        <f>+'QTR Raw'!AF62</f>
        <v>0</v>
      </c>
      <c r="BM134" s="23">
        <f t="shared" si="1135"/>
        <v>0</v>
      </c>
      <c r="BN134" s="23">
        <f>+'QTR Raw'!AH62</f>
        <v>0</v>
      </c>
      <c r="BO134" s="23">
        <f t="shared" si="1135"/>
        <v>0</v>
      </c>
      <c r="BP134" s="23">
        <f>+'QTR Raw'!AJ62</f>
        <v>0</v>
      </c>
      <c r="BQ134" s="23">
        <f t="shared" si="1135"/>
        <v>0</v>
      </c>
      <c r="BR134" s="23">
        <f>+'QTR Raw'!AL62</f>
        <v>0</v>
      </c>
      <c r="BS134" s="23">
        <f t="shared" si="1135"/>
        <v>0</v>
      </c>
      <c r="BT134" s="23">
        <f>+'QTR Raw'!AN62</f>
        <v>0</v>
      </c>
      <c r="BU134" s="23">
        <f t="shared" si="1135"/>
        <v>0</v>
      </c>
      <c r="BV134" s="23">
        <f>+'QTR Raw'!AP62</f>
        <v>0</v>
      </c>
      <c r="BW134" s="23">
        <f t="shared" si="1135"/>
        <v>0</v>
      </c>
      <c r="BX134" s="23">
        <f>+'QTR Raw'!AR62</f>
        <v>0</v>
      </c>
      <c r="BY134" s="23">
        <f t="shared" si="1135"/>
        <v>0</v>
      </c>
      <c r="BZ134" s="23">
        <f>+'QTR Raw'!AT62</f>
        <v>0</v>
      </c>
      <c r="CA134" s="23">
        <f t="shared" si="1135"/>
        <v>0</v>
      </c>
      <c r="CB134" s="23">
        <f>+'QTR Raw'!AV62</f>
        <v>0</v>
      </c>
      <c r="CC134" s="23">
        <f t="shared" si="1135"/>
        <v>0</v>
      </c>
      <c r="CD134" s="23">
        <f>+'QTR Raw'!AX62</f>
        <v>0</v>
      </c>
      <c r="CE134" s="23">
        <f t="shared" ref="CE134:CE137" si="1136">+CD134</f>
        <v>0</v>
      </c>
      <c r="CF134" s="23">
        <f>+'QTR Raw'!AZ62</f>
        <v>0</v>
      </c>
      <c r="CG134" s="23">
        <f t="shared" ref="CG134:CI137" si="1137">+CF134</f>
        <v>0</v>
      </c>
      <c r="CH134" s="23">
        <f t="shared" si="1113"/>
        <v>0</v>
      </c>
      <c r="CI134" s="23">
        <f t="shared" si="1137"/>
        <v>0</v>
      </c>
      <c r="CJ134" s="23">
        <f>+'QTR Raw'!BD62</f>
        <v>0</v>
      </c>
      <c r="CK134" s="23">
        <f t="shared" ref="CK134:CK137" si="1138">+CJ134</f>
        <v>0</v>
      </c>
      <c r="CL134" s="23">
        <f>+'QTR Raw'!BF62</f>
        <v>0</v>
      </c>
      <c r="CM134" s="24">
        <f t="shared" ref="CM134:CM137" si="1139">+CL134</f>
        <v>0</v>
      </c>
      <c r="CN134" s="24">
        <f t="shared" ref="CN134:CN137" si="1140">+CM134</f>
        <v>0</v>
      </c>
      <c r="CO134" s="24">
        <f t="shared" ref="CO134:CO137" si="1141">+CN134</f>
        <v>0</v>
      </c>
      <c r="CP134" s="24">
        <f t="shared" ref="CP134:CP137" si="1142">+CO134</f>
        <v>0</v>
      </c>
      <c r="CQ134" s="24">
        <f t="shared" ref="CQ134:CQ137" si="1143">+CP134</f>
        <v>0</v>
      </c>
      <c r="CR134" s="24">
        <f t="shared" ref="CR134:CR137" si="1144">+CQ134</f>
        <v>0</v>
      </c>
      <c r="CS134" s="24">
        <f t="shared" ref="CS134:CS137" si="1145">+CR134</f>
        <v>0</v>
      </c>
      <c r="CT134" s="24">
        <f t="shared" ref="CT134:CT137" si="1146">+CS134</f>
        <v>0</v>
      </c>
      <c r="CU134" s="24">
        <f t="shared" ref="CU134:CU137" si="1147">+CT134</f>
        <v>0</v>
      </c>
      <c r="CV134" s="24">
        <f t="shared" ref="CV134:CV137" si="1148">+CU134</f>
        <v>0</v>
      </c>
      <c r="CW134" s="24">
        <f t="shared" ref="CW134:CW137" si="1149">+CV134</f>
        <v>0</v>
      </c>
      <c r="CX134" s="24">
        <f t="shared" ref="CX134:CX137" si="1150">+CW134</f>
        <v>0</v>
      </c>
      <c r="CY134" s="24">
        <f t="shared" ref="CY134:CY137" si="1151">+CX134</f>
        <v>0</v>
      </c>
      <c r="CZ134" s="24">
        <f t="shared" ref="CZ134:CZ137" si="1152">+CY134</f>
        <v>0</v>
      </c>
      <c r="DA134" s="24">
        <f t="shared" ref="DA134:DA137" si="1153">+CZ134</f>
        <v>0</v>
      </c>
      <c r="DB134" s="24">
        <f t="shared" ref="DB134:DB137" si="1154">+DA134</f>
        <v>0</v>
      </c>
      <c r="DE134" s="123"/>
      <c r="DF134" s="23">
        <v>0</v>
      </c>
      <c r="DG134" s="23">
        <v>0</v>
      </c>
    </row>
    <row r="135" spans="1:111" s="23" customFormat="1" outlineLevel="1" x14ac:dyDescent="0.2">
      <c r="A135" s="23" t="s">
        <v>46</v>
      </c>
      <c r="B135" s="23">
        <f>'Annual Raw'!C48</f>
        <v>0</v>
      </c>
      <c r="C135" s="23">
        <f>'Annual Raw'!D48</f>
        <v>0</v>
      </c>
      <c r="D135" s="23">
        <f>'Annual Raw'!E48</f>
        <v>0</v>
      </c>
      <c r="E135" s="23">
        <f>'Annual Raw'!F48</f>
        <v>0</v>
      </c>
      <c r="F135" s="23">
        <f>'Annual Raw'!G48</f>
        <v>0</v>
      </c>
      <c r="G135" s="23">
        <f>'Annual Raw'!H48</f>
        <v>0</v>
      </c>
      <c r="H135" s="23">
        <f>'Annual Raw'!I48</f>
        <v>0</v>
      </c>
      <c r="I135" s="23">
        <f>'Annual Raw'!J48</f>
        <v>0</v>
      </c>
      <c r="J135" s="23">
        <f>'Annual Raw'!K48</f>
        <v>0</v>
      </c>
      <c r="K135" s="23">
        <f>'Annual Raw'!L48</f>
        <v>0</v>
      </c>
      <c r="L135" s="23">
        <f>'Annual Raw'!M48</f>
        <v>0</v>
      </c>
      <c r="M135" s="23">
        <f>'Annual Raw'!N48</f>
        <v>0</v>
      </c>
      <c r="N135" s="23">
        <f>'Annual Raw'!O48</f>
        <v>0</v>
      </c>
      <c r="O135" s="23">
        <f>'Annual Raw'!P48</f>
        <v>0</v>
      </c>
      <c r="P135" s="23">
        <f>'Annual Raw'!Q48</f>
        <v>0</v>
      </c>
      <c r="Q135" s="23">
        <f>'Annual Raw'!R48</f>
        <v>0</v>
      </c>
      <c r="R135" s="23">
        <f>'Annual Raw'!S48</f>
        <v>0</v>
      </c>
      <c r="S135" s="23">
        <f>'Annual Raw'!T48</f>
        <v>0</v>
      </c>
      <c r="T135" s="23">
        <f>'Annual Raw'!U48</f>
        <v>0</v>
      </c>
      <c r="U135" s="23">
        <f>'Annual Raw'!V48</f>
        <v>0</v>
      </c>
      <c r="V135" s="23">
        <f>'Annual Raw'!W48</f>
        <v>0</v>
      </c>
      <c r="W135" s="23">
        <f>'Annual Raw'!X48</f>
        <v>0</v>
      </c>
      <c r="X135" s="23">
        <f>'Annual Raw'!Y48</f>
        <v>0</v>
      </c>
      <c r="Y135" s="23">
        <f>'Annual Raw'!Z48</f>
        <v>0</v>
      </c>
      <c r="Z135" s="23">
        <f>'Annual Raw'!AA48</f>
        <v>0</v>
      </c>
      <c r="AA135" s="23">
        <f>'Annual Raw'!AB48</f>
        <v>0</v>
      </c>
      <c r="AB135" s="24">
        <f t="shared" si="1131"/>
        <v>0</v>
      </c>
      <c r="AC135" s="24">
        <f t="shared" si="1132"/>
        <v>0</v>
      </c>
      <c r="AD135" s="24">
        <f t="shared" si="1133"/>
        <v>0</v>
      </c>
      <c r="AE135" s="24">
        <f t="shared" si="1134"/>
        <v>0</v>
      </c>
      <c r="AJ135" s="23">
        <f>+'QTR Raw'!D63</f>
        <v>0</v>
      </c>
      <c r="AK135" s="23">
        <f t="shared" si="1135"/>
        <v>0</v>
      </c>
      <c r="AL135" s="23">
        <f>+'QTR Raw'!F63</f>
        <v>0</v>
      </c>
      <c r="AM135" s="23">
        <f t="shared" si="1135"/>
        <v>0</v>
      </c>
      <c r="AN135" s="23">
        <f>+'QTR Raw'!H63</f>
        <v>0</v>
      </c>
      <c r="AO135" s="23">
        <f t="shared" si="1135"/>
        <v>0</v>
      </c>
      <c r="AP135" s="23">
        <f>+'QTR Raw'!J63</f>
        <v>0</v>
      </c>
      <c r="AQ135" s="23">
        <f t="shared" si="1135"/>
        <v>0</v>
      </c>
      <c r="AR135" s="23">
        <f>+'QTR Raw'!L63</f>
        <v>0</v>
      </c>
      <c r="AS135" s="23">
        <f t="shared" si="1135"/>
        <v>0</v>
      </c>
      <c r="AT135" s="23">
        <f>+'QTR Raw'!N63</f>
        <v>0</v>
      </c>
      <c r="AU135" s="23">
        <f t="shared" si="1135"/>
        <v>0</v>
      </c>
      <c r="AV135" s="23">
        <f>+'QTR Raw'!P63</f>
        <v>0</v>
      </c>
      <c r="AW135" s="23">
        <f t="shared" si="1135"/>
        <v>0</v>
      </c>
      <c r="AX135" s="23">
        <f>+'QTR Raw'!R63</f>
        <v>0</v>
      </c>
      <c r="AY135" s="23">
        <f t="shared" si="1135"/>
        <v>0</v>
      </c>
      <c r="AZ135" s="23">
        <f>+'QTR Raw'!T63</f>
        <v>0</v>
      </c>
      <c r="BA135" s="23">
        <f t="shared" si="1135"/>
        <v>0</v>
      </c>
      <c r="BB135" s="23">
        <f>+'QTR Raw'!V63</f>
        <v>0</v>
      </c>
      <c r="BC135" s="23">
        <f t="shared" si="1135"/>
        <v>0</v>
      </c>
      <c r="BD135" s="23">
        <f>+'QTR Raw'!X63</f>
        <v>0</v>
      </c>
      <c r="BE135" s="23">
        <f t="shared" si="1135"/>
        <v>0</v>
      </c>
      <c r="BF135" s="23">
        <f>+'QTR Raw'!Z63</f>
        <v>0</v>
      </c>
      <c r="BG135" s="23">
        <f t="shared" si="1135"/>
        <v>0</v>
      </c>
      <c r="BH135" s="23">
        <f>+'QTR Raw'!AB63</f>
        <v>0</v>
      </c>
      <c r="BI135" s="23">
        <f t="shared" si="1135"/>
        <v>0</v>
      </c>
      <c r="BJ135" s="23">
        <f>+'QTR Raw'!AD63</f>
        <v>0</v>
      </c>
      <c r="BK135" s="23">
        <f t="shared" si="1135"/>
        <v>0</v>
      </c>
      <c r="BL135" s="23">
        <f>+'QTR Raw'!AF63</f>
        <v>0</v>
      </c>
      <c r="BM135" s="23">
        <f t="shared" si="1135"/>
        <v>0</v>
      </c>
      <c r="BN135" s="23">
        <f>+'QTR Raw'!AH63</f>
        <v>0</v>
      </c>
      <c r="BO135" s="23">
        <f t="shared" si="1135"/>
        <v>0</v>
      </c>
      <c r="BP135" s="23">
        <f>+'QTR Raw'!AJ63</f>
        <v>0</v>
      </c>
      <c r="BQ135" s="23">
        <f t="shared" si="1135"/>
        <v>0</v>
      </c>
      <c r="BR135" s="23">
        <f>+'QTR Raw'!AL63</f>
        <v>0</v>
      </c>
      <c r="BS135" s="23">
        <f t="shared" si="1135"/>
        <v>0</v>
      </c>
      <c r="BT135" s="23">
        <f>+'QTR Raw'!AN63</f>
        <v>0</v>
      </c>
      <c r="BU135" s="23">
        <f t="shared" si="1135"/>
        <v>0</v>
      </c>
      <c r="BV135" s="23">
        <f>+'QTR Raw'!AP63</f>
        <v>0</v>
      </c>
      <c r="BW135" s="23">
        <f t="shared" si="1135"/>
        <v>0</v>
      </c>
      <c r="BX135" s="23">
        <f>+'QTR Raw'!AR63</f>
        <v>0</v>
      </c>
      <c r="BY135" s="23">
        <f t="shared" si="1135"/>
        <v>0</v>
      </c>
      <c r="BZ135" s="23">
        <f>+'QTR Raw'!AT63</f>
        <v>0</v>
      </c>
      <c r="CA135" s="23">
        <f t="shared" si="1135"/>
        <v>0</v>
      </c>
      <c r="CB135" s="23">
        <f>+'QTR Raw'!AV63</f>
        <v>0</v>
      </c>
      <c r="CC135" s="23">
        <f t="shared" si="1135"/>
        <v>0</v>
      </c>
      <c r="CD135" s="23">
        <f>+'QTR Raw'!AX63</f>
        <v>0</v>
      </c>
      <c r="CE135" s="23">
        <f t="shared" si="1136"/>
        <v>0</v>
      </c>
      <c r="CF135" s="23">
        <f>+'QTR Raw'!AZ63</f>
        <v>0</v>
      </c>
      <c r="CG135" s="23">
        <f t="shared" si="1137"/>
        <v>0</v>
      </c>
      <c r="CH135" s="23">
        <f t="shared" si="1113"/>
        <v>0</v>
      </c>
      <c r="CI135" s="23">
        <f t="shared" si="1137"/>
        <v>0</v>
      </c>
      <c r="CJ135" s="23">
        <f>+'QTR Raw'!BD63</f>
        <v>0</v>
      </c>
      <c r="CK135" s="23">
        <f t="shared" si="1138"/>
        <v>0</v>
      </c>
      <c r="CL135" s="23">
        <f>+'QTR Raw'!BF63</f>
        <v>0</v>
      </c>
      <c r="CM135" s="24">
        <f t="shared" si="1139"/>
        <v>0</v>
      </c>
      <c r="CN135" s="24">
        <f t="shared" si="1140"/>
        <v>0</v>
      </c>
      <c r="CO135" s="24">
        <f t="shared" si="1141"/>
        <v>0</v>
      </c>
      <c r="CP135" s="24">
        <f t="shared" si="1142"/>
        <v>0</v>
      </c>
      <c r="CQ135" s="24">
        <f t="shared" si="1143"/>
        <v>0</v>
      </c>
      <c r="CR135" s="24">
        <f t="shared" si="1144"/>
        <v>0</v>
      </c>
      <c r="CS135" s="24">
        <f t="shared" si="1145"/>
        <v>0</v>
      </c>
      <c r="CT135" s="24">
        <f t="shared" si="1146"/>
        <v>0</v>
      </c>
      <c r="CU135" s="24">
        <f t="shared" si="1147"/>
        <v>0</v>
      </c>
      <c r="CV135" s="24">
        <f t="shared" si="1148"/>
        <v>0</v>
      </c>
      <c r="CW135" s="24">
        <f t="shared" si="1149"/>
        <v>0</v>
      </c>
      <c r="CX135" s="24">
        <f t="shared" si="1150"/>
        <v>0</v>
      </c>
      <c r="CY135" s="24">
        <f t="shared" si="1151"/>
        <v>0</v>
      </c>
      <c r="CZ135" s="24">
        <f t="shared" si="1152"/>
        <v>0</v>
      </c>
      <c r="DA135" s="24">
        <f t="shared" si="1153"/>
        <v>0</v>
      </c>
      <c r="DB135" s="24">
        <f t="shared" si="1154"/>
        <v>0</v>
      </c>
      <c r="DE135" s="123"/>
      <c r="DF135" s="23">
        <v>0</v>
      </c>
      <c r="DG135" s="23">
        <v>0</v>
      </c>
    </row>
    <row r="136" spans="1:111" s="23" customFormat="1" outlineLevel="1" x14ac:dyDescent="0.2">
      <c r="A136" s="23" t="s">
        <v>47</v>
      </c>
      <c r="B136" s="23">
        <f>'Annual Raw'!C87+'Annual Raw'!C88+'Annual Raw'!C89+'Annual Raw'!C90</f>
        <v>0</v>
      </c>
      <c r="C136" s="23">
        <f>'Annual Raw'!D87+'Annual Raw'!D88+'Annual Raw'!D89+'Annual Raw'!D90</f>
        <v>0</v>
      </c>
      <c r="D136" s="23">
        <f>'Annual Raw'!E87+'Annual Raw'!E88+'Annual Raw'!E89+'Annual Raw'!E90</f>
        <v>0</v>
      </c>
      <c r="E136" s="23">
        <f>'Annual Raw'!F87+'Annual Raw'!F88+'Annual Raw'!F89+'Annual Raw'!F90</f>
        <v>0</v>
      </c>
      <c r="F136" s="23">
        <f>'Annual Raw'!G87+'Annual Raw'!G88+'Annual Raw'!G89+'Annual Raw'!G90</f>
        <v>0</v>
      </c>
      <c r="G136" s="23">
        <f>'Annual Raw'!H87+'Annual Raw'!H88+'Annual Raw'!H89+'Annual Raw'!H90</f>
        <v>0</v>
      </c>
      <c r="H136" s="23">
        <f>'Annual Raw'!I87+'Annual Raw'!I88+'Annual Raw'!I89+'Annual Raw'!I90</f>
        <v>0</v>
      </c>
      <c r="I136" s="23">
        <f>'Annual Raw'!J87+'Annual Raw'!J88+'Annual Raw'!J89+'Annual Raw'!J90</f>
        <v>0</v>
      </c>
      <c r="J136" s="23">
        <f>'Annual Raw'!K87+'Annual Raw'!K88+'Annual Raw'!K89+'Annual Raw'!K90</f>
        <v>0</v>
      </c>
      <c r="K136" s="23">
        <f>'Annual Raw'!L87+'Annual Raw'!L88+'Annual Raw'!L89+'Annual Raw'!L90</f>
        <v>0</v>
      </c>
      <c r="L136" s="23">
        <f>'Annual Raw'!M87+'Annual Raw'!M88+'Annual Raw'!M89+'Annual Raw'!M90</f>
        <v>0</v>
      </c>
      <c r="M136" s="23">
        <f>'Annual Raw'!N87+'Annual Raw'!N88+'Annual Raw'!N89+'Annual Raw'!N90</f>
        <v>0</v>
      </c>
      <c r="N136" s="23">
        <f>'Annual Raw'!O87+'Annual Raw'!O88+'Annual Raw'!O89+'Annual Raw'!O90</f>
        <v>0</v>
      </c>
      <c r="O136" s="23">
        <f>'Annual Raw'!P87+'Annual Raw'!P88+'Annual Raw'!P89+'Annual Raw'!P90</f>
        <v>0</v>
      </c>
      <c r="P136" s="23">
        <f>'Annual Raw'!Q87+'Annual Raw'!Q88+'Annual Raw'!Q89+'Annual Raw'!Q90</f>
        <v>0</v>
      </c>
      <c r="Q136" s="23">
        <f>'Annual Raw'!R87+'Annual Raw'!R88+'Annual Raw'!R89+'Annual Raw'!R90</f>
        <v>0</v>
      </c>
      <c r="R136" s="23">
        <f>'Annual Raw'!S87+'Annual Raw'!S88+'Annual Raw'!S89+'Annual Raw'!S90</f>
        <v>0</v>
      </c>
      <c r="S136" s="23">
        <f>'Annual Raw'!T87+'Annual Raw'!T88+'Annual Raw'!T89+'Annual Raw'!T90</f>
        <v>0</v>
      </c>
      <c r="T136" s="23">
        <f>'Annual Raw'!U87+'Annual Raw'!U88+'Annual Raw'!U89+'Annual Raw'!U90</f>
        <v>0</v>
      </c>
      <c r="U136" s="23">
        <f>'Annual Raw'!V87+'Annual Raw'!V88+'Annual Raw'!V89+'Annual Raw'!V90</f>
        <v>0</v>
      </c>
      <c r="V136" s="23">
        <f>'Annual Raw'!W87+'Annual Raw'!W88+'Annual Raw'!W89+'Annual Raw'!W90</f>
        <v>0</v>
      </c>
      <c r="W136" s="23">
        <f>'Annual Raw'!X87+'Annual Raw'!X88+'Annual Raw'!X89+'Annual Raw'!X90</f>
        <v>0</v>
      </c>
      <c r="X136" s="23">
        <f>'Annual Raw'!Y87+'Annual Raw'!Y88+'Annual Raw'!Y89+'Annual Raw'!Y90</f>
        <v>0</v>
      </c>
      <c r="Y136" s="23">
        <f>'Annual Raw'!Z87+'Annual Raw'!Z88+'Annual Raw'!Z89+'Annual Raw'!Z90</f>
        <v>0</v>
      </c>
      <c r="Z136" s="23">
        <f>'Annual Raw'!AA87+'Annual Raw'!AA88+'Annual Raw'!AA89+'Annual Raw'!AA90</f>
        <v>0</v>
      </c>
      <c r="AA136" s="23">
        <f>'Annual Raw'!AB87+'Annual Raw'!AB88+'Annual Raw'!AB89+'Annual Raw'!AB90</f>
        <v>0</v>
      </c>
      <c r="AB136" s="24">
        <f t="shared" si="1131"/>
        <v>0</v>
      </c>
      <c r="AC136" s="24">
        <f t="shared" si="1132"/>
        <v>0</v>
      </c>
      <c r="AD136" s="24">
        <f t="shared" si="1133"/>
        <v>0</v>
      </c>
      <c r="AE136" s="24">
        <f t="shared" si="1134"/>
        <v>0</v>
      </c>
      <c r="AJ136" s="23">
        <f>+'QTR Raw'!D90</f>
        <v>0</v>
      </c>
      <c r="AK136" s="23">
        <f t="shared" si="1135"/>
        <v>0</v>
      </c>
      <c r="AL136" s="23">
        <f>+'QTR Raw'!F90</f>
        <v>0</v>
      </c>
      <c r="AM136" s="23">
        <f t="shared" si="1135"/>
        <v>0</v>
      </c>
      <c r="AN136" s="23">
        <f>+'QTR Raw'!H90</f>
        <v>0</v>
      </c>
      <c r="AO136" s="23">
        <f t="shared" si="1135"/>
        <v>0</v>
      </c>
      <c r="AP136" s="23">
        <f>+'QTR Raw'!J90</f>
        <v>0</v>
      </c>
      <c r="AQ136" s="23">
        <f t="shared" si="1135"/>
        <v>0</v>
      </c>
      <c r="AR136" s="23">
        <f>+'QTR Raw'!L90</f>
        <v>0</v>
      </c>
      <c r="AS136" s="23">
        <f t="shared" si="1135"/>
        <v>0</v>
      </c>
      <c r="AT136" s="23">
        <f>+'QTR Raw'!N90</f>
        <v>0</v>
      </c>
      <c r="AU136" s="23">
        <f t="shared" si="1135"/>
        <v>0</v>
      </c>
      <c r="AV136" s="23">
        <f>+'QTR Raw'!P90</f>
        <v>0</v>
      </c>
      <c r="AW136" s="23">
        <f t="shared" si="1135"/>
        <v>0</v>
      </c>
      <c r="AX136" s="23">
        <f>+'QTR Raw'!R90</f>
        <v>0</v>
      </c>
      <c r="AY136" s="23">
        <f t="shared" si="1135"/>
        <v>0</v>
      </c>
      <c r="AZ136" s="23">
        <f>+'QTR Raw'!T90</f>
        <v>0</v>
      </c>
      <c r="BA136" s="23">
        <f t="shared" si="1135"/>
        <v>0</v>
      </c>
      <c r="BB136" s="23">
        <f>+'QTR Raw'!V90</f>
        <v>0</v>
      </c>
      <c r="BC136" s="23">
        <f t="shared" si="1135"/>
        <v>0</v>
      </c>
      <c r="BD136" s="23">
        <f>+'QTR Raw'!X90</f>
        <v>0</v>
      </c>
      <c r="BE136" s="23">
        <f t="shared" si="1135"/>
        <v>0</v>
      </c>
      <c r="BF136" s="23">
        <f>+'QTR Raw'!Z90</f>
        <v>0</v>
      </c>
      <c r="BG136" s="23">
        <f t="shared" si="1135"/>
        <v>0</v>
      </c>
      <c r="BH136" s="22">
        <f>+'QTR Raw'!AB90</f>
        <v>0</v>
      </c>
      <c r="BI136" s="23">
        <f t="shared" si="1135"/>
        <v>0</v>
      </c>
      <c r="BJ136" s="23">
        <f>+'QTR Raw'!AD90</f>
        <v>0</v>
      </c>
      <c r="BK136" s="23">
        <f t="shared" si="1135"/>
        <v>0</v>
      </c>
      <c r="BL136" s="23">
        <f>+'QTR Raw'!AF90</f>
        <v>0</v>
      </c>
      <c r="BM136" s="23">
        <f t="shared" si="1135"/>
        <v>0</v>
      </c>
      <c r="BN136" s="23">
        <f>+'QTR Raw'!AH90</f>
        <v>0</v>
      </c>
      <c r="BO136" s="23">
        <f t="shared" si="1135"/>
        <v>0</v>
      </c>
      <c r="BP136" s="23">
        <f>+'QTR Raw'!AJ90</f>
        <v>0</v>
      </c>
      <c r="BQ136" s="23">
        <f t="shared" si="1135"/>
        <v>0</v>
      </c>
      <c r="BR136" s="23">
        <f>+'QTR Raw'!AL90</f>
        <v>0</v>
      </c>
      <c r="BS136" s="23">
        <f t="shared" si="1135"/>
        <v>0</v>
      </c>
      <c r="BT136" s="23">
        <f>+'QTR Raw'!AN90</f>
        <v>0</v>
      </c>
      <c r="BU136" s="23">
        <f t="shared" si="1135"/>
        <v>0</v>
      </c>
      <c r="BV136" s="23">
        <f>+'QTR Raw'!AP90</f>
        <v>0</v>
      </c>
      <c r="BW136" s="23">
        <f t="shared" si="1135"/>
        <v>0</v>
      </c>
      <c r="BX136" s="23">
        <f>+'QTR Raw'!AR90</f>
        <v>0</v>
      </c>
      <c r="BY136" s="23">
        <f t="shared" si="1135"/>
        <v>0</v>
      </c>
      <c r="BZ136" s="23">
        <f>+'QTR Raw'!AT90</f>
        <v>0</v>
      </c>
      <c r="CA136" s="23">
        <f t="shared" si="1135"/>
        <v>0</v>
      </c>
      <c r="CB136" s="23">
        <f>+'QTR Raw'!AV90</f>
        <v>0</v>
      </c>
      <c r="CC136" s="23">
        <f t="shared" si="1135"/>
        <v>0</v>
      </c>
      <c r="CD136" s="23">
        <f>+'QTR Raw'!AX90</f>
        <v>0</v>
      </c>
      <c r="CE136" s="23">
        <f t="shared" si="1136"/>
        <v>0</v>
      </c>
      <c r="CF136" s="23">
        <f>+'QTR Raw'!AZ90</f>
        <v>0</v>
      </c>
      <c r="CG136" s="23">
        <f t="shared" si="1137"/>
        <v>0</v>
      </c>
      <c r="CH136" s="23">
        <f>+Z136</f>
        <v>0</v>
      </c>
      <c r="CI136" s="23">
        <f t="shared" si="1137"/>
        <v>0</v>
      </c>
      <c r="CJ136" s="23">
        <f>+'QTR Raw'!BD90</f>
        <v>0</v>
      </c>
      <c r="CK136" s="23">
        <f t="shared" si="1138"/>
        <v>0</v>
      </c>
      <c r="CL136" s="23">
        <f>+'QTR Raw'!BF90</f>
        <v>0</v>
      </c>
      <c r="CM136" s="24">
        <f t="shared" si="1139"/>
        <v>0</v>
      </c>
      <c r="CN136" s="24">
        <f t="shared" si="1140"/>
        <v>0</v>
      </c>
      <c r="CO136" s="24">
        <f t="shared" si="1141"/>
        <v>0</v>
      </c>
      <c r="CP136" s="24">
        <f t="shared" si="1142"/>
        <v>0</v>
      </c>
      <c r="CQ136" s="24">
        <f t="shared" si="1143"/>
        <v>0</v>
      </c>
      <c r="CR136" s="24">
        <f t="shared" si="1144"/>
        <v>0</v>
      </c>
      <c r="CS136" s="24">
        <f t="shared" si="1145"/>
        <v>0</v>
      </c>
      <c r="CT136" s="24">
        <f t="shared" si="1146"/>
        <v>0</v>
      </c>
      <c r="CU136" s="24">
        <f t="shared" si="1147"/>
        <v>0</v>
      </c>
      <c r="CV136" s="24">
        <f t="shared" si="1148"/>
        <v>0</v>
      </c>
      <c r="CW136" s="24">
        <f t="shared" si="1149"/>
        <v>0</v>
      </c>
      <c r="CX136" s="24">
        <f t="shared" si="1150"/>
        <v>0</v>
      </c>
      <c r="CY136" s="24">
        <f t="shared" si="1151"/>
        <v>0</v>
      </c>
      <c r="CZ136" s="24">
        <f t="shared" si="1152"/>
        <v>0</v>
      </c>
      <c r="DA136" s="24">
        <f t="shared" si="1153"/>
        <v>0</v>
      </c>
      <c r="DB136" s="24">
        <f t="shared" si="1154"/>
        <v>0</v>
      </c>
      <c r="DE136" s="123"/>
      <c r="DF136" s="23">
        <v>0</v>
      </c>
      <c r="DG136" s="23">
        <v>0</v>
      </c>
    </row>
    <row r="137" spans="1:111" s="23" customFormat="1" outlineLevel="1" x14ac:dyDescent="0.2">
      <c r="A137" s="23" t="s">
        <v>48</v>
      </c>
      <c r="B137" s="23">
        <f>'Annual Raw'!C56</f>
        <v>0</v>
      </c>
      <c r="C137" s="23">
        <f>'Annual Raw'!D56</f>
        <v>0</v>
      </c>
      <c r="D137" s="23">
        <f>'Annual Raw'!E56</f>
        <v>0</v>
      </c>
      <c r="E137" s="23">
        <f>'Annual Raw'!F56</f>
        <v>0</v>
      </c>
      <c r="F137" s="23">
        <f>'Annual Raw'!G56</f>
        <v>0</v>
      </c>
      <c r="G137" s="23">
        <f>'Annual Raw'!H56</f>
        <v>0</v>
      </c>
      <c r="H137" s="23">
        <f>'Annual Raw'!I56</f>
        <v>0</v>
      </c>
      <c r="I137" s="23">
        <f>'Annual Raw'!J56</f>
        <v>0</v>
      </c>
      <c r="J137" s="23">
        <f>'Annual Raw'!K56</f>
        <v>0</v>
      </c>
      <c r="K137" s="23">
        <f>'Annual Raw'!L56</f>
        <v>0</v>
      </c>
      <c r="L137" s="23">
        <f>'Annual Raw'!M56</f>
        <v>0</v>
      </c>
      <c r="M137" s="23">
        <f>'Annual Raw'!N56</f>
        <v>0</v>
      </c>
      <c r="N137" s="23">
        <f>'Annual Raw'!O56</f>
        <v>0</v>
      </c>
      <c r="O137" s="23">
        <f>'Annual Raw'!P56</f>
        <v>0</v>
      </c>
      <c r="P137" s="23">
        <f>'Annual Raw'!Q56</f>
        <v>0</v>
      </c>
      <c r="Q137" s="23">
        <f>'Annual Raw'!R56</f>
        <v>0</v>
      </c>
      <c r="R137" s="23">
        <f>'Annual Raw'!S56</f>
        <v>0</v>
      </c>
      <c r="S137" s="23">
        <f>'Annual Raw'!T56</f>
        <v>0</v>
      </c>
      <c r="T137" s="23">
        <f>'Annual Raw'!U56</f>
        <v>0</v>
      </c>
      <c r="U137" s="23">
        <f>'Annual Raw'!V56</f>
        <v>0</v>
      </c>
      <c r="V137" s="23">
        <f>'Annual Raw'!W56</f>
        <v>0</v>
      </c>
      <c r="W137" s="23">
        <f>'Annual Raw'!X56</f>
        <v>0</v>
      </c>
      <c r="X137" s="23">
        <f>'Annual Raw'!Y56</f>
        <v>0</v>
      </c>
      <c r="Y137" s="23">
        <f>'Annual Raw'!Z56</f>
        <v>0</v>
      </c>
      <c r="Z137" s="23">
        <f>'Annual Raw'!AA56</f>
        <v>0</v>
      </c>
      <c r="AA137" s="23">
        <f>'Annual Raw'!AB56</f>
        <v>0</v>
      </c>
      <c r="AB137" s="24">
        <f t="shared" si="1131"/>
        <v>0</v>
      </c>
      <c r="AC137" s="24">
        <f t="shared" si="1132"/>
        <v>0</v>
      </c>
      <c r="AD137" s="24">
        <f t="shared" si="1133"/>
        <v>0</v>
      </c>
      <c r="AE137" s="24">
        <f t="shared" si="1134"/>
        <v>0</v>
      </c>
      <c r="AJ137" s="23">
        <f>+'QTR Raw'!D88</f>
        <v>0</v>
      </c>
      <c r="AK137" s="23">
        <f t="shared" si="1135"/>
        <v>0</v>
      </c>
      <c r="AL137" s="23">
        <f>+'QTR Raw'!F88</f>
        <v>0</v>
      </c>
      <c r="AM137" s="23">
        <f t="shared" si="1135"/>
        <v>0</v>
      </c>
      <c r="AN137" s="23">
        <f>+'QTR Raw'!H88</f>
        <v>0</v>
      </c>
      <c r="AO137" s="23">
        <f t="shared" si="1135"/>
        <v>0</v>
      </c>
      <c r="AP137" s="23">
        <f>+'QTR Raw'!J88</f>
        <v>0</v>
      </c>
      <c r="AQ137" s="23">
        <f t="shared" si="1135"/>
        <v>0</v>
      </c>
      <c r="AR137" s="23">
        <f>+'QTR Raw'!L88</f>
        <v>0</v>
      </c>
      <c r="AS137" s="23">
        <f t="shared" si="1135"/>
        <v>0</v>
      </c>
      <c r="AT137" s="23">
        <f>+'QTR Raw'!N88</f>
        <v>0</v>
      </c>
      <c r="AU137" s="23">
        <f t="shared" si="1135"/>
        <v>0</v>
      </c>
      <c r="AV137" s="23">
        <f>+'QTR Raw'!P88</f>
        <v>0</v>
      </c>
      <c r="AW137" s="23">
        <f t="shared" si="1135"/>
        <v>0</v>
      </c>
      <c r="AX137" s="23">
        <f>+'QTR Raw'!R88</f>
        <v>0</v>
      </c>
      <c r="AY137" s="23">
        <f t="shared" si="1135"/>
        <v>0</v>
      </c>
      <c r="AZ137" s="23">
        <f>+'QTR Raw'!T88</f>
        <v>0</v>
      </c>
      <c r="BA137" s="23">
        <f t="shared" si="1135"/>
        <v>0</v>
      </c>
      <c r="BB137" s="23">
        <f>+'QTR Raw'!V88</f>
        <v>0</v>
      </c>
      <c r="BC137" s="23">
        <f t="shared" si="1135"/>
        <v>0</v>
      </c>
      <c r="BD137" s="23">
        <f>+'QTR Raw'!X88</f>
        <v>0</v>
      </c>
      <c r="BE137" s="23">
        <f t="shared" si="1135"/>
        <v>0</v>
      </c>
      <c r="BF137" s="23">
        <f>+'QTR Raw'!Z88</f>
        <v>0</v>
      </c>
      <c r="BG137" s="23">
        <f t="shared" si="1135"/>
        <v>0</v>
      </c>
      <c r="BH137" s="23">
        <f>+'QTR Raw'!AB88</f>
        <v>0</v>
      </c>
      <c r="BI137" s="23">
        <f t="shared" si="1135"/>
        <v>0</v>
      </c>
      <c r="BJ137" s="23">
        <f>+'QTR Raw'!AD88</f>
        <v>0</v>
      </c>
      <c r="BK137" s="23">
        <f t="shared" si="1135"/>
        <v>0</v>
      </c>
      <c r="BL137" s="23">
        <f>+'QTR Raw'!AF88</f>
        <v>0</v>
      </c>
      <c r="BM137" s="23">
        <f t="shared" si="1135"/>
        <v>0</v>
      </c>
      <c r="BN137" s="23">
        <f>+'QTR Raw'!AH88</f>
        <v>0</v>
      </c>
      <c r="BO137" s="23">
        <f t="shared" si="1135"/>
        <v>0</v>
      </c>
      <c r="BP137" s="23">
        <f>+'QTR Raw'!AJ88</f>
        <v>0</v>
      </c>
      <c r="BQ137" s="23">
        <f t="shared" si="1135"/>
        <v>0</v>
      </c>
      <c r="BR137" s="23">
        <f>+'QTR Raw'!AL88</f>
        <v>0</v>
      </c>
      <c r="BS137" s="23">
        <f t="shared" si="1135"/>
        <v>0</v>
      </c>
      <c r="BT137" s="23">
        <f>+'QTR Raw'!AN88</f>
        <v>0</v>
      </c>
      <c r="BU137" s="23">
        <f t="shared" si="1135"/>
        <v>0</v>
      </c>
      <c r="BV137" s="23">
        <f>+'QTR Raw'!AP88</f>
        <v>0</v>
      </c>
      <c r="BW137" s="23">
        <f t="shared" si="1135"/>
        <v>0</v>
      </c>
      <c r="BX137" s="23">
        <f>+'QTR Raw'!AR88</f>
        <v>0</v>
      </c>
      <c r="BY137" s="23">
        <f t="shared" si="1135"/>
        <v>0</v>
      </c>
      <c r="BZ137" s="23">
        <f>+'QTR Raw'!AT88</f>
        <v>0</v>
      </c>
      <c r="CA137" s="23">
        <f t="shared" si="1135"/>
        <v>0</v>
      </c>
      <c r="CB137" s="23">
        <f>+'QTR Raw'!AV88</f>
        <v>0</v>
      </c>
      <c r="CC137" s="23">
        <f t="shared" si="1135"/>
        <v>0</v>
      </c>
      <c r="CD137" s="23">
        <f>+'QTR Raw'!AX88</f>
        <v>0</v>
      </c>
      <c r="CE137" s="23">
        <f t="shared" si="1136"/>
        <v>0</v>
      </c>
      <c r="CF137" s="23">
        <f>+'QTR Raw'!AZ88</f>
        <v>0</v>
      </c>
      <c r="CG137" s="23">
        <f t="shared" si="1137"/>
        <v>0</v>
      </c>
      <c r="CH137" s="23">
        <f t="shared" si="1113"/>
        <v>0</v>
      </c>
      <c r="CI137" s="23">
        <f t="shared" si="1137"/>
        <v>0</v>
      </c>
      <c r="CJ137" s="23">
        <f>+'QTR Raw'!BD88</f>
        <v>0</v>
      </c>
      <c r="CK137" s="23">
        <f t="shared" si="1138"/>
        <v>0</v>
      </c>
      <c r="CL137" s="23">
        <f>+'QTR Raw'!BF88</f>
        <v>0</v>
      </c>
      <c r="CM137" s="24">
        <f t="shared" si="1139"/>
        <v>0</v>
      </c>
      <c r="CN137" s="24">
        <f t="shared" si="1140"/>
        <v>0</v>
      </c>
      <c r="CO137" s="24">
        <f t="shared" si="1141"/>
        <v>0</v>
      </c>
      <c r="CP137" s="24">
        <f t="shared" si="1142"/>
        <v>0</v>
      </c>
      <c r="CQ137" s="24">
        <f t="shared" si="1143"/>
        <v>0</v>
      </c>
      <c r="CR137" s="24">
        <f t="shared" si="1144"/>
        <v>0</v>
      </c>
      <c r="CS137" s="24">
        <f t="shared" si="1145"/>
        <v>0</v>
      </c>
      <c r="CT137" s="24">
        <f t="shared" si="1146"/>
        <v>0</v>
      </c>
      <c r="CU137" s="24">
        <f t="shared" si="1147"/>
        <v>0</v>
      </c>
      <c r="CV137" s="24">
        <f t="shared" si="1148"/>
        <v>0</v>
      </c>
      <c r="CW137" s="24">
        <f t="shared" si="1149"/>
        <v>0</v>
      </c>
      <c r="CX137" s="24">
        <f t="shared" si="1150"/>
        <v>0</v>
      </c>
      <c r="CY137" s="24">
        <f t="shared" si="1151"/>
        <v>0</v>
      </c>
      <c r="CZ137" s="24">
        <f t="shared" si="1152"/>
        <v>0</v>
      </c>
      <c r="DA137" s="24">
        <f t="shared" si="1153"/>
        <v>0</v>
      </c>
      <c r="DB137" s="24">
        <f t="shared" si="1154"/>
        <v>0</v>
      </c>
      <c r="DE137" s="123"/>
      <c r="DF137" s="23">
        <v>0</v>
      </c>
      <c r="DG137" s="23">
        <v>0</v>
      </c>
    </row>
    <row r="138" spans="1:111" s="22" customFormat="1" x14ac:dyDescent="0.2">
      <c r="A138" s="22" t="s">
        <v>49</v>
      </c>
      <c r="B138" s="22">
        <f>SUM(B134:B137)</f>
        <v>0</v>
      </c>
      <c r="C138" s="22">
        <f t="shared" ref="C138:V138" si="1155">SUM(C134:C137)</f>
        <v>0</v>
      </c>
      <c r="D138" s="22">
        <f t="shared" si="1155"/>
        <v>0</v>
      </c>
      <c r="E138" s="22">
        <f t="shared" si="1155"/>
        <v>0</v>
      </c>
      <c r="F138" s="22">
        <f t="shared" si="1155"/>
        <v>0</v>
      </c>
      <c r="G138" s="22">
        <f t="shared" si="1155"/>
        <v>0</v>
      </c>
      <c r="H138" s="22">
        <f t="shared" si="1155"/>
        <v>0</v>
      </c>
      <c r="I138" s="22">
        <f t="shared" si="1155"/>
        <v>0</v>
      </c>
      <c r="J138" s="22">
        <f t="shared" si="1155"/>
        <v>0</v>
      </c>
      <c r="K138" s="22">
        <f t="shared" si="1155"/>
        <v>0</v>
      </c>
      <c r="L138" s="22">
        <f t="shared" si="1155"/>
        <v>0</v>
      </c>
      <c r="M138" s="22">
        <f t="shared" si="1155"/>
        <v>0</v>
      </c>
      <c r="N138" s="22">
        <f t="shared" si="1155"/>
        <v>0</v>
      </c>
      <c r="O138" s="22">
        <f t="shared" si="1155"/>
        <v>0</v>
      </c>
      <c r="P138" s="22">
        <f t="shared" si="1155"/>
        <v>0</v>
      </c>
      <c r="Q138" s="22">
        <f t="shared" si="1155"/>
        <v>0</v>
      </c>
      <c r="R138" s="22">
        <f t="shared" si="1155"/>
        <v>0</v>
      </c>
      <c r="S138" s="22">
        <f t="shared" si="1155"/>
        <v>0</v>
      </c>
      <c r="T138" s="22">
        <f t="shared" si="1155"/>
        <v>0</v>
      </c>
      <c r="U138" s="22">
        <f t="shared" si="1155"/>
        <v>0</v>
      </c>
      <c r="V138" s="22">
        <f t="shared" si="1155"/>
        <v>0</v>
      </c>
      <c r="W138" s="22">
        <f t="shared" ref="W138" si="1156">SUM(W134:W137)</f>
        <v>0</v>
      </c>
      <c r="X138" s="22">
        <f t="shared" ref="X138:Y138" si="1157">SUM(X134:X137)</f>
        <v>0</v>
      </c>
      <c r="Y138" s="22">
        <f t="shared" si="1157"/>
        <v>0</v>
      </c>
      <c r="Z138" s="22">
        <f t="shared" ref="Z138:AA138" si="1158">SUM(Z134:Z137)</f>
        <v>0</v>
      </c>
      <c r="AA138" s="22">
        <f t="shared" ref="AA138" si="1159">SUM(AA134:AA137)</f>
        <v>0</v>
      </c>
      <c r="AB138" s="21">
        <f t="shared" ref="AB138:AD138" si="1160">SUM(AB134:AB137)</f>
        <v>0</v>
      </c>
      <c r="AC138" s="21">
        <f t="shared" si="1160"/>
        <v>0</v>
      </c>
      <c r="AD138" s="21">
        <f t="shared" si="1160"/>
        <v>0</v>
      </c>
      <c r="AE138" s="21">
        <f t="shared" ref="AE138" si="1161">SUM(AE134:AE137)</f>
        <v>0</v>
      </c>
      <c r="AJ138" s="22">
        <f t="shared" ref="AJ138" si="1162">SUM(AJ134:AJ137)</f>
        <v>0</v>
      </c>
      <c r="AK138" s="22">
        <f t="shared" ref="AK138" si="1163">SUM(AK134:AK137)</f>
        <v>0</v>
      </c>
      <c r="AL138" s="22">
        <f t="shared" ref="AL138:AM138" si="1164">SUM(AL134:AL137)</f>
        <v>0</v>
      </c>
      <c r="AM138" s="22">
        <f t="shared" si="1164"/>
        <v>0</v>
      </c>
      <c r="AN138" s="22">
        <f t="shared" ref="AN138:AO138" si="1165">SUM(AN134:AN137)</f>
        <v>0</v>
      </c>
      <c r="AO138" s="22">
        <f t="shared" si="1165"/>
        <v>0</v>
      </c>
      <c r="AP138" s="22">
        <f t="shared" ref="AP138:CE138" si="1166">SUM(AP134:AP137)</f>
        <v>0</v>
      </c>
      <c r="AQ138" s="22">
        <f t="shared" si="1166"/>
        <v>0</v>
      </c>
      <c r="AR138" s="22">
        <f t="shared" si="1166"/>
        <v>0</v>
      </c>
      <c r="AS138" s="22">
        <f t="shared" si="1166"/>
        <v>0</v>
      </c>
      <c r="AT138" s="22">
        <f t="shared" si="1166"/>
        <v>0</v>
      </c>
      <c r="AU138" s="22">
        <f t="shared" si="1166"/>
        <v>0</v>
      </c>
      <c r="AV138" s="22">
        <f t="shared" si="1166"/>
        <v>0</v>
      </c>
      <c r="AW138" s="22">
        <f t="shared" si="1166"/>
        <v>0</v>
      </c>
      <c r="AX138" s="22">
        <f t="shared" si="1166"/>
        <v>0</v>
      </c>
      <c r="AY138" s="22">
        <f t="shared" si="1166"/>
        <v>0</v>
      </c>
      <c r="AZ138" s="22">
        <f t="shared" si="1166"/>
        <v>0</v>
      </c>
      <c r="BA138" s="22">
        <f t="shared" si="1166"/>
        <v>0</v>
      </c>
      <c r="BB138" s="22">
        <f t="shared" si="1166"/>
        <v>0</v>
      </c>
      <c r="BC138" s="22">
        <f t="shared" si="1166"/>
        <v>0</v>
      </c>
      <c r="BD138" s="22">
        <f t="shared" si="1166"/>
        <v>0</v>
      </c>
      <c r="BE138" s="22">
        <f t="shared" si="1166"/>
        <v>0</v>
      </c>
      <c r="BF138" s="22">
        <f t="shared" si="1166"/>
        <v>0</v>
      </c>
      <c r="BG138" s="22">
        <f t="shared" si="1166"/>
        <v>0</v>
      </c>
      <c r="BH138" s="22">
        <f t="shared" ref="BH138" si="1167">SUM(BH134:BH137)</f>
        <v>0</v>
      </c>
      <c r="BI138" s="22">
        <f t="shared" si="1166"/>
        <v>0</v>
      </c>
      <c r="BJ138" s="22">
        <f t="shared" si="1166"/>
        <v>0</v>
      </c>
      <c r="BK138" s="22">
        <f t="shared" si="1166"/>
        <v>0</v>
      </c>
      <c r="BL138" s="22">
        <f t="shared" si="1166"/>
        <v>0</v>
      </c>
      <c r="BM138" s="22">
        <f t="shared" si="1166"/>
        <v>0</v>
      </c>
      <c r="BN138" s="22">
        <f t="shared" si="1166"/>
        <v>0</v>
      </c>
      <c r="BO138" s="22">
        <f t="shared" si="1166"/>
        <v>0</v>
      </c>
      <c r="BP138" s="22">
        <f t="shared" si="1166"/>
        <v>0</v>
      </c>
      <c r="BQ138" s="22">
        <f t="shared" si="1166"/>
        <v>0</v>
      </c>
      <c r="BR138" s="22">
        <f t="shared" si="1166"/>
        <v>0</v>
      </c>
      <c r="BS138" s="22">
        <f t="shared" si="1166"/>
        <v>0</v>
      </c>
      <c r="BT138" s="22">
        <f t="shared" si="1166"/>
        <v>0</v>
      </c>
      <c r="BU138" s="22">
        <f t="shared" si="1166"/>
        <v>0</v>
      </c>
      <c r="BV138" s="22">
        <f t="shared" si="1166"/>
        <v>0</v>
      </c>
      <c r="BW138" s="22">
        <f t="shared" si="1166"/>
        <v>0</v>
      </c>
      <c r="BX138" s="22">
        <f t="shared" si="1166"/>
        <v>0</v>
      </c>
      <c r="BY138" s="22">
        <f t="shared" si="1166"/>
        <v>0</v>
      </c>
      <c r="BZ138" s="22">
        <f t="shared" si="1166"/>
        <v>0</v>
      </c>
      <c r="CA138" s="22">
        <f t="shared" si="1166"/>
        <v>0</v>
      </c>
      <c r="CB138" s="22">
        <f t="shared" si="1166"/>
        <v>0</v>
      </c>
      <c r="CC138" s="22">
        <f t="shared" si="1166"/>
        <v>0</v>
      </c>
      <c r="CD138" s="22">
        <f t="shared" si="1166"/>
        <v>0</v>
      </c>
      <c r="CE138" s="22">
        <f t="shared" si="1166"/>
        <v>0</v>
      </c>
      <c r="CF138" s="22">
        <f t="shared" ref="CF138:CG138" si="1168">SUM(CF134:CF137)</f>
        <v>0</v>
      </c>
      <c r="CG138" s="22">
        <f t="shared" si="1168"/>
        <v>0</v>
      </c>
      <c r="CH138" s="22">
        <f t="shared" ref="CH138:CI138" si="1169">SUM(CH134:CH137)</f>
        <v>0</v>
      </c>
      <c r="CI138" s="22">
        <f t="shared" si="1169"/>
        <v>0</v>
      </c>
      <c r="CJ138" s="22">
        <f t="shared" ref="CJ138:DB138" si="1170">SUM(CJ134:CJ137)</f>
        <v>0</v>
      </c>
      <c r="CK138" s="22">
        <f t="shared" si="1170"/>
        <v>0</v>
      </c>
      <c r="CL138" s="22">
        <f t="shared" ref="CL138" si="1171">SUM(CL134:CL137)</f>
        <v>0</v>
      </c>
      <c r="CM138" s="21">
        <f t="shared" si="1170"/>
        <v>0</v>
      </c>
      <c r="CN138" s="21">
        <f t="shared" si="1170"/>
        <v>0</v>
      </c>
      <c r="CO138" s="21">
        <f t="shared" si="1170"/>
        <v>0</v>
      </c>
      <c r="CP138" s="21">
        <f t="shared" si="1170"/>
        <v>0</v>
      </c>
      <c r="CQ138" s="21">
        <f t="shared" si="1170"/>
        <v>0</v>
      </c>
      <c r="CR138" s="21">
        <f t="shared" si="1170"/>
        <v>0</v>
      </c>
      <c r="CS138" s="21">
        <f t="shared" si="1170"/>
        <v>0</v>
      </c>
      <c r="CT138" s="21">
        <f t="shared" si="1170"/>
        <v>0</v>
      </c>
      <c r="CU138" s="21">
        <f t="shared" si="1170"/>
        <v>0</v>
      </c>
      <c r="CV138" s="21">
        <f t="shared" si="1170"/>
        <v>0</v>
      </c>
      <c r="CW138" s="21">
        <f t="shared" si="1170"/>
        <v>0</v>
      </c>
      <c r="CX138" s="21">
        <f t="shared" si="1170"/>
        <v>0</v>
      </c>
      <c r="CY138" s="21">
        <f t="shared" si="1170"/>
        <v>0</v>
      </c>
      <c r="CZ138" s="21">
        <f t="shared" si="1170"/>
        <v>0</v>
      </c>
      <c r="DA138" s="21">
        <f t="shared" si="1170"/>
        <v>0</v>
      </c>
      <c r="DB138" s="21">
        <f t="shared" si="1170"/>
        <v>0</v>
      </c>
      <c r="DE138" s="126"/>
      <c r="DF138" s="22">
        <v>0</v>
      </c>
      <c r="DG138" s="22">
        <v>0</v>
      </c>
    </row>
    <row r="139" spans="1:111" s="26" customFormat="1" x14ac:dyDescent="0.2">
      <c r="A139" s="26" t="s">
        <v>437</v>
      </c>
      <c r="B139" s="26">
        <f>B138+B130+B132</f>
        <v>1389.6391988</v>
      </c>
      <c r="C139" s="26">
        <f t="shared" ref="C139:V139" si="1172">C138+C130+C132</f>
        <v>2080.31</v>
      </c>
      <c r="D139" s="26">
        <f>D138+D130+D132</f>
        <v>2906.49</v>
      </c>
      <c r="E139" s="26">
        <f t="shared" si="1172"/>
        <v>3343.1400000000003</v>
      </c>
      <c r="F139" s="26">
        <f t="shared" si="1172"/>
        <v>5319</v>
      </c>
      <c r="G139" s="26">
        <f t="shared" si="1172"/>
        <v>7034</v>
      </c>
      <c r="H139" s="26">
        <f t="shared" si="1172"/>
        <v>11259</v>
      </c>
      <c r="I139" s="26">
        <f t="shared" si="1172"/>
        <v>13795</v>
      </c>
      <c r="J139" s="26">
        <f t="shared" si="1172"/>
        <v>18254</v>
      </c>
      <c r="K139" s="26">
        <f t="shared" si="1172"/>
        <v>23049</v>
      </c>
      <c r="L139" s="26">
        <f t="shared" si="1172"/>
        <v>25976</v>
      </c>
      <c r="M139" s="26">
        <f t="shared" si="1172"/>
        <v>31332</v>
      </c>
      <c r="N139" s="26">
        <f t="shared" si="1172"/>
        <v>37994</v>
      </c>
      <c r="O139" s="26">
        <f t="shared" si="1172"/>
        <v>44530</v>
      </c>
      <c r="P139" s="26">
        <f t="shared" si="1172"/>
        <v>50736</v>
      </c>
      <c r="Q139" s="26">
        <f t="shared" si="1172"/>
        <v>61744</v>
      </c>
      <c r="R139" s="26">
        <f t="shared" si="1172"/>
        <v>68982</v>
      </c>
      <c r="S139" s="26">
        <f t="shared" si="1172"/>
        <v>64924</v>
      </c>
      <c r="T139" s="26">
        <f t="shared" si="1172"/>
        <v>65006</v>
      </c>
      <c r="U139" s="26">
        <f t="shared" si="1172"/>
        <v>65844</v>
      </c>
      <c r="V139" s="26">
        <f t="shared" si="1172"/>
        <v>76782</v>
      </c>
      <c r="W139" s="26">
        <f t="shared" ref="W139" si="1173">W138+W130+W132</f>
        <v>75736</v>
      </c>
      <c r="X139" s="26">
        <f t="shared" ref="X139:Y139" si="1174">X138+X130+X132</f>
        <v>75795</v>
      </c>
      <c r="Y139" s="26">
        <f t="shared" si="1174"/>
        <v>88461</v>
      </c>
      <c r="Z139" s="26">
        <f t="shared" ref="Z139:AA139" si="1175">Z138+Z130+Z132</f>
        <v>96203</v>
      </c>
      <c r="AA139" s="26">
        <f t="shared" ref="AA139" si="1176">AA138+AA130+AA132</f>
        <v>93297</v>
      </c>
      <c r="AB139" s="27">
        <f t="shared" ref="AB139:AD139" si="1177">AB138+AB130+AB132</f>
        <v>125184.76644252043</v>
      </c>
      <c r="AC139" s="27">
        <f t="shared" si="1177"/>
        <v>159739.27357036038</v>
      </c>
      <c r="AD139" s="27">
        <f t="shared" si="1177"/>
        <v>194719.67306528249</v>
      </c>
      <c r="AE139" s="27">
        <f t="shared" ref="AE139" si="1178">AE138+AE130+AE132</f>
        <v>236262.63981691981</v>
      </c>
      <c r="AJ139" s="26">
        <f t="shared" ref="AJ139" si="1179">AJ138+AJ130+AJ132</f>
        <v>36016</v>
      </c>
      <c r="AK139" s="26">
        <f t="shared" ref="AK139" si="1180">AK138+AK130+AK132</f>
        <v>38385</v>
      </c>
      <c r="AL139" s="26">
        <f t="shared" ref="AL139" si="1181">AL138+AL130+AL132</f>
        <v>39797</v>
      </c>
      <c r="AM139" s="26">
        <f t="shared" ref="AM139:AO139" si="1182">AM138+AM130+AM132</f>
        <v>42171</v>
      </c>
      <c r="AN139" s="26">
        <f t="shared" si="1182"/>
        <v>43199</v>
      </c>
      <c r="AO139" s="26">
        <f t="shared" si="1182"/>
        <v>46074</v>
      </c>
      <c r="AP139" s="26">
        <f t="shared" ref="AP139:CE139" si="1183">AP138+AP130+AP132</f>
        <v>47530</v>
      </c>
      <c r="AQ139" s="26">
        <f t="shared" si="1183"/>
        <v>50416</v>
      </c>
      <c r="AR139" s="26">
        <f t="shared" si="1183"/>
        <v>50582</v>
      </c>
      <c r="AS139" s="26">
        <f t="shared" si="1183"/>
        <v>53832</v>
      </c>
      <c r="AT139" s="26">
        <f t="shared" si="1183"/>
        <v>54763</v>
      </c>
      <c r="AU139" s="26">
        <f t="shared" si="1183"/>
        <v>57791</v>
      </c>
      <c r="AV139" s="26">
        <f t="shared" si="1183"/>
        <v>57345</v>
      </c>
      <c r="AW139" s="26">
        <f t="shared" si="1183"/>
        <v>60810</v>
      </c>
      <c r="AX139" s="26">
        <f t="shared" si="1183"/>
        <v>61744</v>
      </c>
      <c r="AY139" s="26">
        <f t="shared" si="1183"/>
        <v>65180</v>
      </c>
      <c r="AZ139" s="26">
        <f t="shared" si="1183"/>
        <v>64825</v>
      </c>
      <c r="BA139" s="26">
        <f t="shared" si="1183"/>
        <v>68533</v>
      </c>
      <c r="BB139" s="26">
        <f t="shared" si="1183"/>
        <v>68982</v>
      </c>
      <c r="BC139" s="26">
        <f t="shared" si="1183"/>
        <v>72465</v>
      </c>
      <c r="BD139" s="26">
        <f t="shared" si="1183"/>
        <v>72370</v>
      </c>
      <c r="BE139" s="26">
        <f t="shared" si="1183"/>
        <v>77499</v>
      </c>
      <c r="BF139" s="26">
        <f t="shared" si="1183"/>
        <v>64924</v>
      </c>
      <c r="BG139" s="26">
        <f t="shared" si="1183"/>
        <v>68536</v>
      </c>
      <c r="BH139" s="26">
        <f t="shared" ref="BH139" si="1184">BH138+BH130+BH132</f>
        <v>65149</v>
      </c>
      <c r="BI139" s="26">
        <f t="shared" si="1183"/>
        <v>68758</v>
      </c>
      <c r="BJ139" s="26">
        <f t="shared" si="1183"/>
        <v>65006</v>
      </c>
      <c r="BK139" s="26">
        <f t="shared" si="1183"/>
        <v>68804</v>
      </c>
      <c r="BL139" s="26">
        <f t="shared" si="1183"/>
        <v>60881</v>
      </c>
      <c r="BM139" s="26">
        <f t="shared" si="1183"/>
        <v>65338</v>
      </c>
      <c r="BN139" s="26">
        <f t="shared" si="1183"/>
        <v>65844</v>
      </c>
      <c r="BO139" s="26">
        <f t="shared" si="1183"/>
        <v>70077</v>
      </c>
      <c r="BP139" s="26">
        <f t="shared" si="1183"/>
        <v>71434</v>
      </c>
      <c r="BQ139" s="26">
        <f t="shared" si="1183"/>
        <v>76631</v>
      </c>
      <c r="BR139" s="26">
        <f t="shared" si="1183"/>
        <v>76782</v>
      </c>
      <c r="BS139" s="26">
        <f t="shared" si="1183"/>
        <v>81977</v>
      </c>
      <c r="BT139" s="26">
        <f t="shared" si="1183"/>
        <v>70348</v>
      </c>
      <c r="BU139" s="26">
        <f t="shared" si="1183"/>
        <v>76157</v>
      </c>
      <c r="BV139" s="26">
        <f t="shared" si="1183"/>
        <v>75736</v>
      </c>
      <c r="BW139" s="26">
        <f t="shared" si="1183"/>
        <v>81096</v>
      </c>
      <c r="BX139" s="26">
        <f t="shared" si="1183"/>
        <v>80347</v>
      </c>
      <c r="BY139" s="26">
        <f t="shared" si="1183"/>
        <v>86933</v>
      </c>
      <c r="BZ139" s="26">
        <f t="shared" si="1183"/>
        <v>75795</v>
      </c>
      <c r="CA139" s="26">
        <f t="shared" si="1183"/>
        <v>81740</v>
      </c>
      <c r="CB139" s="26">
        <f t="shared" si="1183"/>
        <v>81154</v>
      </c>
      <c r="CC139" s="26">
        <f t="shared" si="1183"/>
        <v>87260</v>
      </c>
      <c r="CD139" s="26">
        <f t="shared" si="1183"/>
        <v>88461</v>
      </c>
      <c r="CE139" s="26">
        <f t="shared" si="1183"/>
        <v>94829</v>
      </c>
      <c r="CF139" s="26">
        <f t="shared" ref="CF139:CG139" si="1185">CF138+CF130+CF132</f>
        <v>90830</v>
      </c>
      <c r="CG139" s="26">
        <f t="shared" si="1185"/>
        <v>97636</v>
      </c>
      <c r="CH139" s="26">
        <f t="shared" ref="CH139:CI139" si="1186">CH138+CH130+CH132</f>
        <v>96203</v>
      </c>
      <c r="CI139" s="26">
        <f t="shared" si="1186"/>
        <v>103124</v>
      </c>
      <c r="CJ139" s="26">
        <f t="shared" ref="CJ139:DB139" si="1187">CJ138+CJ130+CJ132</f>
        <v>103744</v>
      </c>
      <c r="CK139" s="26">
        <f t="shared" si="1187"/>
        <v>110398</v>
      </c>
      <c r="CL139" s="26">
        <f t="shared" ref="CL139" si="1188">CL138+CL130+CL132</f>
        <v>93297</v>
      </c>
      <c r="CM139" s="27">
        <f t="shared" si="1187"/>
        <v>100958.42552918478</v>
      </c>
      <c r="CN139" s="27">
        <f t="shared" si="1187"/>
        <v>108836.33239864135</v>
      </c>
      <c r="CO139" s="27">
        <f t="shared" si="1187"/>
        <v>116924.43014517162</v>
      </c>
      <c r="CP139" s="27">
        <f t="shared" si="1187"/>
        <v>125184.76644252043</v>
      </c>
      <c r="CQ139" s="27">
        <f t="shared" si="1187"/>
        <v>133571.77711956701</v>
      </c>
      <c r="CR139" s="27">
        <f t="shared" si="1187"/>
        <v>142205.57814141226</v>
      </c>
      <c r="CS139" s="27">
        <f t="shared" si="1187"/>
        <v>150869.29809828848</v>
      </c>
      <c r="CT139" s="27">
        <f t="shared" si="1187"/>
        <v>159739.27357036038</v>
      </c>
      <c r="CU139" s="27">
        <f t="shared" si="1187"/>
        <v>168223.19192883233</v>
      </c>
      <c r="CV139" s="27">
        <f t="shared" si="1187"/>
        <v>176919.66453651967</v>
      </c>
      <c r="CW139" s="27">
        <f t="shared" si="1187"/>
        <v>185759.8315602002</v>
      </c>
      <c r="CX139" s="27">
        <f t="shared" si="1187"/>
        <v>194719.67306528249</v>
      </c>
      <c r="CY139" s="27">
        <f t="shared" si="1187"/>
        <v>204512.70483988442</v>
      </c>
      <c r="CZ139" s="27">
        <f t="shared" si="1187"/>
        <v>214665.20794376222</v>
      </c>
      <c r="DA139" s="27">
        <f t="shared" si="1187"/>
        <v>225222.32321702453</v>
      </c>
      <c r="DB139" s="27">
        <f t="shared" si="1187"/>
        <v>236262.63981691981</v>
      </c>
      <c r="DE139" s="121"/>
      <c r="DF139" s="26">
        <v>93297</v>
      </c>
      <c r="DG139" s="26">
        <v>117629.85524680595</v>
      </c>
    </row>
    <row r="140" spans="1:111" s="23" customFormat="1" x14ac:dyDescent="0.2">
      <c r="AB140" s="24"/>
      <c r="AC140" s="24"/>
      <c r="AD140" s="24"/>
      <c r="AE140" s="24"/>
      <c r="CM140" s="24"/>
      <c r="CN140" s="24"/>
      <c r="CO140" s="24"/>
      <c r="CP140" s="24"/>
      <c r="CQ140" s="24"/>
      <c r="CR140" s="24"/>
      <c r="CS140" s="24"/>
      <c r="CT140" s="24"/>
      <c r="CU140" s="24"/>
      <c r="CV140" s="24"/>
      <c r="CW140" s="24"/>
      <c r="CX140" s="24"/>
      <c r="CY140" s="24"/>
      <c r="CZ140" s="24"/>
      <c r="DA140" s="24"/>
      <c r="DB140" s="24"/>
      <c r="DE140" s="123"/>
    </row>
    <row r="141" spans="1:111" s="23" customFormat="1" outlineLevel="1" x14ac:dyDescent="0.2">
      <c r="A141" s="23" t="s">
        <v>50</v>
      </c>
      <c r="B141" s="23">
        <f>'Annual Raw'!C62</f>
        <v>631.14440249999996</v>
      </c>
      <c r="C141" s="23">
        <f>'Annual Raw'!D62</f>
        <v>960.6</v>
      </c>
      <c r="D141" s="23">
        <f>'Annual Raw'!E62</f>
        <v>1279.04</v>
      </c>
      <c r="E141" s="23">
        <f>'Annual Raw'!F62-E145</f>
        <v>1593.13</v>
      </c>
      <c r="F141" s="23">
        <f>'Annual Raw'!G62-F145</f>
        <v>2246</v>
      </c>
      <c r="G141" s="23">
        <f>'Annual Raw'!H62-G145</f>
        <v>2942</v>
      </c>
      <c r="H141" s="23">
        <f>'Annual Raw'!I62-H145</f>
        <v>4053</v>
      </c>
      <c r="I141" s="23">
        <f>'Annual Raw'!J62-I145</f>
        <v>4750</v>
      </c>
      <c r="J141" s="23">
        <f>'Annual Raw'!K62-J145</f>
        <v>6404</v>
      </c>
      <c r="K141" s="23">
        <f>'Annual Raw'!L62-K145</f>
        <v>6923</v>
      </c>
      <c r="L141" s="23">
        <f>'Annual Raw'!M62-L145</f>
        <v>7585</v>
      </c>
      <c r="M141" s="23">
        <f>'Annual Raw'!N62-M145</f>
        <v>8103</v>
      </c>
      <c r="N141" s="23">
        <f>'Annual Raw'!O62-N145</f>
        <v>9137</v>
      </c>
      <c r="O141" s="23">
        <f>'Annual Raw'!P62-O145</f>
        <v>11706</v>
      </c>
      <c r="P141" s="23">
        <f>'Annual Raw'!Q62-P145</f>
        <v>14221</v>
      </c>
      <c r="Q141" s="23">
        <f>'Annual Raw'!R62-Q145</f>
        <v>17529</v>
      </c>
      <c r="R141" s="23">
        <f>'Annual Raw'!S62-R145</f>
        <v>19727</v>
      </c>
      <c r="S141" s="23">
        <f>'Annual Raw'!T62-S145</f>
        <v>20769</v>
      </c>
      <c r="T141" s="23">
        <f>'Annual Raw'!U62-T145</f>
        <v>24525</v>
      </c>
      <c r="U141" s="23">
        <f>'Annual Raw'!V62-U145</f>
        <v>31914</v>
      </c>
      <c r="V141" s="23">
        <f>'Annual Raw'!W62-V145</f>
        <v>35250</v>
      </c>
      <c r="W141" s="23">
        <f>'Annual Raw'!X62-W145</f>
        <v>37378</v>
      </c>
      <c r="X141" s="23">
        <f>'Annual Raw'!Y62-X145</f>
        <v>41756</v>
      </c>
      <c r="Y141" s="23">
        <f>'Annual Raw'!Z62-Y145</f>
        <v>42776</v>
      </c>
      <c r="Z141" s="23">
        <f>'Annual Raw'!AA62-Z145</f>
        <v>44221</v>
      </c>
      <c r="AA141" s="23">
        <f>'Annual Raw'!AB62-AA145</f>
        <v>47592</v>
      </c>
      <c r="AB141" s="24">
        <f t="shared" ref="AB141:AB147" si="1189">+CP141</f>
        <v>53749</v>
      </c>
      <c r="AC141" s="24">
        <f t="shared" ref="AC141:AC147" si="1190">+CT141</f>
        <v>61749</v>
      </c>
      <c r="AD141" s="24">
        <f t="shared" ref="AD141:AD147" si="1191">+CX141</f>
        <v>61749</v>
      </c>
      <c r="AE141" s="24">
        <f t="shared" ref="AE141:AE147" si="1192">+DB141</f>
        <v>61749</v>
      </c>
      <c r="AJ141" s="23">
        <f>+'QTR Raw'!D68</f>
        <v>5977</v>
      </c>
      <c r="AL141" s="23">
        <f>+'QTR Raw'!F68</f>
        <v>6836</v>
      </c>
      <c r="AN141" s="23">
        <f>+'QTR Raw'!H68</f>
        <v>7401</v>
      </c>
      <c r="AP141" s="23">
        <f>+'QTR Raw'!J68</f>
        <v>8229</v>
      </c>
      <c r="AR141" s="23">
        <f>+'QTR Raw'!L68</f>
        <v>8398</v>
      </c>
      <c r="AT141" s="23">
        <f>+'QTR Raw'!N68</f>
        <v>9763</v>
      </c>
      <c r="AV141" s="23">
        <f>+'QTR Raw'!P68</f>
        <v>10603</v>
      </c>
      <c r="AX141" s="23">
        <f>+'QTR Raw'!R68</f>
        <v>9622</v>
      </c>
      <c r="AZ141" s="23">
        <f>+'QTR Raw'!T68</f>
        <v>9805</v>
      </c>
      <c r="BB141" s="23">
        <f>+'QTR Raw'!V68</f>
        <v>10527</v>
      </c>
      <c r="BD141" s="23">
        <f>+'QTR Raw'!X68</f>
        <v>10207</v>
      </c>
      <c r="BF141" s="23">
        <f>+'QTR Raw'!Z68</f>
        <v>10363</v>
      </c>
      <c r="BH141" s="23">
        <f>+'QTR Raw'!AB68</f>
        <v>10398</v>
      </c>
      <c r="BJ141" s="23">
        <f>+'QTR Raw'!AD68</f>
        <v>12170</v>
      </c>
      <c r="BL141" s="23">
        <f>+'QTR Raw'!AF68</f>
        <v>13181</v>
      </c>
      <c r="BN141" s="23">
        <f>+'QTR Raw'!AH68</f>
        <v>14335</v>
      </c>
      <c r="BP141" s="23">
        <f>+'QTR Raw'!AJ68</f>
        <v>14084</v>
      </c>
      <c r="BR141" s="23">
        <f>+'QTR Raw'!AL68</f>
        <v>14632</v>
      </c>
      <c r="BT141" s="23">
        <f>+'QTR Raw'!AN68</f>
        <v>14808</v>
      </c>
      <c r="BV141" s="23">
        <f>+'QTR Raw'!AP68</f>
        <v>14782</v>
      </c>
      <c r="BX141" s="23">
        <f>+'QTR Raw'!AR68</f>
        <v>14747</v>
      </c>
      <c r="BZ141" s="23">
        <f>+'QTR Raw'!AT68</f>
        <v>15095</v>
      </c>
      <c r="CB141" s="23">
        <f>+'QTR Raw'!AV68</f>
        <v>14089</v>
      </c>
      <c r="CD141" s="23">
        <f>+'QTR Raw'!AX68</f>
        <v>13767</v>
      </c>
      <c r="CF141" s="23">
        <f>+'QTR Raw'!AZ68</f>
        <v>15034</v>
      </c>
      <c r="CH141" s="23">
        <f t="shared" ref="CH141:CH147" si="1193">Z141</f>
        <v>44221</v>
      </c>
      <c r="CI141" s="23">
        <f>CH141</f>
        <v>44221</v>
      </c>
      <c r="CJ141" s="23">
        <f>+CJ142+CJ144</f>
        <v>42458</v>
      </c>
      <c r="CK141" s="23">
        <f>+CJ141+2000</f>
        <v>44458</v>
      </c>
      <c r="CL141" s="23">
        <f>+CL142+CL144</f>
        <v>45749</v>
      </c>
      <c r="CM141" s="24">
        <f t="shared" ref="CM141:CT141" si="1194">+CL141+2000</f>
        <v>47749</v>
      </c>
      <c r="CN141" s="24">
        <f t="shared" si="1194"/>
        <v>49749</v>
      </c>
      <c r="CO141" s="24">
        <f t="shared" si="1194"/>
        <v>51749</v>
      </c>
      <c r="CP141" s="24">
        <f t="shared" si="1194"/>
        <v>53749</v>
      </c>
      <c r="CQ141" s="24">
        <f t="shared" si="1194"/>
        <v>55749</v>
      </c>
      <c r="CR141" s="24">
        <f t="shared" si="1194"/>
        <v>57749</v>
      </c>
      <c r="CS141" s="24">
        <f t="shared" si="1194"/>
        <v>59749</v>
      </c>
      <c r="CT141" s="24">
        <f t="shared" si="1194"/>
        <v>61749</v>
      </c>
      <c r="CU141" s="24">
        <f t="shared" ref="CU141:DB141" si="1195">+CT141</f>
        <v>61749</v>
      </c>
      <c r="CV141" s="24">
        <f t="shared" si="1195"/>
        <v>61749</v>
      </c>
      <c r="CW141" s="24">
        <f t="shared" si="1195"/>
        <v>61749</v>
      </c>
      <c r="CX141" s="24">
        <f t="shared" si="1195"/>
        <v>61749</v>
      </c>
      <c r="CY141" s="24">
        <f t="shared" si="1195"/>
        <v>61749</v>
      </c>
      <c r="CZ141" s="24">
        <f t="shared" si="1195"/>
        <v>61749</v>
      </c>
      <c r="DA141" s="24">
        <f t="shared" si="1195"/>
        <v>61749</v>
      </c>
      <c r="DB141" s="24">
        <f t="shared" si="1195"/>
        <v>61749</v>
      </c>
      <c r="DE141" s="123"/>
      <c r="DF141" s="23">
        <v>45749</v>
      </c>
      <c r="DG141" s="23">
        <v>46458</v>
      </c>
    </row>
    <row r="142" spans="1:111" s="23" customFormat="1" outlineLevel="1" x14ac:dyDescent="0.2">
      <c r="A142" s="23" t="s">
        <v>51</v>
      </c>
      <c r="B142" s="23">
        <f>'Annual Raw'!C63</f>
        <v>244.13159820000001</v>
      </c>
      <c r="C142" s="23">
        <f>'Annual Raw'!D63</f>
        <v>393.03</v>
      </c>
      <c r="D142" s="23">
        <f>'Annual Raw'!E63</f>
        <v>578.54</v>
      </c>
      <c r="E142" s="23">
        <f>'Annual Raw'!F63</f>
        <v>809.84</v>
      </c>
      <c r="F142" s="23">
        <f>'Annual Raw'!G63</f>
        <v>1031</v>
      </c>
      <c r="G142" s="23">
        <f>'Annual Raw'!H63</f>
        <v>1328</v>
      </c>
      <c r="H142" s="23">
        <f>'Annual Raw'!I63</f>
        <v>1836</v>
      </c>
      <c r="I142" s="23">
        <f>'Annual Raw'!J63</f>
        <v>1986</v>
      </c>
      <c r="J142" s="23">
        <f>'Annual Raw'!K63</f>
        <v>2416</v>
      </c>
      <c r="K142" s="23">
        <f>'Annual Raw'!L63</f>
        <v>2893</v>
      </c>
      <c r="L142" s="23">
        <f>'Annual Raw'!M63</f>
        <v>3266</v>
      </c>
      <c r="M142" s="23">
        <f>'Annual Raw'!N63</f>
        <v>3639</v>
      </c>
      <c r="N142" s="23">
        <f>'Annual Raw'!O63</f>
        <v>4242</v>
      </c>
      <c r="O142" s="23">
        <f>'Annual Raw'!P63</f>
        <v>5572</v>
      </c>
      <c r="P142" s="23">
        <f>'Annual Raw'!Q63</f>
        <v>6470</v>
      </c>
      <c r="Q142" s="23">
        <f>'Annual Raw'!R63</f>
        <v>7907</v>
      </c>
      <c r="R142" s="23">
        <f>'Annual Raw'!S63</f>
        <v>9200</v>
      </c>
      <c r="S142" s="23">
        <f>'Annual Raw'!T63</f>
        <v>10406</v>
      </c>
      <c r="T142" s="23">
        <f>'Annual Raw'!U63</f>
        <v>12355</v>
      </c>
      <c r="U142" s="23">
        <f>'Annual Raw'!V63</f>
        <v>14534</v>
      </c>
      <c r="V142" s="23">
        <f>'Annual Raw'!W63</f>
        <v>16867</v>
      </c>
      <c r="W142" s="23">
        <f>'Annual Raw'!X63</f>
        <v>18574</v>
      </c>
      <c r="X142" s="23">
        <f>'Annual Raw'!Y63</f>
        <v>20686</v>
      </c>
      <c r="Y142" s="23">
        <f>'Annual Raw'!Z63</f>
        <v>23169</v>
      </c>
      <c r="Z142" s="23">
        <f>'Annual Raw'!AA63</f>
        <v>25372</v>
      </c>
      <c r="AA142" s="23">
        <f>'Annual Raw'!AB63</f>
        <v>27882</v>
      </c>
      <c r="AB142" s="24">
        <f t="shared" si="1189"/>
        <v>36223.263295104247</v>
      </c>
      <c r="AC142" s="24">
        <f t="shared" si="1190"/>
        <v>42825.237720428784</v>
      </c>
      <c r="AD142" s="24">
        <f t="shared" si="1191"/>
        <v>48842.023424554958</v>
      </c>
      <c r="AE142" s="24">
        <f t="shared" si="1192"/>
        <v>52945.779907823817</v>
      </c>
      <c r="AJ142" s="23">
        <f>+'QTR Raw'!D69</f>
        <v>0</v>
      </c>
      <c r="AL142" s="23">
        <f>+'QTR Raw'!F69</f>
        <v>0</v>
      </c>
      <c r="AN142" s="23">
        <f>+'QTR Raw'!H69</f>
        <v>0</v>
      </c>
      <c r="AP142" s="23">
        <f>+'QTR Raw'!J69</f>
        <v>0</v>
      </c>
      <c r="AR142" s="23">
        <f>+'QTR Raw'!L69</f>
        <v>0</v>
      </c>
      <c r="AT142" s="23">
        <f>+'QTR Raw'!N69</f>
        <v>0</v>
      </c>
      <c r="AV142" s="23">
        <f>+'QTR Raw'!P69</f>
        <v>0</v>
      </c>
      <c r="AX142" s="23">
        <f>+'QTR Raw'!R69</f>
        <v>0</v>
      </c>
      <c r="AZ142" s="23">
        <f>+'QTR Raw'!T69</f>
        <v>0</v>
      </c>
      <c r="BB142" s="23">
        <f>+'QTR Raw'!V69</f>
        <v>0</v>
      </c>
      <c r="BD142" s="23">
        <f>+'QTR Raw'!X69</f>
        <v>0</v>
      </c>
      <c r="BF142" s="23">
        <f>+'QTR Raw'!Z69</f>
        <v>0</v>
      </c>
      <c r="BH142" s="23">
        <f>+'QTR Raw'!AB69</f>
        <v>0</v>
      </c>
      <c r="BJ142" s="23">
        <f>+'QTR Raw'!AD69</f>
        <v>0</v>
      </c>
      <c r="BL142" s="23">
        <f>+'QTR Raw'!AF69</f>
        <v>0</v>
      </c>
      <c r="BN142" s="23">
        <f>+'QTR Raw'!AH69</f>
        <v>0</v>
      </c>
      <c r="BP142" s="23">
        <f>+'QTR Raw'!AJ69</f>
        <v>0</v>
      </c>
      <c r="BR142" s="23">
        <f>+'QTR Raw'!AL69</f>
        <v>0</v>
      </c>
      <c r="BT142" s="23">
        <f>+'QTR Raw'!AN69</f>
        <v>0</v>
      </c>
      <c r="BV142" s="23">
        <f>+'QTR Raw'!AP69</f>
        <v>0</v>
      </c>
      <c r="BX142" s="23">
        <f>+'QTR Raw'!AR69</f>
        <v>0</v>
      </c>
      <c r="BZ142" s="23">
        <f>+'QTR Raw'!AT69</f>
        <v>0</v>
      </c>
      <c r="CB142" s="23">
        <f>+'QTR Raw'!AV69</f>
        <v>0</v>
      </c>
      <c r="CD142" s="23">
        <f>+'QTR Raw'!AX69</f>
        <v>0</v>
      </c>
      <c r="CF142" s="23">
        <f>+'QTR Raw'!AZ69</f>
        <v>0</v>
      </c>
      <c r="CH142" s="23">
        <f t="shared" si="1193"/>
        <v>25372</v>
      </c>
      <c r="CI142" s="23">
        <f t="shared" ref="CI142:CL142" si="1196">CH142+CI42</f>
        <v>26512</v>
      </c>
      <c r="CJ142" s="23">
        <f t="shared" si="1196"/>
        <v>27694</v>
      </c>
      <c r="CK142" s="23">
        <f t="shared" si="1196"/>
        <v>28849</v>
      </c>
      <c r="CL142" s="23">
        <f t="shared" si="1196"/>
        <v>30273</v>
      </c>
      <c r="CM142" s="24">
        <f t="shared" ref="CM142" si="1197">CL142+CM42</f>
        <v>31684.86648728298</v>
      </c>
      <c r="CN142" s="24">
        <f t="shared" ref="CN142" si="1198">CM142+CN42</f>
        <v>33150.388053181436</v>
      </c>
      <c r="CO142" s="24">
        <f t="shared" ref="CO142" si="1199">CN142+CO42</f>
        <v>34664.669776050912</v>
      </c>
      <c r="CP142" s="24">
        <f t="shared" ref="CP142" si="1200">CO142+CP42</f>
        <v>36223.263295104247</v>
      </c>
      <c r="CQ142" s="24">
        <f t="shared" ref="CQ142" si="1201">CP142+CQ42</f>
        <v>37822.126070924067</v>
      </c>
      <c r="CR142" s="24">
        <f t="shared" ref="CR142" si="1202">CQ142+CR42</f>
        <v>39457.584362615024</v>
      </c>
      <c r="CS142" s="24">
        <f t="shared" ref="CS142" si="1203">CR142+CS42</f>
        <v>41126.299582528933</v>
      </c>
      <c r="CT142" s="24">
        <f t="shared" ref="CT142" si="1204">CS142+CT42</f>
        <v>42825.237720428784</v>
      </c>
      <c r="CU142" s="24">
        <f t="shared" ref="CU142" si="1205">CT142+CU42</f>
        <v>44551.641557068506</v>
      </c>
      <c r="CV142" s="24">
        <f t="shared" ref="CV142" si="1206">CU142+CV42</f>
        <v>46120.546574861728</v>
      </c>
      <c r="CW142" s="24">
        <f t="shared" ref="CW142" si="1207">CV142+CW42</f>
        <v>47546.321299533192</v>
      </c>
      <c r="CX142" s="24">
        <f t="shared" ref="CX142" si="1208">CW142+CX42</f>
        <v>48842.023424554958</v>
      </c>
      <c r="CY142" s="24">
        <f t="shared" ref="CY142" si="1209">CX142+CY42</f>
        <v>50019.519397611126</v>
      </c>
      <c r="CZ142" s="24">
        <f t="shared" ref="CZ142" si="1210">CY142+CZ42</f>
        <v>51089.593097258876</v>
      </c>
      <c r="DA142" s="24">
        <f t="shared" ref="DA142" si="1211">CZ142+DA42</f>
        <v>52062.044595080857</v>
      </c>
      <c r="DB142" s="24">
        <f t="shared" ref="DB142" si="1212">DA142+DB42</f>
        <v>52945.779907823817</v>
      </c>
      <c r="DE142" s="123"/>
      <c r="DF142" s="23">
        <v>30273</v>
      </c>
      <c r="DG142" s="23">
        <v>30070.105052831212</v>
      </c>
    </row>
    <row r="143" spans="1:111" s="23" customFormat="1" outlineLevel="1" x14ac:dyDescent="0.2">
      <c r="A143" s="23" t="s">
        <v>52</v>
      </c>
      <c r="B143" s="23">
        <f>'Annual Raw'!C64</f>
        <v>0</v>
      </c>
      <c r="C143" s="23">
        <f>'Annual Raw'!D64</f>
        <v>0</v>
      </c>
      <c r="D143" s="23">
        <f>'Annual Raw'!E64</f>
        <v>0</v>
      </c>
      <c r="E143" s="23">
        <f>'Annual Raw'!F64</f>
        <v>0</v>
      </c>
      <c r="F143" s="23">
        <f>'Annual Raw'!G64</f>
        <v>0</v>
      </c>
      <c r="G143" s="23">
        <f>'Annual Raw'!H64</f>
        <v>0</v>
      </c>
      <c r="H143" s="23">
        <f>'Annual Raw'!I64</f>
        <v>0</v>
      </c>
      <c r="I143" s="23">
        <f>'Annual Raw'!J64</f>
        <v>0</v>
      </c>
      <c r="J143" s="23">
        <f>'Annual Raw'!K64</f>
        <v>0</v>
      </c>
      <c r="K143" s="23">
        <f>'Annual Raw'!L64</f>
        <v>0</v>
      </c>
      <c r="L143" s="23">
        <f>'Annual Raw'!M64</f>
        <v>0</v>
      </c>
      <c r="M143" s="23">
        <f>'Annual Raw'!N64</f>
        <v>0</v>
      </c>
      <c r="N143" s="23">
        <f>'Annual Raw'!O64</f>
        <v>0</v>
      </c>
      <c r="O143" s="23">
        <f>'Annual Raw'!P64</f>
        <v>0</v>
      </c>
      <c r="P143" s="23">
        <f>'Annual Raw'!Q64</f>
        <v>0</v>
      </c>
      <c r="Q143" s="23">
        <f>'Annual Raw'!R64</f>
        <v>0</v>
      </c>
      <c r="R143" s="23">
        <f>'Annual Raw'!S64</f>
        <v>0</v>
      </c>
      <c r="S143" s="23">
        <f>'Annual Raw'!T64</f>
        <v>0</v>
      </c>
      <c r="T143" s="23">
        <f>'Annual Raw'!U64</f>
        <v>0</v>
      </c>
      <c r="U143" s="23">
        <f>'Annual Raw'!V64</f>
        <v>0</v>
      </c>
      <c r="V143" s="23">
        <f>'Annual Raw'!W64</f>
        <v>0</v>
      </c>
      <c r="W143" s="23">
        <f>'Annual Raw'!X64</f>
        <v>0</v>
      </c>
      <c r="X143" s="23">
        <f>'Annual Raw'!Y64</f>
        <v>0</v>
      </c>
      <c r="Y143" s="23">
        <f>'Annual Raw'!Z64</f>
        <v>0</v>
      </c>
      <c r="Z143" s="23">
        <f>'Annual Raw'!AA64</f>
        <v>0</v>
      </c>
      <c r="AA143" s="23">
        <f>'Annual Raw'!AB64</f>
        <v>0</v>
      </c>
      <c r="AB143" s="24">
        <f t="shared" si="1189"/>
        <v>0</v>
      </c>
      <c r="AC143" s="24">
        <f t="shared" si="1190"/>
        <v>0</v>
      </c>
      <c r="AD143" s="24">
        <f t="shared" si="1191"/>
        <v>0</v>
      </c>
      <c r="AE143" s="24">
        <f t="shared" si="1192"/>
        <v>0</v>
      </c>
      <c r="AJ143" s="23">
        <f>+'QTR Raw'!D70</f>
        <v>0</v>
      </c>
      <c r="AL143" s="23">
        <f>+'QTR Raw'!F70</f>
        <v>0</v>
      </c>
      <c r="AN143" s="23">
        <f>+'QTR Raw'!H70</f>
        <v>0</v>
      </c>
      <c r="AP143" s="23">
        <f>+'QTR Raw'!J70</f>
        <v>0</v>
      </c>
      <c r="AR143" s="23">
        <f>+'QTR Raw'!L70</f>
        <v>0</v>
      </c>
      <c r="AT143" s="23">
        <f>+'QTR Raw'!N70</f>
        <v>0</v>
      </c>
      <c r="AV143" s="23">
        <f>+'QTR Raw'!P70</f>
        <v>0</v>
      </c>
      <c r="AX143" s="23">
        <f>+'QTR Raw'!R70</f>
        <v>0</v>
      </c>
      <c r="AZ143" s="23">
        <f>+'QTR Raw'!T70</f>
        <v>0</v>
      </c>
      <c r="BB143" s="23">
        <f>+'QTR Raw'!V70</f>
        <v>0</v>
      </c>
      <c r="BD143" s="23">
        <f>+'QTR Raw'!X70</f>
        <v>0</v>
      </c>
      <c r="BF143" s="23">
        <f>+'QTR Raw'!Z70</f>
        <v>0</v>
      </c>
      <c r="BH143" s="23">
        <f>+'QTR Raw'!AB70</f>
        <v>0</v>
      </c>
      <c r="BJ143" s="23">
        <f>+'QTR Raw'!AD70</f>
        <v>0</v>
      </c>
      <c r="BL143" s="23">
        <f>+'QTR Raw'!AF70</f>
        <v>0</v>
      </c>
      <c r="BN143" s="23">
        <f>+'QTR Raw'!AH70</f>
        <v>0</v>
      </c>
      <c r="BP143" s="23">
        <f>+'QTR Raw'!AJ70</f>
        <v>0</v>
      </c>
      <c r="BR143" s="23">
        <f>+'QTR Raw'!AL70</f>
        <v>0</v>
      </c>
      <c r="BT143" s="23">
        <f>+'QTR Raw'!AN70</f>
        <v>0</v>
      </c>
      <c r="BV143" s="23">
        <f>+'QTR Raw'!AP70</f>
        <v>0</v>
      </c>
      <c r="BX143" s="23">
        <f>+'QTR Raw'!AR70</f>
        <v>0</v>
      </c>
      <c r="BZ143" s="23">
        <f>+'QTR Raw'!AT70</f>
        <v>0</v>
      </c>
      <c r="CB143" s="23">
        <f>+'QTR Raw'!AV70</f>
        <v>0</v>
      </c>
      <c r="CD143" s="23">
        <f>+'QTR Raw'!AX70</f>
        <v>0</v>
      </c>
      <c r="CF143" s="23">
        <f>+'QTR Raw'!AZ70</f>
        <v>0</v>
      </c>
      <c r="CH143" s="23">
        <f t="shared" si="1193"/>
        <v>0</v>
      </c>
      <c r="CI143" s="23">
        <f>CH143</f>
        <v>0</v>
      </c>
      <c r="CJ143" s="23">
        <f>+'QTR Raw'!BD70</f>
        <v>0</v>
      </c>
      <c r="CK143" s="23">
        <f t="shared" ref="CK143" si="1213">CJ143</f>
        <v>0</v>
      </c>
      <c r="CL143" s="23">
        <f>+'QTR Raw'!BF70</f>
        <v>0</v>
      </c>
      <c r="CM143" s="24">
        <f t="shared" ref="CM143" si="1214">CL143</f>
        <v>0</v>
      </c>
      <c r="CN143" s="24">
        <f t="shared" ref="CN143" si="1215">CM143</f>
        <v>0</v>
      </c>
      <c r="CO143" s="24">
        <f t="shared" ref="CO143" si="1216">CN143</f>
        <v>0</v>
      </c>
      <c r="CP143" s="24">
        <f t="shared" ref="CP143" si="1217">CO143</f>
        <v>0</v>
      </c>
      <c r="CQ143" s="24">
        <f t="shared" ref="CQ143" si="1218">CP143</f>
        <v>0</v>
      </c>
      <c r="CR143" s="24">
        <f t="shared" ref="CR143" si="1219">CQ143</f>
        <v>0</v>
      </c>
      <c r="CS143" s="24">
        <f t="shared" ref="CS143" si="1220">CR143</f>
        <v>0</v>
      </c>
      <c r="CT143" s="24">
        <f t="shared" ref="CT143" si="1221">CS143</f>
        <v>0</v>
      </c>
      <c r="CU143" s="24">
        <f t="shared" ref="CU143" si="1222">CT143</f>
        <v>0</v>
      </c>
      <c r="CV143" s="24">
        <f t="shared" ref="CV143" si="1223">CU143</f>
        <v>0</v>
      </c>
      <c r="CW143" s="24">
        <f t="shared" ref="CW143" si="1224">CV143</f>
        <v>0</v>
      </c>
      <c r="CX143" s="24">
        <f t="shared" ref="CX143" si="1225">CW143</f>
        <v>0</v>
      </c>
      <c r="CY143" s="24">
        <f t="shared" ref="CY143" si="1226">CX143</f>
        <v>0</v>
      </c>
      <c r="CZ143" s="24">
        <f t="shared" ref="CZ143" si="1227">CY143</f>
        <v>0</v>
      </c>
      <c r="DA143" s="24">
        <f t="shared" ref="DA143" si="1228">CZ143</f>
        <v>0</v>
      </c>
      <c r="DB143" s="24">
        <f t="shared" ref="DB143" si="1229">DA143</f>
        <v>0</v>
      </c>
      <c r="DE143" s="123"/>
      <c r="DF143" s="23">
        <v>0</v>
      </c>
      <c r="DG143" s="23">
        <v>0</v>
      </c>
    </row>
    <row r="144" spans="1:111" s="22" customFormat="1" outlineLevel="1" x14ac:dyDescent="0.2">
      <c r="A144" s="22" t="s">
        <v>53</v>
      </c>
      <c r="B144" s="22">
        <f>+B141-B142-B143</f>
        <v>387.01280429999997</v>
      </c>
      <c r="C144" s="22">
        <f t="shared" ref="C144:W144" si="1230">+C141-C142-C143</f>
        <v>567.57000000000005</v>
      </c>
      <c r="D144" s="22">
        <f t="shared" si="1230"/>
        <v>700.5</v>
      </c>
      <c r="E144" s="22">
        <f t="shared" si="1230"/>
        <v>783.29000000000008</v>
      </c>
      <c r="F144" s="22">
        <f t="shared" si="1230"/>
        <v>1215</v>
      </c>
      <c r="G144" s="22">
        <f t="shared" si="1230"/>
        <v>1614</v>
      </c>
      <c r="H144" s="22">
        <f t="shared" si="1230"/>
        <v>2217</v>
      </c>
      <c r="I144" s="22">
        <f t="shared" si="1230"/>
        <v>2764</v>
      </c>
      <c r="J144" s="22">
        <f t="shared" si="1230"/>
        <v>3988</v>
      </c>
      <c r="K144" s="22">
        <f t="shared" si="1230"/>
        <v>4030</v>
      </c>
      <c r="L144" s="22">
        <f t="shared" si="1230"/>
        <v>4319</v>
      </c>
      <c r="M144" s="22">
        <f t="shared" si="1230"/>
        <v>4464</v>
      </c>
      <c r="N144" s="22">
        <f t="shared" si="1230"/>
        <v>4895</v>
      </c>
      <c r="O144" s="22">
        <f t="shared" si="1230"/>
        <v>6134</v>
      </c>
      <c r="P144" s="22">
        <f t="shared" si="1230"/>
        <v>7751</v>
      </c>
      <c r="Q144" s="22">
        <f t="shared" si="1230"/>
        <v>9622</v>
      </c>
      <c r="R144" s="22">
        <f t="shared" si="1230"/>
        <v>10527</v>
      </c>
      <c r="S144" s="22">
        <f t="shared" si="1230"/>
        <v>10363</v>
      </c>
      <c r="T144" s="22">
        <f t="shared" si="1230"/>
        <v>12170</v>
      </c>
      <c r="U144" s="22">
        <f t="shared" si="1230"/>
        <v>17380</v>
      </c>
      <c r="V144" s="22">
        <f t="shared" si="1230"/>
        <v>18383</v>
      </c>
      <c r="W144" s="22">
        <f t="shared" si="1230"/>
        <v>18804</v>
      </c>
      <c r="X144" s="22">
        <f t="shared" ref="X144:Y144" si="1231">+X141-X142-X143</f>
        <v>21070</v>
      </c>
      <c r="Y144" s="22">
        <f t="shared" si="1231"/>
        <v>19607</v>
      </c>
      <c r="Z144" s="22">
        <f t="shared" ref="Z144:AE144" si="1232">+Z141-Z142-Z143</f>
        <v>18849</v>
      </c>
      <c r="AA144" s="22">
        <f t="shared" ref="AA144" si="1233">+AA141-AA142-AA143</f>
        <v>19710</v>
      </c>
      <c r="AB144" s="21">
        <f t="shared" si="1232"/>
        <v>17525.736704895753</v>
      </c>
      <c r="AC144" s="21">
        <f t="shared" si="1232"/>
        <v>18923.762279571216</v>
      </c>
      <c r="AD144" s="21">
        <f t="shared" si="1232"/>
        <v>12906.976575445042</v>
      </c>
      <c r="AE144" s="21">
        <f t="shared" si="1232"/>
        <v>8803.2200921761832</v>
      </c>
      <c r="AJ144" s="22">
        <f t="shared" ref="AJ144:AL144" si="1234">+AJ141-AJ142-AJ143</f>
        <v>5977</v>
      </c>
      <c r="AK144" s="22">
        <f t="shared" ref="AK144:CE144" si="1235">+AJ144</f>
        <v>5977</v>
      </c>
      <c r="AL144" s="22">
        <f t="shared" si="1234"/>
        <v>6836</v>
      </c>
      <c r="AM144" s="22">
        <f t="shared" si="1235"/>
        <v>6836</v>
      </c>
      <c r="AN144" s="22">
        <f t="shared" ref="AN144" si="1236">+AN141-AN142-AN143</f>
        <v>7401</v>
      </c>
      <c r="AO144" s="22">
        <f t="shared" si="1235"/>
        <v>7401</v>
      </c>
      <c r="AP144" s="22">
        <f t="shared" ref="AP144:CD144" si="1237">+AP141-AP142-AP143</f>
        <v>8229</v>
      </c>
      <c r="AQ144" s="22">
        <f t="shared" si="1235"/>
        <v>8229</v>
      </c>
      <c r="AR144" s="22">
        <f t="shared" si="1237"/>
        <v>8398</v>
      </c>
      <c r="AS144" s="22">
        <f t="shared" si="1235"/>
        <v>8398</v>
      </c>
      <c r="AT144" s="22">
        <f t="shared" si="1237"/>
        <v>9763</v>
      </c>
      <c r="AU144" s="22">
        <f t="shared" si="1235"/>
        <v>9763</v>
      </c>
      <c r="AV144" s="22">
        <f t="shared" si="1237"/>
        <v>10603</v>
      </c>
      <c r="AW144" s="22">
        <f t="shared" si="1235"/>
        <v>10603</v>
      </c>
      <c r="AX144" s="22">
        <f t="shared" si="1237"/>
        <v>9622</v>
      </c>
      <c r="AY144" s="22">
        <f t="shared" si="1235"/>
        <v>9622</v>
      </c>
      <c r="AZ144" s="22">
        <f t="shared" si="1237"/>
        <v>9805</v>
      </c>
      <c r="BA144" s="22">
        <f t="shared" si="1235"/>
        <v>9805</v>
      </c>
      <c r="BB144" s="22">
        <f t="shared" si="1237"/>
        <v>10527</v>
      </c>
      <c r="BC144" s="22">
        <f t="shared" si="1235"/>
        <v>10527</v>
      </c>
      <c r="BD144" s="22">
        <f t="shared" si="1237"/>
        <v>10207</v>
      </c>
      <c r="BE144" s="22">
        <f t="shared" si="1235"/>
        <v>10207</v>
      </c>
      <c r="BF144" s="22">
        <f t="shared" si="1237"/>
        <v>10363</v>
      </c>
      <c r="BG144" s="22">
        <f t="shared" si="1235"/>
        <v>10363</v>
      </c>
      <c r="BH144" s="22">
        <f t="shared" si="1237"/>
        <v>10398</v>
      </c>
      <c r="BI144" s="22">
        <f t="shared" si="1235"/>
        <v>10398</v>
      </c>
      <c r="BJ144" s="22">
        <f t="shared" si="1237"/>
        <v>12170</v>
      </c>
      <c r="BK144" s="22">
        <f t="shared" si="1235"/>
        <v>12170</v>
      </c>
      <c r="BL144" s="22">
        <f t="shared" si="1237"/>
        <v>13181</v>
      </c>
      <c r="BM144" s="22">
        <f t="shared" si="1235"/>
        <v>13181</v>
      </c>
      <c r="BN144" s="22">
        <f t="shared" si="1237"/>
        <v>14335</v>
      </c>
      <c r="BO144" s="22">
        <f t="shared" si="1235"/>
        <v>14335</v>
      </c>
      <c r="BP144" s="22">
        <f t="shared" si="1237"/>
        <v>14084</v>
      </c>
      <c r="BQ144" s="22">
        <f t="shared" si="1235"/>
        <v>14084</v>
      </c>
      <c r="BR144" s="22">
        <f t="shared" si="1237"/>
        <v>14632</v>
      </c>
      <c r="BS144" s="22">
        <f t="shared" si="1235"/>
        <v>14632</v>
      </c>
      <c r="BT144" s="22">
        <f t="shared" si="1237"/>
        <v>14808</v>
      </c>
      <c r="BU144" s="22">
        <f t="shared" si="1235"/>
        <v>14808</v>
      </c>
      <c r="BV144" s="22">
        <f t="shared" si="1237"/>
        <v>14782</v>
      </c>
      <c r="BW144" s="22">
        <f t="shared" si="1235"/>
        <v>14782</v>
      </c>
      <c r="BX144" s="22">
        <f t="shared" si="1237"/>
        <v>14747</v>
      </c>
      <c r="BY144" s="22">
        <f t="shared" si="1235"/>
        <v>14747</v>
      </c>
      <c r="BZ144" s="22">
        <f t="shared" si="1237"/>
        <v>15095</v>
      </c>
      <c r="CA144" s="22">
        <f t="shared" si="1235"/>
        <v>15095</v>
      </c>
      <c r="CB144" s="22">
        <f t="shared" si="1237"/>
        <v>14089</v>
      </c>
      <c r="CC144" s="22">
        <f t="shared" si="1235"/>
        <v>14089</v>
      </c>
      <c r="CD144" s="22">
        <f t="shared" si="1237"/>
        <v>13767</v>
      </c>
      <c r="CE144" s="22">
        <f t="shared" si="1235"/>
        <v>13767</v>
      </c>
      <c r="CF144" s="22">
        <f t="shared" ref="CF144:CK144" si="1238">+CF141-CF142-CF143</f>
        <v>15034</v>
      </c>
      <c r="CG144" s="22">
        <f t="shared" ref="CG144:CI147" si="1239">+CF144</f>
        <v>15034</v>
      </c>
      <c r="CH144" s="22">
        <f t="shared" si="1238"/>
        <v>18849</v>
      </c>
      <c r="CI144" s="22">
        <f t="shared" si="1238"/>
        <v>17709</v>
      </c>
      <c r="CJ144" s="23">
        <f>+'QTR Raw'!BD68</f>
        <v>14764</v>
      </c>
      <c r="CK144" s="23">
        <f t="shared" si="1238"/>
        <v>15609</v>
      </c>
      <c r="CL144" s="23">
        <f>+'QTR Raw'!BF68</f>
        <v>15476</v>
      </c>
      <c r="CM144" s="21">
        <f t="shared" ref="CM144:DB144" si="1240">+CM141-CM142-CM143</f>
        <v>16064.13351271702</v>
      </c>
      <c r="CN144" s="21">
        <f t="shared" si="1240"/>
        <v>16598.611946818564</v>
      </c>
      <c r="CO144" s="21">
        <f t="shared" si="1240"/>
        <v>17084.330223949088</v>
      </c>
      <c r="CP144" s="21">
        <f t="shared" si="1240"/>
        <v>17525.736704895753</v>
      </c>
      <c r="CQ144" s="21">
        <f t="shared" si="1240"/>
        <v>17926.873929075933</v>
      </c>
      <c r="CR144" s="21">
        <f t="shared" si="1240"/>
        <v>18291.415637384976</v>
      </c>
      <c r="CS144" s="21">
        <f t="shared" si="1240"/>
        <v>18622.700417471067</v>
      </c>
      <c r="CT144" s="21">
        <f t="shared" si="1240"/>
        <v>18923.762279571216</v>
      </c>
      <c r="CU144" s="21">
        <f t="shared" si="1240"/>
        <v>17197.358442931494</v>
      </c>
      <c r="CV144" s="21">
        <f t="shared" si="1240"/>
        <v>15628.453425138272</v>
      </c>
      <c r="CW144" s="21">
        <f t="shared" si="1240"/>
        <v>14202.678700466808</v>
      </c>
      <c r="CX144" s="21">
        <f t="shared" si="1240"/>
        <v>12906.976575445042</v>
      </c>
      <c r="CY144" s="21">
        <f t="shared" si="1240"/>
        <v>11729.480602388874</v>
      </c>
      <c r="CZ144" s="21">
        <f t="shared" si="1240"/>
        <v>10659.406902741124</v>
      </c>
      <c r="DA144" s="21">
        <f t="shared" si="1240"/>
        <v>9686.9554049191429</v>
      </c>
      <c r="DB144" s="21">
        <f t="shared" si="1240"/>
        <v>8803.2200921761832</v>
      </c>
      <c r="DE144" s="126"/>
      <c r="DF144" s="22">
        <v>15476</v>
      </c>
      <c r="DG144" s="22">
        <v>16387.894947168788</v>
      </c>
    </row>
    <row r="145" spans="1:111" s="23" customFormat="1" outlineLevel="1" x14ac:dyDescent="0.2">
      <c r="A145" s="23" t="s">
        <v>54</v>
      </c>
      <c r="B145" s="23">
        <f>'Annual Raw'!C86</f>
        <v>0</v>
      </c>
      <c r="C145" s="23">
        <f>'Annual Raw'!D86</f>
        <v>0</v>
      </c>
      <c r="D145" s="23">
        <f>'Annual Raw'!E86</f>
        <v>0</v>
      </c>
      <c r="E145" s="23">
        <f>'Annual Raw'!F86</f>
        <v>40.520000000000003</v>
      </c>
      <c r="F145" s="23">
        <f>'Annual Raw'!G86</f>
        <v>41</v>
      </c>
      <c r="G145" s="23">
        <f>'Annual Raw'!H86</f>
        <v>41</v>
      </c>
      <c r="H145" s="23">
        <f>'Annual Raw'!I86</f>
        <v>589</v>
      </c>
      <c r="I145" s="23">
        <f>'Annual Raw'!J86</f>
        <v>689</v>
      </c>
      <c r="J145" s="23">
        <f>'Annual Raw'!K86</f>
        <v>689</v>
      </c>
      <c r="K145" s="23">
        <f>'Annual Raw'!L86</f>
        <v>916</v>
      </c>
      <c r="L145" s="23">
        <f>'Annual Raw'!M86</f>
        <v>916</v>
      </c>
      <c r="M145" s="23">
        <f>'Annual Raw'!N86</f>
        <v>1091</v>
      </c>
      <c r="N145" s="23">
        <f>'Annual Raw'!O86</f>
        <v>2244</v>
      </c>
      <c r="O145" s="23">
        <f>'Annual Raw'!P86</f>
        <v>2244</v>
      </c>
      <c r="P145" s="23">
        <f>'Annual Raw'!Q86</f>
        <v>3595</v>
      </c>
      <c r="Q145" s="23">
        <f>'Annual Raw'!R86</f>
        <v>3764</v>
      </c>
      <c r="R145" s="23">
        <f>'Annual Raw'!S86</f>
        <v>3652</v>
      </c>
      <c r="S145" s="23">
        <f>'Annual Raw'!T86</f>
        <v>2211</v>
      </c>
      <c r="T145" s="23">
        <f>'Annual Raw'!U86</f>
        <v>3540</v>
      </c>
      <c r="U145" s="23">
        <f>'Annual Raw'!V86</f>
        <v>6409</v>
      </c>
      <c r="V145" s="23">
        <f>'Annual Raw'!W86</f>
        <v>7122</v>
      </c>
      <c r="W145" s="23">
        <f>'Annual Raw'!X86</f>
        <v>6996</v>
      </c>
      <c r="X145" s="23">
        <f>'Annual Raw'!Y86</f>
        <v>8155</v>
      </c>
      <c r="Y145" s="23">
        <f>'Annual Raw'!Z86</f>
        <v>8015</v>
      </c>
      <c r="Z145" s="23">
        <f>'Annual Raw'!AA86</f>
        <v>12112</v>
      </c>
      <c r="AA145" s="23">
        <f>'Annual Raw'!AB86</f>
        <v>14060</v>
      </c>
      <c r="AB145" s="24">
        <f t="shared" si="1189"/>
        <v>12117</v>
      </c>
      <c r="AC145" s="24">
        <f t="shared" si="1190"/>
        <v>12117</v>
      </c>
      <c r="AD145" s="24">
        <f t="shared" si="1191"/>
        <v>12117</v>
      </c>
      <c r="AE145" s="24">
        <f t="shared" si="1192"/>
        <v>12117</v>
      </c>
      <c r="AJ145" s="23">
        <f>+'QTR Raw'!D72</f>
        <v>1009</v>
      </c>
      <c r="AK145" s="23">
        <f>+AJ145</f>
        <v>1009</v>
      </c>
      <c r="AL145" s="23">
        <f>+'QTR Raw'!F72</f>
        <v>1976</v>
      </c>
      <c r="AM145" s="23">
        <f t="shared" ref="AK145:CE147" si="1241">+AL145</f>
        <v>1976</v>
      </c>
      <c r="AN145" s="23">
        <f>+'QTR Raw'!H72</f>
        <v>2201</v>
      </c>
      <c r="AO145" s="23">
        <f t="shared" si="1241"/>
        <v>2201</v>
      </c>
      <c r="AP145" s="23">
        <f>+'QTR Raw'!J72</f>
        <v>2157</v>
      </c>
      <c r="AQ145" s="23">
        <f t="shared" si="1241"/>
        <v>2157</v>
      </c>
      <c r="AR145" s="23">
        <f>+'QTR Raw'!L72</f>
        <v>2097</v>
      </c>
      <c r="AS145" s="23">
        <f t="shared" si="1241"/>
        <v>2097</v>
      </c>
      <c r="AT145" s="23">
        <f>+'QTR Raw'!N72</f>
        <v>3091</v>
      </c>
      <c r="AU145" s="23">
        <f t="shared" si="1241"/>
        <v>3091</v>
      </c>
      <c r="AV145" s="23">
        <f>+'QTR Raw'!P72</f>
        <v>3668</v>
      </c>
      <c r="AW145" s="23">
        <f t="shared" si="1241"/>
        <v>3668</v>
      </c>
      <c r="AX145" s="23">
        <f>+'QTR Raw'!R72</f>
        <v>3764</v>
      </c>
      <c r="AY145" s="23">
        <f t="shared" si="1241"/>
        <v>3764</v>
      </c>
      <c r="AZ145" s="23">
        <f>+'QTR Raw'!T72</f>
        <v>3771</v>
      </c>
      <c r="BA145" s="23">
        <f t="shared" si="1241"/>
        <v>3771</v>
      </c>
      <c r="BB145" s="23">
        <f>+'QTR Raw'!V72</f>
        <v>3652</v>
      </c>
      <c r="BC145" s="23">
        <f t="shared" si="1241"/>
        <v>3652</v>
      </c>
      <c r="BD145" s="23">
        <f>+'QTR Raw'!X72</f>
        <v>3788</v>
      </c>
      <c r="BE145" s="23">
        <f t="shared" si="1241"/>
        <v>3788</v>
      </c>
      <c r="BF145" s="23">
        <f>+'QTR Raw'!Z72</f>
        <v>2211</v>
      </c>
      <c r="BG145" s="23">
        <f t="shared" si="1241"/>
        <v>2211</v>
      </c>
      <c r="BH145" s="23">
        <f>+'QTR Raw'!AB72</f>
        <v>2496</v>
      </c>
      <c r="BI145" s="23">
        <f t="shared" si="1241"/>
        <v>2496</v>
      </c>
      <c r="BJ145" s="23">
        <f>+'QTR Raw'!AD72</f>
        <v>3540</v>
      </c>
      <c r="BK145" s="23">
        <f t="shared" si="1241"/>
        <v>3540</v>
      </c>
      <c r="BL145" s="23">
        <f>+'QTR Raw'!AF72</f>
        <v>4080</v>
      </c>
      <c r="BM145" s="23">
        <f t="shared" si="1241"/>
        <v>4080</v>
      </c>
      <c r="BN145" s="23">
        <f>+'QTR Raw'!AH72</f>
        <v>5286</v>
      </c>
      <c r="BO145" s="23">
        <f t="shared" si="1241"/>
        <v>5286</v>
      </c>
      <c r="BP145" s="23">
        <f>+'QTR Raw'!AJ72</f>
        <v>5360</v>
      </c>
      <c r="BQ145" s="23">
        <f t="shared" si="1241"/>
        <v>5360</v>
      </c>
      <c r="BR145" s="23">
        <f>+'QTR Raw'!AL72</f>
        <v>6079</v>
      </c>
      <c r="BS145" s="23">
        <f t="shared" si="1241"/>
        <v>6079</v>
      </c>
      <c r="BT145" s="23">
        <f>+'QTR Raw'!AN72</f>
        <v>6122</v>
      </c>
      <c r="BU145" s="23">
        <f t="shared" si="1241"/>
        <v>6122</v>
      </c>
      <c r="BV145" s="23">
        <f>+'QTR Raw'!AP72</f>
        <v>6195</v>
      </c>
      <c r="BW145" s="23">
        <f t="shared" si="1241"/>
        <v>6195</v>
      </c>
      <c r="BX145" s="23">
        <f>+'QTR Raw'!AR72</f>
        <v>6892</v>
      </c>
      <c r="BY145" s="23">
        <f t="shared" si="1241"/>
        <v>6892</v>
      </c>
      <c r="BZ145" s="23">
        <f>+'QTR Raw'!AT72</f>
        <v>7248</v>
      </c>
      <c r="CA145" s="23">
        <f t="shared" si="1241"/>
        <v>7248</v>
      </c>
      <c r="CB145" s="23">
        <f>+'QTR Raw'!AV72</f>
        <v>7240</v>
      </c>
      <c r="CC145" s="23">
        <f t="shared" si="1241"/>
        <v>7240</v>
      </c>
      <c r="CD145" s="23">
        <f>+'QTR Raw'!AX72</f>
        <v>7303</v>
      </c>
      <c r="CE145" s="23">
        <f t="shared" si="1241"/>
        <v>7303</v>
      </c>
      <c r="CF145" s="23">
        <f>+'QTR Raw'!AZ72</f>
        <v>10191</v>
      </c>
      <c r="CG145" s="23">
        <f t="shared" si="1239"/>
        <v>10191</v>
      </c>
      <c r="CH145" s="23">
        <f t="shared" si="1193"/>
        <v>12112</v>
      </c>
      <c r="CI145" s="23">
        <f t="shared" si="1239"/>
        <v>12112</v>
      </c>
      <c r="CJ145" s="23">
        <f>+'QTR Raw'!BD72</f>
        <v>11502</v>
      </c>
      <c r="CK145" s="23">
        <f t="shared" ref="CK145:CK147" si="1242">+CJ145</f>
        <v>11502</v>
      </c>
      <c r="CL145" s="23">
        <f>+'QTR Raw'!BF72</f>
        <v>12117</v>
      </c>
      <c r="CM145" s="24">
        <f t="shared" ref="CM145:CM147" si="1243">+CL145</f>
        <v>12117</v>
      </c>
      <c r="CN145" s="24">
        <f t="shared" ref="CN145:CN147" si="1244">+CM145</f>
        <v>12117</v>
      </c>
      <c r="CO145" s="24">
        <f t="shared" ref="CO145:CO147" si="1245">+CN145</f>
        <v>12117</v>
      </c>
      <c r="CP145" s="24">
        <f t="shared" ref="CP145:CP147" si="1246">+CO145</f>
        <v>12117</v>
      </c>
      <c r="CQ145" s="24">
        <f t="shared" ref="CQ145:CQ147" si="1247">+CP145</f>
        <v>12117</v>
      </c>
      <c r="CR145" s="24">
        <f t="shared" ref="CR145:CR147" si="1248">+CQ145</f>
        <v>12117</v>
      </c>
      <c r="CS145" s="24">
        <f t="shared" ref="CS145:CS147" si="1249">+CR145</f>
        <v>12117</v>
      </c>
      <c r="CT145" s="24">
        <f t="shared" ref="CT145:CT147" si="1250">+CS145</f>
        <v>12117</v>
      </c>
      <c r="CU145" s="24">
        <f t="shared" ref="CU145:CU147" si="1251">+CT145</f>
        <v>12117</v>
      </c>
      <c r="CV145" s="24">
        <f t="shared" ref="CV145:CV147" si="1252">+CU145</f>
        <v>12117</v>
      </c>
      <c r="CW145" s="24">
        <f t="shared" ref="CW145:CW147" si="1253">+CV145</f>
        <v>12117</v>
      </c>
      <c r="CX145" s="24">
        <f t="shared" ref="CX145:CX147" si="1254">+CW145</f>
        <v>12117</v>
      </c>
      <c r="CY145" s="24">
        <f t="shared" ref="CY145:CY147" si="1255">+CX145</f>
        <v>12117</v>
      </c>
      <c r="CZ145" s="24">
        <f t="shared" ref="CZ145:CZ147" si="1256">+CY145</f>
        <v>12117</v>
      </c>
      <c r="DA145" s="24">
        <f t="shared" ref="DA145:DA147" si="1257">+CZ145</f>
        <v>12117</v>
      </c>
      <c r="DB145" s="24">
        <f t="shared" ref="DB145:DB147" si="1258">+DA145</f>
        <v>12117</v>
      </c>
      <c r="DE145" s="123"/>
      <c r="DF145" s="23">
        <v>12117</v>
      </c>
      <c r="DG145" s="23">
        <v>11502</v>
      </c>
    </row>
    <row r="146" spans="1:111" s="23" customFormat="1" outlineLevel="1" x14ac:dyDescent="0.2">
      <c r="A146" s="23" t="s">
        <v>55</v>
      </c>
      <c r="B146" s="23">
        <f>'Annual Raw'!C68</f>
        <v>0</v>
      </c>
      <c r="C146" s="23">
        <f>'Annual Raw'!D68</f>
        <v>0</v>
      </c>
      <c r="D146" s="23">
        <f>'Annual Raw'!E68</f>
        <v>0</v>
      </c>
      <c r="E146" s="23">
        <f>'Annual Raw'!F68</f>
        <v>0</v>
      </c>
      <c r="F146" s="23">
        <f>'Annual Raw'!G68</f>
        <v>0</v>
      </c>
      <c r="G146" s="23">
        <f>'Annual Raw'!H68</f>
        <v>0</v>
      </c>
      <c r="H146" s="23">
        <f>'Annual Raw'!I68</f>
        <v>0</v>
      </c>
      <c r="I146" s="23">
        <f>'Annual Raw'!J68</f>
        <v>0</v>
      </c>
      <c r="J146" s="23">
        <f>'Annual Raw'!K68</f>
        <v>0</v>
      </c>
      <c r="K146" s="23">
        <f>'Annual Raw'!L68</f>
        <v>0</v>
      </c>
      <c r="L146" s="23">
        <f>'Annual Raw'!M68</f>
        <v>0</v>
      </c>
      <c r="M146" s="23">
        <f>'Annual Raw'!N68</f>
        <v>0</v>
      </c>
      <c r="N146" s="23">
        <f>'Annual Raw'!O68</f>
        <v>0</v>
      </c>
      <c r="O146" s="23">
        <f>'Annual Raw'!P68</f>
        <v>0</v>
      </c>
      <c r="P146" s="23">
        <f>'Annual Raw'!Q68</f>
        <v>0</v>
      </c>
      <c r="Q146" s="23">
        <f>'Annual Raw'!R68</f>
        <v>0</v>
      </c>
      <c r="R146" s="23">
        <f>'Annual Raw'!S68</f>
        <v>0</v>
      </c>
      <c r="S146" s="23">
        <f>'Annual Raw'!T68</f>
        <v>0</v>
      </c>
      <c r="T146" s="23">
        <f>'Annual Raw'!U68</f>
        <v>0</v>
      </c>
      <c r="U146" s="23">
        <f>'Annual Raw'!V68</f>
        <v>0</v>
      </c>
      <c r="V146" s="23">
        <f>'Annual Raw'!W68</f>
        <v>0</v>
      </c>
      <c r="W146" s="23">
        <f>'Annual Raw'!X68</f>
        <v>0</v>
      </c>
      <c r="X146" s="23">
        <f>'Annual Raw'!Y68</f>
        <v>0</v>
      </c>
      <c r="Y146" s="23">
        <f>'Annual Raw'!Z68</f>
        <v>0</v>
      </c>
      <c r="Z146" s="23">
        <f>'Annual Raw'!AA68</f>
        <v>0</v>
      </c>
      <c r="AA146" s="23">
        <f>'Annual Raw'!AB68</f>
        <v>0</v>
      </c>
      <c r="AB146" s="24">
        <f t="shared" si="1189"/>
        <v>0</v>
      </c>
      <c r="AC146" s="24">
        <f t="shared" si="1190"/>
        <v>0</v>
      </c>
      <c r="AD146" s="24">
        <f t="shared" si="1191"/>
        <v>0</v>
      </c>
      <c r="AE146" s="24">
        <f t="shared" si="1192"/>
        <v>0</v>
      </c>
      <c r="AK146" s="23">
        <f t="shared" si="1241"/>
        <v>0</v>
      </c>
      <c r="AM146" s="23">
        <f t="shared" si="1241"/>
        <v>0</v>
      </c>
      <c r="AO146" s="23">
        <f t="shared" si="1241"/>
        <v>0</v>
      </c>
      <c r="AQ146" s="23">
        <f t="shared" si="1241"/>
        <v>0</v>
      </c>
      <c r="AS146" s="23">
        <f t="shared" si="1241"/>
        <v>0</v>
      </c>
      <c r="AU146" s="23">
        <f t="shared" si="1241"/>
        <v>0</v>
      </c>
      <c r="AW146" s="23">
        <f t="shared" si="1241"/>
        <v>0</v>
      </c>
      <c r="AY146" s="23">
        <f t="shared" si="1241"/>
        <v>0</v>
      </c>
      <c r="BA146" s="23">
        <f t="shared" si="1241"/>
        <v>0</v>
      </c>
      <c r="BC146" s="23">
        <f t="shared" si="1241"/>
        <v>0</v>
      </c>
      <c r="BE146" s="23">
        <f t="shared" si="1241"/>
        <v>0</v>
      </c>
      <c r="BG146" s="23">
        <f t="shared" si="1241"/>
        <v>0</v>
      </c>
      <c r="BI146" s="23">
        <f t="shared" si="1241"/>
        <v>0</v>
      </c>
      <c r="BK146" s="23">
        <f t="shared" si="1241"/>
        <v>0</v>
      </c>
      <c r="BM146" s="23">
        <f t="shared" si="1241"/>
        <v>0</v>
      </c>
      <c r="BO146" s="23">
        <f t="shared" si="1241"/>
        <v>0</v>
      </c>
      <c r="BQ146" s="23">
        <f t="shared" si="1241"/>
        <v>0</v>
      </c>
      <c r="BS146" s="23">
        <f t="shared" si="1241"/>
        <v>0</v>
      </c>
      <c r="BU146" s="23">
        <f t="shared" si="1241"/>
        <v>0</v>
      </c>
      <c r="BW146" s="23">
        <f t="shared" si="1241"/>
        <v>0</v>
      </c>
      <c r="BY146" s="23">
        <f t="shared" si="1241"/>
        <v>0</v>
      </c>
      <c r="CA146" s="23">
        <f t="shared" si="1241"/>
        <v>0</v>
      </c>
      <c r="CC146" s="23">
        <f t="shared" si="1241"/>
        <v>0</v>
      </c>
      <c r="CE146" s="23">
        <f t="shared" si="1241"/>
        <v>0</v>
      </c>
      <c r="CG146" s="23">
        <f t="shared" si="1239"/>
        <v>0</v>
      </c>
      <c r="CH146" s="23">
        <f t="shared" si="1193"/>
        <v>0</v>
      </c>
      <c r="CI146" s="23">
        <f t="shared" si="1239"/>
        <v>0</v>
      </c>
      <c r="CK146" s="23">
        <f t="shared" si="1242"/>
        <v>0</v>
      </c>
      <c r="CM146" s="24">
        <f t="shared" si="1243"/>
        <v>0</v>
      </c>
      <c r="CN146" s="24">
        <f t="shared" si="1244"/>
        <v>0</v>
      </c>
      <c r="CO146" s="24">
        <f t="shared" si="1245"/>
        <v>0</v>
      </c>
      <c r="CP146" s="24">
        <f t="shared" si="1246"/>
        <v>0</v>
      </c>
      <c r="CQ146" s="24">
        <f t="shared" si="1247"/>
        <v>0</v>
      </c>
      <c r="CR146" s="24">
        <f t="shared" si="1248"/>
        <v>0</v>
      </c>
      <c r="CS146" s="24">
        <f t="shared" si="1249"/>
        <v>0</v>
      </c>
      <c r="CT146" s="24">
        <f t="shared" si="1250"/>
        <v>0</v>
      </c>
      <c r="CU146" s="24">
        <f t="shared" si="1251"/>
        <v>0</v>
      </c>
      <c r="CV146" s="24">
        <f t="shared" si="1252"/>
        <v>0</v>
      </c>
      <c r="CW146" s="24">
        <f t="shared" si="1253"/>
        <v>0</v>
      </c>
      <c r="CX146" s="24">
        <f t="shared" si="1254"/>
        <v>0</v>
      </c>
      <c r="CY146" s="24">
        <f t="shared" si="1255"/>
        <v>0</v>
      </c>
      <c r="CZ146" s="24">
        <f t="shared" si="1256"/>
        <v>0</v>
      </c>
      <c r="DA146" s="24">
        <f t="shared" si="1257"/>
        <v>0</v>
      </c>
      <c r="DB146" s="24">
        <f t="shared" si="1258"/>
        <v>0</v>
      </c>
      <c r="DE146" s="123"/>
      <c r="DF146" s="23">
        <v>0</v>
      </c>
      <c r="DG146" s="23">
        <v>0</v>
      </c>
    </row>
    <row r="147" spans="1:111" s="23" customFormat="1" outlineLevel="1" x14ac:dyDescent="0.2">
      <c r="A147" s="23" t="s">
        <v>56</v>
      </c>
      <c r="B147" s="23">
        <f>'Annual Raw'!C67+'Annual Raw'!C66+'Annual Raw'!C69+'Annual Raw'!C70</f>
        <v>170.65042500000001</v>
      </c>
      <c r="C147" s="23">
        <f>'Annual Raw'!D67+'Annual Raw'!D66+'Annual Raw'!D69+'Annual Raw'!D70</f>
        <v>150.66999999999999</v>
      </c>
      <c r="D147" s="23">
        <f>'Annual Raw'!E67+'Annual Raw'!E66+'Annual Raw'!E69+'Annual Raw'!E70</f>
        <v>77.39</v>
      </c>
      <c r="E147" s="23">
        <f>'Annual Raw'!F67+'Annual Raw'!F66+'Annual Raw'!F69+'Annual Raw'!F70</f>
        <v>208.05</v>
      </c>
      <c r="F147" s="23">
        <f>'Annual Raw'!G67+'Annual Raw'!G66+'Annual Raw'!G69+'Annual Raw'!G70</f>
        <v>318</v>
      </c>
      <c r="G147" s="23">
        <f>'Annual Raw'!H67+'Annual Raw'!H66+'Annual Raw'!H69+'Annual Raw'!H70</f>
        <v>571</v>
      </c>
      <c r="H147" s="23">
        <f>'Annual Raw'!I67+'Annual Raw'!I66+'Annual Raw'!I69+'Annual Raw'!I70</f>
        <v>965</v>
      </c>
      <c r="I147" s="23">
        <f>'Annual Raw'!J67+'Annual Raw'!J66+'Annual Raw'!J69+'Annual Raw'!J70</f>
        <v>1324</v>
      </c>
      <c r="J147" s="23">
        <f>'Annual Raw'!K67+'Annual Raw'!K66+'Annual Raw'!K69+'Annual Raw'!K70</f>
        <v>677</v>
      </c>
      <c r="K147" s="23">
        <f>'Annual Raw'!L67+'Annual Raw'!L66+'Annual Raw'!L69+'Annual Raw'!L70</f>
        <v>409</v>
      </c>
      <c r="L147" s="23">
        <f>'Annual Raw'!M67+'Annual Raw'!M66+'Annual Raw'!M69+'Annual Raw'!M70</f>
        <v>264</v>
      </c>
      <c r="M147" s="23">
        <f>'Annual Raw'!N67+'Annual Raw'!N66+'Annual Raw'!N69+'Annual Raw'!N70</f>
        <v>590</v>
      </c>
      <c r="N147" s="23">
        <f>'Annual Raw'!O67+'Annual Raw'!O66+'Annual Raw'!O69+'Annual Raw'!O70</f>
        <v>1140</v>
      </c>
      <c r="O147" s="23">
        <f>'Annual Raw'!P67+'Annual Raw'!P66+'Annual Raw'!P69+'Annual Raw'!P70</f>
        <v>961</v>
      </c>
      <c r="P147" s="23">
        <f>'Annual Raw'!Q67+'Annual Raw'!Q66+'Annual Raw'!Q69+'Annual Raw'!Q70</f>
        <v>776</v>
      </c>
      <c r="Q147" s="23">
        <f>'Annual Raw'!R67+'Annual Raw'!R66+'Annual Raw'!R69+'Annual Raw'!R70</f>
        <v>960</v>
      </c>
      <c r="R147" s="23">
        <f>'Annual Raw'!S67+'Annual Raw'!S66+'Annual Raw'!S69+'Annual Raw'!S70</f>
        <v>1365</v>
      </c>
      <c r="S147" s="23">
        <f>'Annual Raw'!T67+'Annual Raw'!T66+'Annual Raw'!T69+'Annual Raw'!T70</f>
        <v>1606</v>
      </c>
      <c r="T147" s="23">
        <f>'Annual Raw'!U67+'Annual Raw'!U66+'Annual Raw'!U69+'Annual Raw'!U70</f>
        <v>1388</v>
      </c>
      <c r="U147" s="23">
        <f>'Annual Raw'!V67+'Annual Raw'!V66+'Annual Raw'!V69+'Annual Raw'!V70</f>
        <v>954</v>
      </c>
      <c r="V147" s="23">
        <f>'Annual Raw'!W67+'Annual Raw'!W66+'Annual Raw'!W69+'Annual Raw'!W70</f>
        <v>922</v>
      </c>
      <c r="W147" s="23">
        <f>'Annual Raw'!X67+'Annual Raw'!X66+'Annual Raw'!X69+'Annual Raw'!X70</f>
        <v>416</v>
      </c>
      <c r="X147" s="23">
        <f>'Annual Raw'!Y67+'Annual Raw'!Y66+'Annual Raw'!Y69+'Annual Raw'!Y70</f>
        <v>288</v>
      </c>
      <c r="Y147" s="23">
        <f>'Annual Raw'!Z67+'Annual Raw'!Z66+'Annual Raw'!Z69+'Annual Raw'!Z70</f>
        <v>293</v>
      </c>
      <c r="Z147" s="23">
        <f>'Annual Raw'!AA67+'Annual Raw'!AA66+'Annual Raw'!AA69+'Annual Raw'!AA70</f>
        <v>814</v>
      </c>
      <c r="AA147" s="23">
        <f>'Annual Raw'!AB67+'Annual Raw'!AB66+'Annual Raw'!AB69+'Annual Raw'!AB70</f>
        <v>526</v>
      </c>
      <c r="AB147" s="24">
        <f t="shared" si="1189"/>
        <v>526</v>
      </c>
      <c r="AC147" s="24">
        <f t="shared" si="1190"/>
        <v>526</v>
      </c>
      <c r="AD147" s="24">
        <f t="shared" si="1191"/>
        <v>526</v>
      </c>
      <c r="AE147" s="24">
        <f t="shared" si="1192"/>
        <v>526</v>
      </c>
      <c r="AJ147" s="23">
        <f>+'QTR Raw'!D74+'QTR Raw'!D75</f>
        <v>0</v>
      </c>
      <c r="AK147" s="23">
        <f t="shared" si="1241"/>
        <v>0</v>
      </c>
      <c r="AL147" s="23">
        <f>+'QTR Raw'!F74+'QTR Raw'!F75</f>
        <v>0</v>
      </c>
      <c r="AM147" s="23">
        <f t="shared" si="1241"/>
        <v>0</v>
      </c>
      <c r="AN147" s="23">
        <f>+'QTR Raw'!H74+'QTR Raw'!H75</f>
        <v>0</v>
      </c>
      <c r="AO147" s="23">
        <f t="shared" si="1241"/>
        <v>0</v>
      </c>
      <c r="AP147" s="23">
        <f>+'QTR Raw'!J74+'QTR Raw'!J75</f>
        <v>0</v>
      </c>
      <c r="AQ147" s="23">
        <f t="shared" si="1241"/>
        <v>0</v>
      </c>
      <c r="AR147" s="23">
        <f>+'QTR Raw'!L74+'QTR Raw'!L75</f>
        <v>0</v>
      </c>
      <c r="AS147" s="23">
        <f t="shared" si="1241"/>
        <v>0</v>
      </c>
      <c r="AT147" s="23">
        <f>+'QTR Raw'!N74+'QTR Raw'!N75</f>
        <v>0</v>
      </c>
      <c r="AU147" s="23">
        <f t="shared" si="1241"/>
        <v>0</v>
      </c>
      <c r="AV147" s="23">
        <f>+'QTR Raw'!P74+'QTR Raw'!P75</f>
        <v>0</v>
      </c>
      <c r="AW147" s="23">
        <f t="shared" si="1241"/>
        <v>0</v>
      </c>
      <c r="AX147" s="23">
        <f>+'QTR Raw'!R74+'QTR Raw'!R75</f>
        <v>960</v>
      </c>
      <c r="AY147" s="23">
        <f t="shared" si="1241"/>
        <v>960</v>
      </c>
      <c r="AZ147" s="23">
        <f>+'QTR Raw'!T74+'QTR Raw'!T75</f>
        <v>1067</v>
      </c>
      <c r="BA147" s="23">
        <f t="shared" si="1241"/>
        <v>1067</v>
      </c>
      <c r="BB147" s="23">
        <f>+'QTR Raw'!V74+'QTR Raw'!V75</f>
        <v>1365</v>
      </c>
      <c r="BC147" s="23">
        <f t="shared" si="1241"/>
        <v>1365</v>
      </c>
      <c r="BD147" s="23">
        <f>+'QTR Raw'!X74+'QTR Raw'!X75</f>
        <v>1849</v>
      </c>
      <c r="BE147" s="23">
        <f t="shared" si="1241"/>
        <v>1849</v>
      </c>
      <c r="BF147" s="23">
        <f>+'QTR Raw'!Z74+'QTR Raw'!Z75</f>
        <v>1606</v>
      </c>
      <c r="BG147" s="23">
        <f t="shared" si="1241"/>
        <v>1606</v>
      </c>
      <c r="BH147" s="23">
        <f>+'QTR Raw'!AB74+'QTR Raw'!AB75</f>
        <v>1867</v>
      </c>
      <c r="BI147" s="23">
        <f t="shared" si="1241"/>
        <v>1867</v>
      </c>
      <c r="BJ147" s="23">
        <f>+'QTR Raw'!AD74+'QTR Raw'!AD75</f>
        <v>1388</v>
      </c>
      <c r="BK147" s="23">
        <f t="shared" si="1241"/>
        <v>1388</v>
      </c>
      <c r="BL147" s="23">
        <f>+'QTR Raw'!AF74+'QTR Raw'!AF75</f>
        <v>1059</v>
      </c>
      <c r="BM147" s="23">
        <f t="shared" si="1241"/>
        <v>1059</v>
      </c>
      <c r="BN147" s="23">
        <f>+'QTR Raw'!AH74+'QTR Raw'!AH75</f>
        <v>954</v>
      </c>
      <c r="BO147" s="23">
        <f t="shared" si="1241"/>
        <v>954</v>
      </c>
      <c r="BP147" s="23">
        <f>+'QTR Raw'!AJ74+'QTR Raw'!AJ75</f>
        <v>1216</v>
      </c>
      <c r="BQ147" s="23">
        <f t="shared" si="1241"/>
        <v>1216</v>
      </c>
      <c r="BR147" s="23">
        <f>+'QTR Raw'!AL74+'QTR Raw'!AL75</f>
        <v>922</v>
      </c>
      <c r="BS147" s="23">
        <f t="shared" si="1241"/>
        <v>922</v>
      </c>
      <c r="BT147" s="23">
        <f>+'QTR Raw'!AN74+'QTR Raw'!AN75</f>
        <v>383</v>
      </c>
      <c r="BU147" s="23">
        <f t="shared" si="1241"/>
        <v>383</v>
      </c>
      <c r="BV147" s="23">
        <f>+'QTR Raw'!AP74+'QTR Raw'!AP75</f>
        <v>416</v>
      </c>
      <c r="BW147" s="23">
        <f t="shared" si="1241"/>
        <v>416</v>
      </c>
      <c r="BX147" s="23">
        <f>+'QTR Raw'!AR74+'QTR Raw'!AR75</f>
        <v>402</v>
      </c>
      <c r="BY147" s="23">
        <f t="shared" si="1241"/>
        <v>402</v>
      </c>
      <c r="BZ147" s="23">
        <f>+'QTR Raw'!AT74+'QTR Raw'!AT75</f>
        <v>288</v>
      </c>
      <c r="CA147" s="23">
        <f t="shared" si="1241"/>
        <v>288</v>
      </c>
      <c r="CB147" s="23">
        <f>+'QTR Raw'!AV74+'QTR Raw'!AV75</f>
        <v>497</v>
      </c>
      <c r="CC147" s="23">
        <f t="shared" si="1241"/>
        <v>497</v>
      </c>
      <c r="CD147" s="23">
        <f>+'QTR Raw'!AX74+'QTR Raw'!AX75</f>
        <v>293</v>
      </c>
      <c r="CE147" s="23">
        <f t="shared" si="1241"/>
        <v>293</v>
      </c>
      <c r="CF147" s="23">
        <f>+'QTR Raw'!AZ74+'QTR Raw'!AZ75</f>
        <v>505</v>
      </c>
      <c r="CG147" s="23">
        <f t="shared" si="1239"/>
        <v>505</v>
      </c>
      <c r="CH147" s="23">
        <f t="shared" si="1193"/>
        <v>814</v>
      </c>
      <c r="CI147" s="23">
        <f t="shared" si="1239"/>
        <v>814</v>
      </c>
      <c r="CJ147" s="23">
        <f>+'QTR Raw'!BD74+'QTR Raw'!BD75</f>
        <v>1124</v>
      </c>
      <c r="CK147" s="23">
        <f t="shared" si="1242"/>
        <v>1124</v>
      </c>
      <c r="CL147" s="23">
        <f>+'QTR Raw'!BF74+'QTR Raw'!BF75</f>
        <v>526</v>
      </c>
      <c r="CM147" s="24">
        <f t="shared" si="1243"/>
        <v>526</v>
      </c>
      <c r="CN147" s="24">
        <f t="shared" si="1244"/>
        <v>526</v>
      </c>
      <c r="CO147" s="24">
        <f t="shared" si="1245"/>
        <v>526</v>
      </c>
      <c r="CP147" s="24">
        <f t="shared" si="1246"/>
        <v>526</v>
      </c>
      <c r="CQ147" s="24">
        <f t="shared" si="1247"/>
        <v>526</v>
      </c>
      <c r="CR147" s="24">
        <f t="shared" si="1248"/>
        <v>526</v>
      </c>
      <c r="CS147" s="24">
        <f t="shared" si="1249"/>
        <v>526</v>
      </c>
      <c r="CT147" s="24">
        <f t="shared" si="1250"/>
        <v>526</v>
      </c>
      <c r="CU147" s="24">
        <f t="shared" si="1251"/>
        <v>526</v>
      </c>
      <c r="CV147" s="24">
        <f t="shared" si="1252"/>
        <v>526</v>
      </c>
      <c r="CW147" s="24">
        <f t="shared" si="1253"/>
        <v>526</v>
      </c>
      <c r="CX147" s="24">
        <f t="shared" si="1254"/>
        <v>526</v>
      </c>
      <c r="CY147" s="24">
        <f t="shared" si="1255"/>
        <v>526</v>
      </c>
      <c r="CZ147" s="24">
        <f t="shared" si="1256"/>
        <v>526</v>
      </c>
      <c r="DA147" s="24">
        <f t="shared" si="1257"/>
        <v>526</v>
      </c>
      <c r="DB147" s="24">
        <f t="shared" si="1258"/>
        <v>526</v>
      </c>
      <c r="DE147" s="123"/>
      <c r="DF147" s="23">
        <v>526</v>
      </c>
      <c r="DG147" s="23">
        <v>1124</v>
      </c>
    </row>
    <row r="148" spans="1:111" s="22" customFormat="1" x14ac:dyDescent="0.2">
      <c r="A148" s="22" t="s">
        <v>57</v>
      </c>
      <c r="B148" s="22">
        <f>B144+B147+B146</f>
        <v>557.66322930000001</v>
      </c>
      <c r="C148" s="22">
        <f t="shared" ref="C148:D148" si="1259">C144+C147+C146</f>
        <v>718.24</v>
      </c>
      <c r="D148" s="22">
        <f t="shared" si="1259"/>
        <v>777.89</v>
      </c>
      <c r="E148" s="22">
        <f t="shared" ref="E148:Y148" si="1260">E144+E147+E146+E145</f>
        <v>1031.8600000000001</v>
      </c>
      <c r="F148" s="22">
        <f t="shared" si="1260"/>
        <v>1574</v>
      </c>
      <c r="G148" s="22">
        <f t="shared" si="1260"/>
        <v>2226</v>
      </c>
      <c r="H148" s="22">
        <f t="shared" si="1260"/>
        <v>3771</v>
      </c>
      <c r="I148" s="22">
        <f t="shared" si="1260"/>
        <v>4777</v>
      </c>
      <c r="J148" s="22">
        <f t="shared" si="1260"/>
        <v>5354</v>
      </c>
      <c r="K148" s="22">
        <f t="shared" si="1260"/>
        <v>5355</v>
      </c>
      <c r="L148" s="22">
        <f t="shared" si="1260"/>
        <v>5499</v>
      </c>
      <c r="M148" s="22">
        <f t="shared" si="1260"/>
        <v>6145</v>
      </c>
      <c r="N148" s="22">
        <f t="shared" si="1260"/>
        <v>8279</v>
      </c>
      <c r="O148" s="22">
        <f t="shared" si="1260"/>
        <v>9339</v>
      </c>
      <c r="P148" s="22">
        <f t="shared" si="1260"/>
        <v>12122</v>
      </c>
      <c r="Q148" s="22">
        <f t="shared" si="1260"/>
        <v>14346</v>
      </c>
      <c r="R148" s="22">
        <f t="shared" si="1260"/>
        <v>15544</v>
      </c>
      <c r="S148" s="22">
        <f t="shared" si="1260"/>
        <v>14180</v>
      </c>
      <c r="T148" s="22">
        <f t="shared" si="1260"/>
        <v>17098</v>
      </c>
      <c r="U148" s="22">
        <f t="shared" si="1260"/>
        <v>24743</v>
      </c>
      <c r="V148" s="22">
        <f t="shared" si="1260"/>
        <v>26427</v>
      </c>
      <c r="W148" s="22">
        <f t="shared" si="1260"/>
        <v>26216</v>
      </c>
      <c r="X148" s="22">
        <f t="shared" si="1260"/>
        <v>29513</v>
      </c>
      <c r="Y148" s="22">
        <f t="shared" si="1260"/>
        <v>27915</v>
      </c>
      <c r="Z148" s="22">
        <f>Z144+Z147+Z146+Z145</f>
        <v>31775</v>
      </c>
      <c r="AA148" s="22">
        <f>AA144+AA147+AA146+AA145</f>
        <v>34296</v>
      </c>
      <c r="AB148" s="161">
        <f t="shared" ref="AB148:AE148" si="1261">AB144+AB147+AB146+AB145</f>
        <v>30168.736704895753</v>
      </c>
      <c r="AC148" s="161">
        <f t="shared" si="1261"/>
        <v>31566.762279571216</v>
      </c>
      <c r="AD148" s="161">
        <f t="shared" si="1261"/>
        <v>25549.976575445042</v>
      </c>
      <c r="AE148" s="161">
        <f t="shared" si="1261"/>
        <v>21446.220092176183</v>
      </c>
      <c r="AJ148" s="22">
        <f t="shared" ref="AJ148" si="1262">AJ144+AJ147+AJ145+AJ146</f>
        <v>6986</v>
      </c>
      <c r="AK148" s="22">
        <f t="shared" ref="AK148" si="1263">AK144+AK147+AK145+AK146</f>
        <v>6986</v>
      </c>
      <c r="AL148" s="22">
        <f t="shared" ref="AL148:AM148" si="1264">AL144+AL147+AL145+AL146</f>
        <v>8812</v>
      </c>
      <c r="AM148" s="22">
        <f t="shared" si="1264"/>
        <v>8812</v>
      </c>
      <c r="AN148" s="22">
        <f t="shared" ref="AN148:AO148" si="1265">AN144+AN147+AN145+AN146</f>
        <v>9602</v>
      </c>
      <c r="AO148" s="22">
        <f t="shared" si="1265"/>
        <v>9602</v>
      </c>
      <c r="AP148" s="22">
        <f t="shared" ref="AP148:CE148" si="1266">AP144+AP147+AP145+AP146</f>
        <v>10386</v>
      </c>
      <c r="AQ148" s="22">
        <f t="shared" si="1266"/>
        <v>10386</v>
      </c>
      <c r="AR148" s="22">
        <f t="shared" si="1266"/>
        <v>10495</v>
      </c>
      <c r="AS148" s="22">
        <f t="shared" si="1266"/>
        <v>10495</v>
      </c>
      <c r="AT148" s="22">
        <f t="shared" si="1266"/>
        <v>12854</v>
      </c>
      <c r="AU148" s="22">
        <f t="shared" si="1266"/>
        <v>12854</v>
      </c>
      <c r="AV148" s="22">
        <f t="shared" si="1266"/>
        <v>14271</v>
      </c>
      <c r="AW148" s="22">
        <f t="shared" si="1266"/>
        <v>14271</v>
      </c>
      <c r="AX148" s="22">
        <f t="shared" si="1266"/>
        <v>14346</v>
      </c>
      <c r="AY148" s="22">
        <f t="shared" si="1266"/>
        <v>14346</v>
      </c>
      <c r="AZ148" s="22">
        <f t="shared" si="1266"/>
        <v>14643</v>
      </c>
      <c r="BA148" s="22">
        <f t="shared" si="1266"/>
        <v>14643</v>
      </c>
      <c r="BB148" s="22">
        <f t="shared" si="1266"/>
        <v>15544</v>
      </c>
      <c r="BC148" s="22">
        <f t="shared" si="1266"/>
        <v>15544</v>
      </c>
      <c r="BD148" s="22">
        <f t="shared" si="1266"/>
        <v>15844</v>
      </c>
      <c r="BE148" s="22">
        <f t="shared" si="1266"/>
        <v>15844</v>
      </c>
      <c r="BF148" s="22">
        <f t="shared" si="1266"/>
        <v>14180</v>
      </c>
      <c r="BG148" s="22">
        <f t="shared" si="1266"/>
        <v>14180</v>
      </c>
      <c r="BH148" s="22">
        <f t="shared" si="1266"/>
        <v>14761</v>
      </c>
      <c r="BI148" s="22">
        <f t="shared" si="1266"/>
        <v>14761</v>
      </c>
      <c r="BJ148" s="22">
        <f t="shared" si="1266"/>
        <v>17098</v>
      </c>
      <c r="BK148" s="22">
        <f t="shared" si="1266"/>
        <v>17098</v>
      </c>
      <c r="BL148" s="22">
        <f t="shared" si="1266"/>
        <v>18320</v>
      </c>
      <c r="BM148" s="22">
        <f t="shared" si="1266"/>
        <v>18320</v>
      </c>
      <c r="BN148" s="22">
        <f t="shared" si="1266"/>
        <v>20575</v>
      </c>
      <c r="BO148" s="22">
        <f t="shared" si="1266"/>
        <v>20575</v>
      </c>
      <c r="BP148" s="22">
        <f t="shared" si="1266"/>
        <v>20660</v>
      </c>
      <c r="BQ148" s="22">
        <f t="shared" si="1266"/>
        <v>20660</v>
      </c>
      <c r="BR148" s="22">
        <f t="shared" si="1266"/>
        <v>21633</v>
      </c>
      <c r="BS148" s="22">
        <f t="shared" si="1266"/>
        <v>21633</v>
      </c>
      <c r="BT148" s="22">
        <f t="shared" si="1266"/>
        <v>21313</v>
      </c>
      <c r="BU148" s="22">
        <f t="shared" si="1266"/>
        <v>21313</v>
      </c>
      <c r="BV148" s="22">
        <f t="shared" si="1266"/>
        <v>21393</v>
      </c>
      <c r="BW148" s="22">
        <f t="shared" si="1266"/>
        <v>21393</v>
      </c>
      <c r="BX148" s="22">
        <f t="shared" si="1266"/>
        <v>22041</v>
      </c>
      <c r="BY148" s="22">
        <f t="shared" si="1266"/>
        <v>22041</v>
      </c>
      <c r="BZ148" s="22">
        <f t="shared" si="1266"/>
        <v>22631</v>
      </c>
      <c r="CA148" s="22">
        <f t="shared" si="1266"/>
        <v>22631</v>
      </c>
      <c r="CB148" s="22">
        <f t="shared" si="1266"/>
        <v>21826</v>
      </c>
      <c r="CC148" s="22">
        <f t="shared" si="1266"/>
        <v>21826</v>
      </c>
      <c r="CD148" s="22">
        <f t="shared" si="1266"/>
        <v>21363</v>
      </c>
      <c r="CE148" s="22">
        <f t="shared" si="1266"/>
        <v>21363</v>
      </c>
      <c r="CF148" s="22">
        <f t="shared" ref="CF148:CG148" si="1267">CF144+CF147+CF145+CF146</f>
        <v>25730</v>
      </c>
      <c r="CG148" s="22">
        <f t="shared" si="1267"/>
        <v>25730</v>
      </c>
      <c r="CH148" s="22">
        <f t="shared" ref="CH148:CJ148" si="1268">CH144+CH147+CH145+CH146</f>
        <v>31775</v>
      </c>
      <c r="CI148" s="22">
        <f t="shared" si="1268"/>
        <v>30635</v>
      </c>
      <c r="CJ148" s="22">
        <f t="shared" si="1268"/>
        <v>27390</v>
      </c>
      <c r="CK148" s="22">
        <f t="shared" ref="CK148:DB148" si="1269">CK144+CK147+CK145+CK146</f>
        <v>28235</v>
      </c>
      <c r="CL148" s="22">
        <f t="shared" si="1269"/>
        <v>28119</v>
      </c>
      <c r="CM148" s="21">
        <f t="shared" si="1269"/>
        <v>28707.13351271702</v>
      </c>
      <c r="CN148" s="21">
        <f t="shared" si="1269"/>
        <v>29241.611946818564</v>
      </c>
      <c r="CO148" s="21">
        <f t="shared" si="1269"/>
        <v>29727.330223949088</v>
      </c>
      <c r="CP148" s="21">
        <f t="shared" si="1269"/>
        <v>30168.736704895753</v>
      </c>
      <c r="CQ148" s="21">
        <f t="shared" si="1269"/>
        <v>30569.873929075933</v>
      </c>
      <c r="CR148" s="21">
        <f t="shared" si="1269"/>
        <v>30934.415637384976</v>
      </c>
      <c r="CS148" s="21">
        <f t="shared" si="1269"/>
        <v>31265.700417471067</v>
      </c>
      <c r="CT148" s="21">
        <f t="shared" si="1269"/>
        <v>31566.762279571216</v>
      </c>
      <c r="CU148" s="21">
        <f t="shared" si="1269"/>
        <v>29840.358442931494</v>
      </c>
      <c r="CV148" s="21">
        <f t="shared" si="1269"/>
        <v>28271.453425138272</v>
      </c>
      <c r="CW148" s="21">
        <f t="shared" si="1269"/>
        <v>26845.678700466808</v>
      </c>
      <c r="CX148" s="21">
        <f t="shared" si="1269"/>
        <v>25549.976575445042</v>
      </c>
      <c r="CY148" s="21">
        <f t="shared" si="1269"/>
        <v>24372.480602388874</v>
      </c>
      <c r="CZ148" s="21">
        <f t="shared" si="1269"/>
        <v>23302.406902741124</v>
      </c>
      <c r="DA148" s="21">
        <f t="shared" si="1269"/>
        <v>22329.955404919143</v>
      </c>
      <c r="DB148" s="21">
        <f t="shared" si="1269"/>
        <v>21446.220092176183</v>
      </c>
      <c r="DE148" s="126"/>
      <c r="DF148" s="22">
        <v>28119</v>
      </c>
      <c r="DG148" s="22">
        <v>29013.894947168788</v>
      </c>
    </row>
    <row r="149" spans="1:111" s="23" customFormat="1" x14ac:dyDescent="0.2">
      <c r="AB149" s="24"/>
      <c r="AC149" s="24"/>
      <c r="AD149" s="24"/>
      <c r="AE149" s="24"/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E149" s="123"/>
    </row>
    <row r="150" spans="1:111" s="23" customFormat="1" x14ac:dyDescent="0.2">
      <c r="A150" s="23" t="s">
        <v>58</v>
      </c>
      <c r="B150" s="23">
        <f>'Annual Raw'!C71</f>
        <v>34.115482100000001</v>
      </c>
      <c r="C150" s="23">
        <f>'Annual Raw'!D71</f>
        <v>44.44</v>
      </c>
      <c r="D150" s="23">
        <f>'Annual Raw'!E71</f>
        <v>20.95</v>
      </c>
      <c r="E150" s="23">
        <f>'Annual Raw'!F71</f>
        <v>2.04000000000008</v>
      </c>
      <c r="F150" s="23">
        <f>'Annual Raw'!G71</f>
        <v>2</v>
      </c>
      <c r="G150" s="23">
        <f>'Annual Raw'!H71</f>
        <v>2</v>
      </c>
      <c r="H150" s="23">
        <f>'Annual Raw'!I71</f>
        <v>0</v>
      </c>
      <c r="I150" s="23">
        <f>'Annual Raw'!J71</f>
        <v>0</v>
      </c>
      <c r="J150" s="23">
        <f>'Annual Raw'!K71</f>
        <v>0</v>
      </c>
      <c r="K150" s="23">
        <f>'Annual Raw'!L71</f>
        <v>4</v>
      </c>
      <c r="L150" s="23">
        <f>'Annual Raw'!M71</f>
        <v>4</v>
      </c>
      <c r="M150" s="23">
        <f>'Annual Raw'!N71</f>
        <v>4</v>
      </c>
      <c r="N150" s="23">
        <f>'Annual Raw'!O71</f>
        <v>377</v>
      </c>
      <c r="O150" s="23">
        <f>'Annual Raw'!P71</f>
        <v>1307</v>
      </c>
      <c r="P150" s="23">
        <f>'Annual Raw'!Q71</f>
        <v>1398</v>
      </c>
      <c r="Q150" s="23">
        <f>'Annual Raw'!R71</f>
        <v>1817</v>
      </c>
      <c r="R150" s="23">
        <f>'Annual Raw'!S71</f>
        <v>6453</v>
      </c>
      <c r="S150" s="23">
        <f>'Annual Raw'!T71</f>
        <v>5756</v>
      </c>
      <c r="T150" s="23">
        <f>'Annual Raw'!U71</f>
        <v>4634</v>
      </c>
      <c r="U150" s="23">
        <f>'Annual Raw'!V71</f>
        <v>4137</v>
      </c>
      <c r="V150" s="23">
        <f>'Annual Raw'!W71</f>
        <v>11863</v>
      </c>
      <c r="W150" s="23">
        <f>'Annual Raw'!X71</f>
        <v>13651</v>
      </c>
      <c r="X150" s="23">
        <f>'Annual Raw'!Y71</f>
        <v>12569</v>
      </c>
      <c r="Y150" s="23">
        <f>'Annual Raw'!Z71</f>
        <v>11708</v>
      </c>
      <c r="Z150" s="23">
        <f>'Annual Raw'!AA71</f>
        <v>11059</v>
      </c>
      <c r="AA150" s="23">
        <f>'Annual Raw'!AB71</f>
        <v>8930</v>
      </c>
      <c r="AB150" s="24">
        <f>+CP150</f>
        <v>8930</v>
      </c>
      <c r="AC150" s="24">
        <f>+CT150</f>
        <v>8930</v>
      </c>
      <c r="AD150" s="24">
        <f>+CX150</f>
        <v>8930</v>
      </c>
      <c r="AE150" s="24">
        <f>+DB150</f>
        <v>8930</v>
      </c>
      <c r="AJ150" s="23">
        <f>+'QTR Raw'!D77</f>
        <v>74</v>
      </c>
      <c r="AK150" s="23">
        <f t="shared" ref="AK150:CE150" si="1270">+AJ150</f>
        <v>74</v>
      </c>
      <c r="AL150" s="23">
        <f>+'QTR Raw'!F77</f>
        <v>394</v>
      </c>
      <c r="AM150" s="23">
        <f t="shared" si="1270"/>
        <v>394</v>
      </c>
      <c r="AN150" s="23">
        <f>+'QTR Raw'!H77</f>
        <v>1031</v>
      </c>
      <c r="AO150" s="23">
        <f t="shared" si="1270"/>
        <v>1031</v>
      </c>
      <c r="AP150" s="23">
        <f>+'QTR Raw'!J77</f>
        <v>1252</v>
      </c>
      <c r="AQ150" s="23">
        <f t="shared" si="1270"/>
        <v>1252</v>
      </c>
      <c r="AR150" s="23">
        <f>+'QTR Raw'!L77</f>
        <v>1316</v>
      </c>
      <c r="AS150" s="23">
        <f t="shared" si="1270"/>
        <v>1316</v>
      </c>
      <c r="AT150" s="23">
        <f>+'QTR Raw'!N77</f>
        <v>1438</v>
      </c>
      <c r="AU150" s="23">
        <f t="shared" si="1270"/>
        <v>1438</v>
      </c>
      <c r="AV150" s="23">
        <f>+'QTR Raw'!P77</f>
        <v>1705</v>
      </c>
      <c r="AW150" s="23">
        <f t="shared" si="1270"/>
        <v>1705</v>
      </c>
      <c r="AX150" s="23">
        <f>+'QTR Raw'!R77</f>
        <v>1817</v>
      </c>
      <c r="AY150" s="23">
        <f t="shared" si="1270"/>
        <v>1817</v>
      </c>
      <c r="AZ150" s="23">
        <f>+'QTR Raw'!T77</f>
        <v>2030</v>
      </c>
      <c r="BA150" s="23">
        <f t="shared" si="1270"/>
        <v>2030</v>
      </c>
      <c r="BB150" s="23">
        <f>+'QTR Raw'!V77</f>
        <v>6453</v>
      </c>
      <c r="BC150" s="23">
        <f t="shared" si="1270"/>
        <v>6453</v>
      </c>
      <c r="BD150" s="23">
        <f>+'QTR Raw'!X77</f>
        <v>6169</v>
      </c>
      <c r="BE150" s="23">
        <f t="shared" si="1270"/>
        <v>6169</v>
      </c>
      <c r="BF150" s="23">
        <f>+'QTR Raw'!Z77</f>
        <v>5756</v>
      </c>
      <c r="BG150" s="23">
        <f t="shared" si="1270"/>
        <v>5756</v>
      </c>
      <c r="BH150" s="23">
        <f>+'QTR Raw'!AB77</f>
        <v>5165</v>
      </c>
      <c r="BI150" s="23">
        <f t="shared" si="1270"/>
        <v>5165</v>
      </c>
      <c r="BJ150" s="23">
        <f>+'QTR Raw'!AD77</f>
        <v>4634</v>
      </c>
      <c r="BK150" s="23">
        <f t="shared" si="1270"/>
        <v>4634</v>
      </c>
      <c r="BL150" s="23">
        <f>+'QTR Raw'!AF77</f>
        <v>3943</v>
      </c>
      <c r="BM150" s="23">
        <f t="shared" si="1270"/>
        <v>3943</v>
      </c>
      <c r="BN150" s="23">
        <f>+'QTR Raw'!AH77</f>
        <v>4137</v>
      </c>
      <c r="BO150" s="23">
        <f t="shared" si="1270"/>
        <v>4137</v>
      </c>
      <c r="BP150" s="23">
        <f>+'QTR Raw'!AJ77</f>
        <v>7754</v>
      </c>
      <c r="BQ150" s="23">
        <f t="shared" si="1270"/>
        <v>7754</v>
      </c>
      <c r="BR150" s="23">
        <f>+'QTR Raw'!AL77</f>
        <v>11863</v>
      </c>
      <c r="BS150" s="23">
        <f t="shared" si="1270"/>
        <v>11863</v>
      </c>
      <c r="BT150" s="23">
        <f>+'QTR Raw'!AN77</f>
        <v>10096</v>
      </c>
      <c r="BU150" s="23">
        <f t="shared" si="1270"/>
        <v>10096</v>
      </c>
      <c r="BV150" s="23">
        <f>+'QTR Raw'!AP77</f>
        <v>13651</v>
      </c>
      <c r="BW150" s="23">
        <f t="shared" si="1270"/>
        <v>13651</v>
      </c>
      <c r="BX150" s="23">
        <f>+'QTR Raw'!AR77</f>
        <v>12670</v>
      </c>
      <c r="BY150" s="23">
        <f t="shared" si="1270"/>
        <v>12670</v>
      </c>
      <c r="BZ150" s="23">
        <f>+'QTR Raw'!AT77</f>
        <v>12569</v>
      </c>
      <c r="CA150" s="23">
        <f t="shared" si="1270"/>
        <v>12569</v>
      </c>
      <c r="CB150" s="23">
        <f>+'QTR Raw'!AV77</f>
        <v>11744</v>
      </c>
      <c r="CC150" s="23">
        <f t="shared" si="1270"/>
        <v>11744</v>
      </c>
      <c r="CD150" s="23">
        <f>+'QTR Raw'!AX77</f>
        <v>11708</v>
      </c>
      <c r="CE150" s="23">
        <f t="shared" si="1270"/>
        <v>11708</v>
      </c>
      <c r="CF150" s="23">
        <f>+'QTR Raw'!AZ77</f>
        <v>9962</v>
      </c>
      <c r="CG150" s="23">
        <f t="shared" ref="CG150:CI153" si="1271">+CF150</f>
        <v>9962</v>
      </c>
      <c r="CH150" s="23">
        <f t="shared" ref="CH150:CH165" si="1272">Z150</f>
        <v>11059</v>
      </c>
      <c r="CI150" s="23">
        <f t="shared" si="1271"/>
        <v>11059</v>
      </c>
      <c r="CJ150" s="23">
        <f>+'QTR Raw'!BD77</f>
        <v>10879</v>
      </c>
      <c r="CK150" s="23">
        <f t="shared" ref="CK150" si="1273">+CJ150</f>
        <v>10879</v>
      </c>
      <c r="CL150" s="23">
        <f>+'QTR Raw'!BF77</f>
        <v>8930</v>
      </c>
      <c r="CM150" s="24">
        <f t="shared" ref="CM150" si="1274">+CL150</f>
        <v>8930</v>
      </c>
      <c r="CN150" s="24">
        <f t="shared" ref="CN150" si="1275">+CM150</f>
        <v>8930</v>
      </c>
      <c r="CO150" s="24">
        <f t="shared" ref="CO150" si="1276">+CN150</f>
        <v>8930</v>
      </c>
      <c r="CP150" s="24">
        <f t="shared" ref="CP150" si="1277">+CO150</f>
        <v>8930</v>
      </c>
      <c r="CQ150" s="24">
        <f t="shared" ref="CQ150" si="1278">+CP150</f>
        <v>8930</v>
      </c>
      <c r="CR150" s="24">
        <f t="shared" ref="CR150" si="1279">+CQ150</f>
        <v>8930</v>
      </c>
      <c r="CS150" s="24">
        <f t="shared" ref="CS150" si="1280">+CR150</f>
        <v>8930</v>
      </c>
      <c r="CT150" s="24">
        <f t="shared" ref="CT150" si="1281">+CS150</f>
        <v>8930</v>
      </c>
      <c r="CU150" s="24">
        <f t="shared" ref="CU150" si="1282">+CT150</f>
        <v>8930</v>
      </c>
      <c r="CV150" s="24">
        <f t="shared" ref="CV150" si="1283">+CU150</f>
        <v>8930</v>
      </c>
      <c r="CW150" s="24">
        <f t="shared" ref="CW150" si="1284">+CV150</f>
        <v>8930</v>
      </c>
      <c r="CX150" s="24">
        <f t="shared" ref="CX150" si="1285">+CW150</f>
        <v>8930</v>
      </c>
      <c r="CY150" s="24">
        <f t="shared" ref="CY150" si="1286">+CX150</f>
        <v>8930</v>
      </c>
      <c r="CZ150" s="24">
        <f t="shared" ref="CZ150" si="1287">+CY150</f>
        <v>8930</v>
      </c>
      <c r="DA150" s="24">
        <f t="shared" ref="DA150" si="1288">+CZ150</f>
        <v>8930</v>
      </c>
      <c r="DB150" s="24">
        <f t="shared" ref="DB150" si="1289">+DA150</f>
        <v>8930</v>
      </c>
      <c r="DE150" s="123"/>
      <c r="DF150" s="23">
        <v>8930</v>
      </c>
      <c r="DG150" s="23">
        <v>10879</v>
      </c>
    </row>
    <row r="151" spans="1:111" s="23" customFormat="1" x14ac:dyDescent="0.2">
      <c r="AB151" s="24"/>
      <c r="AC151" s="24"/>
      <c r="AD151" s="24"/>
      <c r="AE151" s="24"/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E151" s="123"/>
    </row>
    <row r="152" spans="1:111" s="23" customFormat="1" outlineLevel="1" x14ac:dyDescent="0.2">
      <c r="A152" s="23" t="s">
        <v>59</v>
      </c>
      <c r="B152" s="23">
        <f>'Annual Raw'!C72</f>
        <v>0</v>
      </c>
      <c r="C152" s="23">
        <f>'Annual Raw'!D72</f>
        <v>0</v>
      </c>
      <c r="D152" s="23">
        <f>'Annual Raw'!E72</f>
        <v>0</v>
      </c>
      <c r="E152" s="23">
        <f>'Annual Raw'!F72+'Annual Raw'!F61</f>
        <v>0</v>
      </c>
      <c r="F152" s="23">
        <f>'Annual Raw'!G72+'Annual Raw'!G61</f>
        <v>0</v>
      </c>
      <c r="G152" s="23">
        <f>'Annual Raw'!H72+'Annual Raw'!H61</f>
        <v>0</v>
      </c>
      <c r="H152" s="23">
        <f>'Annual Raw'!I72+'Annual Raw'!I61</f>
        <v>0</v>
      </c>
      <c r="I152" s="23">
        <f>'Annual Raw'!J72+'Annual Raw'!J61</f>
        <v>0</v>
      </c>
      <c r="J152" s="23">
        <f>'Annual Raw'!K72+'Annual Raw'!K61</f>
        <v>0</v>
      </c>
      <c r="K152" s="23">
        <f>'Annual Raw'!L72+'Annual Raw'!L61</f>
        <v>0</v>
      </c>
      <c r="L152" s="23">
        <f>'Annual Raw'!M72+'Annual Raw'!M61</f>
        <v>1446</v>
      </c>
      <c r="M152" s="23">
        <f>'Annual Raw'!N72+'Annual Raw'!N61</f>
        <v>1652</v>
      </c>
      <c r="N152" s="23">
        <f>'Annual Raw'!O72+'Annual Raw'!O61</f>
        <v>1822</v>
      </c>
      <c r="O152" s="23">
        <f>'Annual Raw'!P72+'Annual Raw'!P61</f>
        <v>2594</v>
      </c>
      <c r="P152" s="23">
        <f>'Annual Raw'!Q72+'Annual Raw'!Q61</f>
        <v>4957</v>
      </c>
      <c r="Q152" s="23">
        <f>'Annual Raw'!R72+'Annual Raw'!R61</f>
        <v>6474</v>
      </c>
      <c r="R152" s="23">
        <f>'Annual Raw'!S72+'Annual Raw'!S61</f>
        <v>6654</v>
      </c>
      <c r="S152" s="23">
        <f>'Annual Raw'!T72+'Annual Raw'!T61</f>
        <v>8239</v>
      </c>
      <c r="T152" s="23">
        <f>'Annual Raw'!U72+'Annual Raw'!U61</f>
        <v>8275</v>
      </c>
      <c r="U152" s="23">
        <f>'Annual Raw'!V72+'Annual Raw'!V61</f>
        <v>6818</v>
      </c>
      <c r="V152" s="23">
        <f>'Annual Raw'!W72+'Annual Raw'!W61</f>
        <v>7591</v>
      </c>
      <c r="W152" s="23">
        <f>'Annual Raw'!X72+'Annual Raw'!X61</f>
        <v>8101</v>
      </c>
      <c r="X152" s="23">
        <f>'Annual Raw'!Y72+'Annual Raw'!Y61</f>
        <v>9167</v>
      </c>
      <c r="Y152" s="23">
        <f>'Annual Raw'!Z72+'Annual Raw'!Z61</f>
        <v>5993</v>
      </c>
      <c r="Z152" s="23">
        <f>'Annual Raw'!AA72+'Annual Raw'!AA61</f>
        <v>4967</v>
      </c>
      <c r="AA152" s="23">
        <f>'Annual Raw'!AB72+'Annual Raw'!AB61</f>
        <v>3550</v>
      </c>
      <c r="AB152" s="24">
        <f t="shared" ref="AB152:AB157" si="1290">+CP152</f>
        <v>0</v>
      </c>
      <c r="AC152" s="24">
        <f t="shared" ref="AC152:AC157" si="1291">+CT152</f>
        <v>0</v>
      </c>
      <c r="AD152" s="24">
        <f t="shared" ref="AD152:AD157" si="1292">+CX152</f>
        <v>0</v>
      </c>
      <c r="AE152" s="24">
        <f t="shared" ref="AE152:AE157" si="1293">+DB152</f>
        <v>0</v>
      </c>
      <c r="AJ152" s="23">
        <f>+'QTR Raw'!D78</f>
        <v>0</v>
      </c>
      <c r="AK152" s="23">
        <f t="shared" ref="AK152:CE157" si="1294">+AJ152</f>
        <v>0</v>
      </c>
      <c r="AL152" s="23">
        <f>+'QTR Raw'!F78</f>
        <v>0</v>
      </c>
      <c r="AM152" s="23">
        <f t="shared" si="1294"/>
        <v>0</v>
      </c>
      <c r="AN152" s="23">
        <f>+'QTR Raw'!H78</f>
        <v>0</v>
      </c>
      <c r="AO152" s="23">
        <f t="shared" si="1294"/>
        <v>0</v>
      </c>
      <c r="AP152" s="23">
        <f>+'QTR Raw'!J78</f>
        <v>0</v>
      </c>
      <c r="AQ152" s="23">
        <f t="shared" si="1294"/>
        <v>0</v>
      </c>
      <c r="AR152" s="23">
        <f>+'QTR Raw'!L78</f>
        <v>0</v>
      </c>
      <c r="AS152" s="23">
        <f t="shared" si="1294"/>
        <v>0</v>
      </c>
      <c r="AT152" s="23">
        <f>+'QTR Raw'!N78</f>
        <v>0</v>
      </c>
      <c r="AU152" s="23">
        <f t="shared" si="1294"/>
        <v>0</v>
      </c>
      <c r="AV152" s="23">
        <f>+'QTR Raw'!P78</f>
        <v>0</v>
      </c>
      <c r="AW152" s="23">
        <f t="shared" si="1294"/>
        <v>0</v>
      </c>
      <c r="AX152" s="23">
        <f>+'QTR Raw'!R78</f>
        <v>25</v>
      </c>
      <c r="AY152" s="23">
        <f t="shared" si="1294"/>
        <v>25</v>
      </c>
      <c r="AZ152" s="23">
        <f>+'QTR Raw'!T78</f>
        <v>26</v>
      </c>
      <c r="BA152" s="23">
        <f t="shared" si="1294"/>
        <v>26</v>
      </c>
      <c r="BB152" s="23">
        <f>+'QTR Raw'!V78</f>
        <v>29</v>
      </c>
      <c r="BC152" s="23">
        <f t="shared" si="1294"/>
        <v>29</v>
      </c>
      <c r="BD152" s="23">
        <f>+'QTR Raw'!X78</f>
        <v>40</v>
      </c>
      <c r="BE152" s="23">
        <f t="shared" si="1294"/>
        <v>40</v>
      </c>
      <c r="BF152" s="23">
        <f>+'QTR Raw'!Z78</f>
        <v>36</v>
      </c>
      <c r="BG152" s="23">
        <f t="shared" si="1294"/>
        <v>36</v>
      </c>
      <c r="BH152" s="23">
        <f>+'QTR Raw'!AB78</f>
        <v>34</v>
      </c>
      <c r="BI152" s="23">
        <f t="shared" si="1294"/>
        <v>34</v>
      </c>
      <c r="BJ152" s="23">
        <f>+'QTR Raw'!AD78</f>
        <v>19</v>
      </c>
      <c r="BK152" s="23">
        <f t="shared" si="1294"/>
        <v>19</v>
      </c>
      <c r="BL152" s="23">
        <f>+'QTR Raw'!AF78</f>
        <v>16</v>
      </c>
      <c r="BM152" s="23">
        <f t="shared" si="1294"/>
        <v>16</v>
      </c>
      <c r="BN152" s="23">
        <f>+'QTR Raw'!AH78</f>
        <v>21</v>
      </c>
      <c r="BO152" s="23">
        <f t="shared" si="1294"/>
        <v>21</v>
      </c>
      <c r="BP152" s="23">
        <f>+'QTR Raw'!AJ78</f>
        <v>23</v>
      </c>
      <c r="BQ152" s="23">
        <f t="shared" si="1294"/>
        <v>23</v>
      </c>
      <c r="BR152" s="23">
        <f>+'QTR Raw'!AL78</f>
        <v>32</v>
      </c>
      <c r="BS152" s="23">
        <f t="shared" si="1294"/>
        <v>32</v>
      </c>
      <c r="BT152" s="23">
        <f>+'QTR Raw'!AN78</f>
        <v>45</v>
      </c>
      <c r="BU152" s="23">
        <f t="shared" si="1294"/>
        <v>45</v>
      </c>
      <c r="BV152" s="23">
        <f>+'QTR Raw'!AP78</f>
        <v>34</v>
      </c>
      <c r="BW152" s="23">
        <f t="shared" si="1294"/>
        <v>34</v>
      </c>
      <c r="BX152" s="23">
        <f>+'QTR Raw'!AR78</f>
        <v>47</v>
      </c>
      <c r="BY152" s="23">
        <f t="shared" si="1294"/>
        <v>47</v>
      </c>
      <c r="BZ152" s="23">
        <f>+'QTR Raw'!AT78</f>
        <v>39</v>
      </c>
      <c r="CA152" s="23">
        <f t="shared" si="1294"/>
        <v>39</v>
      </c>
      <c r="CB152" s="23">
        <f>+'QTR Raw'!AV78</f>
        <v>38</v>
      </c>
      <c r="CC152" s="23">
        <f t="shared" si="1294"/>
        <v>38</v>
      </c>
      <c r="CD152" s="23">
        <f>+'QTR Raw'!AX78</f>
        <v>34</v>
      </c>
      <c r="CE152" s="23">
        <f t="shared" si="1294"/>
        <v>34</v>
      </c>
      <c r="CF152" s="23">
        <f>+'QTR Raw'!AZ78</f>
        <v>25</v>
      </c>
      <c r="CG152" s="23">
        <f t="shared" si="1271"/>
        <v>25</v>
      </c>
      <c r="CH152" s="23">
        <f t="shared" si="1272"/>
        <v>4967</v>
      </c>
      <c r="CJ152" s="23">
        <f>+'QTR Raw'!BD78</f>
        <v>9</v>
      </c>
      <c r="CL152" s="23">
        <f>+'QTR Raw'!BF78</f>
        <v>6</v>
      </c>
      <c r="CM152" s="24"/>
      <c r="CN152" s="24"/>
      <c r="CO152" s="24"/>
      <c r="CP152" s="24"/>
      <c r="CQ152" s="24"/>
      <c r="CR152" s="24"/>
      <c r="CS152" s="24"/>
      <c r="CT152" s="24"/>
      <c r="CU152" s="24"/>
      <c r="CV152" s="24"/>
      <c r="CW152" s="24"/>
      <c r="CX152" s="24"/>
      <c r="CY152" s="24"/>
      <c r="CZ152" s="24"/>
      <c r="DA152" s="24"/>
      <c r="DB152" s="24"/>
      <c r="DE152" s="123"/>
      <c r="DF152" s="23">
        <v>6</v>
      </c>
    </row>
    <row r="153" spans="1:111" s="23" customFormat="1" outlineLevel="1" x14ac:dyDescent="0.2">
      <c r="A153" s="23" t="s">
        <v>60</v>
      </c>
      <c r="B153" s="23">
        <f>'Annual Raw'!C73+'Annual Raw'!C81</f>
        <v>0</v>
      </c>
      <c r="C153" s="23">
        <f>'Annual Raw'!D73+'Annual Raw'!D81</f>
        <v>0</v>
      </c>
      <c r="D153" s="23">
        <f>'Annual Raw'!E73+'Annual Raw'!E81</f>
        <v>0</v>
      </c>
      <c r="E153" s="23">
        <f>'Annual Raw'!F73+'Annual Raw'!F81</f>
        <v>0</v>
      </c>
      <c r="F153" s="23">
        <f>'Annual Raw'!G73+'Annual Raw'!G81</f>
        <v>0</v>
      </c>
      <c r="G153" s="23">
        <f>'Annual Raw'!H73+'Annual Raw'!H81</f>
        <v>0</v>
      </c>
      <c r="H153" s="23">
        <f>'Annual Raw'!I73+'Annual Raw'!I81</f>
        <v>0</v>
      </c>
      <c r="I153" s="23">
        <f>'Annual Raw'!J73+'Annual Raw'!J81</f>
        <v>0</v>
      </c>
      <c r="J153" s="23">
        <f>'Annual Raw'!K73+'Annual Raw'!K81</f>
        <v>0</v>
      </c>
      <c r="K153" s="23">
        <f>'Annual Raw'!L73+'Annual Raw'!L81</f>
        <v>0</v>
      </c>
      <c r="L153" s="23">
        <f>'Annual Raw'!M73+'Annual Raw'!M81</f>
        <v>20</v>
      </c>
      <c r="M153" s="23">
        <f>'Annual Raw'!N73+'Annual Raw'!N81</f>
        <v>30</v>
      </c>
      <c r="N153" s="23">
        <f>'Annual Raw'!O73+'Annual Raw'!O81</f>
        <v>41</v>
      </c>
      <c r="O153" s="23">
        <f>'Annual Raw'!P73+'Annual Raw'!P81</f>
        <v>19</v>
      </c>
      <c r="P153" s="23">
        <f>'Annual Raw'!Q73+'Annual Raw'!Q81</f>
        <v>34</v>
      </c>
      <c r="Q153" s="23">
        <f>'Annual Raw'!R73+'Annual Raw'!R81</f>
        <v>424</v>
      </c>
      <c r="R153" s="23">
        <f>'Annual Raw'!S73+'Annual Raw'!S81</f>
        <v>459</v>
      </c>
      <c r="S153" s="23">
        <f>'Annual Raw'!T73+'Annual Raw'!T81</f>
        <v>2476</v>
      </c>
      <c r="T153" s="23">
        <f>'Annual Raw'!U73+'Annual Raw'!U81</f>
        <v>481</v>
      </c>
      <c r="U153" s="23">
        <f>'Annual Raw'!V73+'Annual Raw'!V81</f>
        <v>750</v>
      </c>
      <c r="V153" s="23">
        <f>'Annual Raw'!W73+'Annual Raw'!W81</f>
        <v>674</v>
      </c>
      <c r="W153" s="23">
        <f>'Annual Raw'!X73+'Annual Raw'!X81</f>
        <v>1520</v>
      </c>
      <c r="X153" s="23">
        <f>'Annual Raw'!Y73+'Annual Raw'!Y81</f>
        <v>2441</v>
      </c>
      <c r="Y153" s="23">
        <f>'Annual Raw'!Z73+'Annual Raw'!Z81</f>
        <v>2312</v>
      </c>
      <c r="Z153" s="23">
        <f>'Annual Raw'!AA73+'Annual Raw'!AA81</f>
        <v>2895</v>
      </c>
      <c r="AA153" s="23">
        <f>'Annual Raw'!AB73+'Annual Raw'!AB81</f>
        <v>3438</v>
      </c>
      <c r="AB153" s="24">
        <f t="shared" si="1290"/>
        <v>0</v>
      </c>
      <c r="AC153" s="24">
        <f t="shared" si="1291"/>
        <v>0</v>
      </c>
      <c r="AD153" s="24">
        <f t="shared" si="1292"/>
        <v>0</v>
      </c>
      <c r="AE153" s="24">
        <f t="shared" si="1293"/>
        <v>0</v>
      </c>
      <c r="AJ153" s="23">
        <f>+'QTR Raw'!D79+'QTR Raw'!D76</f>
        <v>1221</v>
      </c>
      <c r="AK153" s="23">
        <f t="shared" si="1294"/>
        <v>1221</v>
      </c>
      <c r="AL153" s="23">
        <f>+'QTR Raw'!F79+'QTR Raw'!F76</f>
        <v>1329</v>
      </c>
      <c r="AM153" s="23">
        <f t="shared" si="1294"/>
        <v>1329</v>
      </c>
      <c r="AN153" s="23">
        <f>+'QTR Raw'!H79+'QTR Raw'!H76</f>
        <v>1577</v>
      </c>
      <c r="AO153" s="23">
        <f t="shared" si="1294"/>
        <v>1577</v>
      </c>
      <c r="AP153" s="23">
        <f>+'QTR Raw'!J79+'QTR Raw'!J76</f>
        <v>1742</v>
      </c>
      <c r="AQ153" s="23">
        <f t="shared" si="1294"/>
        <v>1742</v>
      </c>
      <c r="AR153" s="23">
        <f>+'QTR Raw'!L79+'QTR Raw'!L76</f>
        <v>2103</v>
      </c>
      <c r="AS153" s="23">
        <f t="shared" si="1294"/>
        <v>2103</v>
      </c>
      <c r="AT153" s="23">
        <f>+'QTR Raw'!N79+'QTR Raw'!N76</f>
        <v>4327</v>
      </c>
      <c r="AU153" s="23">
        <f t="shared" si="1294"/>
        <v>4327</v>
      </c>
      <c r="AV153" s="23">
        <f>+'QTR Raw'!P79+'QTR Raw'!P76</f>
        <v>5340</v>
      </c>
      <c r="AW153" s="23">
        <f t="shared" si="1294"/>
        <v>5340</v>
      </c>
      <c r="AX153" s="23">
        <f>+'QTR Raw'!R79+'QTR Raw'!R76</f>
        <v>6873</v>
      </c>
      <c r="AY153" s="23">
        <f t="shared" si="1294"/>
        <v>6873</v>
      </c>
      <c r="AZ153" s="23">
        <f>+'QTR Raw'!T79+'QTR Raw'!T76</f>
        <v>7170</v>
      </c>
      <c r="BA153" s="23">
        <f t="shared" si="1294"/>
        <v>7170</v>
      </c>
      <c r="BB153" s="23">
        <f>+'QTR Raw'!V79+'QTR Raw'!V76</f>
        <v>7084</v>
      </c>
      <c r="BC153" s="23">
        <f t="shared" si="1294"/>
        <v>7084</v>
      </c>
      <c r="BD153" s="23">
        <f>+'QTR Raw'!X79+'QTR Raw'!X76</f>
        <v>7466</v>
      </c>
      <c r="BE153" s="23">
        <f t="shared" si="1294"/>
        <v>7466</v>
      </c>
      <c r="BF153" s="23">
        <f>+'QTR Raw'!Z79+'QTR Raw'!Z76</f>
        <v>8619</v>
      </c>
      <c r="BG153" s="23">
        <f t="shared" si="1294"/>
        <v>8619</v>
      </c>
      <c r="BH153" s="23">
        <f>+'QTR Raw'!AB79+'QTR Raw'!AB76</f>
        <v>8332</v>
      </c>
      <c r="BI153" s="23">
        <f t="shared" si="1294"/>
        <v>8332</v>
      </c>
      <c r="BJ153" s="23">
        <f>+'QTR Raw'!AD79+'QTR Raw'!AD76</f>
        <v>8737</v>
      </c>
      <c r="BK153" s="23">
        <f t="shared" si="1294"/>
        <v>8737</v>
      </c>
      <c r="BL153" s="23">
        <f>+'QTR Raw'!AF79+'QTR Raw'!AF76</f>
        <v>12720</v>
      </c>
      <c r="BM153" s="23">
        <f t="shared" si="1294"/>
        <v>12720</v>
      </c>
      <c r="BN153" s="23">
        <f>+'QTR Raw'!AH79+'QTR Raw'!AH76</f>
        <v>11715</v>
      </c>
      <c r="BO153" s="23">
        <f t="shared" si="1294"/>
        <v>11715</v>
      </c>
      <c r="BP153" s="23">
        <f>+'QTR Raw'!AJ79+'QTR Raw'!AJ76</f>
        <v>11511</v>
      </c>
      <c r="BQ153" s="23">
        <f t="shared" si="1294"/>
        <v>11511</v>
      </c>
      <c r="BR153" s="23">
        <f>+'QTR Raw'!AL79+'QTR Raw'!AL76</f>
        <v>13027</v>
      </c>
      <c r="BS153" s="23">
        <f t="shared" si="1294"/>
        <v>13027</v>
      </c>
      <c r="BT153" s="23">
        <f>+'QTR Raw'!AN79+'QTR Raw'!AN76</f>
        <v>13672</v>
      </c>
      <c r="BU153" s="23">
        <f t="shared" si="1294"/>
        <v>13672</v>
      </c>
      <c r="BV153" s="23">
        <f>+'QTR Raw'!AP79+'QTR Raw'!AP76</f>
        <v>14410</v>
      </c>
      <c r="BW153" s="23">
        <f t="shared" si="1294"/>
        <v>14410</v>
      </c>
      <c r="BX153" s="23">
        <f>+'QTR Raw'!AR79+'QTR Raw'!AR76</f>
        <v>16165</v>
      </c>
      <c r="BY153" s="23">
        <f t="shared" si="1294"/>
        <v>16165</v>
      </c>
      <c r="BZ153" s="23">
        <f>+'QTR Raw'!AT79+'QTR Raw'!AT76</f>
        <v>18451</v>
      </c>
      <c r="CA153" s="23">
        <f t="shared" si="1294"/>
        <v>18451</v>
      </c>
      <c r="CB153" s="23">
        <f>+'QTR Raw'!AV79+'QTR Raw'!AV76</f>
        <v>18756</v>
      </c>
      <c r="CC153" s="23">
        <f t="shared" si="1294"/>
        <v>18756</v>
      </c>
      <c r="CD153" s="23">
        <f>+'QTR Raw'!AX79+'QTR Raw'!AX76</f>
        <v>14823</v>
      </c>
      <c r="CE153" s="23">
        <f t="shared" si="1294"/>
        <v>14823</v>
      </c>
      <c r="CF153" s="23">
        <f>+'QTR Raw'!AZ79+'QTR Raw'!AZ76</f>
        <v>16066</v>
      </c>
      <c r="CG153" s="23">
        <f t="shared" si="1271"/>
        <v>16066</v>
      </c>
      <c r="CH153" s="23">
        <f t="shared" si="1272"/>
        <v>2895</v>
      </c>
      <c r="CJ153" s="23">
        <f>+'QTR Raw'!BD79+'QTR Raw'!BD76</f>
        <v>14809</v>
      </c>
      <c r="CL153" s="23">
        <f>+'QTR Raw'!BF79+'QTR Raw'!BF76</f>
        <v>13159</v>
      </c>
      <c r="CM153" s="24"/>
      <c r="CN153" s="24"/>
      <c r="CO153" s="24"/>
      <c r="CP153" s="24"/>
      <c r="CQ153" s="24"/>
      <c r="CR153" s="24"/>
      <c r="CS153" s="24"/>
      <c r="CT153" s="24"/>
      <c r="CU153" s="24"/>
      <c r="CV153" s="24"/>
      <c r="CW153" s="24"/>
      <c r="CX153" s="24"/>
      <c r="CY153" s="24"/>
      <c r="CZ153" s="24"/>
      <c r="DA153" s="24"/>
      <c r="DB153" s="24"/>
      <c r="DE153" s="123"/>
      <c r="DF153" s="23">
        <v>13159</v>
      </c>
    </row>
    <row r="154" spans="1:111" s="23" customFormat="1" outlineLevel="1" x14ac:dyDescent="0.2">
      <c r="A154" s="23" t="s">
        <v>61</v>
      </c>
      <c r="B154" s="23">
        <f>'Annual Raw'!C76</f>
        <v>0</v>
      </c>
      <c r="C154" s="23">
        <f>'Annual Raw'!D76</f>
        <v>0</v>
      </c>
      <c r="D154" s="23">
        <f>'Annual Raw'!E76</f>
        <v>0</v>
      </c>
      <c r="E154" s="23">
        <f>'Annual Raw'!F76</f>
        <v>0</v>
      </c>
      <c r="F154" s="23">
        <f>'Annual Raw'!G76</f>
        <v>0</v>
      </c>
      <c r="G154" s="23">
        <f>'Annual Raw'!H76</f>
        <v>0</v>
      </c>
      <c r="H154" s="23">
        <f>'Annual Raw'!I76</f>
        <v>0</v>
      </c>
      <c r="I154" s="23">
        <f>'Annual Raw'!J76</f>
        <v>0</v>
      </c>
      <c r="J154" s="23">
        <f>'Annual Raw'!K76</f>
        <v>0</v>
      </c>
      <c r="K154" s="23">
        <f>'Annual Raw'!L76</f>
        <v>0</v>
      </c>
      <c r="L154" s="23">
        <f>'Annual Raw'!M76</f>
        <v>0</v>
      </c>
      <c r="M154" s="23">
        <f>'Annual Raw'!N76</f>
        <v>0</v>
      </c>
      <c r="N154" s="23">
        <f>'Annual Raw'!O76</f>
        <v>0</v>
      </c>
      <c r="O154" s="23">
        <f>'Annual Raw'!P76</f>
        <v>0</v>
      </c>
      <c r="P154" s="23">
        <f>'Annual Raw'!Q76</f>
        <v>0</v>
      </c>
      <c r="Q154" s="23">
        <f>'Annual Raw'!R76</f>
        <v>0</v>
      </c>
      <c r="R154" s="23">
        <f>'Annual Raw'!S76</f>
        <v>0</v>
      </c>
      <c r="S154" s="23">
        <f>'Annual Raw'!T76</f>
        <v>0</v>
      </c>
      <c r="T154" s="23">
        <f>'Annual Raw'!U76</f>
        <v>0</v>
      </c>
      <c r="U154" s="23">
        <f>'Annual Raw'!V76</f>
        <v>0</v>
      </c>
      <c r="V154" s="23">
        <f>'Annual Raw'!W76</f>
        <v>0</v>
      </c>
      <c r="W154" s="23">
        <f>'Annual Raw'!X76</f>
        <v>0</v>
      </c>
      <c r="X154" s="23">
        <f>'Annual Raw'!Y76</f>
        <v>0</v>
      </c>
      <c r="Y154" s="23">
        <f>'Annual Raw'!Z76</f>
        <v>0</v>
      </c>
      <c r="Z154" s="23">
        <f>'Annual Raw'!AA76</f>
        <v>0</v>
      </c>
      <c r="AA154" s="23">
        <f>'Annual Raw'!AB76</f>
        <v>0</v>
      </c>
      <c r="AB154" s="24">
        <f t="shared" si="1290"/>
        <v>0</v>
      </c>
      <c r="AC154" s="24">
        <f t="shared" si="1291"/>
        <v>0</v>
      </c>
      <c r="AD154" s="24">
        <f t="shared" si="1292"/>
        <v>0</v>
      </c>
      <c r="AE154" s="24">
        <f t="shared" si="1293"/>
        <v>0</v>
      </c>
      <c r="AJ154" s="23">
        <f>+'QTR Raw'!D81</f>
        <v>0</v>
      </c>
      <c r="AK154" s="23">
        <f>+AK189*AK20/90</f>
        <v>0</v>
      </c>
      <c r="AL154" s="23">
        <f>+'QTR Raw'!F81</f>
        <v>0</v>
      </c>
      <c r="AM154" s="23">
        <f>+AM189*AM20/90</f>
        <v>0</v>
      </c>
      <c r="AN154" s="23">
        <f>+'QTR Raw'!H81</f>
        <v>0</v>
      </c>
      <c r="AO154" s="23">
        <f>+AO189*AO20/90</f>
        <v>0</v>
      </c>
      <c r="AP154" s="23">
        <f>+'QTR Raw'!J81</f>
        <v>0</v>
      </c>
      <c r="AQ154" s="23">
        <f>+AQ189*AQ20/90</f>
        <v>0</v>
      </c>
      <c r="AR154" s="23">
        <f>+'QTR Raw'!L81</f>
        <v>0</v>
      </c>
      <c r="AS154" s="23">
        <f>+AS189*AS20/90</f>
        <v>0</v>
      </c>
      <c r="AT154" s="23">
        <f>+'QTR Raw'!N81</f>
        <v>0</v>
      </c>
      <c r="AU154" s="23">
        <f>+AU189*AU20/90</f>
        <v>0</v>
      </c>
      <c r="AV154" s="23">
        <f>+'QTR Raw'!P81</f>
        <v>0</v>
      </c>
      <c r="AW154" s="23">
        <f>+AW189*AW20/90</f>
        <v>0</v>
      </c>
      <c r="AX154" s="23">
        <f>+'QTR Raw'!R81</f>
        <v>0</v>
      </c>
      <c r="AY154" s="23">
        <f>+AY189*AY20/90</f>
        <v>0</v>
      </c>
      <c r="AZ154" s="23">
        <f>+'QTR Raw'!T81</f>
        <v>0</v>
      </c>
      <c r="BA154" s="23">
        <f>+BA189*BA20/90</f>
        <v>0</v>
      </c>
      <c r="BB154" s="23">
        <f>+'QTR Raw'!V81</f>
        <v>0</v>
      </c>
      <c r="BC154" s="23">
        <f>+BC189*BC20/90</f>
        <v>0</v>
      </c>
      <c r="BD154" s="23">
        <f>+'QTR Raw'!X81</f>
        <v>0</v>
      </c>
      <c r="BE154" s="23">
        <f>+BE189*BE20/90</f>
        <v>0</v>
      </c>
      <c r="BF154" s="23">
        <f>+'QTR Raw'!Z81</f>
        <v>0</v>
      </c>
      <c r="BG154" s="23">
        <f>+BG189*BG20/90</f>
        <v>0</v>
      </c>
      <c r="BH154" s="23">
        <f>+'QTR Raw'!AB81</f>
        <v>0</v>
      </c>
      <c r="BI154" s="23">
        <f>+BI189*BI20/90</f>
        <v>0</v>
      </c>
      <c r="BJ154" s="23">
        <f>+'QTR Raw'!AD81</f>
        <v>0</v>
      </c>
      <c r="BK154" s="23">
        <f>+BK189*BK20/90</f>
        <v>0</v>
      </c>
      <c r="BL154" s="23">
        <f>+'QTR Raw'!AF81</f>
        <v>0</v>
      </c>
      <c r="BM154" s="23">
        <f>+BM189*BM20/90</f>
        <v>0</v>
      </c>
      <c r="BN154" s="23">
        <f>+'QTR Raw'!AH81</f>
        <v>0</v>
      </c>
      <c r="BO154" s="23">
        <f>+BO189*BO20/90</f>
        <v>0</v>
      </c>
      <c r="BP154" s="23">
        <f>+'QTR Raw'!AJ81</f>
        <v>0</v>
      </c>
      <c r="BQ154" s="23">
        <f>+BQ189*BQ20/90</f>
        <v>0</v>
      </c>
      <c r="BR154" s="23">
        <f>+'QTR Raw'!AL81</f>
        <v>0</v>
      </c>
      <c r="BS154" s="23">
        <f>+BS189*BS20/90</f>
        <v>0</v>
      </c>
      <c r="BT154" s="23">
        <f>+'QTR Raw'!AN81</f>
        <v>0</v>
      </c>
      <c r="BU154" s="23">
        <f>+BU189*BU20/90</f>
        <v>0</v>
      </c>
      <c r="BV154" s="23">
        <f>+'QTR Raw'!AP81</f>
        <v>0</v>
      </c>
      <c r="BW154" s="23">
        <f>+BW189*BW20/90</f>
        <v>0</v>
      </c>
      <c r="BX154" s="23">
        <f>+'QTR Raw'!AR81</f>
        <v>0</v>
      </c>
      <c r="BY154" s="23">
        <f>+BY189*BY20/90</f>
        <v>0</v>
      </c>
      <c r="BZ154" s="23">
        <f>+'QTR Raw'!AT81</f>
        <v>0</v>
      </c>
      <c r="CA154" s="23">
        <f>+CA189*CA20/90</f>
        <v>0</v>
      </c>
      <c r="CB154" s="23">
        <f>+'QTR Raw'!AV81</f>
        <v>0</v>
      </c>
      <c r="CC154" s="23">
        <f>+CC189*CC20/90</f>
        <v>0</v>
      </c>
      <c r="CD154" s="23">
        <f>+'QTR Raw'!AX81</f>
        <v>0</v>
      </c>
      <c r="CE154" s="23">
        <f>+CE189*CE20/90</f>
        <v>0</v>
      </c>
      <c r="CF154" s="23">
        <f>+'QTR Raw'!AZ81</f>
        <v>0</v>
      </c>
      <c r="CG154" s="23">
        <f>+CG189*CG20/90</f>
        <v>0</v>
      </c>
      <c r="CH154" s="23">
        <f t="shared" si="1272"/>
        <v>0</v>
      </c>
      <c r="CI154" s="23">
        <f>+CI189*CI20/90</f>
        <v>0</v>
      </c>
      <c r="CJ154" s="23">
        <f>+'QTR Raw'!BD81</f>
        <v>0</v>
      </c>
      <c r="CK154" s="23">
        <f t="shared" ref="CK154:DB154" si="1295">+CK189*CK20/90</f>
        <v>0</v>
      </c>
      <c r="CL154" s="23">
        <f>+'QTR Raw'!BF81</f>
        <v>0</v>
      </c>
      <c r="CM154" s="24">
        <f t="shared" si="1295"/>
        <v>0</v>
      </c>
      <c r="CN154" s="24">
        <f t="shared" si="1295"/>
        <v>0</v>
      </c>
      <c r="CO154" s="24">
        <f t="shared" si="1295"/>
        <v>0</v>
      </c>
      <c r="CP154" s="24">
        <f t="shared" si="1295"/>
        <v>0</v>
      </c>
      <c r="CQ154" s="24">
        <f t="shared" si="1295"/>
        <v>0</v>
      </c>
      <c r="CR154" s="24">
        <f t="shared" si="1295"/>
        <v>0</v>
      </c>
      <c r="CS154" s="24">
        <f t="shared" si="1295"/>
        <v>0</v>
      </c>
      <c r="CT154" s="24">
        <f t="shared" si="1295"/>
        <v>0</v>
      </c>
      <c r="CU154" s="24">
        <f t="shared" si="1295"/>
        <v>0</v>
      </c>
      <c r="CV154" s="24">
        <f t="shared" si="1295"/>
        <v>0</v>
      </c>
      <c r="CW154" s="24">
        <f t="shared" si="1295"/>
        <v>0</v>
      </c>
      <c r="CX154" s="24">
        <f t="shared" si="1295"/>
        <v>0</v>
      </c>
      <c r="CY154" s="24">
        <f t="shared" si="1295"/>
        <v>0</v>
      </c>
      <c r="CZ154" s="24">
        <f t="shared" si="1295"/>
        <v>0</v>
      </c>
      <c r="DA154" s="24">
        <f t="shared" si="1295"/>
        <v>0</v>
      </c>
      <c r="DB154" s="24">
        <f t="shared" si="1295"/>
        <v>0</v>
      </c>
      <c r="DE154" s="123"/>
      <c r="DF154" s="23">
        <v>0</v>
      </c>
      <c r="DG154" s="23">
        <v>0</v>
      </c>
    </row>
    <row r="155" spans="1:111" s="23" customFormat="1" outlineLevel="1" x14ac:dyDescent="0.2">
      <c r="A155" s="23" t="s">
        <v>62</v>
      </c>
      <c r="B155" s="23">
        <f>'Annual Raw'!C77</f>
        <v>302.37024170000001</v>
      </c>
      <c r="C155" s="23">
        <f>'Annual Raw'!D77</f>
        <v>336.73</v>
      </c>
      <c r="D155" s="23">
        <f>'Annual Raw'!E77</f>
        <v>518.65</v>
      </c>
      <c r="E155" s="23">
        <f>'Annual Raw'!F77</f>
        <v>651.45000000000005</v>
      </c>
      <c r="F155" s="23">
        <f>'Annual Raw'!G77</f>
        <v>1322</v>
      </c>
      <c r="G155" s="23">
        <f>'Annual Raw'!H77</f>
        <v>1608</v>
      </c>
      <c r="H155" s="23">
        <f>'Annual Raw'!I77</f>
        <v>2436</v>
      </c>
      <c r="I155" s="23">
        <f>'Annual Raw'!J77</f>
        <v>3297</v>
      </c>
      <c r="J155" s="23">
        <f>'Annual Raw'!K77</f>
        <v>3672</v>
      </c>
      <c r="K155" s="23">
        <f>'Annual Raw'!L77</f>
        <v>3494</v>
      </c>
      <c r="L155" s="23">
        <f>'Annual Raw'!M77</f>
        <v>4653</v>
      </c>
      <c r="M155" s="23">
        <f>'Annual Raw'!N77</f>
        <v>5882</v>
      </c>
      <c r="N155" s="23">
        <f>'Annual Raw'!O77</f>
        <v>7083</v>
      </c>
      <c r="O155" s="23">
        <f>'Annual Raw'!P77</f>
        <v>8351</v>
      </c>
      <c r="P155" s="23">
        <f>'Annual Raw'!Q77</f>
        <v>9713</v>
      </c>
      <c r="Q155" s="23">
        <f>'Annual Raw'!R77</f>
        <v>11330</v>
      </c>
      <c r="R155" s="23">
        <f>'Annual Raw'!S77</f>
        <v>12322</v>
      </c>
      <c r="S155" s="23">
        <f>'Annual Raw'!T77</f>
        <v>13142</v>
      </c>
      <c r="T155" s="23">
        <f>'Annual Raw'!U77</f>
        <v>14827</v>
      </c>
      <c r="U155" s="23">
        <f>'Annual Raw'!V77</f>
        <v>18487</v>
      </c>
      <c r="V155" s="23">
        <f>'Annual Raw'!W77</f>
        <v>19294</v>
      </c>
      <c r="W155" s="23">
        <f>'Annual Raw'!X77</f>
        <v>22698</v>
      </c>
      <c r="X155" s="23">
        <f>'Annual Raw'!Y77</f>
        <v>25424</v>
      </c>
      <c r="Y155" s="23">
        <f>'Annual Raw'!Z77</f>
        <v>30193</v>
      </c>
      <c r="Z155" s="23">
        <f>'Annual Raw'!AA77</f>
        <v>31158</v>
      </c>
      <c r="AA155" s="23">
        <f>'Annual Raw'!AB77</f>
        <v>35234</v>
      </c>
      <c r="AB155" s="24">
        <f t="shared" si="1290"/>
        <v>37249.547289732516</v>
      </c>
      <c r="AC155" s="24">
        <f t="shared" si="1291"/>
        <v>39536.80857433124</v>
      </c>
      <c r="AD155" s="24">
        <f t="shared" si="1292"/>
        <v>43185.988924858109</v>
      </c>
      <c r="AE155" s="24">
        <f t="shared" si="1293"/>
        <v>48640.961421821637</v>
      </c>
      <c r="AJ155" s="23">
        <f>+'QTR Raw'!D82</f>
        <v>6682</v>
      </c>
      <c r="AK155" s="23">
        <f>+AK190*AK20/90</f>
        <v>7065.6490160275926</v>
      </c>
      <c r="AL155" s="23">
        <f>+'QTR Raw'!F82</f>
        <v>7083</v>
      </c>
      <c r="AM155" s="23">
        <f>+AM190*AM20/90</f>
        <v>7633.8397742490906</v>
      </c>
      <c r="AN155" s="23">
        <f>+'QTR Raw'!H82</f>
        <v>8343</v>
      </c>
      <c r="AO155" s="23">
        <f>+AO190*AO20/90</f>
        <v>8382.2536058619353</v>
      </c>
      <c r="AP155" s="23">
        <f>+'QTR Raw'!J82</f>
        <v>8351</v>
      </c>
      <c r="AQ155" s="23">
        <f>+AQ190*AQ20/90</f>
        <v>8282.8947572815541</v>
      </c>
      <c r="AR155" s="23">
        <f>+'QTR Raw'!L82</f>
        <v>9040</v>
      </c>
      <c r="AS155" s="23">
        <f>+AS190*AS20/90</f>
        <v>9347.6120521660923</v>
      </c>
      <c r="AT155" s="23">
        <f>+'QTR Raw'!N82</f>
        <v>9713</v>
      </c>
      <c r="AU155" s="23">
        <f>+AU190*AU20/90</f>
        <v>10395.973603758108</v>
      </c>
      <c r="AV155" s="23">
        <f>+'QTR Raw'!P82</f>
        <v>10397</v>
      </c>
      <c r="AW155" s="23">
        <f>+AW190*AW20/90</f>
        <v>10574.550303805565</v>
      </c>
      <c r="AX155" s="23">
        <f>+'QTR Raw'!R82</f>
        <v>11330</v>
      </c>
      <c r="AY155" s="23">
        <f>+AY190*AY20/90</f>
        <v>11488.825377643505</v>
      </c>
      <c r="AZ155" s="23">
        <f>+'QTR Raw'!T82</f>
        <v>11571</v>
      </c>
      <c r="BA155" s="23">
        <f>+BA190*BA20/90</f>
        <v>11546.267071057191</v>
      </c>
      <c r="BB155" s="23">
        <f>+'QTR Raw'!V82</f>
        <v>12322</v>
      </c>
      <c r="BC155" s="23">
        <f>+BC190*BC20/90</f>
        <v>12291.770794392525</v>
      </c>
      <c r="BD155" s="23">
        <f>+'QTR Raw'!X82</f>
        <v>13423</v>
      </c>
      <c r="BE155" s="23">
        <f>+BE190*BE20/90</f>
        <v>13596.451414584166</v>
      </c>
      <c r="BF155" s="23">
        <f>+'QTR Raw'!Z82</f>
        <v>13142</v>
      </c>
      <c r="BG155" s="23">
        <f>+BG190*BG20/90</f>
        <v>13901.464137587789</v>
      </c>
      <c r="BH155" s="23">
        <f>+'QTR Raw'!AB82</f>
        <v>14781</v>
      </c>
      <c r="BI155" s="23">
        <f>+BI190*BI20/90</f>
        <v>15348.313843466445</v>
      </c>
      <c r="BJ155" s="23">
        <f>+'QTR Raw'!AD82</f>
        <v>14827</v>
      </c>
      <c r="BK155" s="23">
        <f>+BK190*BK20/90</f>
        <v>15008.732113840011</v>
      </c>
      <c r="BL155" s="23">
        <f>+'QTR Raw'!AF82</f>
        <v>16055</v>
      </c>
      <c r="BM155" s="23">
        <f>+BM190*BM20/90</f>
        <v>16383.492863140216</v>
      </c>
      <c r="BN155" s="23">
        <f>+'QTR Raw'!AH82</f>
        <v>18487</v>
      </c>
      <c r="BO155" s="23">
        <f>+BO190*BO20/90</f>
        <v>18803.234409249151</v>
      </c>
      <c r="BP155" s="23">
        <f>+'QTR Raw'!AJ82</f>
        <v>17930</v>
      </c>
      <c r="BQ155" s="23">
        <f>+BQ190*BQ20/90</f>
        <v>18920.273097273097</v>
      </c>
      <c r="BR155" s="23">
        <f>+'QTR Raw'!AL82</f>
        <v>19294</v>
      </c>
      <c r="BS155" s="23">
        <f>+BS190*BS20/90</f>
        <v>20456.289156626506</v>
      </c>
      <c r="BT155" s="23">
        <f>+'QTR Raw'!AN82</f>
        <v>20121</v>
      </c>
      <c r="BU155" s="23">
        <f>+BU190*BU20/90</f>
        <v>21660.560333761234</v>
      </c>
      <c r="BV155" s="23">
        <f>+'QTR Raw'!AP82</f>
        <v>22698</v>
      </c>
      <c r="BW155" s="23">
        <f>+BW190*BW20/90</f>
        <v>24240.923906308097</v>
      </c>
      <c r="BX155" s="23">
        <f>+'QTR Raw'!AR82</f>
        <v>25397</v>
      </c>
      <c r="BY155" s="23">
        <f>+BY190*BY20/90</f>
        <v>26634.250533690956</v>
      </c>
      <c r="BZ155" s="23">
        <f>+'QTR Raw'!AT82</f>
        <v>25424</v>
      </c>
      <c r="CA155" s="23">
        <f>+CA190*CA20/90</f>
        <v>25758.088512593149</v>
      </c>
      <c r="CB155" s="23">
        <f>+'QTR Raw'!AV82</f>
        <v>28261</v>
      </c>
      <c r="CC155" s="23">
        <f>+CC190*CC20/90</f>
        <v>28135.617812996868</v>
      </c>
      <c r="CD155" s="23">
        <f>+'QTR Raw'!AX82</f>
        <v>30193</v>
      </c>
      <c r="CE155" s="23">
        <f>+CE190*CE20/90</f>
        <v>31301.262953880232</v>
      </c>
      <c r="CF155" s="23">
        <f>+'QTR Raw'!AZ82</f>
        <v>32013</v>
      </c>
      <c r="CG155" s="23">
        <f>+CG190*CG20/90</f>
        <v>32620.673693456298</v>
      </c>
      <c r="CH155" s="23">
        <f t="shared" si="1272"/>
        <v>31158</v>
      </c>
      <c r="CI155" s="23">
        <f>+CI190*CI20/90</f>
        <v>32188.859670128284</v>
      </c>
      <c r="CJ155" s="23">
        <f>+'QTR Raw'!BD82</f>
        <v>33968</v>
      </c>
      <c r="CK155" s="23">
        <f t="shared" ref="CK155:DB155" si="1296">+CK190*CK20/90</f>
        <v>34723.098943582831</v>
      </c>
      <c r="CL155" s="23">
        <f>+'QTR Raw'!BF82</f>
        <v>35234</v>
      </c>
      <c r="CM155" s="24">
        <f t="shared" si="1296"/>
        <v>36090.311785357007</v>
      </c>
      <c r="CN155" s="24">
        <f t="shared" si="1296"/>
        <v>36531.441761228321</v>
      </c>
      <c r="CO155" s="24">
        <f t="shared" si="1296"/>
        <v>36888.67488365843</v>
      </c>
      <c r="CP155" s="24">
        <f t="shared" si="1296"/>
        <v>37249.547289732516</v>
      </c>
      <c r="CQ155" s="24">
        <f t="shared" si="1296"/>
        <v>37812.803361388054</v>
      </c>
      <c r="CR155" s="24">
        <f t="shared" si="1296"/>
        <v>38350.743682580542</v>
      </c>
      <c r="CS155" s="24">
        <f t="shared" si="1296"/>
        <v>38915.545502437912</v>
      </c>
      <c r="CT155" s="24">
        <f t="shared" si="1296"/>
        <v>39536.80857433124</v>
      </c>
      <c r="CU155" s="24">
        <f t="shared" si="1296"/>
        <v>40327.932441629746</v>
      </c>
      <c r="CV155" s="24">
        <f t="shared" si="1296"/>
        <v>41184.173869113285</v>
      </c>
      <c r="CW155" s="24">
        <f t="shared" si="1296"/>
        <v>42130.724565859797</v>
      </c>
      <c r="CX155" s="24">
        <f t="shared" si="1296"/>
        <v>43185.988924858109</v>
      </c>
      <c r="CY155" s="24">
        <f t="shared" si="1296"/>
        <v>44365.749358200388</v>
      </c>
      <c r="CZ155" s="24">
        <f t="shared" si="1296"/>
        <v>45658.798451262111</v>
      </c>
      <c r="DA155" s="24">
        <f t="shared" si="1296"/>
        <v>47079.860999328477</v>
      </c>
      <c r="DB155" s="24">
        <f t="shared" si="1296"/>
        <v>48640.961421821637</v>
      </c>
      <c r="DE155" s="123"/>
      <c r="DF155" s="23">
        <v>35234</v>
      </c>
      <c r="DG155" s="23">
        <v>34324.262246466453</v>
      </c>
    </row>
    <row r="156" spans="1:111" s="23" customFormat="1" outlineLevel="1" x14ac:dyDescent="0.2">
      <c r="A156" s="23" t="s">
        <v>63</v>
      </c>
      <c r="B156" s="23">
        <f>'Annual Raw'!C79</f>
        <v>16.0976985</v>
      </c>
      <c r="C156" s="23">
        <f>'Annual Raw'!D79</f>
        <v>31.66</v>
      </c>
      <c r="D156" s="23">
        <f>'Annual Raw'!E79</f>
        <v>115.66</v>
      </c>
      <c r="E156" s="23">
        <f>'Annual Raw'!F79</f>
        <v>149.24</v>
      </c>
      <c r="F156" s="23">
        <f>'Annual Raw'!G79</f>
        <v>189</v>
      </c>
      <c r="G156" s="23">
        <f>'Annual Raw'!H79</f>
        <v>254</v>
      </c>
      <c r="H156" s="23">
        <f>'Annual Raw'!I79</f>
        <v>426</v>
      </c>
      <c r="I156" s="23">
        <f>'Annual Raw'!J79</f>
        <v>701</v>
      </c>
      <c r="J156" s="23">
        <f>'Annual Raw'!K79</f>
        <v>791</v>
      </c>
      <c r="K156" s="23">
        <f>'Annual Raw'!L79</f>
        <v>994</v>
      </c>
      <c r="L156" s="23">
        <f>'Annual Raw'!M79</f>
        <v>138</v>
      </c>
      <c r="M156" s="23">
        <f>'Annual Raw'!N79</f>
        <v>99</v>
      </c>
      <c r="N156" s="23">
        <f>'Annual Raw'!O79</f>
        <v>280</v>
      </c>
      <c r="O156" s="23">
        <f>'Annual Raw'!P79</f>
        <v>429</v>
      </c>
      <c r="P156" s="23">
        <f>'Annual Raw'!Q79</f>
        <v>643</v>
      </c>
      <c r="Q156" s="23">
        <f>'Annual Raw'!R79</f>
        <v>1127</v>
      </c>
      <c r="R156" s="23">
        <f>'Annual Raw'!S79</f>
        <v>1416</v>
      </c>
      <c r="S156" s="23">
        <f>'Annual Raw'!T79</f>
        <v>1382</v>
      </c>
      <c r="T156" s="23">
        <f>'Annual Raw'!U79</f>
        <v>2531</v>
      </c>
      <c r="U156" s="23">
        <f>'Annual Raw'!V79</f>
        <v>1860</v>
      </c>
      <c r="V156" s="23">
        <f>'Annual Raw'!W79</f>
        <v>2413</v>
      </c>
      <c r="W156" s="23">
        <f>'Annual Raw'!X79</f>
        <v>4096</v>
      </c>
      <c r="X156" s="23">
        <f>'Annual Raw'!Y79</f>
        <v>4931</v>
      </c>
      <c r="Y156" s="23">
        <f>'Annual Raw'!Z79</f>
        <v>5619</v>
      </c>
      <c r="Z156" s="23">
        <f>'Annual Raw'!AA79</f>
        <v>6661</v>
      </c>
      <c r="AA156" s="23">
        <f>'Annual Raw'!AB79</f>
        <v>7932</v>
      </c>
      <c r="AB156" s="24">
        <f t="shared" si="1290"/>
        <v>46253.787539261291</v>
      </c>
      <c r="AC156" s="24">
        <f t="shared" si="1291"/>
        <v>49093.942794886854</v>
      </c>
      <c r="AD156" s="24">
        <f t="shared" si="1292"/>
        <v>53625.230418676096</v>
      </c>
      <c r="AE156" s="24">
        <f t="shared" si="1293"/>
        <v>60398.819824864993</v>
      </c>
      <c r="AJ156" s="23">
        <f>+'QTR Raw'!D84</f>
        <v>3830</v>
      </c>
      <c r="AK156" s="23">
        <f t="shared" si="1294"/>
        <v>3830</v>
      </c>
      <c r="AL156" s="23">
        <f>+'QTR Raw'!F84</f>
        <v>4659</v>
      </c>
      <c r="AM156" s="23">
        <f t="shared" si="1294"/>
        <v>4659</v>
      </c>
      <c r="AN156" s="23">
        <f>+'QTR Raw'!H84</f>
        <v>5586</v>
      </c>
      <c r="AO156" s="23">
        <f t="shared" si="1294"/>
        <v>5586</v>
      </c>
      <c r="AP156" s="23">
        <f>+'QTR Raw'!J84</f>
        <v>5662</v>
      </c>
      <c r="AQ156" s="23">
        <f t="shared" si="1294"/>
        <v>5662</v>
      </c>
      <c r="AR156" s="23">
        <f>+'QTR Raw'!L84</f>
        <v>5754</v>
      </c>
      <c r="AS156" s="23">
        <f t="shared" si="1294"/>
        <v>5754</v>
      </c>
      <c r="AT156" s="23">
        <f>+'QTR Raw'!N84</f>
        <v>6242</v>
      </c>
      <c r="AU156" s="23">
        <f t="shared" si="1294"/>
        <v>6242</v>
      </c>
      <c r="AV156" s="23">
        <f>+'QTR Raw'!P84</f>
        <v>8154</v>
      </c>
      <c r="AW156" s="23">
        <f t="shared" si="1294"/>
        <v>8154</v>
      </c>
      <c r="AX156" s="23">
        <f>+'QTR Raw'!R84</f>
        <v>7348</v>
      </c>
      <c r="AY156" s="23">
        <f t="shared" si="1294"/>
        <v>7348</v>
      </c>
      <c r="AZ156" s="23">
        <f>+'QTR Raw'!T84</f>
        <v>8888</v>
      </c>
      <c r="BA156" s="23">
        <f t="shared" si="1294"/>
        <v>8888</v>
      </c>
      <c r="BB156" s="23">
        <f>+'QTR Raw'!V84</f>
        <v>8516</v>
      </c>
      <c r="BC156" s="23">
        <f t="shared" si="1294"/>
        <v>8516</v>
      </c>
      <c r="BD156" s="23">
        <f>+'QTR Raw'!X84</f>
        <v>9106</v>
      </c>
      <c r="BE156" s="23">
        <f t="shared" si="1294"/>
        <v>9106</v>
      </c>
      <c r="BF156" s="23">
        <f>+'QTR Raw'!Z84</f>
        <v>10411</v>
      </c>
      <c r="BG156" s="23">
        <f t="shared" si="1294"/>
        <v>10411</v>
      </c>
      <c r="BH156" s="23">
        <f>+'QTR Raw'!AB84</f>
        <v>11729</v>
      </c>
      <c r="BI156" s="23">
        <f t="shared" si="1294"/>
        <v>11729</v>
      </c>
      <c r="BJ156" s="23">
        <f>+'QTR Raw'!AD84</f>
        <v>11615</v>
      </c>
      <c r="BK156" s="23">
        <f t="shared" si="1294"/>
        <v>11615</v>
      </c>
      <c r="BL156" s="23">
        <f>+'QTR Raw'!AF84</f>
        <v>12563</v>
      </c>
      <c r="BM156" s="23">
        <f t="shared" si="1294"/>
        <v>12563</v>
      </c>
      <c r="BN156" s="23">
        <f>+'QTR Raw'!AH84</f>
        <v>12546</v>
      </c>
      <c r="BO156" s="23">
        <f t="shared" si="1294"/>
        <v>12546</v>
      </c>
      <c r="BP156" s="23">
        <f>+'QTR Raw'!AJ84</f>
        <v>13254</v>
      </c>
      <c r="BQ156" s="23">
        <f t="shared" si="1294"/>
        <v>13254</v>
      </c>
      <c r="BR156" s="23">
        <f>+'QTR Raw'!AL84</f>
        <v>14224</v>
      </c>
      <c r="BS156" s="23">
        <f t="shared" si="1294"/>
        <v>14224</v>
      </c>
      <c r="BT156" s="23">
        <f>+'QTR Raw'!AN84</f>
        <v>16657</v>
      </c>
      <c r="BU156" s="23">
        <f t="shared" si="1294"/>
        <v>16657</v>
      </c>
      <c r="BV156" s="23">
        <f>+'QTR Raw'!AP84</f>
        <v>20094</v>
      </c>
      <c r="BW156" s="23">
        <f t="shared" si="1294"/>
        <v>20094</v>
      </c>
      <c r="BX156" s="23">
        <f>+'QTR Raw'!AR84</f>
        <v>22608</v>
      </c>
      <c r="BY156" s="23">
        <f t="shared" si="1294"/>
        <v>22608</v>
      </c>
      <c r="BZ156" s="23">
        <f>+'QTR Raw'!AT84</f>
        <v>26086</v>
      </c>
      <c r="CA156" s="23">
        <f t="shared" si="1294"/>
        <v>26086</v>
      </c>
      <c r="CB156" s="23">
        <f>+'QTR Raw'!AV84</f>
        <v>25262</v>
      </c>
      <c r="CC156" s="23">
        <f t="shared" si="1294"/>
        <v>25262</v>
      </c>
      <c r="CD156" s="23">
        <f>+'QTR Raw'!AX84</f>
        <v>31290</v>
      </c>
      <c r="CE156" s="23">
        <f t="shared" si="1294"/>
        <v>31290</v>
      </c>
      <c r="CF156" s="23">
        <f>+'QTR Raw'!AZ84</f>
        <v>28032</v>
      </c>
      <c r="CG156" s="23">
        <f t="shared" ref="CG156:CG157" si="1297">+CF156</f>
        <v>28032</v>
      </c>
      <c r="CH156" s="23">
        <f t="shared" si="1272"/>
        <v>6661</v>
      </c>
      <c r="CI156" s="23">
        <f>CI20/90*CI191</f>
        <v>38085.708344532679</v>
      </c>
      <c r="CJ156" s="23">
        <f>+'QTR Raw'!BD84</f>
        <v>27118</v>
      </c>
      <c r="CK156" s="23">
        <f t="shared" ref="CK156:DB156" si="1298">CK20/90*CK191</f>
        <v>43116.627129692053</v>
      </c>
      <c r="CL156" s="23">
        <f>+'QTR Raw'!BF84</f>
        <v>32870</v>
      </c>
      <c r="CM156" s="24">
        <f t="shared" si="1298"/>
        <v>44814.332924946204</v>
      </c>
      <c r="CN156" s="24">
        <f t="shared" si="1298"/>
        <v>45362.096150696212</v>
      </c>
      <c r="CO156" s="24">
        <f t="shared" si="1298"/>
        <v>45805.682345673238</v>
      </c>
      <c r="CP156" s="24">
        <f t="shared" si="1298"/>
        <v>46253.787539261291</v>
      </c>
      <c r="CQ156" s="24">
        <f t="shared" si="1298"/>
        <v>46953.198097620887</v>
      </c>
      <c r="CR156" s="24">
        <f t="shared" si="1298"/>
        <v>47621.173392238692</v>
      </c>
      <c r="CS156" s="24">
        <f t="shared" si="1298"/>
        <v>48322.503348661325</v>
      </c>
      <c r="CT156" s="24">
        <f t="shared" si="1298"/>
        <v>49093.942794886854</v>
      </c>
      <c r="CU156" s="24">
        <f t="shared" si="1298"/>
        <v>50076.30306333903</v>
      </c>
      <c r="CV156" s="24">
        <f t="shared" si="1298"/>
        <v>51139.52159754264</v>
      </c>
      <c r="CW156" s="24">
        <f t="shared" si="1298"/>
        <v>52314.879635639416</v>
      </c>
      <c r="CX156" s="24">
        <f t="shared" si="1298"/>
        <v>53625.230418676096</v>
      </c>
      <c r="CY156" s="24">
        <f t="shared" si="1298"/>
        <v>55090.171401893946</v>
      </c>
      <c r="CZ156" s="24">
        <f t="shared" si="1298"/>
        <v>56695.786030257419</v>
      </c>
      <c r="DA156" s="24">
        <f t="shared" si="1298"/>
        <v>58460.358487125392</v>
      </c>
      <c r="DB156" s="24">
        <f t="shared" si="1298"/>
        <v>60398.819824864993</v>
      </c>
      <c r="DE156" s="123"/>
      <c r="DF156" s="23">
        <v>32870</v>
      </c>
      <c r="DG156" s="23">
        <v>42621.380631585846</v>
      </c>
    </row>
    <row r="157" spans="1:111" s="23" customFormat="1" outlineLevel="1" x14ac:dyDescent="0.2">
      <c r="A157" s="23" t="s">
        <v>64</v>
      </c>
      <c r="B157" s="23">
        <f>'Annual Raw'!C80</f>
        <v>414.18166380000002</v>
      </c>
      <c r="C157" s="23">
        <f>'Annual Raw'!D80</f>
        <v>612.21</v>
      </c>
      <c r="D157" s="23">
        <f>'Annual Raw'!E80</f>
        <v>797.8</v>
      </c>
      <c r="E157" s="23">
        <f>'Annual Raw'!F80</f>
        <v>571.80999999999995</v>
      </c>
      <c r="F157" s="23">
        <f>'Annual Raw'!G80</f>
        <v>835</v>
      </c>
      <c r="G157" s="23">
        <f>'Annual Raw'!H80</f>
        <v>1043</v>
      </c>
      <c r="H157" s="23">
        <f>'Annual Raw'!I80</f>
        <v>825</v>
      </c>
      <c r="I157" s="23">
        <f>'Annual Raw'!J80</f>
        <v>2070</v>
      </c>
      <c r="J157" s="23">
        <f>'Annual Raw'!K80</f>
        <v>2488</v>
      </c>
      <c r="K157" s="23">
        <f>'Annual Raw'!L80</f>
        <v>3203</v>
      </c>
      <c r="L157" s="23">
        <f>'Annual Raw'!M80</f>
        <v>2406</v>
      </c>
      <c r="M157" s="23">
        <f>'Annual Raw'!N80</f>
        <v>3321</v>
      </c>
      <c r="N157" s="23">
        <f>'Annual Raw'!O80</f>
        <v>4409</v>
      </c>
      <c r="O157" s="23">
        <f>'Annual Raw'!P80</f>
        <v>5324</v>
      </c>
      <c r="P157" s="23">
        <f>'Annual Raw'!Q80</f>
        <v>5647</v>
      </c>
      <c r="Q157" s="23">
        <f>'Annual Raw'!R80</f>
        <v>6524</v>
      </c>
      <c r="R157" s="23">
        <f>'Annual Raw'!S80</f>
        <v>7372</v>
      </c>
      <c r="S157" s="23">
        <f>'Annual Raw'!T80</f>
        <v>7208</v>
      </c>
      <c r="T157" s="23">
        <f>'Annual Raw'!U80</f>
        <v>9325</v>
      </c>
      <c r="U157" s="23">
        <f>'Annual Raw'!V80</f>
        <v>10925</v>
      </c>
      <c r="V157" s="23">
        <f>'Annual Raw'!W80</f>
        <v>11970</v>
      </c>
      <c r="W157" s="23">
        <f>'Annual Raw'!X80</f>
        <v>16246</v>
      </c>
      <c r="X157" s="23">
        <f>'Annual Raw'!Y80</f>
        <v>21444</v>
      </c>
      <c r="Y157" s="23">
        <f>'Annual Raw'!Z80</f>
        <v>25919</v>
      </c>
      <c r="Z157" s="23">
        <f>'Annual Raw'!AA80</f>
        <v>22343</v>
      </c>
      <c r="AA157" s="23">
        <f>'Annual Raw'!AB80</f>
        <v>25172</v>
      </c>
      <c r="AB157" s="24">
        <f t="shared" si="1290"/>
        <v>0</v>
      </c>
      <c r="AC157" s="24">
        <f t="shared" si="1291"/>
        <v>0</v>
      </c>
      <c r="AD157" s="24">
        <f t="shared" si="1292"/>
        <v>0</v>
      </c>
      <c r="AE157" s="24">
        <f t="shared" si="1293"/>
        <v>0</v>
      </c>
      <c r="AJ157" s="23">
        <f>+'QTR Raw'!D85</f>
        <v>0</v>
      </c>
      <c r="AK157" s="23">
        <f t="shared" si="1294"/>
        <v>0</v>
      </c>
      <c r="AL157" s="23">
        <f>+'QTR Raw'!F85</f>
        <v>0</v>
      </c>
      <c r="AM157" s="23">
        <f t="shared" si="1294"/>
        <v>0</v>
      </c>
      <c r="AN157" s="23">
        <f>+'QTR Raw'!H85</f>
        <v>0</v>
      </c>
      <c r="AO157" s="23">
        <f t="shared" si="1294"/>
        <v>0</v>
      </c>
      <c r="AP157" s="23">
        <f>+'QTR Raw'!J85</f>
        <v>0</v>
      </c>
      <c r="AQ157" s="23">
        <f t="shared" si="1294"/>
        <v>0</v>
      </c>
      <c r="AR157" s="23">
        <f>+'QTR Raw'!L85</f>
        <v>0</v>
      </c>
      <c r="AS157" s="23">
        <f t="shared" si="1294"/>
        <v>0</v>
      </c>
      <c r="AT157" s="23">
        <f>+'QTR Raw'!N85</f>
        <v>0</v>
      </c>
      <c r="AU157" s="23">
        <f t="shared" si="1294"/>
        <v>0</v>
      </c>
      <c r="AV157" s="23">
        <f>+'QTR Raw'!P85</f>
        <v>0</v>
      </c>
      <c r="AW157" s="23">
        <f t="shared" si="1294"/>
        <v>0</v>
      </c>
      <c r="AX157" s="23">
        <f>+'QTR Raw'!R85</f>
        <v>303</v>
      </c>
      <c r="AY157" s="23">
        <f t="shared" si="1294"/>
        <v>303</v>
      </c>
      <c r="AZ157" s="23">
        <f>+'QTR Raw'!T85</f>
        <v>264</v>
      </c>
      <c r="BA157" s="23">
        <f t="shared" si="1294"/>
        <v>264</v>
      </c>
      <c r="BB157" s="23">
        <f>+'QTR Raw'!V85</f>
        <v>272</v>
      </c>
      <c r="BC157" s="23">
        <f t="shared" si="1294"/>
        <v>272</v>
      </c>
      <c r="BD157" s="23">
        <f>+'QTR Raw'!X85</f>
        <v>245</v>
      </c>
      <c r="BE157" s="23">
        <f t="shared" si="1294"/>
        <v>245</v>
      </c>
      <c r="BF157" s="23">
        <f>+'QTR Raw'!Z85</f>
        <v>239</v>
      </c>
      <c r="BG157" s="23">
        <f t="shared" si="1294"/>
        <v>239</v>
      </c>
      <c r="BH157" s="23">
        <f>+'QTR Raw'!AB85</f>
        <v>232</v>
      </c>
      <c r="BI157" s="23">
        <f t="shared" si="1294"/>
        <v>232</v>
      </c>
      <c r="BJ157" s="23">
        <f>+'QTR Raw'!AD85</f>
        <v>241</v>
      </c>
      <c r="BK157" s="23">
        <f t="shared" si="1294"/>
        <v>241</v>
      </c>
      <c r="BL157" s="23">
        <f>+'QTR Raw'!AF85</f>
        <v>240</v>
      </c>
      <c r="BM157" s="23">
        <f t="shared" si="1294"/>
        <v>240</v>
      </c>
      <c r="BN157" s="23">
        <f>+'QTR Raw'!AH85</f>
        <v>239</v>
      </c>
      <c r="BO157" s="23">
        <f t="shared" si="1294"/>
        <v>239</v>
      </c>
      <c r="BP157" s="23">
        <f>+'QTR Raw'!AJ85</f>
        <v>130</v>
      </c>
      <c r="BQ157" s="23">
        <f t="shared" si="1294"/>
        <v>130</v>
      </c>
      <c r="BR157" s="23">
        <f>+'QTR Raw'!AL85</f>
        <v>159</v>
      </c>
      <c r="BS157" s="23">
        <f t="shared" si="1294"/>
        <v>159</v>
      </c>
      <c r="BT157" s="23">
        <f>+'QTR Raw'!AN85</f>
        <v>191</v>
      </c>
      <c r="BU157" s="23">
        <f t="shared" si="1294"/>
        <v>191</v>
      </c>
      <c r="BV157" s="23">
        <f>+'QTR Raw'!AP85</f>
        <v>248</v>
      </c>
      <c r="BW157" s="23">
        <f t="shared" si="1294"/>
        <v>248</v>
      </c>
      <c r="BX157" s="23">
        <f>+'QTR Raw'!AR85</f>
        <v>279</v>
      </c>
      <c r="BY157" s="23">
        <f t="shared" si="1294"/>
        <v>279</v>
      </c>
      <c r="BZ157" s="23">
        <f>+'QTR Raw'!AT85</f>
        <v>289</v>
      </c>
      <c r="CA157" s="23">
        <f t="shared" si="1294"/>
        <v>289</v>
      </c>
      <c r="CB157" s="23">
        <f>+'QTR Raw'!AV85</f>
        <v>252</v>
      </c>
      <c r="CC157" s="23">
        <f t="shared" si="1294"/>
        <v>252</v>
      </c>
      <c r="CD157" s="23">
        <f>+'QTR Raw'!AX85</f>
        <v>248</v>
      </c>
      <c r="CE157" s="23">
        <f t="shared" si="1294"/>
        <v>248</v>
      </c>
      <c r="CF157" s="23">
        <f>+'QTR Raw'!AZ85</f>
        <v>255</v>
      </c>
      <c r="CG157" s="23">
        <f t="shared" si="1297"/>
        <v>255</v>
      </c>
      <c r="CH157" s="23">
        <f t="shared" si="1272"/>
        <v>22343</v>
      </c>
      <c r="CJ157" s="23">
        <f>+'QTR Raw'!BD85</f>
        <v>243</v>
      </c>
      <c r="CL157" s="23">
        <f>+'QTR Raw'!BF85</f>
        <v>234</v>
      </c>
      <c r="CM157" s="24"/>
      <c r="CN157" s="24"/>
      <c r="CO157" s="24"/>
      <c r="CP157" s="24"/>
      <c r="CQ157" s="24"/>
      <c r="CR157" s="24"/>
      <c r="CS157" s="24"/>
      <c r="CT157" s="24"/>
      <c r="CU157" s="24"/>
      <c r="CV157" s="24"/>
      <c r="CW157" s="24"/>
      <c r="CX157" s="24"/>
      <c r="CY157" s="24"/>
      <c r="CZ157" s="24"/>
      <c r="DA157" s="24"/>
      <c r="DB157" s="24"/>
      <c r="DE157" s="123"/>
      <c r="DF157" s="23">
        <v>234</v>
      </c>
    </row>
    <row r="158" spans="1:111" s="22" customFormat="1" x14ac:dyDescent="0.2">
      <c r="A158" s="22" t="s">
        <v>65</v>
      </c>
      <c r="B158" s="22">
        <f>SUM(B152:B157)</f>
        <v>732.64960399999995</v>
      </c>
      <c r="C158" s="22">
        <f t="shared" ref="C158:V158" si="1299">SUM(C152:C157)</f>
        <v>980.60000000000014</v>
      </c>
      <c r="D158" s="22">
        <f t="shared" si="1299"/>
        <v>1432.11</v>
      </c>
      <c r="E158" s="22">
        <f t="shared" si="1299"/>
        <v>1372.5</v>
      </c>
      <c r="F158" s="22">
        <f t="shared" si="1299"/>
        <v>2346</v>
      </c>
      <c r="G158" s="22">
        <f t="shared" si="1299"/>
        <v>2905</v>
      </c>
      <c r="H158" s="22">
        <f t="shared" si="1299"/>
        <v>3687</v>
      </c>
      <c r="I158" s="22">
        <f t="shared" si="1299"/>
        <v>6068</v>
      </c>
      <c r="J158" s="22">
        <f t="shared" si="1299"/>
        <v>6951</v>
      </c>
      <c r="K158" s="22">
        <f t="shared" si="1299"/>
        <v>7691</v>
      </c>
      <c r="L158" s="22">
        <f>SUM(L152:L157)</f>
        <v>8663</v>
      </c>
      <c r="M158" s="22">
        <f>SUM(M152:M157)</f>
        <v>10984</v>
      </c>
      <c r="N158" s="22">
        <f t="shared" si="1299"/>
        <v>13635</v>
      </c>
      <c r="O158" s="22">
        <f t="shared" si="1299"/>
        <v>16717</v>
      </c>
      <c r="P158" s="22">
        <f t="shared" si="1299"/>
        <v>20994</v>
      </c>
      <c r="Q158" s="22">
        <f t="shared" si="1299"/>
        <v>25879</v>
      </c>
      <c r="R158" s="22">
        <f t="shared" si="1299"/>
        <v>28223</v>
      </c>
      <c r="S158" s="22">
        <f t="shared" si="1299"/>
        <v>32447</v>
      </c>
      <c r="T158" s="22">
        <f t="shared" si="1299"/>
        <v>35439</v>
      </c>
      <c r="U158" s="22">
        <f t="shared" si="1299"/>
        <v>38840</v>
      </c>
      <c r="V158" s="22">
        <f t="shared" si="1299"/>
        <v>41942</v>
      </c>
      <c r="W158" s="22">
        <f t="shared" ref="W158" si="1300">SUM(W152:W157)</f>
        <v>52661</v>
      </c>
      <c r="X158" s="22">
        <f t="shared" ref="X158:Y158" si="1301">SUM(X152:X157)</f>
        <v>63407</v>
      </c>
      <c r="Y158" s="22">
        <f t="shared" si="1301"/>
        <v>70036</v>
      </c>
      <c r="Z158" s="22">
        <f t="shared" ref="Z158:AA158" si="1302">SUM(Z152:Z157)</f>
        <v>68024</v>
      </c>
      <c r="AA158" s="22">
        <f t="shared" ref="AA158" si="1303">SUM(AA152:AA157)</f>
        <v>75326</v>
      </c>
      <c r="AB158" s="21">
        <f t="shared" ref="AB158:AD158" si="1304">SUM(AB152:AB157)</f>
        <v>83503.3348289938</v>
      </c>
      <c r="AC158" s="21">
        <f t="shared" si="1304"/>
        <v>88630.751369218095</v>
      </c>
      <c r="AD158" s="21">
        <f t="shared" si="1304"/>
        <v>96811.219343534205</v>
      </c>
      <c r="AE158" s="21">
        <f t="shared" ref="AE158" si="1305">SUM(AE152:AE157)</f>
        <v>109039.78124668663</v>
      </c>
      <c r="AJ158" s="22">
        <f t="shared" ref="AJ158" si="1306">SUM(AJ152:AJ157)</f>
        <v>11733</v>
      </c>
      <c r="AK158" s="22">
        <f t="shared" ref="AK158" si="1307">SUM(AK152:AK157)</f>
        <v>12116.649016027593</v>
      </c>
      <c r="AL158" s="22">
        <f t="shared" ref="AL158:AM158" si="1308">SUM(AL152:AL157)</f>
        <v>13071</v>
      </c>
      <c r="AM158" s="22">
        <f t="shared" si="1308"/>
        <v>13621.839774249091</v>
      </c>
      <c r="AN158" s="22">
        <f t="shared" ref="AN158:AO158" si="1309">SUM(AN152:AN157)</f>
        <v>15506</v>
      </c>
      <c r="AO158" s="22">
        <f t="shared" si="1309"/>
        <v>15545.253605861935</v>
      </c>
      <c r="AP158" s="22">
        <f t="shared" ref="AP158:CE158" si="1310">SUM(AP152:AP157)</f>
        <v>15755</v>
      </c>
      <c r="AQ158" s="22">
        <f t="shared" si="1310"/>
        <v>15686.894757281554</v>
      </c>
      <c r="AR158" s="22">
        <f t="shared" si="1310"/>
        <v>16897</v>
      </c>
      <c r="AS158" s="22">
        <f t="shared" si="1310"/>
        <v>17204.612052166092</v>
      </c>
      <c r="AT158" s="22">
        <f t="shared" si="1310"/>
        <v>20282</v>
      </c>
      <c r="AU158" s="22">
        <f t="shared" si="1310"/>
        <v>20964.97360375811</v>
      </c>
      <c r="AV158" s="22">
        <f t="shared" si="1310"/>
        <v>23891</v>
      </c>
      <c r="AW158" s="22">
        <f t="shared" si="1310"/>
        <v>24068.550303805565</v>
      </c>
      <c r="AX158" s="22">
        <f t="shared" si="1310"/>
        <v>25879</v>
      </c>
      <c r="AY158" s="22">
        <f t="shared" si="1310"/>
        <v>26037.825377643505</v>
      </c>
      <c r="AZ158" s="22">
        <f t="shared" si="1310"/>
        <v>27919</v>
      </c>
      <c r="BA158" s="22">
        <f t="shared" si="1310"/>
        <v>27894.267071057191</v>
      </c>
      <c r="BB158" s="22">
        <f t="shared" si="1310"/>
        <v>28223</v>
      </c>
      <c r="BC158" s="22">
        <f t="shared" si="1310"/>
        <v>28192.770794392527</v>
      </c>
      <c r="BD158" s="22">
        <f t="shared" si="1310"/>
        <v>30280</v>
      </c>
      <c r="BE158" s="22">
        <f t="shared" si="1310"/>
        <v>30453.451414584168</v>
      </c>
      <c r="BF158" s="22">
        <f t="shared" si="1310"/>
        <v>32447</v>
      </c>
      <c r="BG158" s="22">
        <f t="shared" si="1310"/>
        <v>33206.464137587791</v>
      </c>
      <c r="BH158" s="22">
        <f t="shared" si="1310"/>
        <v>35108</v>
      </c>
      <c r="BI158" s="22">
        <f t="shared" si="1310"/>
        <v>35675.313843466443</v>
      </c>
      <c r="BJ158" s="22">
        <f t="shared" si="1310"/>
        <v>35439</v>
      </c>
      <c r="BK158" s="22">
        <f t="shared" si="1310"/>
        <v>35620.732113840015</v>
      </c>
      <c r="BL158" s="22">
        <f t="shared" si="1310"/>
        <v>41594</v>
      </c>
      <c r="BM158" s="22">
        <f t="shared" si="1310"/>
        <v>41922.492863140214</v>
      </c>
      <c r="BN158" s="22">
        <f t="shared" si="1310"/>
        <v>43008</v>
      </c>
      <c r="BO158" s="22">
        <f t="shared" si="1310"/>
        <v>43324.234409249155</v>
      </c>
      <c r="BP158" s="22">
        <f t="shared" si="1310"/>
        <v>42848</v>
      </c>
      <c r="BQ158" s="22">
        <f t="shared" si="1310"/>
        <v>43838.273097273093</v>
      </c>
      <c r="BR158" s="22">
        <f t="shared" si="1310"/>
        <v>46736</v>
      </c>
      <c r="BS158" s="22">
        <f t="shared" si="1310"/>
        <v>47898.289156626503</v>
      </c>
      <c r="BT158" s="22">
        <f t="shared" si="1310"/>
        <v>50686</v>
      </c>
      <c r="BU158" s="22">
        <f t="shared" si="1310"/>
        <v>52225.560333761234</v>
      </c>
      <c r="BV158" s="22">
        <f t="shared" si="1310"/>
        <v>57484</v>
      </c>
      <c r="BW158" s="22">
        <f t="shared" si="1310"/>
        <v>59026.923906308097</v>
      </c>
      <c r="BX158" s="22">
        <f t="shared" si="1310"/>
        <v>64496</v>
      </c>
      <c r="BY158" s="22">
        <f t="shared" si="1310"/>
        <v>65733.250533690953</v>
      </c>
      <c r="BZ158" s="22">
        <f t="shared" si="1310"/>
        <v>70289</v>
      </c>
      <c r="CA158" s="22">
        <f t="shared" si="1310"/>
        <v>70623.088512593153</v>
      </c>
      <c r="CB158" s="22">
        <f t="shared" si="1310"/>
        <v>72569</v>
      </c>
      <c r="CC158" s="22">
        <f t="shared" si="1310"/>
        <v>72443.617812996876</v>
      </c>
      <c r="CD158" s="22">
        <f t="shared" si="1310"/>
        <v>76588</v>
      </c>
      <c r="CE158" s="22">
        <f t="shared" si="1310"/>
        <v>77696.262953880228</v>
      </c>
      <c r="CF158" s="22">
        <f t="shared" ref="CF158:CG158" si="1311">SUM(CF152:CF157)</f>
        <v>76391</v>
      </c>
      <c r="CG158" s="22">
        <f t="shared" si="1311"/>
        <v>76998.673693456294</v>
      </c>
      <c r="CH158" s="22">
        <f t="shared" ref="CH158:CI158" si="1312">SUM(CH152:CH157)</f>
        <v>68024</v>
      </c>
      <c r="CI158" s="22">
        <f t="shared" si="1312"/>
        <v>70274.568014660967</v>
      </c>
      <c r="CJ158" s="22">
        <f t="shared" ref="CJ158:DB158" si="1313">SUM(CJ152:CJ157)</f>
        <v>76147</v>
      </c>
      <c r="CK158" s="22">
        <f t="shared" si="1313"/>
        <v>77839.726073274884</v>
      </c>
      <c r="CL158" s="22">
        <f t="shared" ref="CL158" si="1314">SUM(CL152:CL157)</f>
        <v>81503</v>
      </c>
      <c r="CM158" s="21">
        <f t="shared" si="1313"/>
        <v>80904.644710303211</v>
      </c>
      <c r="CN158" s="21">
        <f t="shared" si="1313"/>
        <v>81893.537911924534</v>
      </c>
      <c r="CO158" s="21">
        <f t="shared" si="1313"/>
        <v>82694.357229331668</v>
      </c>
      <c r="CP158" s="21">
        <f t="shared" si="1313"/>
        <v>83503.3348289938</v>
      </c>
      <c r="CQ158" s="21">
        <f t="shared" si="1313"/>
        <v>84766.001459008941</v>
      </c>
      <c r="CR158" s="21">
        <f t="shared" si="1313"/>
        <v>85971.917074819241</v>
      </c>
      <c r="CS158" s="21">
        <f t="shared" si="1313"/>
        <v>87238.048851099244</v>
      </c>
      <c r="CT158" s="21">
        <f t="shared" si="1313"/>
        <v>88630.751369218095</v>
      </c>
      <c r="CU158" s="21">
        <f t="shared" si="1313"/>
        <v>90404.235504968776</v>
      </c>
      <c r="CV158" s="21">
        <f t="shared" si="1313"/>
        <v>92323.695466655918</v>
      </c>
      <c r="CW158" s="21">
        <f t="shared" si="1313"/>
        <v>94445.604201499213</v>
      </c>
      <c r="CX158" s="21">
        <f t="shared" si="1313"/>
        <v>96811.219343534205</v>
      </c>
      <c r="CY158" s="21">
        <f t="shared" si="1313"/>
        <v>99455.920760094334</v>
      </c>
      <c r="CZ158" s="21">
        <f t="shared" si="1313"/>
        <v>102354.58448151953</v>
      </c>
      <c r="DA158" s="21">
        <f t="shared" si="1313"/>
        <v>105540.21948645386</v>
      </c>
      <c r="DB158" s="21">
        <f t="shared" si="1313"/>
        <v>109039.78124668663</v>
      </c>
      <c r="DE158" s="126"/>
      <c r="DF158" s="22">
        <v>81503</v>
      </c>
      <c r="DG158" s="22">
        <v>76945.642878052298</v>
      </c>
    </row>
    <row r="159" spans="1:111" s="23" customFormat="1" outlineLevel="1" x14ac:dyDescent="0.2">
      <c r="A159" s="23" t="s">
        <v>66</v>
      </c>
      <c r="B159" s="23">
        <f>'Annual Raw'!C50+'Annual Raw'!C58</f>
        <v>0</v>
      </c>
      <c r="C159" s="23">
        <f>'Annual Raw'!D50+'Annual Raw'!D58</f>
        <v>0</v>
      </c>
      <c r="D159" s="23">
        <f>'Annual Raw'!E50+'Annual Raw'!E58</f>
        <v>0</v>
      </c>
      <c r="E159" s="23">
        <f>'Annual Raw'!F50+'Annual Raw'!F58</f>
        <v>0</v>
      </c>
      <c r="F159" s="23">
        <f>'Annual Raw'!G50+'Annual Raw'!G58</f>
        <v>0</v>
      </c>
      <c r="G159" s="23">
        <f>'Annual Raw'!H50+'Annual Raw'!H58</f>
        <v>0</v>
      </c>
      <c r="H159" s="23">
        <f>'Annual Raw'!I50+'Annual Raw'!I58</f>
        <v>0</v>
      </c>
      <c r="I159" s="23">
        <f>'Annual Raw'!J50+'Annual Raw'!J58</f>
        <v>0</v>
      </c>
      <c r="J159" s="23">
        <f>'Annual Raw'!K50+'Annual Raw'!K58</f>
        <v>0</v>
      </c>
      <c r="K159" s="23">
        <f>'Annual Raw'!L50+'Annual Raw'!L58</f>
        <v>0</v>
      </c>
      <c r="L159" s="23">
        <f>'Annual Raw'!M50+'Annual Raw'!M58</f>
        <v>93</v>
      </c>
      <c r="M159" s="23">
        <f>'Annual Raw'!N50+'Annual Raw'!N58</f>
        <v>123</v>
      </c>
      <c r="N159" s="23">
        <f>'Annual Raw'!O50+'Annual Raw'!O58</f>
        <v>182</v>
      </c>
      <c r="O159" s="23">
        <f>'Annual Raw'!P50+'Annual Raw'!P58</f>
        <v>405</v>
      </c>
      <c r="P159" s="23">
        <f>'Annual Raw'!Q50+'Annual Raw'!Q58</f>
        <v>50</v>
      </c>
      <c r="Q159" s="23">
        <f>'Annual Raw'!R50+'Annual Raw'!R58</f>
        <v>115</v>
      </c>
      <c r="R159" s="23">
        <f>'Annual Raw'!S50+'Annual Raw'!S58</f>
        <v>153</v>
      </c>
      <c r="S159" s="23">
        <f>'Annual Raw'!T50+'Annual Raw'!T58</f>
        <v>644</v>
      </c>
      <c r="T159" s="23">
        <f>'Annual Raw'!U50+'Annual Raw'!U58</f>
        <v>422</v>
      </c>
      <c r="U159" s="23">
        <f>'Annual Raw'!V50+'Annual Raw'!V58</f>
        <v>5100</v>
      </c>
      <c r="V159" s="23">
        <f>'Annual Raw'!W50+'Annual Raw'!W58</f>
        <v>6864</v>
      </c>
      <c r="W159" s="23">
        <f>'Annual Raw'!X50+'Annual Raw'!X58</f>
        <v>7390</v>
      </c>
      <c r="X159" s="23">
        <f>'Annual Raw'!Y50+'Annual Raw'!Y58</f>
        <v>9615</v>
      </c>
      <c r="Y159" s="23">
        <f>'Annual Raw'!Z50+'Annual Raw'!Z58</f>
        <v>8765</v>
      </c>
      <c r="Z159" s="23">
        <f>'Annual Raw'!AA50+'Annual Raw'!AA58</f>
        <v>8128</v>
      </c>
      <c r="AA159" s="23">
        <f>'Annual Raw'!AB50+'Annual Raw'!AB58</f>
        <v>8669</v>
      </c>
      <c r="AB159" s="24">
        <f t="shared" ref="AB159:AB165" si="1315">+CP159</f>
        <v>0</v>
      </c>
      <c r="AC159" s="24">
        <f t="shared" ref="AC159:AC165" si="1316">+CT159</f>
        <v>0</v>
      </c>
      <c r="AD159" s="24">
        <f t="shared" ref="AD159:AD165" si="1317">+CX159</f>
        <v>0</v>
      </c>
      <c r="AE159" s="24">
        <f t="shared" ref="AE159:AE165" si="1318">+DB159</f>
        <v>0</v>
      </c>
      <c r="AJ159" s="23">
        <f>+'QTR Raw'!D64</f>
        <v>71</v>
      </c>
      <c r="AK159" s="23">
        <f t="shared" ref="AK159:CE165" si="1319">+AJ159</f>
        <v>71</v>
      </c>
      <c r="AL159" s="23">
        <f>+'QTR Raw'!F64</f>
        <v>149</v>
      </c>
      <c r="AM159" s="23">
        <f t="shared" si="1319"/>
        <v>149</v>
      </c>
      <c r="AN159" s="23">
        <f>+'QTR Raw'!H64</f>
        <v>276</v>
      </c>
      <c r="AO159" s="23">
        <f t="shared" si="1319"/>
        <v>276</v>
      </c>
      <c r="AP159" s="23">
        <f>+'QTR Raw'!J64</f>
        <v>323</v>
      </c>
      <c r="AQ159" s="23">
        <f t="shared" si="1319"/>
        <v>323</v>
      </c>
      <c r="AR159" s="23">
        <f>+'QTR Raw'!L64</f>
        <v>391</v>
      </c>
      <c r="AS159" s="23">
        <f t="shared" si="1319"/>
        <v>391</v>
      </c>
      <c r="AT159" s="23">
        <f>+'QTR Raw'!N64</f>
        <v>46</v>
      </c>
      <c r="AU159" s="23">
        <f t="shared" si="1319"/>
        <v>46</v>
      </c>
      <c r="AV159" s="23">
        <f>+'QTR Raw'!P64</f>
        <v>127</v>
      </c>
      <c r="AW159" s="23">
        <f t="shared" si="1319"/>
        <v>127</v>
      </c>
      <c r="AX159" s="23">
        <f>+'QTR Raw'!R64</f>
        <v>115</v>
      </c>
      <c r="AY159" s="23">
        <f t="shared" si="1319"/>
        <v>115</v>
      </c>
      <c r="AZ159" s="23">
        <f>+'QTR Raw'!T64</f>
        <v>151</v>
      </c>
      <c r="BA159" s="23">
        <f t="shared" si="1319"/>
        <v>151</v>
      </c>
      <c r="BB159" s="23">
        <f>+'QTR Raw'!V64</f>
        <v>153</v>
      </c>
      <c r="BC159" s="23">
        <f t="shared" si="1319"/>
        <v>153</v>
      </c>
      <c r="BD159" s="23">
        <f>+'QTR Raw'!X64</f>
        <v>134</v>
      </c>
      <c r="BE159" s="23">
        <f t="shared" si="1319"/>
        <v>134</v>
      </c>
      <c r="BF159" s="23">
        <f>+'QTR Raw'!Z64</f>
        <v>320</v>
      </c>
      <c r="BG159" s="23">
        <f t="shared" si="1319"/>
        <v>320</v>
      </c>
      <c r="BH159" s="23">
        <f>+'QTR Raw'!AB64</f>
        <v>407</v>
      </c>
      <c r="BI159" s="23">
        <f t="shared" si="1319"/>
        <v>407</v>
      </c>
      <c r="BJ159" s="23">
        <f>+'QTR Raw'!AD64</f>
        <v>422</v>
      </c>
      <c r="BK159" s="23">
        <f t="shared" si="1319"/>
        <v>422</v>
      </c>
      <c r="BL159" s="23">
        <f>+'QTR Raw'!AF64</f>
        <v>4412</v>
      </c>
      <c r="BM159" s="23">
        <f t="shared" si="1319"/>
        <v>4412</v>
      </c>
      <c r="BN159" s="23">
        <f>+'QTR Raw'!AH64</f>
        <v>5100</v>
      </c>
      <c r="BO159" s="23">
        <f t="shared" si="1319"/>
        <v>5100</v>
      </c>
      <c r="BP159" s="23">
        <f>+'QTR Raw'!AJ64</f>
        <v>5595</v>
      </c>
      <c r="BQ159" s="23">
        <f t="shared" si="1319"/>
        <v>5595</v>
      </c>
      <c r="BR159" s="23">
        <f>+'QTR Raw'!AL64</f>
        <v>6864</v>
      </c>
      <c r="BS159" s="23">
        <f t="shared" si="1319"/>
        <v>6864</v>
      </c>
      <c r="BT159" s="23">
        <f>+'QTR Raw'!AN64</f>
        <v>7216</v>
      </c>
      <c r="BU159" s="23">
        <f t="shared" si="1319"/>
        <v>7216</v>
      </c>
      <c r="BV159" s="23">
        <f>+'QTR Raw'!AP64</f>
        <v>7390</v>
      </c>
      <c r="BW159" s="23">
        <f t="shared" si="1319"/>
        <v>7390</v>
      </c>
      <c r="BX159" s="23">
        <f>+'QTR Raw'!AR64</f>
        <v>8429</v>
      </c>
      <c r="BY159" s="23">
        <f t="shared" si="1319"/>
        <v>8429</v>
      </c>
      <c r="BZ159" s="23">
        <f>+'QTR Raw'!AT64</f>
        <v>9615</v>
      </c>
      <c r="CA159" s="23">
        <f t="shared" si="1319"/>
        <v>9615</v>
      </c>
      <c r="CB159" s="23">
        <f>+'QTR Raw'!AV64</f>
        <v>9260</v>
      </c>
      <c r="CC159" s="23">
        <f t="shared" si="1319"/>
        <v>9260</v>
      </c>
      <c r="CD159" s="23">
        <f>+'QTR Raw'!AX64</f>
        <v>8765</v>
      </c>
      <c r="CE159" s="23">
        <f t="shared" si="1319"/>
        <v>8765</v>
      </c>
      <c r="CF159" s="23">
        <f>+'QTR Raw'!AZ64</f>
        <v>8524</v>
      </c>
      <c r="CG159" s="23">
        <f t="shared" ref="CG159:CG162" si="1320">+CF159</f>
        <v>8524</v>
      </c>
      <c r="CH159" s="23">
        <f t="shared" si="1272"/>
        <v>8128</v>
      </c>
      <c r="CJ159" s="23">
        <f>+'QTR Raw'!BD64</f>
        <v>8550</v>
      </c>
      <c r="CL159" s="23">
        <f>+'QTR Raw'!BF64</f>
        <v>8669</v>
      </c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E159" s="123"/>
      <c r="DF159" s="23">
        <v>8669</v>
      </c>
    </row>
    <row r="160" spans="1:111" s="23" customFormat="1" outlineLevel="1" x14ac:dyDescent="0.2">
      <c r="A160" s="23" t="s">
        <v>67</v>
      </c>
      <c r="B160" s="23">
        <f>'Annual Raw'!C51</f>
        <v>0</v>
      </c>
      <c r="C160" s="23">
        <f>'Annual Raw'!D51</f>
        <v>0</v>
      </c>
      <c r="D160" s="23">
        <f>'Annual Raw'!E51</f>
        <v>0</v>
      </c>
      <c r="E160" s="23">
        <f>'Annual Raw'!F51</f>
        <v>0</v>
      </c>
      <c r="F160" s="23">
        <f>'Annual Raw'!G51</f>
        <v>0</v>
      </c>
      <c r="G160" s="23">
        <f>'Annual Raw'!H51</f>
        <v>0</v>
      </c>
      <c r="H160" s="23">
        <f>'Annual Raw'!I51</f>
        <v>0</v>
      </c>
      <c r="I160" s="23">
        <f>'Annual Raw'!J51</f>
        <v>0</v>
      </c>
      <c r="J160" s="23">
        <f>'Annual Raw'!K51</f>
        <v>0</v>
      </c>
      <c r="K160" s="23">
        <f>'Annual Raw'!L51</f>
        <v>0</v>
      </c>
      <c r="L160" s="23">
        <f>'Annual Raw'!M51</f>
        <v>0</v>
      </c>
      <c r="M160" s="23">
        <f>'Annual Raw'!N51</f>
        <v>0</v>
      </c>
      <c r="N160" s="23">
        <f>'Annual Raw'!O51</f>
        <v>0</v>
      </c>
      <c r="O160" s="23">
        <f>'Annual Raw'!P51</f>
        <v>0</v>
      </c>
      <c r="P160" s="23">
        <f>'Annual Raw'!Q51</f>
        <v>0</v>
      </c>
      <c r="Q160" s="23">
        <f>'Annual Raw'!R51</f>
        <v>0</v>
      </c>
      <c r="R160" s="23">
        <f>'Annual Raw'!S51</f>
        <v>0</v>
      </c>
      <c r="S160" s="23">
        <f>'Annual Raw'!T51</f>
        <v>0</v>
      </c>
      <c r="T160" s="23">
        <f>'Annual Raw'!U51</f>
        <v>0</v>
      </c>
      <c r="U160" s="23">
        <f>'Annual Raw'!V51</f>
        <v>0</v>
      </c>
      <c r="V160" s="23">
        <f>'Annual Raw'!W51</f>
        <v>0</v>
      </c>
      <c r="W160" s="23">
        <f>'Annual Raw'!X51</f>
        <v>0</v>
      </c>
      <c r="X160" s="23">
        <f>'Annual Raw'!Y51</f>
        <v>0</v>
      </c>
      <c r="Y160" s="23">
        <f>'Annual Raw'!Z51</f>
        <v>0</v>
      </c>
      <c r="Z160" s="23">
        <f>'Annual Raw'!AA51</f>
        <v>0</v>
      </c>
      <c r="AA160" s="23">
        <f>'Annual Raw'!AB51</f>
        <v>0</v>
      </c>
      <c r="AB160" s="24">
        <f t="shared" si="1315"/>
        <v>0</v>
      </c>
      <c r="AC160" s="24">
        <f t="shared" si="1316"/>
        <v>0</v>
      </c>
      <c r="AD160" s="24">
        <f t="shared" si="1317"/>
        <v>0</v>
      </c>
      <c r="AE160" s="24">
        <f t="shared" si="1318"/>
        <v>0</v>
      </c>
      <c r="AJ160" s="23">
        <f>+'QTR Raw'!D65</f>
        <v>0</v>
      </c>
      <c r="AK160" s="23">
        <f t="shared" si="1319"/>
        <v>0</v>
      </c>
      <c r="AL160" s="23">
        <f>+'QTR Raw'!F65</f>
        <v>0</v>
      </c>
      <c r="AM160" s="23">
        <f t="shared" si="1319"/>
        <v>0</v>
      </c>
      <c r="AN160" s="23">
        <f>+'QTR Raw'!H65</f>
        <v>0</v>
      </c>
      <c r="AO160" s="23">
        <f t="shared" si="1319"/>
        <v>0</v>
      </c>
      <c r="AP160" s="23">
        <f>+'QTR Raw'!J65</f>
        <v>0</v>
      </c>
      <c r="AQ160" s="23">
        <f t="shared" si="1319"/>
        <v>0</v>
      </c>
      <c r="AR160" s="23">
        <f>+'QTR Raw'!L65</f>
        <v>0</v>
      </c>
      <c r="AS160" s="23">
        <f t="shared" si="1319"/>
        <v>0</v>
      </c>
      <c r="AT160" s="23">
        <f>+'QTR Raw'!N65</f>
        <v>0</v>
      </c>
      <c r="AU160" s="23">
        <f t="shared" si="1319"/>
        <v>0</v>
      </c>
      <c r="AV160" s="23">
        <f>+'QTR Raw'!P65</f>
        <v>0</v>
      </c>
      <c r="AW160" s="23">
        <f t="shared" si="1319"/>
        <v>0</v>
      </c>
      <c r="AX160" s="23">
        <f>+'QTR Raw'!R65</f>
        <v>0</v>
      </c>
      <c r="AY160" s="23">
        <f t="shared" si="1319"/>
        <v>0</v>
      </c>
      <c r="AZ160" s="23">
        <f>+'QTR Raw'!T65</f>
        <v>0</v>
      </c>
      <c r="BA160" s="23">
        <f t="shared" si="1319"/>
        <v>0</v>
      </c>
      <c r="BB160" s="23">
        <f>+'QTR Raw'!V65</f>
        <v>0</v>
      </c>
      <c r="BC160" s="23">
        <f t="shared" si="1319"/>
        <v>0</v>
      </c>
      <c r="BD160" s="23">
        <f>+'QTR Raw'!X65</f>
        <v>0</v>
      </c>
      <c r="BE160" s="23">
        <f t="shared" si="1319"/>
        <v>0</v>
      </c>
      <c r="BF160" s="23">
        <f>+'QTR Raw'!Z65</f>
        <v>0</v>
      </c>
      <c r="BG160" s="23">
        <f t="shared" si="1319"/>
        <v>0</v>
      </c>
      <c r="BH160" s="23">
        <f>+'QTR Raw'!AB65</f>
        <v>0</v>
      </c>
      <c r="BI160" s="23">
        <f t="shared" si="1319"/>
        <v>0</v>
      </c>
      <c r="BJ160" s="23">
        <f>+'QTR Raw'!AD65</f>
        <v>0</v>
      </c>
      <c r="BK160" s="23">
        <f t="shared" si="1319"/>
        <v>0</v>
      </c>
      <c r="BL160" s="23">
        <f>+'QTR Raw'!AF65</f>
        <v>0</v>
      </c>
      <c r="BM160" s="23">
        <f t="shared" si="1319"/>
        <v>0</v>
      </c>
      <c r="BN160" s="23">
        <f>+'QTR Raw'!AH65</f>
        <v>0</v>
      </c>
      <c r="BO160" s="23">
        <f t="shared" si="1319"/>
        <v>0</v>
      </c>
      <c r="BP160" s="23">
        <f>+'QTR Raw'!AJ65</f>
        <v>0</v>
      </c>
      <c r="BQ160" s="23">
        <f t="shared" si="1319"/>
        <v>0</v>
      </c>
      <c r="BR160" s="23">
        <f>+'QTR Raw'!AL65</f>
        <v>0</v>
      </c>
      <c r="BS160" s="23">
        <f t="shared" si="1319"/>
        <v>0</v>
      </c>
      <c r="BT160" s="23">
        <f>+'QTR Raw'!AN65</f>
        <v>0</v>
      </c>
      <c r="BU160" s="23">
        <f t="shared" si="1319"/>
        <v>0</v>
      </c>
      <c r="BV160" s="23">
        <f>+'QTR Raw'!AP65</f>
        <v>0</v>
      </c>
      <c r="BW160" s="23">
        <f t="shared" si="1319"/>
        <v>0</v>
      </c>
      <c r="BX160" s="23">
        <f>+'QTR Raw'!AR65</f>
        <v>0</v>
      </c>
      <c r="BY160" s="23">
        <f t="shared" si="1319"/>
        <v>0</v>
      </c>
      <c r="BZ160" s="23">
        <f>+'QTR Raw'!AT65</f>
        <v>0</v>
      </c>
      <c r="CA160" s="23">
        <f t="shared" si="1319"/>
        <v>0</v>
      </c>
      <c r="CB160" s="23">
        <f>+'QTR Raw'!AV65</f>
        <v>0</v>
      </c>
      <c r="CC160" s="23">
        <f t="shared" si="1319"/>
        <v>0</v>
      </c>
      <c r="CD160" s="23">
        <f>+'QTR Raw'!AX65</f>
        <v>0</v>
      </c>
      <c r="CE160" s="23">
        <f t="shared" si="1319"/>
        <v>0</v>
      </c>
      <c r="CF160" s="23">
        <f>+'QTR Raw'!AZ65</f>
        <v>0</v>
      </c>
      <c r="CG160" s="23">
        <f t="shared" si="1320"/>
        <v>0</v>
      </c>
      <c r="CH160" s="23">
        <f t="shared" si="1272"/>
        <v>0</v>
      </c>
      <c r="CJ160" s="23">
        <f>+'QTR Raw'!BD65</f>
        <v>0</v>
      </c>
      <c r="CL160" s="23">
        <f>+'QTR Raw'!BF65</f>
        <v>0</v>
      </c>
      <c r="CM160" s="24"/>
      <c r="CN160" s="24"/>
      <c r="CO160" s="24"/>
      <c r="CP160" s="24"/>
      <c r="CQ160" s="24"/>
      <c r="CR160" s="24"/>
      <c r="CS160" s="24"/>
      <c r="CT160" s="24"/>
      <c r="CU160" s="24"/>
      <c r="CV160" s="24"/>
      <c r="CW160" s="24"/>
      <c r="CX160" s="24"/>
      <c r="CY160" s="24"/>
      <c r="CZ160" s="24"/>
      <c r="DA160" s="24"/>
      <c r="DB160" s="24"/>
      <c r="DE160" s="123"/>
      <c r="DF160" s="23">
        <v>0</v>
      </c>
    </row>
    <row r="161" spans="1:111" s="23" customFormat="1" outlineLevel="1" x14ac:dyDescent="0.2">
      <c r="A161" s="23" t="s">
        <v>68</v>
      </c>
      <c r="B161" s="23">
        <f>'Annual Raw'!C52</f>
        <v>0</v>
      </c>
      <c r="C161" s="23">
        <f>'Annual Raw'!D52</f>
        <v>0</v>
      </c>
      <c r="D161" s="23">
        <f>'Annual Raw'!E52</f>
        <v>0</v>
      </c>
      <c r="E161" s="23">
        <f>'Annual Raw'!F52</f>
        <v>0</v>
      </c>
      <c r="F161" s="23">
        <f>'Annual Raw'!G52</f>
        <v>0</v>
      </c>
      <c r="G161" s="23">
        <f>'Annual Raw'!H52</f>
        <v>0</v>
      </c>
      <c r="H161" s="23">
        <f>'Annual Raw'!I52</f>
        <v>0</v>
      </c>
      <c r="I161" s="23">
        <f>'Annual Raw'!J52</f>
        <v>0</v>
      </c>
      <c r="J161" s="23">
        <f>'Annual Raw'!K52</f>
        <v>0</v>
      </c>
      <c r="K161" s="23">
        <f>'Annual Raw'!L52</f>
        <v>0</v>
      </c>
      <c r="L161" s="23">
        <f>'Annual Raw'!M52</f>
        <v>0</v>
      </c>
      <c r="M161" s="23">
        <f>'Annual Raw'!N52</f>
        <v>0</v>
      </c>
      <c r="N161" s="23">
        <f>'Annual Raw'!O52</f>
        <v>0</v>
      </c>
      <c r="O161" s="23">
        <f>'Annual Raw'!P52</f>
        <v>0</v>
      </c>
      <c r="P161" s="23">
        <f>'Annual Raw'!Q52</f>
        <v>0</v>
      </c>
      <c r="Q161" s="23">
        <f>'Annual Raw'!R52</f>
        <v>0</v>
      </c>
      <c r="R161" s="23">
        <f>'Annual Raw'!S52</f>
        <v>0</v>
      </c>
      <c r="S161" s="23">
        <f>'Annual Raw'!T52</f>
        <v>0</v>
      </c>
      <c r="T161" s="23">
        <f>'Annual Raw'!U52</f>
        <v>0</v>
      </c>
      <c r="U161" s="23">
        <f>'Annual Raw'!V52</f>
        <v>0</v>
      </c>
      <c r="V161" s="23">
        <f>'Annual Raw'!W52</f>
        <v>0</v>
      </c>
      <c r="W161" s="23">
        <f>'Annual Raw'!X52</f>
        <v>0</v>
      </c>
      <c r="X161" s="23">
        <f>'Annual Raw'!Y52</f>
        <v>0</v>
      </c>
      <c r="Y161" s="23">
        <f>'Annual Raw'!Z52</f>
        <v>0</v>
      </c>
      <c r="Z161" s="23">
        <f>'Annual Raw'!AA52</f>
        <v>0</v>
      </c>
      <c r="AA161" s="23">
        <f>'Annual Raw'!AB52</f>
        <v>0</v>
      </c>
      <c r="AB161" s="24">
        <f t="shared" si="1315"/>
        <v>0</v>
      </c>
      <c r="AC161" s="24">
        <f t="shared" si="1316"/>
        <v>0</v>
      </c>
      <c r="AD161" s="24">
        <f t="shared" si="1317"/>
        <v>0</v>
      </c>
      <c r="AE161" s="24">
        <f t="shared" si="1318"/>
        <v>0</v>
      </c>
      <c r="AJ161" s="23">
        <f>+'QTR Raw'!D66</f>
        <v>0</v>
      </c>
      <c r="AK161" s="23">
        <f t="shared" si="1319"/>
        <v>0</v>
      </c>
      <c r="AL161" s="23">
        <f>+'QTR Raw'!F66</f>
        <v>0</v>
      </c>
      <c r="AM161" s="23">
        <f t="shared" si="1319"/>
        <v>0</v>
      </c>
      <c r="AN161" s="23">
        <f>+'QTR Raw'!H66</f>
        <v>0</v>
      </c>
      <c r="AO161" s="23">
        <f t="shared" si="1319"/>
        <v>0</v>
      </c>
      <c r="AP161" s="23">
        <f>+'QTR Raw'!J66</f>
        <v>0</v>
      </c>
      <c r="AQ161" s="23">
        <f t="shared" si="1319"/>
        <v>0</v>
      </c>
      <c r="AR161" s="23">
        <f>+'QTR Raw'!L66</f>
        <v>0</v>
      </c>
      <c r="AS161" s="23">
        <f t="shared" si="1319"/>
        <v>0</v>
      </c>
      <c r="AT161" s="23">
        <f>+'QTR Raw'!N66</f>
        <v>0</v>
      </c>
      <c r="AU161" s="23">
        <f t="shared" si="1319"/>
        <v>0</v>
      </c>
      <c r="AV161" s="23">
        <f>+'QTR Raw'!P66</f>
        <v>0</v>
      </c>
      <c r="AW161" s="23">
        <f t="shared" si="1319"/>
        <v>0</v>
      </c>
      <c r="AX161" s="23">
        <f>+'QTR Raw'!R66</f>
        <v>0</v>
      </c>
      <c r="AY161" s="23">
        <f t="shared" si="1319"/>
        <v>0</v>
      </c>
      <c r="AZ161" s="23">
        <f>+'QTR Raw'!T66</f>
        <v>0</v>
      </c>
      <c r="BA161" s="23">
        <f t="shared" si="1319"/>
        <v>0</v>
      </c>
      <c r="BB161" s="23">
        <f>+'QTR Raw'!V66</f>
        <v>0</v>
      </c>
      <c r="BC161" s="23">
        <f t="shared" si="1319"/>
        <v>0</v>
      </c>
      <c r="BD161" s="23">
        <f>+'QTR Raw'!X66</f>
        <v>0</v>
      </c>
      <c r="BE161" s="23">
        <f t="shared" si="1319"/>
        <v>0</v>
      </c>
      <c r="BF161" s="23">
        <f>+'QTR Raw'!Z66</f>
        <v>0</v>
      </c>
      <c r="BG161" s="23">
        <f t="shared" si="1319"/>
        <v>0</v>
      </c>
      <c r="BH161" s="23">
        <f>+'QTR Raw'!AB66</f>
        <v>0</v>
      </c>
      <c r="BI161" s="23">
        <f t="shared" si="1319"/>
        <v>0</v>
      </c>
      <c r="BJ161" s="23">
        <f>+'QTR Raw'!AD66</f>
        <v>0</v>
      </c>
      <c r="BK161" s="23">
        <f t="shared" si="1319"/>
        <v>0</v>
      </c>
      <c r="BL161" s="23">
        <f>+'QTR Raw'!AF66</f>
        <v>0</v>
      </c>
      <c r="BM161" s="23">
        <f t="shared" si="1319"/>
        <v>0</v>
      </c>
      <c r="BN161" s="23">
        <f>+'QTR Raw'!AH66</f>
        <v>0</v>
      </c>
      <c r="BO161" s="23">
        <f t="shared" si="1319"/>
        <v>0</v>
      </c>
      <c r="BP161" s="23">
        <f>+'QTR Raw'!AJ66</f>
        <v>0</v>
      </c>
      <c r="BQ161" s="23">
        <f t="shared" si="1319"/>
        <v>0</v>
      </c>
      <c r="BR161" s="23">
        <f>+'QTR Raw'!AL66</f>
        <v>0</v>
      </c>
      <c r="BS161" s="23">
        <f t="shared" si="1319"/>
        <v>0</v>
      </c>
      <c r="BT161" s="23">
        <f>+'QTR Raw'!AN66</f>
        <v>0</v>
      </c>
      <c r="BU161" s="23">
        <f t="shared" si="1319"/>
        <v>0</v>
      </c>
      <c r="BV161" s="23">
        <f>+'QTR Raw'!AP66</f>
        <v>0</v>
      </c>
      <c r="BW161" s="23">
        <f t="shared" si="1319"/>
        <v>0</v>
      </c>
      <c r="BX161" s="23">
        <f>+'QTR Raw'!AR66</f>
        <v>0</v>
      </c>
      <c r="BY161" s="23">
        <f t="shared" si="1319"/>
        <v>0</v>
      </c>
      <c r="BZ161" s="23">
        <f>+'QTR Raw'!AT66</f>
        <v>0</v>
      </c>
      <c r="CA161" s="23">
        <f t="shared" si="1319"/>
        <v>0</v>
      </c>
      <c r="CB161" s="23">
        <f>+'QTR Raw'!AV66</f>
        <v>0</v>
      </c>
      <c r="CC161" s="23">
        <f t="shared" si="1319"/>
        <v>0</v>
      </c>
      <c r="CD161" s="23">
        <f>+'QTR Raw'!AX66</f>
        <v>0</v>
      </c>
      <c r="CE161" s="23">
        <f t="shared" si="1319"/>
        <v>0</v>
      </c>
      <c r="CF161" s="23">
        <f>+'QTR Raw'!AZ66</f>
        <v>0</v>
      </c>
      <c r="CG161" s="23">
        <f t="shared" si="1320"/>
        <v>0</v>
      </c>
      <c r="CH161" s="23">
        <f t="shared" si="1272"/>
        <v>0</v>
      </c>
      <c r="CJ161" s="23">
        <f>+'QTR Raw'!BD66</f>
        <v>0</v>
      </c>
      <c r="CL161" s="23">
        <f>+'QTR Raw'!BF66</f>
        <v>0</v>
      </c>
      <c r="CM161" s="24"/>
      <c r="CN161" s="24"/>
      <c r="CO161" s="24"/>
      <c r="CP161" s="24"/>
      <c r="CQ161" s="24"/>
      <c r="CR161" s="24"/>
      <c r="CS161" s="24"/>
      <c r="CT161" s="24"/>
      <c r="CU161" s="24"/>
      <c r="CV161" s="24"/>
      <c r="CW161" s="24"/>
      <c r="CX161" s="24"/>
      <c r="CY161" s="24"/>
      <c r="CZ161" s="24"/>
      <c r="DA161" s="24"/>
      <c r="DB161" s="24"/>
      <c r="DE161" s="123"/>
      <c r="DF161" s="23">
        <v>0</v>
      </c>
    </row>
    <row r="162" spans="1:111" s="23" customFormat="1" outlineLevel="1" x14ac:dyDescent="0.2">
      <c r="A162" s="23" t="s">
        <v>69</v>
      </c>
      <c r="B162" s="23">
        <v>0</v>
      </c>
      <c r="C162" s="23">
        <v>0</v>
      </c>
      <c r="D162" s="23">
        <v>0</v>
      </c>
      <c r="E162" s="23">
        <v>0</v>
      </c>
      <c r="F162" s="23">
        <v>0</v>
      </c>
      <c r="G162" s="23">
        <v>0</v>
      </c>
      <c r="H162" s="23">
        <v>0</v>
      </c>
      <c r="I162" s="23">
        <v>0</v>
      </c>
      <c r="J162" s="23">
        <v>0</v>
      </c>
      <c r="K162" s="23">
        <v>0</v>
      </c>
      <c r="L162" s="23">
        <v>0</v>
      </c>
      <c r="M162" s="23">
        <v>0</v>
      </c>
      <c r="N162" s="23">
        <v>0</v>
      </c>
      <c r="O162" s="23">
        <v>0</v>
      </c>
      <c r="P162" s="23">
        <v>0</v>
      </c>
      <c r="Q162" s="23">
        <v>0</v>
      </c>
      <c r="R162" s="23">
        <v>0</v>
      </c>
      <c r="S162" s="23">
        <v>0</v>
      </c>
      <c r="T162" s="23">
        <v>0</v>
      </c>
      <c r="U162" s="23">
        <v>0</v>
      </c>
      <c r="V162" s="23">
        <v>0</v>
      </c>
      <c r="W162" s="23">
        <v>0</v>
      </c>
      <c r="X162" s="23">
        <v>0</v>
      </c>
      <c r="Y162" s="23">
        <v>0</v>
      </c>
      <c r="Z162" s="23">
        <v>0</v>
      </c>
      <c r="AA162" s="23">
        <v>0</v>
      </c>
      <c r="AB162" s="24">
        <f t="shared" si="1315"/>
        <v>56046.488236897647</v>
      </c>
      <c r="AC162" s="24">
        <f t="shared" si="1316"/>
        <v>59487.951878988912</v>
      </c>
      <c r="AD162" s="24">
        <f t="shared" si="1317"/>
        <v>64978.588906046076</v>
      </c>
      <c r="AE162" s="24">
        <f t="shared" si="1318"/>
        <v>73186.260518955547</v>
      </c>
      <c r="AJ162" s="23">
        <f>+'QTR Raw'!D87</f>
        <v>5297</v>
      </c>
      <c r="AK162" s="23">
        <f t="shared" si="1319"/>
        <v>5297</v>
      </c>
      <c r="AL162" s="23">
        <f>+'QTR Raw'!F87</f>
        <v>0</v>
      </c>
      <c r="AM162" s="23">
        <f t="shared" si="1319"/>
        <v>0</v>
      </c>
      <c r="AN162" s="23">
        <f>+'QTR Raw'!H87</f>
        <v>0</v>
      </c>
      <c r="AO162" s="23">
        <f t="shared" si="1319"/>
        <v>0</v>
      </c>
      <c r="AP162" s="23">
        <f>+'QTR Raw'!J87</f>
        <v>0</v>
      </c>
      <c r="AQ162" s="23">
        <f t="shared" si="1319"/>
        <v>0</v>
      </c>
      <c r="AR162" s="23">
        <f>+'QTR Raw'!L87</f>
        <v>0</v>
      </c>
      <c r="AS162" s="23">
        <f t="shared" si="1319"/>
        <v>0</v>
      </c>
      <c r="AT162" s="23">
        <f>+'QTR Raw'!N87</f>
        <v>0</v>
      </c>
      <c r="AU162" s="23">
        <f t="shared" si="1319"/>
        <v>0</v>
      </c>
      <c r="AV162" s="23">
        <f>+'QTR Raw'!P87</f>
        <v>0</v>
      </c>
      <c r="AW162" s="23">
        <f t="shared" si="1319"/>
        <v>0</v>
      </c>
      <c r="AX162" s="23">
        <f>+'QTR Raw'!R87</f>
        <v>0</v>
      </c>
      <c r="AY162" s="23">
        <f t="shared" si="1319"/>
        <v>0</v>
      </c>
      <c r="AZ162" s="23">
        <f>+'QTR Raw'!T87</f>
        <v>0</v>
      </c>
      <c r="BA162" s="23">
        <f t="shared" si="1319"/>
        <v>0</v>
      </c>
      <c r="BB162" s="23">
        <f>+'QTR Raw'!V87</f>
        <v>0</v>
      </c>
      <c r="BC162" s="23">
        <f t="shared" si="1319"/>
        <v>0</v>
      </c>
      <c r="BD162" s="23">
        <f>+'QTR Raw'!X87</f>
        <v>0</v>
      </c>
      <c r="BE162" s="23">
        <f t="shared" si="1319"/>
        <v>0</v>
      </c>
      <c r="BF162" s="23">
        <f>+'QTR Raw'!Z87</f>
        <v>0</v>
      </c>
      <c r="BG162" s="23">
        <f t="shared" si="1319"/>
        <v>0</v>
      </c>
      <c r="BH162" s="23">
        <f>+'QTR Raw'!AB87</f>
        <v>0</v>
      </c>
      <c r="BI162" s="23">
        <f t="shared" si="1319"/>
        <v>0</v>
      </c>
      <c r="BJ162" s="23">
        <f>+'QTR Raw'!AD87</f>
        <v>0</v>
      </c>
      <c r="BK162" s="23">
        <f t="shared" si="1319"/>
        <v>0</v>
      </c>
      <c r="BL162" s="23">
        <f>+'QTR Raw'!AF87</f>
        <v>0</v>
      </c>
      <c r="BM162" s="23">
        <f t="shared" si="1319"/>
        <v>0</v>
      </c>
      <c r="BN162" s="23">
        <f>+'QTR Raw'!AH87</f>
        <v>0</v>
      </c>
      <c r="BO162" s="23">
        <f t="shared" si="1319"/>
        <v>0</v>
      </c>
      <c r="BP162" s="23">
        <f>+'QTR Raw'!AJ87</f>
        <v>0</v>
      </c>
      <c r="BQ162" s="23">
        <f t="shared" si="1319"/>
        <v>0</v>
      </c>
      <c r="BR162" s="23">
        <f>+'QTR Raw'!AL87</f>
        <v>0</v>
      </c>
      <c r="BS162" s="23">
        <f t="shared" si="1319"/>
        <v>0</v>
      </c>
      <c r="BT162" s="23">
        <f>+'QTR Raw'!AN87</f>
        <v>0</v>
      </c>
      <c r="BU162" s="23">
        <f t="shared" si="1319"/>
        <v>0</v>
      </c>
      <c r="BV162" s="23">
        <f>+'QTR Raw'!AP87</f>
        <v>0</v>
      </c>
      <c r="BW162" s="23">
        <f t="shared" si="1319"/>
        <v>0</v>
      </c>
      <c r="BX162" s="23">
        <f>+'QTR Raw'!AR87</f>
        <v>0</v>
      </c>
      <c r="BY162" s="23">
        <f t="shared" si="1319"/>
        <v>0</v>
      </c>
      <c r="BZ162" s="23">
        <f>+'QTR Raw'!AT87</f>
        <v>0</v>
      </c>
      <c r="CA162" s="23">
        <f t="shared" si="1319"/>
        <v>0</v>
      </c>
      <c r="CB162" s="23">
        <f>+'QTR Raw'!AV87</f>
        <v>0</v>
      </c>
      <c r="CC162" s="23">
        <f t="shared" si="1319"/>
        <v>0</v>
      </c>
      <c r="CD162" s="23">
        <f>+'QTR Raw'!AX87</f>
        <v>0</v>
      </c>
      <c r="CE162" s="23">
        <f t="shared" si="1319"/>
        <v>0</v>
      </c>
      <c r="CF162" s="23">
        <f>+'QTR Raw'!AZ87</f>
        <v>0</v>
      </c>
      <c r="CG162" s="23">
        <f t="shared" si="1320"/>
        <v>0</v>
      </c>
      <c r="CH162" s="23">
        <f t="shared" si="1272"/>
        <v>0</v>
      </c>
      <c r="CI162" s="23">
        <f>CI20/90*CI194</f>
        <v>48362.837043372027</v>
      </c>
      <c r="CJ162" s="23">
        <f>+'QTR Raw'!BD87</f>
        <v>0</v>
      </c>
      <c r="CK162" s="23">
        <f t="shared" ref="CK162:DB162" si="1321">CK20/90*CK194</f>
        <v>52245.138480557427</v>
      </c>
      <c r="CL162" s="23">
        <f>+'QTR Raw'!BF87</f>
        <v>0</v>
      </c>
      <c r="CM162" s="24">
        <f t="shared" si="1321"/>
        <v>54302.276997109373</v>
      </c>
      <c r="CN162" s="24">
        <f t="shared" si="1321"/>
        <v>54966.010862418108</v>
      </c>
      <c r="CO162" s="24">
        <f t="shared" si="1321"/>
        <v>55503.511676545531</v>
      </c>
      <c r="CP162" s="24">
        <f t="shared" si="1321"/>
        <v>56046.488236897647</v>
      </c>
      <c r="CQ162" s="24">
        <f t="shared" si="1321"/>
        <v>56893.97571235228</v>
      </c>
      <c r="CR162" s="24">
        <f t="shared" si="1321"/>
        <v>57703.372552785229</v>
      </c>
      <c r="CS162" s="24">
        <f t="shared" si="1321"/>
        <v>58553.185794986428</v>
      </c>
      <c r="CT162" s="24">
        <f t="shared" si="1321"/>
        <v>59487.951878988912</v>
      </c>
      <c r="CU162" s="24">
        <f t="shared" si="1321"/>
        <v>60678.294252215448</v>
      </c>
      <c r="CV162" s="24">
        <f t="shared" si="1321"/>
        <v>61966.613938898685</v>
      </c>
      <c r="CW162" s="24">
        <f t="shared" si="1321"/>
        <v>63390.814938663694</v>
      </c>
      <c r="CX162" s="24">
        <f t="shared" si="1321"/>
        <v>64978.588906046076</v>
      </c>
      <c r="CY162" s="24">
        <f t="shared" si="1321"/>
        <v>66753.682405448169</v>
      </c>
      <c r="CZ162" s="24">
        <f t="shared" si="1321"/>
        <v>68699.23251429449</v>
      </c>
      <c r="DA162" s="24">
        <f t="shared" si="1321"/>
        <v>70837.394483475015</v>
      </c>
      <c r="DB162" s="24">
        <f t="shared" si="1321"/>
        <v>73186.260518955547</v>
      </c>
      <c r="DE162" s="123"/>
      <c r="DF162" s="23">
        <v>0</v>
      </c>
      <c r="DG162" s="23">
        <v>51645.04001279598</v>
      </c>
    </row>
    <row r="163" spans="1:111" s="23" customFormat="1" outlineLevel="1" x14ac:dyDescent="0.2">
      <c r="A163" s="23" t="s">
        <v>70</v>
      </c>
      <c r="B163" s="23">
        <f>'Annual Raw'!C54</f>
        <v>0.13074769999999999</v>
      </c>
      <c r="C163" s="23">
        <f>'Annual Raw'!D54</f>
        <v>0</v>
      </c>
      <c r="D163" s="23">
        <f>'Annual Raw'!E54</f>
        <v>147.24</v>
      </c>
      <c r="E163" s="23">
        <f>'Annual Raw'!F54</f>
        <v>334.16</v>
      </c>
      <c r="F163" s="23">
        <f>'Annual Raw'!G54</f>
        <v>315</v>
      </c>
      <c r="G163" s="23">
        <f>'Annual Raw'!H54</f>
        <v>382</v>
      </c>
      <c r="H163" s="23">
        <f>'Annual Raw'!I54</f>
        <v>477</v>
      </c>
      <c r="I163" s="23">
        <f>'Annual Raw'!J54</f>
        <v>546</v>
      </c>
      <c r="J163" s="23">
        <f>'Annual Raw'!K54</f>
        <v>570</v>
      </c>
      <c r="K163" s="23">
        <f>'Annual Raw'!L54</f>
        <v>659</v>
      </c>
      <c r="L163" s="23">
        <f>'Annual Raw'!M54</f>
        <v>44</v>
      </c>
      <c r="M163" s="23">
        <f>'Annual Raw'!N54</f>
        <v>23</v>
      </c>
      <c r="N163" s="23">
        <f>'Annual Raw'!O54</f>
        <v>189</v>
      </c>
      <c r="O163" s="23">
        <f>'Annual Raw'!P54</f>
        <v>173</v>
      </c>
      <c r="P163" s="23">
        <f>'Annual Raw'!Q54</f>
        <v>140</v>
      </c>
      <c r="Q163" s="23">
        <f>'Annual Raw'!R54</f>
        <v>386</v>
      </c>
      <c r="R163" s="23">
        <f>'Annual Raw'!S54</f>
        <v>367</v>
      </c>
      <c r="S163" s="23">
        <f>'Annual Raw'!T54</f>
        <v>694</v>
      </c>
      <c r="T163" s="23">
        <f>'Annual Raw'!U54</f>
        <v>1655</v>
      </c>
      <c r="U163" s="23">
        <f>'Annual Raw'!V54</f>
        <v>2852</v>
      </c>
      <c r="V163" s="23">
        <f>'Annual Raw'!W54</f>
        <v>2645</v>
      </c>
      <c r="W163" s="23">
        <f>'Annual Raw'!X54</f>
        <v>4134</v>
      </c>
      <c r="X163" s="23">
        <f>'Annual Raw'!Y54</f>
        <v>3865</v>
      </c>
      <c r="Y163" s="23">
        <f>'Annual Raw'!Z54</f>
        <v>3956</v>
      </c>
      <c r="Z163" s="23">
        <f>'Annual Raw'!AA54</f>
        <v>4164</v>
      </c>
      <c r="AA163" s="23">
        <f>'Annual Raw'!AB54</f>
        <v>4744</v>
      </c>
      <c r="AB163" s="24">
        <f t="shared" si="1315"/>
        <v>4209.874353664718</v>
      </c>
      <c r="AC163" s="24">
        <f t="shared" si="1316"/>
        <v>4468.3763576559586</v>
      </c>
      <c r="AD163" s="24">
        <f t="shared" si="1317"/>
        <v>4880.7999141112296</v>
      </c>
      <c r="AE163" s="24">
        <f t="shared" si="1318"/>
        <v>5497.3107306398151</v>
      </c>
      <c r="AJ163" s="23">
        <f>+'QTR Raw'!D89</f>
        <v>0</v>
      </c>
      <c r="AK163" s="23">
        <f>+AK193*AK20/90</f>
        <v>0</v>
      </c>
      <c r="AL163" s="23">
        <f>+'QTR Raw'!F89</f>
        <v>189</v>
      </c>
      <c r="AM163" s="23">
        <f>+AM193*AM20/90</f>
        <v>203.69839295963271</v>
      </c>
      <c r="AN163" s="23">
        <f>+'QTR Raw'!H89</f>
        <v>100</v>
      </c>
      <c r="AO163" s="23">
        <f>+AO193*AO20/90</f>
        <v>100.47049749325106</v>
      </c>
      <c r="AP163" s="23">
        <f>+'QTR Raw'!J89</f>
        <v>173</v>
      </c>
      <c r="AQ163" s="23">
        <f>+AQ193*AQ20/90</f>
        <v>171.58912621359221</v>
      </c>
      <c r="AR163" s="23">
        <f>+'QTR Raw'!L89</f>
        <v>135</v>
      </c>
      <c r="AS163" s="23">
        <f>+AS193*AS20/90</f>
        <v>139.59376405336531</v>
      </c>
      <c r="AT163" s="23">
        <f>+'QTR Raw'!N89</f>
        <v>140</v>
      </c>
      <c r="AU163" s="23">
        <f>+AU193*AU20/90</f>
        <v>149.84415778092611</v>
      </c>
      <c r="AV163" s="23">
        <f>+'QTR Raw'!P89</f>
        <v>110</v>
      </c>
      <c r="AW163" s="23">
        <f>+AW193*AW20/90</f>
        <v>111.87847777422448</v>
      </c>
      <c r="AX163" s="23">
        <f>+'QTR Raw'!R89</f>
        <v>386</v>
      </c>
      <c r="AY163" s="23">
        <f>+AY193*AY20/90</f>
        <v>391.41099697885198</v>
      </c>
      <c r="AZ163" s="23">
        <f>+'QTR Raw'!T89</f>
        <v>307</v>
      </c>
      <c r="BA163" s="23">
        <f>+BA193*BA20/90</f>
        <v>306.34378971692661</v>
      </c>
      <c r="BB163" s="23">
        <f>+'QTR Raw'!V89</f>
        <v>367</v>
      </c>
      <c r="BC163" s="23">
        <f>+BC193*BC20/90</f>
        <v>366.09964953271032</v>
      </c>
      <c r="BD163" s="23">
        <f>+'QTR Raw'!X89</f>
        <v>538</v>
      </c>
      <c r="BE163" s="23">
        <f>+BE193*BE20/90</f>
        <v>544.95201229578186</v>
      </c>
      <c r="BF163" s="23">
        <f>+'QTR Raw'!Z89</f>
        <v>694</v>
      </c>
      <c r="BG163" s="23">
        <f>+BG193*BG20/90</f>
        <v>734.10562406680299</v>
      </c>
      <c r="BH163" s="23">
        <f>+'QTR Raw'!AB89</f>
        <v>1193</v>
      </c>
      <c r="BI163" s="23">
        <f>+BI193*BI20/90</f>
        <v>1238.788878645252</v>
      </c>
      <c r="BJ163" s="23">
        <f>+'QTR Raw'!AD89</f>
        <v>1655</v>
      </c>
      <c r="BK163" s="23">
        <f>+BK193*BK20/90</f>
        <v>1675.2850643019638</v>
      </c>
      <c r="BL163" s="23">
        <f>+'QTR Raw'!AF89</f>
        <v>2134</v>
      </c>
      <c r="BM163" s="23">
        <f>+BM193*BM20/90</f>
        <v>2177.6626452781829</v>
      </c>
      <c r="BN163" s="23">
        <f>+'QTR Raw'!AH89</f>
        <v>2852</v>
      </c>
      <c r="BO163" s="23">
        <f>+BO193*BO20/90</f>
        <v>2900.7856620965317</v>
      </c>
      <c r="BP163" s="23">
        <f>+'QTR Raw'!AJ89</f>
        <v>2375</v>
      </c>
      <c r="BQ163" s="23">
        <f>+BQ193*BQ20/90</f>
        <v>2506.1711436711435</v>
      </c>
      <c r="BR163" s="23">
        <f>+'QTR Raw'!AL89</f>
        <v>2645</v>
      </c>
      <c r="BS163" s="23">
        <f>+BS193*BS20/90</f>
        <v>2804.3373493975901</v>
      </c>
      <c r="BT163" s="23">
        <f>+'QTR Raw'!AN89</f>
        <v>3176</v>
      </c>
      <c r="BU163" s="23">
        <f>+BU193*BU20/90</f>
        <v>3419.0119586514425</v>
      </c>
      <c r="BV163" s="23">
        <f>+'QTR Raw'!AP89</f>
        <v>4134</v>
      </c>
      <c r="BW163" s="23">
        <f>+BW193*BW20/90</f>
        <v>4415.0136324203741</v>
      </c>
      <c r="BX163" s="23">
        <f>+'QTR Raw'!AR89</f>
        <v>4162</v>
      </c>
      <c r="BY163" s="23">
        <f>+BY193*BY20/90</f>
        <v>4364.7576769390771</v>
      </c>
      <c r="BZ163" s="23">
        <f>+'QTR Raw'!AT89</f>
        <v>3865</v>
      </c>
      <c r="CA163" s="23">
        <f>+CA193*CA20/90</f>
        <v>3915.7887075665712</v>
      </c>
      <c r="CB163" s="23">
        <f>+'QTR Raw'!AV89</f>
        <v>3203</v>
      </c>
      <c r="CC163" s="23">
        <f>+CC193*CC20/90</f>
        <v>3188.7896343027137</v>
      </c>
      <c r="CD163" s="23">
        <f>+'QTR Raw'!AX89</f>
        <v>3956</v>
      </c>
      <c r="CE163" s="23">
        <f>+CE193*CE20/90</f>
        <v>4101.2087651293414</v>
      </c>
      <c r="CF163" s="23">
        <f>+'QTR Raw'!AZ89</f>
        <v>3841</v>
      </c>
      <c r="CG163" s="23">
        <f>+CG193*CG20/90</f>
        <v>3913.9102132435469</v>
      </c>
      <c r="CH163" s="23">
        <f t="shared" si="1272"/>
        <v>4164</v>
      </c>
      <c r="CI163" s="23">
        <f>+CI193*CI20/90</f>
        <v>4301.7655711667685</v>
      </c>
      <c r="CJ163" s="23">
        <f>+'QTR Raw'!BD89</f>
        <v>3839</v>
      </c>
      <c r="CK163" s="23">
        <f t="shared" ref="CK163:DB163" si="1322">+CK193*CK20/90</f>
        <v>3924.3398741290175</v>
      </c>
      <c r="CL163" s="23">
        <f>+'QTR Raw'!BF89</f>
        <v>4744</v>
      </c>
      <c r="CM163" s="24">
        <f t="shared" si="1322"/>
        <v>4078.8597192647649</v>
      </c>
      <c r="CN163" s="24">
        <f t="shared" si="1322"/>
        <v>4128.7154063046246</v>
      </c>
      <c r="CO163" s="24">
        <f t="shared" si="1322"/>
        <v>4169.0892274601001</v>
      </c>
      <c r="CP163" s="24">
        <f t="shared" si="1322"/>
        <v>4209.874353664718</v>
      </c>
      <c r="CQ163" s="24">
        <f t="shared" si="1322"/>
        <v>4273.5325042501399</v>
      </c>
      <c r="CR163" s="24">
        <f t="shared" si="1322"/>
        <v>4334.3295159393156</v>
      </c>
      <c r="CS163" s="24">
        <f t="shared" si="1322"/>
        <v>4398.1623641032475</v>
      </c>
      <c r="CT163" s="24">
        <f t="shared" si="1322"/>
        <v>4468.3763576559586</v>
      </c>
      <c r="CU163" s="24">
        <f t="shared" si="1322"/>
        <v>4557.7877014665728</v>
      </c>
      <c r="CV163" s="24">
        <f t="shared" si="1322"/>
        <v>4654.5585104664933</v>
      </c>
      <c r="CW163" s="24">
        <f t="shared" si="1322"/>
        <v>4761.5359046259928</v>
      </c>
      <c r="CX163" s="24">
        <f t="shared" si="1322"/>
        <v>4880.7999141112296</v>
      </c>
      <c r="CY163" s="24">
        <f t="shared" si="1322"/>
        <v>5014.1342376981656</v>
      </c>
      <c r="CZ163" s="24">
        <f t="shared" si="1322"/>
        <v>5160.2722342909565</v>
      </c>
      <c r="DA163" s="24">
        <f t="shared" si="1322"/>
        <v>5320.8780727867988</v>
      </c>
      <c r="DB163" s="24">
        <f t="shared" si="1322"/>
        <v>5497.3107306398151</v>
      </c>
      <c r="DE163" s="123"/>
      <c r="DF163" s="23">
        <v>4744</v>
      </c>
      <c r="DG163" s="23">
        <v>3879.2640945650228</v>
      </c>
    </row>
    <row r="164" spans="1:111" s="23" customFormat="1" outlineLevel="1" x14ac:dyDescent="0.2">
      <c r="A164" s="23" t="s">
        <v>71</v>
      </c>
      <c r="B164" s="23">
        <f>'Annual Raw'!C55-Template!B136</f>
        <v>134.78736989999999</v>
      </c>
      <c r="C164" s="23">
        <f>'Annual Raw'!D55-Template!C136</f>
        <v>126.11</v>
      </c>
      <c r="D164" s="23">
        <f>'Annual Raw'!E55-Template!D136</f>
        <v>172.36</v>
      </c>
      <c r="E164" s="23">
        <f>'Annual Raw'!F55-Template!E136</f>
        <v>247.56</v>
      </c>
      <c r="F164" s="23">
        <f>'Annual Raw'!G55-Template!F136</f>
        <v>341</v>
      </c>
      <c r="G164" s="23">
        <f>'Annual Raw'!H55-Template!G136</f>
        <v>552</v>
      </c>
      <c r="H164" s="23">
        <f>'Annual Raw'!I55-Template!H136</f>
        <v>992</v>
      </c>
      <c r="I164" s="23">
        <f>'Annual Raw'!J55-Template!I136</f>
        <v>1176</v>
      </c>
      <c r="J164" s="23">
        <f>'Annual Raw'!K55-Template!J136</f>
        <v>1434</v>
      </c>
      <c r="K164" s="23">
        <f>'Annual Raw'!L55-Template!K136</f>
        <v>1684</v>
      </c>
      <c r="L164" s="23">
        <f>'Annual Raw'!M55-Template!L136</f>
        <v>2540</v>
      </c>
      <c r="M164" s="23">
        <f>'Annual Raw'!N55-Template!M136</f>
        <v>3059</v>
      </c>
      <c r="N164" s="23">
        <f>'Annual Raw'!O55-Template!N136</f>
        <v>3941</v>
      </c>
      <c r="O164" s="23">
        <f>'Annual Raw'!P55-Template!O136</f>
        <v>5449</v>
      </c>
      <c r="P164" s="23">
        <f>'Annual Raw'!Q55-Template!P136</f>
        <v>6920</v>
      </c>
      <c r="Q164" s="23">
        <f>'Annual Raw'!R55-Template!Q136</f>
        <v>7590</v>
      </c>
      <c r="R164" s="23">
        <f>'Annual Raw'!S55-Template!R136</f>
        <v>7997</v>
      </c>
      <c r="S164" s="23">
        <f>'Annual Raw'!T55-Template!S136</f>
        <v>9131</v>
      </c>
      <c r="T164" s="23">
        <f>'Annual Raw'!U55-Template!T136</f>
        <v>13221</v>
      </c>
      <c r="U164" s="23">
        <f>'Annual Raw'!V55-Template!U136</f>
        <v>14110</v>
      </c>
      <c r="V164" s="23">
        <f>'Annual Raw'!W55-Template!V136</f>
        <v>16341</v>
      </c>
      <c r="W164" s="23">
        <f>'Annual Raw'!X55-Template!W136</f>
        <v>23705</v>
      </c>
      <c r="X164" s="23">
        <f>'Annual Raw'!Y55-Template!X136</f>
        <v>28231</v>
      </c>
      <c r="Y164" s="23">
        <f>'Annual Raw'!Z55-Template!Y136</f>
        <v>26835</v>
      </c>
      <c r="Z164" s="23">
        <f>'Annual Raw'!AA55-Template!Z136</f>
        <v>29450</v>
      </c>
      <c r="AA164" s="23">
        <f>'Annual Raw'!AB55-Template!AA136</f>
        <v>36898</v>
      </c>
      <c r="AB164" s="24">
        <f t="shared" si="1315"/>
        <v>0</v>
      </c>
      <c r="AC164" s="24">
        <f t="shared" si="1316"/>
        <v>0</v>
      </c>
      <c r="AD164" s="24">
        <f t="shared" si="1317"/>
        <v>0</v>
      </c>
      <c r="AE164" s="24">
        <f t="shared" si="1318"/>
        <v>0</v>
      </c>
      <c r="AJ164" s="23">
        <f>+'QTR Raw'!D91</f>
        <v>0</v>
      </c>
      <c r="AK164" s="23">
        <f t="shared" si="1319"/>
        <v>0</v>
      </c>
      <c r="AL164" s="23">
        <f>+'QTR Raw'!F91</f>
        <v>5884</v>
      </c>
      <c r="AM164" s="23">
        <f t="shared" si="1319"/>
        <v>5884</v>
      </c>
      <c r="AN164" s="23">
        <f>+'QTR Raw'!H91</f>
        <v>8487</v>
      </c>
      <c r="AO164" s="23">
        <f t="shared" si="1319"/>
        <v>8487</v>
      </c>
      <c r="AP164" s="23">
        <f>+'QTR Raw'!J91</f>
        <v>8586</v>
      </c>
      <c r="AQ164" s="23">
        <f t="shared" si="1319"/>
        <v>8586</v>
      </c>
      <c r="AR164" s="23">
        <f>+'QTR Raw'!L91</f>
        <v>10107</v>
      </c>
      <c r="AS164" s="23">
        <f t="shared" si="1319"/>
        <v>10107</v>
      </c>
      <c r="AT164" s="23">
        <f>+'QTR Raw'!N91</f>
        <v>10765</v>
      </c>
      <c r="AU164" s="23">
        <f t="shared" si="1319"/>
        <v>10765</v>
      </c>
      <c r="AV164" s="23">
        <f>+'QTR Raw'!P91</f>
        <v>12612</v>
      </c>
      <c r="AW164" s="23">
        <f t="shared" si="1319"/>
        <v>12612</v>
      </c>
      <c r="AX164" s="23">
        <f>+'QTR Raw'!R91</f>
        <v>12341</v>
      </c>
      <c r="AY164" s="23">
        <f t="shared" si="1319"/>
        <v>12341</v>
      </c>
      <c r="AZ164" s="23">
        <f>+'QTR Raw'!T91</f>
        <v>12967</v>
      </c>
      <c r="BA164" s="23">
        <f t="shared" si="1319"/>
        <v>12967</v>
      </c>
      <c r="BB164" s="23">
        <f>+'QTR Raw'!V91</f>
        <v>13241</v>
      </c>
      <c r="BC164" s="23">
        <f t="shared" si="1319"/>
        <v>13241</v>
      </c>
      <c r="BD164" s="23">
        <f>+'QTR Raw'!X91</f>
        <v>14831</v>
      </c>
      <c r="BE164" s="23">
        <f t="shared" si="1319"/>
        <v>14831</v>
      </c>
      <c r="BF164" s="23">
        <f>+'QTR Raw'!Z91</f>
        <v>12919</v>
      </c>
      <c r="BG164" s="23">
        <f t="shared" si="1319"/>
        <v>12919</v>
      </c>
      <c r="BH164" s="23">
        <f>+'QTR Raw'!AB91</f>
        <v>13985</v>
      </c>
      <c r="BI164" s="23">
        <f t="shared" si="1319"/>
        <v>13985</v>
      </c>
      <c r="BJ164" s="23">
        <f>+'QTR Raw'!AD91</f>
        <v>16407</v>
      </c>
      <c r="BK164" s="23">
        <f t="shared" si="1319"/>
        <v>16407</v>
      </c>
      <c r="BL164" s="23">
        <f>+'QTR Raw'!AF91</f>
        <v>16469</v>
      </c>
      <c r="BM164" s="23">
        <f t="shared" si="1319"/>
        <v>16469</v>
      </c>
      <c r="BN164" s="23">
        <f>+'QTR Raw'!AH91</f>
        <v>17432</v>
      </c>
      <c r="BO164" s="23">
        <f t="shared" si="1319"/>
        <v>17432</v>
      </c>
      <c r="BP164" s="23">
        <f>+'QTR Raw'!AJ91</f>
        <v>17625</v>
      </c>
      <c r="BQ164" s="23">
        <f t="shared" si="1319"/>
        <v>17625</v>
      </c>
      <c r="BR164" s="23">
        <f>+'QTR Raw'!AL91</f>
        <v>20507</v>
      </c>
      <c r="BS164" s="23">
        <f t="shared" si="1319"/>
        <v>20507</v>
      </c>
      <c r="BT164" s="23">
        <f>+'QTR Raw'!AN91</f>
        <v>23650</v>
      </c>
      <c r="BU164" s="23">
        <f t="shared" si="1319"/>
        <v>23650</v>
      </c>
      <c r="BV164" s="23">
        <f>+'QTR Raw'!AP91</f>
        <v>28494</v>
      </c>
      <c r="BW164" s="23">
        <f t="shared" si="1319"/>
        <v>28494</v>
      </c>
      <c r="BX164" s="23">
        <f>+'QTR Raw'!AR91</f>
        <v>32032</v>
      </c>
      <c r="BY164" s="23">
        <f t="shared" si="1319"/>
        <v>32032</v>
      </c>
      <c r="BZ164" s="23">
        <f>+'QTR Raw'!AT91</f>
        <v>34014</v>
      </c>
      <c r="CA164" s="23">
        <f t="shared" si="1319"/>
        <v>34014</v>
      </c>
      <c r="CB164" s="23">
        <f>+'QTR Raw'!AV91</f>
        <v>33952</v>
      </c>
      <c r="CC164" s="23">
        <f t="shared" si="1319"/>
        <v>33952</v>
      </c>
      <c r="CD164" s="23">
        <f>+'QTR Raw'!AX91</f>
        <v>33042</v>
      </c>
      <c r="CE164" s="23">
        <f t="shared" si="1319"/>
        <v>33042</v>
      </c>
      <c r="CF164" s="23">
        <f>+'QTR Raw'!AZ91</f>
        <v>35553</v>
      </c>
      <c r="CG164" s="23">
        <f t="shared" ref="CG164:CG165" si="1323">+CF164</f>
        <v>35553</v>
      </c>
      <c r="CH164" s="23">
        <f t="shared" si="1272"/>
        <v>29450</v>
      </c>
      <c r="CJ164" s="23">
        <f>+'QTR Raw'!BD91</f>
        <v>40927</v>
      </c>
      <c r="CL164" s="23">
        <f>+'QTR Raw'!BF91</f>
        <v>46066</v>
      </c>
      <c r="CM164" s="24"/>
      <c r="CN164" s="24"/>
      <c r="CO164" s="24"/>
      <c r="CP164" s="24"/>
      <c r="CQ164" s="24"/>
      <c r="CR164" s="24"/>
      <c r="CS164" s="24"/>
      <c r="CT164" s="24"/>
      <c r="CU164" s="24"/>
      <c r="CV164" s="24"/>
      <c r="CW164" s="24"/>
      <c r="CX164" s="24"/>
      <c r="CY164" s="24"/>
      <c r="CZ164" s="24"/>
      <c r="DA164" s="24"/>
      <c r="DB164" s="24"/>
      <c r="DE164" s="123"/>
      <c r="DF164" s="23">
        <v>46066</v>
      </c>
    </row>
    <row r="165" spans="1:111" s="23" customFormat="1" outlineLevel="1" x14ac:dyDescent="0.2">
      <c r="A165" s="23" t="s">
        <v>72</v>
      </c>
      <c r="B165" s="23">
        <f>'Annual Raw'!C57</f>
        <v>184.9320275</v>
      </c>
      <c r="C165" s="23">
        <f>'Annual Raw'!D57</f>
        <v>333.3</v>
      </c>
      <c r="D165" s="23">
        <f>'Annual Raw'!E57</f>
        <v>388.21</v>
      </c>
      <c r="E165" s="23">
        <f>'Annual Raw'!F57</f>
        <v>1186.43</v>
      </c>
      <c r="F165" s="23">
        <f>'Annual Raw'!G57</f>
        <v>777</v>
      </c>
      <c r="G165" s="23">
        <f>'Annual Raw'!H57</f>
        <v>1412</v>
      </c>
      <c r="H165" s="23">
        <f>'Annual Raw'!I57</f>
        <v>681</v>
      </c>
      <c r="I165" s="23">
        <f>'Annual Raw'!J57</f>
        <v>2469</v>
      </c>
      <c r="J165" s="23">
        <f>'Annual Raw'!K57</f>
        <v>1868</v>
      </c>
      <c r="K165" s="23">
        <f>'Annual Raw'!L57</f>
        <v>2112</v>
      </c>
      <c r="L165" s="23">
        <f>'Annual Raw'!M57</f>
        <v>2640</v>
      </c>
      <c r="M165" s="23">
        <f>'Annual Raw'!N57</f>
        <v>3820</v>
      </c>
      <c r="N165" s="23">
        <f>'Annual Raw'!O57</f>
        <v>3969</v>
      </c>
      <c r="O165" s="23">
        <f>'Annual Raw'!P57</f>
        <v>6409</v>
      </c>
      <c r="P165" s="23">
        <f>'Annual Raw'!Q57</f>
        <v>8443</v>
      </c>
      <c r="Q165" s="23">
        <f>'Annual Raw'!R57</f>
        <v>5263</v>
      </c>
      <c r="R165" s="23">
        <f>'Annual Raw'!S57</f>
        <v>5649</v>
      </c>
      <c r="S165" s="23">
        <f>'Annual Raw'!T57</f>
        <v>3956</v>
      </c>
      <c r="T165" s="23">
        <f>'Annual Raw'!U57</f>
        <v>3762</v>
      </c>
      <c r="U165" s="23">
        <f>'Annual Raw'!V57</f>
        <v>3894</v>
      </c>
      <c r="V165" s="23">
        <f>'Annual Raw'!W57</f>
        <v>4879</v>
      </c>
      <c r="W165" s="23">
        <f>'Annual Raw'!X57</f>
        <v>5764</v>
      </c>
      <c r="X165" s="23">
        <f>'Annual Raw'!Y57</f>
        <v>7090</v>
      </c>
      <c r="Y165" s="23">
        <f>'Annual Raw'!Z57</f>
        <v>8003</v>
      </c>
      <c r="Z165" s="23">
        <f>'Annual Raw'!AA57</f>
        <v>9236</v>
      </c>
      <c r="AA165" s="23">
        <f>'Annual Raw'!AB57</f>
        <v>10680</v>
      </c>
      <c r="AB165" s="24">
        <f t="shared" si="1315"/>
        <v>0</v>
      </c>
      <c r="AC165" s="24">
        <f t="shared" si="1316"/>
        <v>0</v>
      </c>
      <c r="AD165" s="24">
        <f t="shared" si="1317"/>
        <v>0</v>
      </c>
      <c r="AE165" s="24">
        <f t="shared" si="1318"/>
        <v>0</v>
      </c>
      <c r="AJ165" s="23">
        <f>+'QTR Raw'!D92</f>
        <v>212</v>
      </c>
      <c r="AK165" s="23">
        <f t="shared" si="1319"/>
        <v>212</v>
      </c>
      <c r="AL165" s="23">
        <f>+'QTR Raw'!F92</f>
        <v>213</v>
      </c>
      <c r="AM165" s="23">
        <f t="shared" si="1319"/>
        <v>213</v>
      </c>
      <c r="AN165" s="23">
        <f>+'QTR Raw'!H92</f>
        <v>443</v>
      </c>
      <c r="AO165" s="23">
        <f t="shared" si="1319"/>
        <v>443</v>
      </c>
      <c r="AP165" s="23">
        <f>+'QTR Raw'!J92</f>
        <v>379</v>
      </c>
      <c r="AQ165" s="23">
        <f t="shared" si="1319"/>
        <v>379</v>
      </c>
      <c r="AR165" s="23">
        <f>+'QTR Raw'!L92</f>
        <v>409</v>
      </c>
      <c r="AS165" s="23">
        <f t="shared" si="1319"/>
        <v>409</v>
      </c>
      <c r="AT165" s="23">
        <f>+'QTR Raw'!N92</f>
        <v>478</v>
      </c>
      <c r="AU165" s="23">
        <f t="shared" si="1319"/>
        <v>478</v>
      </c>
      <c r="AV165" s="23">
        <f>+'QTR Raw'!P92</f>
        <v>435</v>
      </c>
      <c r="AW165" s="23">
        <f t="shared" si="1319"/>
        <v>435</v>
      </c>
      <c r="AX165" s="23">
        <f>+'QTR Raw'!R92</f>
        <v>512</v>
      </c>
      <c r="AY165" s="23">
        <f t="shared" si="1319"/>
        <v>512</v>
      </c>
      <c r="AZ165" s="23">
        <f>+'QTR Raw'!T92</f>
        <v>621</v>
      </c>
      <c r="BA165" s="23">
        <f t="shared" si="1319"/>
        <v>621</v>
      </c>
      <c r="BB165" s="23">
        <f>+'QTR Raw'!V92</f>
        <v>405</v>
      </c>
      <c r="BC165" s="23">
        <f t="shared" si="1319"/>
        <v>405</v>
      </c>
      <c r="BD165" s="23">
        <f>+'QTR Raw'!X92</f>
        <v>417</v>
      </c>
      <c r="BE165" s="23">
        <f t="shared" si="1319"/>
        <v>417</v>
      </c>
      <c r="BF165" s="23">
        <f>+'QTR Raw'!Z92</f>
        <v>492</v>
      </c>
      <c r="BG165" s="23">
        <f t="shared" si="1319"/>
        <v>492</v>
      </c>
      <c r="BH165" s="23">
        <f>+'QTR Raw'!AB92</f>
        <v>617</v>
      </c>
      <c r="BI165" s="23">
        <f t="shared" si="1319"/>
        <v>617</v>
      </c>
      <c r="BJ165" s="23">
        <f>+'QTR Raw'!AD92</f>
        <v>576</v>
      </c>
      <c r="BK165" s="23">
        <f t="shared" si="1319"/>
        <v>576</v>
      </c>
      <c r="BL165" s="23">
        <f>+'QTR Raw'!AF92</f>
        <v>608</v>
      </c>
      <c r="BM165" s="23">
        <f t="shared" si="1319"/>
        <v>608</v>
      </c>
      <c r="BN165" s="23">
        <f>+'QTR Raw'!AH92</f>
        <v>572</v>
      </c>
      <c r="BO165" s="23">
        <f t="shared" si="1319"/>
        <v>572</v>
      </c>
      <c r="BP165" s="23">
        <f>+'QTR Raw'!AJ92</f>
        <v>686</v>
      </c>
      <c r="BQ165" s="23">
        <f t="shared" si="1319"/>
        <v>686</v>
      </c>
      <c r="BR165" s="23">
        <f>+'QTR Raw'!AL92</f>
        <v>713</v>
      </c>
      <c r="BS165" s="23">
        <f t="shared" si="1319"/>
        <v>713</v>
      </c>
      <c r="BT165" s="23">
        <f>+'QTR Raw'!AN92</f>
        <v>862</v>
      </c>
      <c r="BU165" s="23">
        <f t="shared" si="1319"/>
        <v>862</v>
      </c>
      <c r="BV165" s="23">
        <f>+'QTR Raw'!AP92</f>
        <v>975</v>
      </c>
      <c r="BW165" s="23">
        <f t="shared" si="1319"/>
        <v>975</v>
      </c>
      <c r="BX165" s="23">
        <f>+'QTR Raw'!AR92</f>
        <v>1141</v>
      </c>
      <c r="BY165" s="23">
        <f t="shared" si="1319"/>
        <v>1141</v>
      </c>
      <c r="BZ165" s="23">
        <f>+'QTR Raw'!AT92</f>
        <v>1307</v>
      </c>
      <c r="CA165" s="23">
        <f t="shared" si="1319"/>
        <v>1307</v>
      </c>
      <c r="CB165" s="23">
        <f>+'QTR Raw'!AV92</f>
        <v>1702</v>
      </c>
      <c r="CC165" s="23">
        <f t="shared" si="1319"/>
        <v>1702</v>
      </c>
      <c r="CD165" s="23">
        <f>+'QTR Raw'!AX92</f>
        <v>1796</v>
      </c>
      <c r="CE165" s="23">
        <f t="shared" si="1319"/>
        <v>1796</v>
      </c>
      <c r="CF165" s="23">
        <f>+'QTR Raw'!AZ92</f>
        <v>1436</v>
      </c>
      <c r="CG165" s="23">
        <f t="shared" si="1323"/>
        <v>1436</v>
      </c>
      <c r="CH165" s="23">
        <f t="shared" si="1272"/>
        <v>9236</v>
      </c>
      <c r="CJ165" s="23">
        <f>+'QTR Raw'!BD92</f>
        <v>1632</v>
      </c>
      <c r="CL165" s="23">
        <f>+'QTR Raw'!BF92</f>
        <v>1512</v>
      </c>
      <c r="CM165" s="24"/>
      <c r="CN165" s="24"/>
      <c r="CO165" s="24"/>
      <c r="CP165" s="24"/>
      <c r="CQ165" s="24"/>
      <c r="CR165" s="24"/>
      <c r="CS165" s="24"/>
      <c r="CT165" s="24"/>
      <c r="CU165" s="24"/>
      <c r="CV165" s="24"/>
      <c r="CW165" s="24"/>
      <c r="CX165" s="24"/>
      <c r="CY165" s="24"/>
      <c r="CZ165" s="24"/>
      <c r="DA165" s="24"/>
      <c r="DB165" s="24"/>
      <c r="DE165" s="123"/>
      <c r="DF165" s="23">
        <v>1512</v>
      </c>
    </row>
    <row r="166" spans="1:111" s="22" customFormat="1" x14ac:dyDescent="0.2">
      <c r="A166" s="22" t="s">
        <v>73</v>
      </c>
      <c r="B166" s="22">
        <f>SUM(B159:B165)</f>
        <v>319.85014509999996</v>
      </c>
      <c r="C166" s="22">
        <f t="shared" ref="C166:V166" si="1324">SUM(C159:C165)</f>
        <v>459.41</v>
      </c>
      <c r="D166" s="22">
        <f t="shared" si="1324"/>
        <v>707.81</v>
      </c>
      <c r="E166" s="22">
        <f t="shared" si="1324"/>
        <v>1768.15</v>
      </c>
      <c r="F166" s="22">
        <f t="shared" si="1324"/>
        <v>1433</v>
      </c>
      <c r="G166" s="22">
        <f t="shared" si="1324"/>
        <v>2346</v>
      </c>
      <c r="H166" s="22">
        <f t="shared" si="1324"/>
        <v>2150</v>
      </c>
      <c r="I166" s="22">
        <f t="shared" si="1324"/>
        <v>4191</v>
      </c>
      <c r="J166" s="22">
        <f t="shared" si="1324"/>
        <v>3872</v>
      </c>
      <c r="K166" s="22">
        <f t="shared" si="1324"/>
        <v>4455</v>
      </c>
      <c r="L166" s="22">
        <f t="shared" si="1324"/>
        <v>5317</v>
      </c>
      <c r="M166" s="22">
        <f t="shared" si="1324"/>
        <v>7025</v>
      </c>
      <c r="N166" s="22">
        <f t="shared" si="1324"/>
        <v>8281</v>
      </c>
      <c r="O166" s="22">
        <f t="shared" si="1324"/>
        <v>12436</v>
      </c>
      <c r="P166" s="22">
        <f t="shared" si="1324"/>
        <v>15553</v>
      </c>
      <c r="Q166" s="22">
        <f t="shared" si="1324"/>
        <v>13354</v>
      </c>
      <c r="R166" s="22">
        <f t="shared" si="1324"/>
        <v>14166</v>
      </c>
      <c r="S166" s="22">
        <f t="shared" si="1324"/>
        <v>14425</v>
      </c>
      <c r="T166" s="22">
        <f t="shared" si="1324"/>
        <v>19060</v>
      </c>
      <c r="U166" s="22">
        <f t="shared" si="1324"/>
        <v>25956</v>
      </c>
      <c r="V166" s="22">
        <f t="shared" si="1324"/>
        <v>30729</v>
      </c>
      <c r="W166" s="22">
        <f t="shared" ref="W166" si="1325">SUM(W159:W165)</f>
        <v>40993</v>
      </c>
      <c r="X166" s="22">
        <f t="shared" ref="X166:Y166" si="1326">SUM(X159:X165)</f>
        <v>48801</v>
      </c>
      <c r="Y166" s="22">
        <f t="shared" si="1326"/>
        <v>47559</v>
      </c>
      <c r="Z166" s="22">
        <f t="shared" ref="Z166:AA166" si="1327">SUM(Z159:Z165)</f>
        <v>50978</v>
      </c>
      <c r="AA166" s="22">
        <f t="shared" ref="AA166" si="1328">SUM(AA159:AA165)</f>
        <v>60991</v>
      </c>
      <c r="AB166" s="21">
        <f t="shared" ref="AB166:AD166" si="1329">SUM(AB159:AB165)</f>
        <v>60256.362590562363</v>
      </c>
      <c r="AC166" s="21">
        <f t="shared" si="1329"/>
        <v>63956.328236644869</v>
      </c>
      <c r="AD166" s="21">
        <f t="shared" si="1329"/>
        <v>69859.388820157299</v>
      </c>
      <c r="AE166" s="21">
        <f t="shared" ref="AE166" si="1330">SUM(AE159:AE165)</f>
        <v>78683.571249595363</v>
      </c>
      <c r="AJ166" s="22">
        <f t="shared" ref="AJ166" si="1331">SUM(AJ159:AJ165)</f>
        <v>5580</v>
      </c>
      <c r="AK166" s="22">
        <f t="shared" ref="AK166" si="1332">SUM(AK159:AK165)</f>
        <v>5580</v>
      </c>
      <c r="AL166" s="22">
        <f t="shared" ref="AL166:AM166" si="1333">SUM(AL159:AL165)</f>
        <v>6435</v>
      </c>
      <c r="AM166" s="22">
        <f t="shared" si="1333"/>
        <v>6449.6983929596327</v>
      </c>
      <c r="AN166" s="22">
        <f t="shared" ref="AN166:AO166" si="1334">SUM(AN159:AN165)</f>
        <v>9306</v>
      </c>
      <c r="AO166" s="22">
        <f t="shared" si="1334"/>
        <v>9306.4704974932502</v>
      </c>
      <c r="AP166" s="22">
        <f t="shared" ref="AP166:CE166" si="1335">SUM(AP159:AP165)</f>
        <v>9461</v>
      </c>
      <c r="AQ166" s="22">
        <f t="shared" si="1335"/>
        <v>9459.589126213592</v>
      </c>
      <c r="AR166" s="22">
        <f t="shared" si="1335"/>
        <v>11042</v>
      </c>
      <c r="AS166" s="22">
        <f t="shared" si="1335"/>
        <v>11046.593764053365</v>
      </c>
      <c r="AT166" s="22">
        <f t="shared" si="1335"/>
        <v>11429</v>
      </c>
      <c r="AU166" s="22">
        <f t="shared" si="1335"/>
        <v>11438.844157780926</v>
      </c>
      <c r="AV166" s="22">
        <f t="shared" si="1335"/>
        <v>13284</v>
      </c>
      <c r="AW166" s="22">
        <f t="shared" si="1335"/>
        <v>13285.878477774224</v>
      </c>
      <c r="AX166" s="22">
        <f t="shared" si="1335"/>
        <v>13354</v>
      </c>
      <c r="AY166" s="22">
        <f t="shared" si="1335"/>
        <v>13359.410996978851</v>
      </c>
      <c r="AZ166" s="22">
        <f t="shared" si="1335"/>
        <v>14046</v>
      </c>
      <c r="BA166" s="22">
        <f t="shared" si="1335"/>
        <v>14045.343789716926</v>
      </c>
      <c r="BB166" s="22">
        <f t="shared" si="1335"/>
        <v>14166</v>
      </c>
      <c r="BC166" s="22">
        <f t="shared" si="1335"/>
        <v>14165.099649532711</v>
      </c>
      <c r="BD166" s="22">
        <f t="shared" si="1335"/>
        <v>15920</v>
      </c>
      <c r="BE166" s="22">
        <f t="shared" si="1335"/>
        <v>15926.952012295782</v>
      </c>
      <c r="BF166" s="22">
        <f t="shared" si="1335"/>
        <v>14425</v>
      </c>
      <c r="BG166" s="22">
        <f t="shared" si="1335"/>
        <v>14465.105624066804</v>
      </c>
      <c r="BH166" s="22">
        <f t="shared" ref="BH166" si="1336">SUM(BH159:BH165)</f>
        <v>16202</v>
      </c>
      <c r="BI166" s="22">
        <f t="shared" si="1335"/>
        <v>16247.788878645251</v>
      </c>
      <c r="BJ166" s="22">
        <f t="shared" si="1335"/>
        <v>19060</v>
      </c>
      <c r="BK166" s="22">
        <f t="shared" si="1335"/>
        <v>19080.285064301963</v>
      </c>
      <c r="BL166" s="22">
        <f t="shared" si="1335"/>
        <v>23623</v>
      </c>
      <c r="BM166" s="22">
        <f t="shared" si="1335"/>
        <v>23666.662645278182</v>
      </c>
      <c r="BN166" s="22">
        <f t="shared" si="1335"/>
        <v>25956</v>
      </c>
      <c r="BO166" s="22">
        <f t="shared" si="1335"/>
        <v>26004.785662096532</v>
      </c>
      <c r="BP166" s="22">
        <f t="shared" si="1335"/>
        <v>26281</v>
      </c>
      <c r="BQ166" s="22">
        <f t="shared" si="1335"/>
        <v>26412.171143671141</v>
      </c>
      <c r="BR166" s="22">
        <f t="shared" si="1335"/>
        <v>30729</v>
      </c>
      <c r="BS166" s="22">
        <f t="shared" si="1335"/>
        <v>30888.337349397589</v>
      </c>
      <c r="BT166" s="22">
        <f t="shared" si="1335"/>
        <v>34904</v>
      </c>
      <c r="BU166" s="22">
        <f t="shared" si="1335"/>
        <v>35147.011958651441</v>
      </c>
      <c r="BV166" s="22">
        <f t="shared" si="1335"/>
        <v>40993</v>
      </c>
      <c r="BW166" s="22">
        <f t="shared" si="1335"/>
        <v>41274.013632420378</v>
      </c>
      <c r="BX166" s="22">
        <f t="shared" si="1335"/>
        <v>45764</v>
      </c>
      <c r="BY166" s="22">
        <f t="shared" si="1335"/>
        <v>45966.757676939073</v>
      </c>
      <c r="BZ166" s="22">
        <f t="shared" si="1335"/>
        <v>48801</v>
      </c>
      <c r="CA166" s="22">
        <f t="shared" si="1335"/>
        <v>48851.788707566571</v>
      </c>
      <c r="CB166" s="22">
        <f t="shared" si="1335"/>
        <v>48117</v>
      </c>
      <c r="CC166" s="22">
        <f t="shared" si="1335"/>
        <v>48102.78963430271</v>
      </c>
      <c r="CD166" s="22">
        <f t="shared" si="1335"/>
        <v>47559</v>
      </c>
      <c r="CE166" s="22">
        <f t="shared" si="1335"/>
        <v>47704.20876512934</v>
      </c>
      <c r="CF166" s="22">
        <f t="shared" ref="CF166:CG166" si="1337">SUM(CF159:CF165)</f>
        <v>49354</v>
      </c>
      <c r="CG166" s="22">
        <f t="shared" si="1337"/>
        <v>49426.910213243551</v>
      </c>
      <c r="CH166" s="22">
        <f t="shared" ref="CH166:CI166" si="1338">SUM(CH159:CH165)</f>
        <v>50978</v>
      </c>
      <c r="CI166" s="22">
        <f t="shared" si="1338"/>
        <v>52664.602614538795</v>
      </c>
      <c r="CJ166" s="22">
        <f t="shared" ref="CJ166:DB166" si="1339">SUM(CJ159:CJ165)</f>
        <v>54948</v>
      </c>
      <c r="CK166" s="22">
        <f t="shared" si="1339"/>
        <v>56169.478354686442</v>
      </c>
      <c r="CL166" s="22">
        <f t="shared" ref="CL166" si="1340">SUM(CL159:CL165)</f>
        <v>60991</v>
      </c>
      <c r="CM166" s="21">
        <f t="shared" si="1339"/>
        <v>58381.136716374138</v>
      </c>
      <c r="CN166" s="21">
        <f t="shared" si="1339"/>
        <v>59094.726268722734</v>
      </c>
      <c r="CO166" s="21">
        <f t="shared" si="1339"/>
        <v>59672.600904005631</v>
      </c>
      <c r="CP166" s="21">
        <f t="shared" si="1339"/>
        <v>60256.362590562363</v>
      </c>
      <c r="CQ166" s="21">
        <f t="shared" si="1339"/>
        <v>61167.508216602422</v>
      </c>
      <c r="CR166" s="21">
        <f t="shared" si="1339"/>
        <v>62037.702068724546</v>
      </c>
      <c r="CS166" s="21">
        <f t="shared" si="1339"/>
        <v>62951.348159089677</v>
      </c>
      <c r="CT166" s="21">
        <f t="shared" si="1339"/>
        <v>63956.328236644869</v>
      </c>
      <c r="CU166" s="21">
        <f t="shared" si="1339"/>
        <v>65236.08195368202</v>
      </c>
      <c r="CV166" s="21">
        <f t="shared" si="1339"/>
        <v>66621.172449365171</v>
      </c>
      <c r="CW166" s="21">
        <f t="shared" si="1339"/>
        <v>68152.350843289692</v>
      </c>
      <c r="CX166" s="21">
        <f t="shared" si="1339"/>
        <v>69859.388820157299</v>
      </c>
      <c r="CY166" s="21">
        <f t="shared" si="1339"/>
        <v>71767.816643146332</v>
      </c>
      <c r="CZ166" s="21">
        <f t="shared" si="1339"/>
        <v>73859.504748585445</v>
      </c>
      <c r="DA166" s="21">
        <f t="shared" si="1339"/>
        <v>76158.272556261814</v>
      </c>
      <c r="DB166" s="21">
        <f t="shared" si="1339"/>
        <v>78683.571249595363</v>
      </c>
      <c r="DE166" s="126"/>
      <c r="DF166" s="22">
        <v>60991</v>
      </c>
      <c r="DG166" s="22">
        <v>55524.304107361</v>
      </c>
    </row>
    <row r="167" spans="1:111" s="22" customFormat="1" x14ac:dyDescent="0.2">
      <c r="A167" s="22" t="s">
        <v>74</v>
      </c>
      <c r="B167" s="22">
        <f>B158-B166</f>
        <v>412.79945889999999</v>
      </c>
      <c r="C167" s="22">
        <f t="shared" ref="C167:V167" si="1341">C158-C166</f>
        <v>521.19000000000005</v>
      </c>
      <c r="D167" s="22">
        <f t="shared" si="1341"/>
        <v>724.3</v>
      </c>
      <c r="E167" s="22">
        <f t="shared" si="1341"/>
        <v>-395.65000000000009</v>
      </c>
      <c r="F167" s="22">
        <f t="shared" si="1341"/>
        <v>913</v>
      </c>
      <c r="G167" s="22">
        <f t="shared" si="1341"/>
        <v>559</v>
      </c>
      <c r="H167" s="22">
        <f t="shared" si="1341"/>
        <v>1537</v>
      </c>
      <c r="I167" s="22">
        <f t="shared" si="1341"/>
        <v>1877</v>
      </c>
      <c r="J167" s="22">
        <f t="shared" si="1341"/>
        <v>3079</v>
      </c>
      <c r="K167" s="22">
        <f t="shared" si="1341"/>
        <v>3236</v>
      </c>
      <c r="L167" s="22">
        <f t="shared" si="1341"/>
        <v>3346</v>
      </c>
      <c r="M167" s="22">
        <f t="shared" si="1341"/>
        <v>3959</v>
      </c>
      <c r="N167" s="22">
        <f t="shared" si="1341"/>
        <v>5354</v>
      </c>
      <c r="O167" s="22">
        <f t="shared" si="1341"/>
        <v>4281</v>
      </c>
      <c r="P167" s="22">
        <f t="shared" si="1341"/>
        <v>5441</v>
      </c>
      <c r="Q167" s="22">
        <f t="shared" si="1341"/>
        <v>12525</v>
      </c>
      <c r="R167" s="22">
        <f t="shared" si="1341"/>
        <v>14057</v>
      </c>
      <c r="S167" s="22">
        <f t="shared" si="1341"/>
        <v>18022</v>
      </c>
      <c r="T167" s="22">
        <f t="shared" si="1341"/>
        <v>16379</v>
      </c>
      <c r="U167" s="22">
        <f t="shared" si="1341"/>
        <v>12884</v>
      </c>
      <c r="V167" s="22">
        <f t="shared" si="1341"/>
        <v>11213</v>
      </c>
      <c r="W167" s="22">
        <f t="shared" ref="W167" si="1342">W158-W166</f>
        <v>11668</v>
      </c>
      <c r="X167" s="22">
        <f t="shared" ref="X167:Y167" si="1343">X158-X166</f>
        <v>14606</v>
      </c>
      <c r="Y167" s="22">
        <f t="shared" si="1343"/>
        <v>22477</v>
      </c>
      <c r="Z167" s="22">
        <f t="shared" ref="Z167:AA167" si="1344">Z158-Z166</f>
        <v>17046</v>
      </c>
      <c r="AA167" s="22">
        <f t="shared" ref="AA167" si="1345">AA158-AA166</f>
        <v>14335</v>
      </c>
      <c r="AB167" s="21">
        <f t="shared" ref="AB167:AD167" si="1346">AB158-AB166</f>
        <v>23246.972238431437</v>
      </c>
      <c r="AC167" s="21">
        <f t="shared" si="1346"/>
        <v>24674.423132573225</v>
      </c>
      <c r="AD167" s="21">
        <f t="shared" si="1346"/>
        <v>26951.830523376906</v>
      </c>
      <c r="AE167" s="21">
        <f t="shared" ref="AE167" si="1347">AE158-AE166</f>
        <v>30356.209997091268</v>
      </c>
      <c r="AJ167" s="22">
        <f t="shared" ref="AJ167" si="1348">AJ158-AJ166</f>
        <v>6153</v>
      </c>
      <c r="AK167" s="22">
        <f t="shared" ref="AK167" si="1349">AK158-AK166</f>
        <v>6536.6490160275935</v>
      </c>
      <c r="AL167" s="22">
        <f t="shared" ref="AL167:AM167" si="1350">AL158-AL166</f>
        <v>6636</v>
      </c>
      <c r="AM167" s="22">
        <f t="shared" si="1350"/>
        <v>7172.141381289458</v>
      </c>
      <c r="AN167" s="22">
        <f t="shared" ref="AN167:AO167" si="1351">AN158-AN166</f>
        <v>6200</v>
      </c>
      <c r="AO167" s="22">
        <f t="shared" si="1351"/>
        <v>6238.7831083686851</v>
      </c>
      <c r="AP167" s="22">
        <f t="shared" ref="AP167:CE167" si="1352">AP158-AP166</f>
        <v>6294</v>
      </c>
      <c r="AQ167" s="22">
        <f t="shared" si="1352"/>
        <v>6227.3056310679622</v>
      </c>
      <c r="AR167" s="22">
        <f t="shared" si="1352"/>
        <v>5855</v>
      </c>
      <c r="AS167" s="22">
        <f t="shared" si="1352"/>
        <v>6158.0182881127275</v>
      </c>
      <c r="AT167" s="22">
        <f t="shared" si="1352"/>
        <v>8853</v>
      </c>
      <c r="AU167" s="22">
        <f t="shared" si="1352"/>
        <v>9526.1294459771834</v>
      </c>
      <c r="AV167" s="22">
        <f t="shared" si="1352"/>
        <v>10607</v>
      </c>
      <c r="AW167" s="22">
        <f t="shared" si="1352"/>
        <v>10782.671826031341</v>
      </c>
      <c r="AX167" s="22">
        <f t="shared" si="1352"/>
        <v>12525</v>
      </c>
      <c r="AY167" s="22">
        <f t="shared" si="1352"/>
        <v>12678.414380664653</v>
      </c>
      <c r="AZ167" s="22">
        <f t="shared" si="1352"/>
        <v>13873</v>
      </c>
      <c r="BA167" s="22">
        <f t="shared" si="1352"/>
        <v>13848.923281340265</v>
      </c>
      <c r="BB167" s="22">
        <f t="shared" si="1352"/>
        <v>14057</v>
      </c>
      <c r="BC167" s="22">
        <f t="shared" si="1352"/>
        <v>14027.671144859816</v>
      </c>
      <c r="BD167" s="22">
        <f t="shared" si="1352"/>
        <v>14360</v>
      </c>
      <c r="BE167" s="22">
        <f t="shared" si="1352"/>
        <v>14526.499402288386</v>
      </c>
      <c r="BF167" s="22">
        <f t="shared" si="1352"/>
        <v>18022</v>
      </c>
      <c r="BG167" s="22">
        <f t="shared" si="1352"/>
        <v>18741.358513520987</v>
      </c>
      <c r="BH167" s="22">
        <f t="shared" ref="BH167" si="1353">BH158-BH166</f>
        <v>18906</v>
      </c>
      <c r="BI167" s="22">
        <f t="shared" si="1352"/>
        <v>19427.52496482119</v>
      </c>
      <c r="BJ167" s="22">
        <f t="shared" si="1352"/>
        <v>16379</v>
      </c>
      <c r="BK167" s="22">
        <f t="shared" si="1352"/>
        <v>16540.447049538052</v>
      </c>
      <c r="BL167" s="22">
        <f t="shared" si="1352"/>
        <v>17971</v>
      </c>
      <c r="BM167" s="22">
        <f t="shared" si="1352"/>
        <v>18255.830217862032</v>
      </c>
      <c r="BN167" s="22">
        <f t="shared" si="1352"/>
        <v>17052</v>
      </c>
      <c r="BO167" s="22">
        <f t="shared" si="1352"/>
        <v>17319.448747152623</v>
      </c>
      <c r="BP167" s="22">
        <f t="shared" si="1352"/>
        <v>16567</v>
      </c>
      <c r="BQ167" s="22">
        <f t="shared" si="1352"/>
        <v>17426.101953601952</v>
      </c>
      <c r="BR167" s="22">
        <f t="shared" si="1352"/>
        <v>16007</v>
      </c>
      <c r="BS167" s="22">
        <f t="shared" si="1352"/>
        <v>17009.951807228914</v>
      </c>
      <c r="BT167" s="22">
        <f t="shared" si="1352"/>
        <v>15782</v>
      </c>
      <c r="BU167" s="22">
        <f t="shared" si="1352"/>
        <v>17078.548375109793</v>
      </c>
      <c r="BV167" s="22">
        <f t="shared" si="1352"/>
        <v>16491</v>
      </c>
      <c r="BW167" s="22">
        <f t="shared" si="1352"/>
        <v>17752.910273887719</v>
      </c>
      <c r="BX167" s="22">
        <f t="shared" si="1352"/>
        <v>18732</v>
      </c>
      <c r="BY167" s="22">
        <f t="shared" si="1352"/>
        <v>19766.49285675188</v>
      </c>
      <c r="BZ167" s="22">
        <f t="shared" si="1352"/>
        <v>21488</v>
      </c>
      <c r="CA167" s="22">
        <f t="shared" si="1352"/>
        <v>21771.299805026581</v>
      </c>
      <c r="CB167" s="22">
        <f t="shared" si="1352"/>
        <v>24452</v>
      </c>
      <c r="CC167" s="22">
        <f t="shared" si="1352"/>
        <v>24340.828178694166</v>
      </c>
      <c r="CD167" s="22">
        <f t="shared" si="1352"/>
        <v>29029</v>
      </c>
      <c r="CE167" s="22">
        <f t="shared" si="1352"/>
        <v>29992.054188750888</v>
      </c>
      <c r="CF167" s="22">
        <f t="shared" ref="CF167:CG167" si="1354">CF158-CF166</f>
        <v>27037</v>
      </c>
      <c r="CG167" s="22">
        <f t="shared" si="1354"/>
        <v>27571.763480212743</v>
      </c>
      <c r="CH167" s="22">
        <f t="shared" ref="CH167:CI167" si="1355">CH158-CH166</f>
        <v>17046</v>
      </c>
      <c r="CI167" s="22">
        <f t="shared" si="1355"/>
        <v>17609.965400122172</v>
      </c>
      <c r="CJ167" s="22">
        <f t="shared" ref="CJ167:DB167" si="1356">CJ158-CJ166</f>
        <v>21199</v>
      </c>
      <c r="CK167" s="22">
        <f t="shared" si="1356"/>
        <v>21670.247718588442</v>
      </c>
      <c r="CL167" s="22">
        <f t="shared" ref="CL167" si="1357">CL158-CL166</f>
        <v>20512</v>
      </c>
      <c r="CM167" s="21">
        <f t="shared" si="1356"/>
        <v>22523.507993929074</v>
      </c>
      <c r="CN167" s="21">
        <f t="shared" si="1356"/>
        <v>22798.8116432018</v>
      </c>
      <c r="CO167" s="21">
        <f t="shared" si="1356"/>
        <v>23021.756325326038</v>
      </c>
      <c r="CP167" s="21">
        <f t="shared" si="1356"/>
        <v>23246.972238431437</v>
      </c>
      <c r="CQ167" s="21">
        <f t="shared" si="1356"/>
        <v>23598.493242406519</v>
      </c>
      <c r="CR167" s="21">
        <f t="shared" si="1356"/>
        <v>23934.215006094695</v>
      </c>
      <c r="CS167" s="21">
        <f t="shared" si="1356"/>
        <v>24286.700692009566</v>
      </c>
      <c r="CT167" s="21">
        <f t="shared" si="1356"/>
        <v>24674.423132573225</v>
      </c>
      <c r="CU167" s="21">
        <f t="shared" si="1356"/>
        <v>25168.153551286756</v>
      </c>
      <c r="CV167" s="21">
        <f t="shared" si="1356"/>
        <v>25702.523017290747</v>
      </c>
      <c r="CW167" s="21">
        <f t="shared" si="1356"/>
        <v>26293.25335820952</v>
      </c>
      <c r="CX167" s="21">
        <f t="shared" si="1356"/>
        <v>26951.830523376906</v>
      </c>
      <c r="CY167" s="21">
        <f t="shared" si="1356"/>
        <v>27688.104116948001</v>
      </c>
      <c r="CZ167" s="21">
        <f t="shared" si="1356"/>
        <v>28495.079732934086</v>
      </c>
      <c r="DA167" s="21">
        <f t="shared" si="1356"/>
        <v>29381.946930192047</v>
      </c>
      <c r="DB167" s="21">
        <f t="shared" si="1356"/>
        <v>30356.209997091268</v>
      </c>
      <c r="DE167" s="126"/>
      <c r="DF167" s="22">
        <v>20512</v>
      </c>
      <c r="DG167" s="22">
        <v>21421.338770691298</v>
      </c>
    </row>
    <row r="168" spans="1:111" s="23" customFormat="1" x14ac:dyDescent="0.2">
      <c r="AB168" s="24"/>
      <c r="AC168" s="24"/>
      <c r="AD168" s="24"/>
      <c r="AE168" s="24"/>
      <c r="CM168" s="24"/>
      <c r="CN168" s="24"/>
      <c r="CO168" s="24"/>
      <c r="CP168" s="24"/>
      <c r="CQ168" s="24"/>
      <c r="CR168" s="24"/>
      <c r="CS168" s="24"/>
      <c r="CT168" s="24"/>
      <c r="CU168" s="24"/>
      <c r="CV168" s="24"/>
      <c r="CW168" s="24"/>
      <c r="CX168" s="24"/>
      <c r="CY168" s="24"/>
      <c r="CZ168" s="24"/>
      <c r="DA168" s="24"/>
      <c r="DB168" s="24"/>
      <c r="DE168" s="123"/>
    </row>
    <row r="169" spans="1:111" s="23" customFormat="1" outlineLevel="1" x14ac:dyDescent="0.2">
      <c r="A169" s="23" t="s">
        <v>75</v>
      </c>
      <c r="B169" s="23">
        <f>'Annual Raw'!C75</f>
        <v>0</v>
      </c>
      <c r="C169" s="23">
        <f>'Annual Raw'!D75</f>
        <v>0</v>
      </c>
      <c r="D169" s="23">
        <f>'Annual Raw'!E75</f>
        <v>0</v>
      </c>
      <c r="E169" s="23">
        <f>'Annual Raw'!F75</f>
        <v>943.41</v>
      </c>
      <c r="F169" s="23">
        <f>'Annual Raw'!G75</f>
        <v>1209</v>
      </c>
      <c r="G169" s="23">
        <f>'Annual Raw'!H75</f>
        <v>753</v>
      </c>
      <c r="H169" s="23">
        <f>'Annual Raw'!I75</f>
        <v>25</v>
      </c>
      <c r="I169" s="23">
        <f>'Annual Raw'!J75</f>
        <v>72</v>
      </c>
      <c r="J169" s="23">
        <f>'Annual Raw'!K75</f>
        <v>0</v>
      </c>
      <c r="K169" s="23">
        <f>'Annual Raw'!L75</f>
        <v>3698</v>
      </c>
      <c r="L169" s="23">
        <f>'Annual Raw'!M75</f>
        <v>140</v>
      </c>
      <c r="M169" s="23">
        <f>'Annual Raw'!N75</f>
        <v>368</v>
      </c>
      <c r="N169" s="23">
        <f>'Annual Raw'!O75</f>
        <v>1739</v>
      </c>
      <c r="O169" s="23">
        <f>'Annual Raw'!P75</f>
        <v>3024</v>
      </c>
      <c r="P169" s="23">
        <f>'Annual Raw'!Q75</f>
        <v>872</v>
      </c>
      <c r="Q169" s="23">
        <f>'Annual Raw'!R75</f>
        <v>75</v>
      </c>
      <c r="R169" s="23">
        <f>'Annual Raw'!S75</f>
        <v>9970</v>
      </c>
      <c r="S169" s="23">
        <f>'Annual Raw'!T75</f>
        <v>6407</v>
      </c>
      <c r="T169" s="23">
        <f>'Annual Raw'!U75</f>
        <v>6627</v>
      </c>
      <c r="U169" s="23">
        <f>'Annual Raw'!V75</f>
        <v>4655</v>
      </c>
      <c r="V169" s="23">
        <f>'Annual Raw'!W75</f>
        <v>2342</v>
      </c>
      <c r="W169" s="23">
        <f>'Annual Raw'!X75</f>
        <v>6673</v>
      </c>
      <c r="X169" s="23">
        <f>'Annual Raw'!Y75</f>
        <v>6909</v>
      </c>
      <c r="Y169" s="23">
        <f>'Annual Raw'!Z75</f>
        <v>12915</v>
      </c>
      <c r="Z169" s="23">
        <f>'Annual Raw'!AA75</f>
        <v>12482</v>
      </c>
      <c r="AA169" s="23">
        <f>'Annual Raw'!AB75</f>
        <v>12950</v>
      </c>
      <c r="AB169" s="24">
        <f t="shared" ref="AB169:AB170" si="1358">+CP169</f>
        <v>0</v>
      </c>
      <c r="AC169" s="24">
        <f t="shared" ref="AC169:AC170" si="1359">+CT169</f>
        <v>0</v>
      </c>
      <c r="AD169" s="24">
        <f t="shared" ref="AD169:AD170" si="1360">+CX169</f>
        <v>0</v>
      </c>
      <c r="AE169" s="24">
        <f t="shared" ref="AE169:AE170" si="1361">+DB169</f>
        <v>0</v>
      </c>
      <c r="AJ169" s="23">
        <f>+'QTR Raw'!D80</f>
        <v>5248</v>
      </c>
      <c r="AL169" s="23">
        <f>+'QTR Raw'!F80</f>
        <v>1739</v>
      </c>
      <c r="AN169" s="23">
        <f>+'QTR Raw'!H80</f>
        <v>3338</v>
      </c>
      <c r="AP169" s="23">
        <f>+'QTR Raw'!J80</f>
        <v>3056</v>
      </c>
      <c r="AR169" s="23">
        <f>+'QTR Raw'!L80</f>
        <v>3874</v>
      </c>
      <c r="AT169" s="23">
        <f>+'QTR Raw'!N80</f>
        <v>874</v>
      </c>
      <c r="AV169" s="23">
        <f>+'QTR Raw'!P80</f>
        <v>582</v>
      </c>
      <c r="AX169" s="23">
        <f>+'QTR Raw'!R80</f>
        <v>75</v>
      </c>
      <c r="AZ169" s="23">
        <f>+'QTR Raw'!T80</f>
        <v>2154</v>
      </c>
      <c r="BB169" s="23">
        <f>+'QTR Raw'!V80</f>
        <v>9970</v>
      </c>
      <c r="BD169" s="23">
        <f>+'QTR Raw'!X80</f>
        <v>12122</v>
      </c>
      <c r="BF169" s="23">
        <f>+'QTR Raw'!Z80</f>
        <v>6407</v>
      </c>
      <c r="BH169" s="23">
        <f>+'QTR Raw'!AB80</f>
        <v>7580</v>
      </c>
      <c r="BJ169" s="23">
        <f>+'QTR Raw'!AD80</f>
        <v>6627</v>
      </c>
      <c r="BL169" s="23">
        <f>+'QTR Raw'!AF80</f>
        <v>3518</v>
      </c>
      <c r="BN169" s="23">
        <f>+'QTR Raw'!AH80</f>
        <v>4655</v>
      </c>
      <c r="BP169" s="23">
        <f>+'QTR Raw'!AJ80</f>
        <v>3600</v>
      </c>
      <c r="BR169" s="23">
        <f>+'QTR Raw'!AL80</f>
        <v>2342</v>
      </c>
      <c r="BT169" s="23">
        <f>+'QTR Raw'!AN80</f>
        <v>4983</v>
      </c>
      <c r="BV169" s="23">
        <f>+'QTR Raw'!AP80</f>
        <v>6673</v>
      </c>
      <c r="BX169" s="23">
        <f>+'QTR Raw'!AR80</f>
        <v>11778</v>
      </c>
      <c r="BZ169" s="23">
        <f>+'QTR Raw'!AT80</f>
        <v>6909</v>
      </c>
      <c r="CB169" s="23">
        <f>+'QTR Raw'!AV80</f>
        <v>7579</v>
      </c>
      <c r="CD169" s="23">
        <f>+'QTR Raw'!AX80</f>
        <v>12915</v>
      </c>
      <c r="CF169" s="23">
        <f>+'QTR Raw'!AZ80</f>
        <v>7432</v>
      </c>
      <c r="CH169" s="23">
        <f t="shared" ref="CH169:CH170" si="1362">Z169</f>
        <v>12482</v>
      </c>
      <c r="CJ169" s="23">
        <f>+'QTR Raw'!BD80</f>
        <v>12606</v>
      </c>
      <c r="CL169" s="23">
        <f>+'QTR Raw'!BF80</f>
        <v>12950</v>
      </c>
      <c r="CM169" s="24"/>
      <c r="CN169" s="24"/>
      <c r="CO169" s="24"/>
      <c r="CP169" s="24"/>
      <c r="CQ169" s="24"/>
      <c r="CR169" s="24"/>
      <c r="CS169" s="24"/>
      <c r="CT169" s="24"/>
      <c r="CU169" s="24"/>
      <c r="CV169" s="24"/>
      <c r="CW169" s="24"/>
      <c r="CX169" s="24"/>
      <c r="CY169" s="24"/>
      <c r="CZ169" s="24"/>
      <c r="DA169" s="24"/>
      <c r="DB169" s="24"/>
      <c r="DE169" s="123"/>
      <c r="DF169" s="23">
        <v>12950</v>
      </c>
    </row>
    <row r="170" spans="1:111" s="23" customFormat="1" outlineLevel="1" x14ac:dyDescent="0.2">
      <c r="A170" s="23" t="s">
        <v>76</v>
      </c>
      <c r="B170" s="23">
        <f>'Annual Raw'!C78</f>
        <v>385.06102850000002</v>
      </c>
      <c r="C170" s="23">
        <f>'Annual Raw'!D78</f>
        <v>772.22</v>
      </c>
      <c r="D170" s="23">
        <f>'Annual Raw'!E78</f>
        <v>1346.54</v>
      </c>
      <c r="E170" s="23">
        <f>'Annual Raw'!F78</f>
        <v>1721.51</v>
      </c>
      <c r="F170" s="23">
        <f>'Annual Raw'!G78</f>
        <v>1576</v>
      </c>
      <c r="G170" s="23">
        <f>'Annual Raw'!H78</f>
        <v>3429</v>
      </c>
      <c r="H170" s="23">
        <f>'Annual Raw'!I78</f>
        <v>5834</v>
      </c>
      <c r="I170" s="23">
        <f>'Annual Raw'!J78</f>
        <v>6950</v>
      </c>
      <c r="J170" s="23">
        <f>'Annual Raw'!K78</f>
        <v>9695</v>
      </c>
      <c r="K170" s="23">
        <f>'Annual Raw'!L78</f>
        <v>10556</v>
      </c>
      <c r="L170" s="23">
        <f>'Annual Raw'!M78</f>
        <v>16666</v>
      </c>
      <c r="M170" s="23">
        <f>'Annual Raw'!N78</f>
        <v>20591</v>
      </c>
      <c r="N170" s="23">
        <f>'Annual Raw'!O78</f>
        <v>21832</v>
      </c>
      <c r="O170" s="23">
        <f>'Annual Raw'!P78</f>
        <v>25950</v>
      </c>
      <c r="P170" s="23">
        <f>'Annual Raw'!Q78</f>
        <v>30367</v>
      </c>
      <c r="Q170" s="23">
        <f>'Annual Raw'!R78</f>
        <v>32697</v>
      </c>
      <c r="R170" s="23">
        <f>'Annual Raw'!S78</f>
        <v>22625</v>
      </c>
      <c r="S170" s="23">
        <f>'Annual Raw'!T78</f>
        <v>19818</v>
      </c>
      <c r="T170" s="23">
        <f>'Annual Raw'!U78</f>
        <v>19568</v>
      </c>
      <c r="U170" s="23">
        <f>'Annual Raw'!V78</f>
        <v>18649</v>
      </c>
      <c r="V170" s="23">
        <f>'Annual Raw'!W78</f>
        <v>24714</v>
      </c>
      <c r="W170" s="23">
        <f>'Annual Raw'!X78</f>
        <v>17472</v>
      </c>
      <c r="X170" s="23">
        <f>'Annual Raw'!Y78</f>
        <v>12173</v>
      </c>
      <c r="Y170" s="23">
        <f>'Annual Raw'!Z78</f>
        <v>14786</v>
      </c>
      <c r="Z170" s="23">
        <f>'Annual Raw'!AA78</f>
        <v>24455</v>
      </c>
      <c r="AA170" s="23">
        <f>'Annual Raw'!AB78</f>
        <v>22201</v>
      </c>
      <c r="AB170" s="24">
        <f t="shared" si="1358"/>
        <v>62254.057499193237</v>
      </c>
      <c r="AC170" s="24">
        <f t="shared" si="1359"/>
        <v>93983.088158215935</v>
      </c>
      <c r="AD170" s="24">
        <f t="shared" si="1360"/>
        <v>132702.86596646052</v>
      </c>
      <c r="AE170" s="24">
        <f t="shared" si="1361"/>
        <v>174945.20972765234</v>
      </c>
      <c r="AJ170" s="23">
        <f>+'QTR Raw'!D83</f>
        <v>17257</v>
      </c>
      <c r="AK170" s="23">
        <f t="shared" ref="AK170:AM170" si="1363">+AK220</f>
        <v>24490.350983972407</v>
      </c>
      <c r="AL170" s="23">
        <f>+'QTR Raw'!F83</f>
        <v>21832</v>
      </c>
      <c r="AM170" s="23">
        <f t="shared" si="1363"/>
        <v>25408.858618710543</v>
      </c>
      <c r="AN170" s="23">
        <f>+'QTR Raw'!H83</f>
        <v>22543</v>
      </c>
      <c r="AO170" s="23">
        <f t="shared" ref="AO170" si="1364">+AO220</f>
        <v>28717.216891631317</v>
      </c>
      <c r="AP170" s="23">
        <f>+'QTR Raw'!J83</f>
        <v>25950</v>
      </c>
      <c r="AQ170" s="23">
        <f t="shared" ref="AQ170" si="1365">+AQ220</f>
        <v>31958.69436893204</v>
      </c>
      <c r="AR170" s="23">
        <f>+'QTR Raw'!L83</f>
        <v>28432</v>
      </c>
      <c r="AS170" s="23">
        <f t="shared" ref="AS170" si="1366">+AS220</f>
        <v>35252.981711887274</v>
      </c>
      <c r="AT170" s="23">
        <f>+'QTR Raw'!N83</f>
        <v>30367</v>
      </c>
      <c r="AU170" s="23">
        <f t="shared" ref="AU170" si="1367">+AU220</f>
        <v>33595.870554022818</v>
      </c>
      <c r="AV170" s="23">
        <f>+'QTR Raw'!P83</f>
        <v>29946</v>
      </c>
      <c r="AW170" s="23">
        <f t="shared" ref="AW170" si="1368">+AW220</f>
        <v>33817.328173968657</v>
      </c>
      <c r="AX170" s="23">
        <f>+'QTR Raw'!R83</f>
        <v>32697</v>
      </c>
      <c r="AY170" s="23">
        <f t="shared" ref="AY170" si="1369">+AY220</f>
        <v>36054.585619335347</v>
      </c>
      <c r="AZ170" s="23">
        <f>+'QTR Raw'!T83</f>
        <v>31732</v>
      </c>
      <c r="BA170" s="23">
        <f t="shared" ref="BA170" si="1370">+BA220</f>
        <v>37618.076718659737</v>
      </c>
      <c r="BB170" s="23">
        <f>+'QTR Raw'!V83</f>
        <v>22625</v>
      </c>
      <c r="BC170" s="23">
        <f t="shared" ref="BC170" si="1371">+BC220</f>
        <v>36107.328855140186</v>
      </c>
      <c r="BD170" s="23">
        <f>+'QTR Raw'!X83</f>
        <v>23339</v>
      </c>
      <c r="BE170" s="23">
        <f t="shared" ref="BE170" si="1372">+BE220</f>
        <v>40423.500597711616</v>
      </c>
      <c r="BF170" s="23">
        <f>+'QTR Raw'!Z83</f>
        <v>19818</v>
      </c>
      <c r="BG170" s="23">
        <f t="shared" ref="BG170" si="1373">+BG220</f>
        <v>29117.641486479013</v>
      </c>
      <c r="BH170" s="23">
        <f>+'QTR Raw'!AB83</f>
        <v>17851</v>
      </c>
      <c r="BI170" s="23">
        <f t="shared" ref="BI170" si="1374">+BI220</f>
        <v>28518.47503517881</v>
      </c>
      <c r="BJ170" s="23">
        <f>+'QTR Raw'!AD83</f>
        <v>19568</v>
      </c>
      <c r="BK170" s="23">
        <f t="shared" ref="BK170" si="1375">+BK220</f>
        <v>29831.552950461948</v>
      </c>
      <c r="BL170" s="23">
        <f>+'QTR Raw'!AF83</f>
        <v>16473</v>
      </c>
      <c r="BM170" s="23">
        <f t="shared" ref="BM170" si="1376">+BM220</f>
        <v>24163.169782137968</v>
      </c>
      <c r="BN170" s="23">
        <f>+'QTR Raw'!AH83</f>
        <v>18649</v>
      </c>
      <c r="BO170" s="23">
        <f t="shared" ref="BO170" si="1377">+BO220</f>
        <v>27269.551252847377</v>
      </c>
      <c r="BP170" s="23">
        <f>+'QTR Raw'!AJ83</f>
        <v>22411</v>
      </c>
      <c r="BQ170" s="23">
        <f t="shared" ref="BQ170" si="1378">+BQ220</f>
        <v>30348.898046398048</v>
      </c>
      <c r="BR170" s="23">
        <f>+'QTR Raw'!AL83</f>
        <v>24714</v>
      </c>
      <c r="BS170" s="23">
        <f t="shared" ref="BS170" si="1379">+BS220</f>
        <v>31248.048192771086</v>
      </c>
      <c r="BT170" s="23">
        <f>+'QTR Raw'!AN83</f>
        <v>18056</v>
      </c>
      <c r="BU170" s="23">
        <f t="shared" ref="BU170" si="1380">+BU220</f>
        <v>27551.451624890207</v>
      </c>
      <c r="BV170" s="23">
        <f>+'QTR Raw'!AP83</f>
        <v>17472</v>
      </c>
      <c r="BW170" s="23">
        <f t="shared" ref="BW170" si="1381">+BW220</f>
        <v>28243.089726112281</v>
      </c>
      <c r="BX170" s="23">
        <f>+'QTR Raw'!AR83</f>
        <v>14869</v>
      </c>
      <c r="BY170" s="23">
        <f t="shared" ref="BY170" si="1382">+BY220</f>
        <v>32198.50714324812</v>
      </c>
      <c r="BZ170" s="23">
        <f>+'QTR Raw'!AT83</f>
        <v>12173</v>
      </c>
      <c r="CA170" s="23">
        <f t="shared" ref="CA170" si="1383">+CA220</f>
        <v>24743.700194973419</v>
      </c>
      <c r="CB170" s="23">
        <f>+'QTR Raw'!AV83</f>
        <v>15713</v>
      </c>
      <c r="CC170" s="23">
        <f t="shared" ref="CC170" si="1384">+CC220</f>
        <v>29509.171821305834</v>
      </c>
      <c r="CD170" s="23">
        <f>+'QTR Raw'!AX83</f>
        <v>14786</v>
      </c>
      <c r="CE170" s="23">
        <f t="shared" ref="CE170" si="1385">+CE220</f>
        <v>33105.945811249112</v>
      </c>
      <c r="CF170" s="23">
        <f>+'QTR Raw'!AZ83</f>
        <v>21799</v>
      </c>
      <c r="CG170" s="23">
        <f t="shared" ref="CG170:CI170" si="1386">+CG220</f>
        <v>35502.236519787257</v>
      </c>
      <c r="CH170" s="23">
        <f t="shared" si="1362"/>
        <v>24455</v>
      </c>
      <c r="CI170" s="23">
        <f t="shared" si="1386"/>
        <v>44434.034599877828</v>
      </c>
      <c r="CJ170" s="23">
        <f>+'QTR Raw'!BD83</f>
        <v>31832</v>
      </c>
      <c r="CK170" s="23">
        <f t="shared" ref="CK170:DB170" si="1387">+CK220</f>
        <v>49775.752281411558</v>
      </c>
      <c r="CL170" s="23">
        <f>+'QTR Raw'!BF83</f>
        <v>22201</v>
      </c>
      <c r="CM170" s="24">
        <f t="shared" si="1387"/>
        <v>40212.78402253869</v>
      </c>
      <c r="CN170" s="24">
        <f t="shared" si="1387"/>
        <v>47280.908808620981</v>
      </c>
      <c r="CO170" s="24">
        <f t="shared" si="1387"/>
        <v>54660.343595896484</v>
      </c>
      <c r="CP170" s="24">
        <f t="shared" si="1387"/>
        <v>62254.057499193237</v>
      </c>
      <c r="CQ170" s="24">
        <f t="shared" si="1387"/>
        <v>69888.409948084562</v>
      </c>
      <c r="CR170" s="24">
        <f t="shared" si="1387"/>
        <v>77821.94749793259</v>
      </c>
      <c r="CS170" s="24">
        <f t="shared" si="1387"/>
        <v>85801.896988807828</v>
      </c>
      <c r="CT170" s="24">
        <f t="shared" si="1387"/>
        <v>93983.088158215935</v>
      </c>
      <c r="CU170" s="24">
        <f t="shared" si="1387"/>
        <v>103699.67993461408</v>
      </c>
      <c r="CV170" s="24">
        <f t="shared" si="1387"/>
        <v>113430.68809409064</v>
      </c>
      <c r="CW170" s="24">
        <f t="shared" si="1387"/>
        <v>123105.89950152385</v>
      </c>
      <c r="CX170" s="24">
        <f t="shared" si="1387"/>
        <v>132702.86596646052</v>
      </c>
      <c r="CY170" s="24">
        <f t="shared" si="1387"/>
        <v>142937.12012054754</v>
      </c>
      <c r="CZ170" s="24">
        <f t="shared" si="1387"/>
        <v>153352.721308087</v>
      </c>
      <c r="DA170" s="24">
        <f t="shared" si="1387"/>
        <v>163995.42088191333</v>
      </c>
      <c r="DB170" s="24">
        <f t="shared" si="1387"/>
        <v>174945.20972765234</v>
      </c>
      <c r="DE170" s="123"/>
      <c r="DF170" s="23">
        <v>22201</v>
      </c>
      <c r="DG170" s="23">
        <v>56477.621528945856</v>
      </c>
    </row>
    <row r="171" spans="1:111" s="22" customFormat="1" x14ac:dyDescent="0.2">
      <c r="A171" s="22" t="s">
        <v>77</v>
      </c>
      <c r="B171" s="22">
        <f>B169+B170</f>
        <v>385.06102850000002</v>
      </c>
      <c r="C171" s="22">
        <f t="shared" ref="C171:V171" si="1388">C169+C170</f>
        <v>772.22</v>
      </c>
      <c r="D171" s="22">
        <f t="shared" si="1388"/>
        <v>1346.54</v>
      </c>
      <c r="E171" s="22">
        <f t="shared" si="1388"/>
        <v>2664.92</v>
      </c>
      <c r="F171" s="22">
        <f t="shared" si="1388"/>
        <v>2785</v>
      </c>
      <c r="G171" s="22">
        <f t="shared" si="1388"/>
        <v>4182</v>
      </c>
      <c r="H171" s="22">
        <f t="shared" si="1388"/>
        <v>5859</v>
      </c>
      <c r="I171" s="22">
        <f t="shared" si="1388"/>
        <v>7022</v>
      </c>
      <c r="J171" s="22">
        <f t="shared" si="1388"/>
        <v>9695</v>
      </c>
      <c r="K171" s="22">
        <f t="shared" si="1388"/>
        <v>14254</v>
      </c>
      <c r="L171" s="22">
        <f t="shared" si="1388"/>
        <v>16806</v>
      </c>
      <c r="M171" s="22">
        <f t="shared" si="1388"/>
        <v>20959</v>
      </c>
      <c r="N171" s="22">
        <f t="shared" si="1388"/>
        <v>23571</v>
      </c>
      <c r="O171" s="22">
        <f t="shared" si="1388"/>
        <v>28974</v>
      </c>
      <c r="P171" s="22">
        <f t="shared" si="1388"/>
        <v>31239</v>
      </c>
      <c r="Q171" s="22">
        <f t="shared" si="1388"/>
        <v>32772</v>
      </c>
      <c r="R171" s="22">
        <f t="shared" si="1388"/>
        <v>32595</v>
      </c>
      <c r="S171" s="22">
        <f t="shared" si="1388"/>
        <v>26225</v>
      </c>
      <c r="T171" s="22">
        <f t="shared" si="1388"/>
        <v>26195</v>
      </c>
      <c r="U171" s="22">
        <f t="shared" si="1388"/>
        <v>23304</v>
      </c>
      <c r="V171" s="22">
        <f t="shared" si="1388"/>
        <v>27056</v>
      </c>
      <c r="W171" s="22">
        <f t="shared" ref="W171" si="1389">W169+W170</f>
        <v>24145</v>
      </c>
      <c r="X171" s="22">
        <f t="shared" ref="X171:Y171" si="1390">X169+X170</f>
        <v>19082</v>
      </c>
      <c r="Y171" s="22">
        <f t="shared" si="1390"/>
        <v>27701</v>
      </c>
      <c r="Z171" s="22">
        <f t="shared" ref="Z171:AA171" si="1391">Z169+Z170</f>
        <v>36937</v>
      </c>
      <c r="AA171" s="22">
        <f t="shared" ref="AA171" si="1392">AA169+AA170</f>
        <v>35151</v>
      </c>
      <c r="AB171" s="21">
        <f t="shared" ref="AB171:AD171" si="1393">AB169+AB170</f>
        <v>62254.057499193237</v>
      </c>
      <c r="AC171" s="21">
        <f t="shared" si="1393"/>
        <v>93983.088158215935</v>
      </c>
      <c r="AD171" s="21">
        <f t="shared" si="1393"/>
        <v>132702.86596646052</v>
      </c>
      <c r="AE171" s="21">
        <f t="shared" ref="AE171" si="1394">AE169+AE170</f>
        <v>174945.20972765234</v>
      </c>
      <c r="AJ171" s="22">
        <f t="shared" ref="AJ171" si="1395">AJ169+AJ170</f>
        <v>22505</v>
      </c>
      <c r="AK171" s="22">
        <f t="shared" ref="AK171" si="1396">AK169+AK170</f>
        <v>24490.350983972407</v>
      </c>
      <c r="AL171" s="22">
        <f t="shared" ref="AL171:AM171" si="1397">AL169+AL170</f>
        <v>23571</v>
      </c>
      <c r="AM171" s="22">
        <f t="shared" si="1397"/>
        <v>25408.858618710543</v>
      </c>
      <c r="AN171" s="22">
        <f t="shared" ref="AN171:AO171" si="1398">AN169+AN170</f>
        <v>25881</v>
      </c>
      <c r="AO171" s="22">
        <f t="shared" si="1398"/>
        <v>28717.216891631317</v>
      </c>
      <c r="AP171" s="22">
        <f t="shared" ref="AP171:CE171" si="1399">AP169+AP170</f>
        <v>29006</v>
      </c>
      <c r="AQ171" s="22">
        <f t="shared" si="1399"/>
        <v>31958.69436893204</v>
      </c>
      <c r="AR171" s="22">
        <f t="shared" si="1399"/>
        <v>32306</v>
      </c>
      <c r="AS171" s="22">
        <f t="shared" si="1399"/>
        <v>35252.981711887274</v>
      </c>
      <c r="AT171" s="22">
        <f t="shared" si="1399"/>
        <v>31241</v>
      </c>
      <c r="AU171" s="22">
        <f t="shared" si="1399"/>
        <v>33595.870554022818</v>
      </c>
      <c r="AV171" s="22">
        <f t="shared" si="1399"/>
        <v>30528</v>
      </c>
      <c r="AW171" s="22">
        <f t="shared" si="1399"/>
        <v>33817.328173968657</v>
      </c>
      <c r="AX171" s="22">
        <f t="shared" si="1399"/>
        <v>32772</v>
      </c>
      <c r="AY171" s="22">
        <f t="shared" si="1399"/>
        <v>36054.585619335347</v>
      </c>
      <c r="AZ171" s="22">
        <f t="shared" si="1399"/>
        <v>33886</v>
      </c>
      <c r="BA171" s="22">
        <f t="shared" si="1399"/>
        <v>37618.076718659737</v>
      </c>
      <c r="BB171" s="22">
        <f t="shared" si="1399"/>
        <v>32595</v>
      </c>
      <c r="BC171" s="22">
        <f t="shared" si="1399"/>
        <v>36107.328855140186</v>
      </c>
      <c r="BD171" s="22">
        <f t="shared" si="1399"/>
        <v>35461</v>
      </c>
      <c r="BE171" s="22">
        <f t="shared" si="1399"/>
        <v>40423.500597711616</v>
      </c>
      <c r="BF171" s="22">
        <f t="shared" si="1399"/>
        <v>26225</v>
      </c>
      <c r="BG171" s="22">
        <f t="shared" si="1399"/>
        <v>29117.641486479013</v>
      </c>
      <c r="BH171" s="22">
        <f t="shared" si="1399"/>
        <v>25431</v>
      </c>
      <c r="BI171" s="22">
        <f t="shared" si="1399"/>
        <v>28518.47503517881</v>
      </c>
      <c r="BJ171" s="22">
        <f t="shared" si="1399"/>
        <v>26195</v>
      </c>
      <c r="BK171" s="22">
        <f t="shared" si="1399"/>
        <v>29831.552950461948</v>
      </c>
      <c r="BL171" s="22">
        <f t="shared" si="1399"/>
        <v>19991</v>
      </c>
      <c r="BM171" s="22">
        <f t="shared" si="1399"/>
        <v>24163.169782137968</v>
      </c>
      <c r="BN171" s="22">
        <f t="shared" si="1399"/>
        <v>23304</v>
      </c>
      <c r="BO171" s="22">
        <f t="shared" si="1399"/>
        <v>27269.551252847377</v>
      </c>
      <c r="BP171" s="22">
        <f t="shared" si="1399"/>
        <v>26011</v>
      </c>
      <c r="BQ171" s="22">
        <f t="shared" si="1399"/>
        <v>30348.898046398048</v>
      </c>
      <c r="BR171" s="22">
        <f t="shared" si="1399"/>
        <v>27056</v>
      </c>
      <c r="BS171" s="22">
        <f t="shared" si="1399"/>
        <v>31248.048192771086</v>
      </c>
      <c r="BT171" s="22">
        <f t="shared" si="1399"/>
        <v>23039</v>
      </c>
      <c r="BU171" s="22">
        <f t="shared" si="1399"/>
        <v>27551.451624890207</v>
      </c>
      <c r="BV171" s="22">
        <f t="shared" si="1399"/>
        <v>24145</v>
      </c>
      <c r="BW171" s="22">
        <f t="shared" si="1399"/>
        <v>28243.089726112281</v>
      </c>
      <c r="BX171" s="22">
        <f t="shared" si="1399"/>
        <v>26647</v>
      </c>
      <c r="BY171" s="22">
        <f t="shared" si="1399"/>
        <v>32198.50714324812</v>
      </c>
      <c r="BZ171" s="22">
        <f t="shared" si="1399"/>
        <v>19082</v>
      </c>
      <c r="CA171" s="22">
        <f t="shared" si="1399"/>
        <v>24743.700194973419</v>
      </c>
      <c r="CB171" s="22">
        <f t="shared" si="1399"/>
        <v>23292</v>
      </c>
      <c r="CC171" s="22">
        <f t="shared" si="1399"/>
        <v>29509.171821305834</v>
      </c>
      <c r="CD171" s="22">
        <f t="shared" si="1399"/>
        <v>27701</v>
      </c>
      <c r="CE171" s="22">
        <f t="shared" si="1399"/>
        <v>33105.945811249112</v>
      </c>
      <c r="CF171" s="22">
        <f t="shared" ref="CF171:CG171" si="1400">CF169+CF170</f>
        <v>29231</v>
      </c>
      <c r="CG171" s="22">
        <f t="shared" si="1400"/>
        <v>35502.236519787257</v>
      </c>
      <c r="CH171" s="22">
        <f t="shared" ref="CH171:CI171" si="1401">CH169+CH170</f>
        <v>36937</v>
      </c>
      <c r="CI171" s="22">
        <f t="shared" si="1401"/>
        <v>44434.034599877828</v>
      </c>
      <c r="CJ171" s="22">
        <f t="shared" ref="CJ171:DB171" si="1402">CJ169+CJ170</f>
        <v>44438</v>
      </c>
      <c r="CK171" s="22">
        <f t="shared" si="1402"/>
        <v>49775.752281411558</v>
      </c>
      <c r="CL171" s="22">
        <f t="shared" ref="CL171" si="1403">CL169+CL170</f>
        <v>35151</v>
      </c>
      <c r="CM171" s="21">
        <f t="shared" si="1402"/>
        <v>40212.78402253869</v>
      </c>
      <c r="CN171" s="21">
        <f t="shared" si="1402"/>
        <v>47280.908808620981</v>
      </c>
      <c r="CO171" s="21">
        <f t="shared" si="1402"/>
        <v>54660.343595896484</v>
      </c>
      <c r="CP171" s="21">
        <f t="shared" si="1402"/>
        <v>62254.057499193237</v>
      </c>
      <c r="CQ171" s="21">
        <f t="shared" si="1402"/>
        <v>69888.409948084562</v>
      </c>
      <c r="CR171" s="21">
        <f t="shared" si="1402"/>
        <v>77821.94749793259</v>
      </c>
      <c r="CS171" s="21">
        <f t="shared" si="1402"/>
        <v>85801.896988807828</v>
      </c>
      <c r="CT171" s="21">
        <f t="shared" si="1402"/>
        <v>93983.088158215935</v>
      </c>
      <c r="CU171" s="21">
        <f t="shared" si="1402"/>
        <v>103699.67993461408</v>
      </c>
      <c r="CV171" s="21">
        <f t="shared" si="1402"/>
        <v>113430.68809409064</v>
      </c>
      <c r="CW171" s="21">
        <f t="shared" si="1402"/>
        <v>123105.89950152385</v>
      </c>
      <c r="CX171" s="21">
        <f t="shared" si="1402"/>
        <v>132702.86596646052</v>
      </c>
      <c r="CY171" s="21">
        <f t="shared" si="1402"/>
        <v>142937.12012054754</v>
      </c>
      <c r="CZ171" s="21">
        <f t="shared" si="1402"/>
        <v>153352.721308087</v>
      </c>
      <c r="DA171" s="21">
        <f t="shared" si="1402"/>
        <v>163995.42088191333</v>
      </c>
      <c r="DB171" s="21">
        <f t="shared" si="1402"/>
        <v>174945.20972765234</v>
      </c>
      <c r="DE171" s="126"/>
      <c r="DF171" s="22">
        <v>35151</v>
      </c>
      <c r="DG171" s="22">
        <v>56477.621528945856</v>
      </c>
    </row>
    <row r="172" spans="1:111" s="23" customFormat="1" x14ac:dyDescent="0.2">
      <c r="AB172" s="24"/>
      <c r="AC172" s="24"/>
      <c r="AD172" s="24"/>
      <c r="AE172" s="24"/>
      <c r="CM172" s="24"/>
      <c r="CN172" s="24"/>
      <c r="CO172" s="24"/>
      <c r="CP172" s="24"/>
      <c r="CQ172" s="24"/>
      <c r="CR172" s="24"/>
      <c r="CS172" s="24"/>
      <c r="CT172" s="24"/>
      <c r="CU172" s="24"/>
      <c r="CV172" s="24"/>
      <c r="CW172" s="24"/>
      <c r="CX172" s="24"/>
      <c r="CY172" s="24"/>
      <c r="CZ172" s="24"/>
      <c r="DA172" s="24"/>
      <c r="DB172" s="24"/>
      <c r="DE172" s="123"/>
    </row>
    <row r="173" spans="1:111" s="23" customFormat="1" x14ac:dyDescent="0.2">
      <c r="A173" s="23" t="s">
        <v>78</v>
      </c>
      <c r="B173" s="23">
        <f>-'Annual Raw'!C49</f>
        <v>0</v>
      </c>
      <c r="C173" s="23">
        <f>-'Annual Raw'!D49</f>
        <v>24.22</v>
      </c>
      <c r="D173" s="23">
        <f>-'Annual Raw'!E49</f>
        <v>36.81</v>
      </c>
      <c r="E173" s="23">
        <f>-'Annual Raw'!F49</f>
        <v>39.97</v>
      </c>
      <c r="F173" s="23">
        <f>-'Annual Raw'!G49</f>
        <v>45</v>
      </c>
      <c r="G173" s="23">
        <f>-'Annual Raw'!H49</f>
        <v>65</v>
      </c>
      <c r="H173" s="23">
        <f>-'Annual Raw'!I49</f>
        <v>92</v>
      </c>
      <c r="I173" s="23">
        <f>-'Annual Raw'!J49</f>
        <v>119</v>
      </c>
      <c r="J173" s="23">
        <f>-'Annual Raw'!K49</f>
        <v>126</v>
      </c>
      <c r="K173" s="23">
        <f>-'Annual Raw'!L49</f>
        <v>200</v>
      </c>
      <c r="L173" s="23">
        <f>-'Annual Raw'!M49</f>
        <v>321</v>
      </c>
      <c r="M173" s="23">
        <f>-'Annual Raw'!N49</f>
        <v>265</v>
      </c>
      <c r="N173" s="23">
        <f>-'Annual Raw'!O49</f>
        <v>413</v>
      </c>
      <c r="O173" s="23">
        <f>-'Annual Raw'!P49</f>
        <v>629</v>
      </c>
      <c r="P173" s="23">
        <f>-'Annual Raw'!Q49</f>
        <v>536</v>
      </c>
      <c r="Q173" s="23">
        <f>-'Annual Raw'!R49</f>
        <v>284</v>
      </c>
      <c r="R173" s="23">
        <f>-'Annual Raw'!S49</f>
        <v>333</v>
      </c>
      <c r="S173" s="23">
        <f>-'Annual Raw'!T49</f>
        <v>741</v>
      </c>
      <c r="T173" s="23">
        <f>-'Annual Raw'!U49</f>
        <v>700</v>
      </c>
      <c r="U173" s="23">
        <f>-'Annual Raw'!V49</f>
        <v>776</v>
      </c>
      <c r="V173" s="23">
        <f>-'Annual Raw'!W49</f>
        <v>223</v>
      </c>
      <c r="W173" s="23">
        <f>-'Annual Raw'!X49</f>
        <v>56</v>
      </c>
      <c r="X173" s="23">
        <f>-'Annual Raw'!Y49</f>
        <v>25</v>
      </c>
      <c r="Y173" s="23">
        <f>-'Annual Raw'!Z49</f>
        <v>-1340</v>
      </c>
      <c r="Z173" s="23">
        <f>-'Annual Raw'!AA49</f>
        <v>-614</v>
      </c>
      <c r="AA173" s="23">
        <f>-'Annual Raw'!AB49</f>
        <v>585</v>
      </c>
      <c r="AB173" s="24">
        <f t="shared" ref="AB173:AB174" si="1404">+CP173</f>
        <v>585</v>
      </c>
      <c r="AC173" s="24">
        <f t="shared" ref="AC173:AC174" si="1405">+CT173</f>
        <v>585</v>
      </c>
      <c r="AD173" s="24">
        <f t="shared" ref="AD173:AD174" si="1406">+CX173</f>
        <v>585</v>
      </c>
      <c r="AE173" s="24">
        <f t="shared" ref="AE173:AE174" si="1407">+DB173</f>
        <v>585</v>
      </c>
      <c r="AJ173" s="23">
        <f>+'QTR Raw'!D96</f>
        <v>298</v>
      </c>
      <c r="AK173" s="23">
        <f t="shared" ref="AK173:CE173" si="1408">+AJ173</f>
        <v>298</v>
      </c>
      <c r="AL173" s="23">
        <f>+'QTR Raw'!F96</f>
        <v>384</v>
      </c>
      <c r="AM173" s="23">
        <f t="shared" si="1408"/>
        <v>384</v>
      </c>
      <c r="AN173" s="23">
        <f>+'QTR Raw'!H96</f>
        <v>485</v>
      </c>
      <c r="AO173" s="23">
        <f t="shared" si="1408"/>
        <v>485</v>
      </c>
      <c r="AP173" s="23">
        <f>+'QTR Raw'!J96</f>
        <v>592</v>
      </c>
      <c r="AQ173" s="23">
        <f t="shared" si="1408"/>
        <v>592</v>
      </c>
      <c r="AR173" s="23">
        <f>+'QTR Raw'!L96</f>
        <v>610</v>
      </c>
      <c r="AS173" s="23">
        <f t="shared" si="1408"/>
        <v>610</v>
      </c>
      <c r="AT173" s="23">
        <f>+'QTR Raw'!N96</f>
        <v>377</v>
      </c>
      <c r="AU173" s="23">
        <f t="shared" si="1408"/>
        <v>377</v>
      </c>
      <c r="AV173" s="23">
        <f>+'QTR Raw'!P96</f>
        <v>234</v>
      </c>
      <c r="AW173" s="23">
        <f t="shared" si="1408"/>
        <v>234</v>
      </c>
      <c r="AX173" s="23">
        <f>+'QTR Raw'!R96</f>
        <v>284</v>
      </c>
      <c r="AY173" s="23">
        <f t="shared" si="1408"/>
        <v>284</v>
      </c>
      <c r="AZ173" s="23">
        <f>+'QTR Raw'!T96</f>
        <v>393</v>
      </c>
      <c r="BA173" s="23">
        <f t="shared" si="1408"/>
        <v>393</v>
      </c>
      <c r="BB173" s="23">
        <f>+'QTR Raw'!V96</f>
        <v>333</v>
      </c>
      <c r="BC173" s="23">
        <f t="shared" si="1408"/>
        <v>333</v>
      </c>
      <c r="BD173" s="23">
        <f>+'QTR Raw'!X96</f>
        <v>536</v>
      </c>
      <c r="BE173" s="23">
        <f t="shared" si="1408"/>
        <v>536</v>
      </c>
      <c r="BF173" s="23">
        <f>+'QTR Raw'!Z96</f>
        <v>741</v>
      </c>
      <c r="BG173" s="23">
        <f t="shared" si="1408"/>
        <v>741</v>
      </c>
      <c r="BH173" s="23">
        <f>+'QTR Raw'!AB96</f>
        <v>886</v>
      </c>
      <c r="BI173" s="23">
        <f t="shared" si="1408"/>
        <v>886</v>
      </c>
      <c r="BJ173" s="23">
        <f>+'QTR Raw'!AD96</f>
        <v>700</v>
      </c>
      <c r="BK173" s="23">
        <f t="shared" si="1408"/>
        <v>700</v>
      </c>
      <c r="BL173" s="23">
        <f>+'QTR Raw'!AF96</f>
        <v>656</v>
      </c>
      <c r="BM173" s="23">
        <f t="shared" si="1408"/>
        <v>656</v>
      </c>
      <c r="BN173" s="23">
        <f>+'QTR Raw'!AH96</f>
        <v>776</v>
      </c>
      <c r="BO173" s="23">
        <f t="shared" si="1408"/>
        <v>776</v>
      </c>
      <c r="BP173" s="23">
        <f>+'QTR Raw'!AJ96</f>
        <v>442</v>
      </c>
      <c r="BQ173" s="23">
        <f t="shared" si="1408"/>
        <v>442</v>
      </c>
      <c r="BR173" s="23">
        <f>+'QTR Raw'!AL96</f>
        <v>223</v>
      </c>
      <c r="BS173" s="23">
        <f t="shared" si="1408"/>
        <v>223</v>
      </c>
      <c r="BT173" s="23">
        <f>+'QTR Raw'!AN96</f>
        <v>118</v>
      </c>
      <c r="BU173" s="23">
        <f t="shared" si="1408"/>
        <v>118</v>
      </c>
      <c r="BV173" s="23">
        <f>+'QTR Raw'!AP96</f>
        <v>56</v>
      </c>
      <c r="BW173" s="23">
        <f t="shared" si="1408"/>
        <v>56</v>
      </c>
      <c r="BX173" s="23">
        <f>+'QTR Raw'!AR96</f>
        <v>257</v>
      </c>
      <c r="BY173" s="23">
        <f t="shared" si="1408"/>
        <v>257</v>
      </c>
      <c r="BZ173" s="23">
        <f>+'QTR Raw'!AT96</f>
        <v>25</v>
      </c>
      <c r="CA173" s="23">
        <f t="shared" si="1408"/>
        <v>25</v>
      </c>
      <c r="CB173" s="23">
        <f>+'QTR Raw'!AV96</f>
        <v>-160</v>
      </c>
      <c r="CC173" s="23">
        <f t="shared" si="1408"/>
        <v>-160</v>
      </c>
      <c r="CD173" s="23">
        <f>+'QTR Raw'!AX96</f>
        <v>-1340</v>
      </c>
      <c r="CE173" s="23">
        <f t="shared" si="1408"/>
        <v>-1340</v>
      </c>
      <c r="CF173" s="23">
        <f>+'QTR Raw'!AZ96</f>
        <v>-1130</v>
      </c>
      <c r="CG173" s="23">
        <f t="shared" ref="CG173:CI174" si="1409">+CF173</f>
        <v>-1130</v>
      </c>
      <c r="CH173" s="23">
        <f t="shared" ref="CH173:CH174" si="1410">Z173</f>
        <v>-614</v>
      </c>
      <c r="CI173" s="23">
        <f t="shared" si="1409"/>
        <v>-614</v>
      </c>
      <c r="CJ173" s="23">
        <f>+'QTR Raw'!BD96</f>
        <v>-162</v>
      </c>
      <c r="CK173" s="23">
        <f t="shared" ref="CK173:CK174" si="1411">+CJ173</f>
        <v>-162</v>
      </c>
      <c r="CL173" s="23">
        <f>+'QTR Raw'!BF96</f>
        <v>585</v>
      </c>
      <c r="CM173" s="24">
        <f t="shared" ref="CM173:CM174" si="1412">+CL173</f>
        <v>585</v>
      </c>
      <c r="CN173" s="24">
        <f t="shared" ref="CN173:CN174" si="1413">+CM173</f>
        <v>585</v>
      </c>
      <c r="CO173" s="24">
        <f t="shared" ref="CO173:CO174" si="1414">+CN173</f>
        <v>585</v>
      </c>
      <c r="CP173" s="24">
        <f t="shared" ref="CP173:CP174" si="1415">+CO173</f>
        <v>585</v>
      </c>
      <c r="CQ173" s="24">
        <f t="shared" ref="CQ173:CQ174" si="1416">+CP173</f>
        <v>585</v>
      </c>
      <c r="CR173" s="24">
        <f t="shared" ref="CR173:CR174" si="1417">+CQ173</f>
        <v>585</v>
      </c>
      <c r="CS173" s="24">
        <f t="shared" ref="CS173:CS174" si="1418">+CR173</f>
        <v>585</v>
      </c>
      <c r="CT173" s="24">
        <f t="shared" ref="CT173:CT174" si="1419">+CS173</f>
        <v>585</v>
      </c>
      <c r="CU173" s="24">
        <f t="shared" ref="CU173:CU174" si="1420">+CT173</f>
        <v>585</v>
      </c>
      <c r="CV173" s="24">
        <f t="shared" ref="CV173:CV174" si="1421">+CU173</f>
        <v>585</v>
      </c>
      <c r="CW173" s="24">
        <f t="shared" ref="CW173:CW174" si="1422">+CV173</f>
        <v>585</v>
      </c>
      <c r="CX173" s="24">
        <f t="shared" ref="CX173:CX174" si="1423">+CW173</f>
        <v>585</v>
      </c>
      <c r="CY173" s="24">
        <f t="shared" ref="CY173:CY174" si="1424">+CX173</f>
        <v>585</v>
      </c>
      <c r="CZ173" s="24">
        <f t="shared" ref="CZ173:CZ174" si="1425">+CY173</f>
        <v>585</v>
      </c>
      <c r="DA173" s="24">
        <f t="shared" ref="DA173:DA174" si="1426">+CZ173</f>
        <v>585</v>
      </c>
      <c r="DB173" s="24">
        <f t="shared" ref="DB173:DB174" si="1427">+DA173</f>
        <v>585</v>
      </c>
      <c r="DE173" s="123"/>
      <c r="DF173" s="23">
        <v>585</v>
      </c>
      <c r="DG173" s="23">
        <v>-162</v>
      </c>
    </row>
    <row r="174" spans="1:111" s="23" customFormat="1" x14ac:dyDescent="0.2">
      <c r="A174" s="23" t="s">
        <v>79</v>
      </c>
      <c r="B174" s="23">
        <f>'Annual Raw'!C83</f>
        <v>0</v>
      </c>
      <c r="C174" s="23">
        <f>'Annual Raw'!D83</f>
        <v>0</v>
      </c>
      <c r="D174" s="23">
        <f>'Annual Raw'!E83</f>
        <v>0</v>
      </c>
      <c r="E174" s="23">
        <f>'Annual Raw'!F83</f>
        <v>0</v>
      </c>
      <c r="F174" s="23">
        <f>'Annual Raw'!G83</f>
        <v>0</v>
      </c>
      <c r="G174" s="23">
        <f>'Annual Raw'!H83</f>
        <v>0</v>
      </c>
      <c r="H174" s="23">
        <f>'Annual Raw'!I83</f>
        <v>0</v>
      </c>
      <c r="I174" s="23">
        <f>'Annual Raw'!J83</f>
        <v>0</v>
      </c>
      <c r="J174" s="23">
        <f>'Annual Raw'!K83</f>
        <v>0</v>
      </c>
      <c r="K174" s="23">
        <f>'Annual Raw'!L83</f>
        <v>0</v>
      </c>
      <c r="L174" s="23">
        <f>'Annual Raw'!M83</f>
        <v>0</v>
      </c>
      <c r="M174" s="23">
        <f>'Annual Raw'!N83</f>
        <v>0</v>
      </c>
      <c r="N174" s="23">
        <f>'Annual Raw'!O83</f>
        <v>0</v>
      </c>
      <c r="O174" s="23">
        <f>'Annual Raw'!P83</f>
        <v>0</v>
      </c>
      <c r="P174" s="23">
        <f>'Annual Raw'!Q83</f>
        <v>0</v>
      </c>
      <c r="Q174" s="23">
        <f>'Annual Raw'!R83</f>
        <v>0</v>
      </c>
      <c r="R174" s="23">
        <f>'Annual Raw'!S83</f>
        <v>0</v>
      </c>
      <c r="S174" s="23">
        <f>'Annual Raw'!T83</f>
        <v>0</v>
      </c>
      <c r="T174" s="23">
        <f>'Annual Raw'!U83</f>
        <v>0</v>
      </c>
      <c r="U174" s="23">
        <f>'Annual Raw'!V83</f>
        <v>0</v>
      </c>
      <c r="V174" s="23">
        <f>'Annual Raw'!W83</f>
        <v>0</v>
      </c>
      <c r="W174" s="23">
        <f>'Annual Raw'!X83</f>
        <v>0</v>
      </c>
      <c r="X174" s="23">
        <f>'Annual Raw'!Y83</f>
        <v>0</v>
      </c>
      <c r="Y174" s="23">
        <f>'Annual Raw'!Z83</f>
        <v>0</v>
      </c>
      <c r="Z174" s="23">
        <f>'Annual Raw'!AA83</f>
        <v>0</v>
      </c>
      <c r="AA174" s="23">
        <f>'Annual Raw'!AB83</f>
        <v>0</v>
      </c>
      <c r="AB174" s="24">
        <f t="shared" si="1404"/>
        <v>0</v>
      </c>
      <c r="AC174" s="24">
        <f t="shared" si="1405"/>
        <v>0</v>
      </c>
      <c r="AD174" s="24">
        <f t="shared" si="1406"/>
        <v>0</v>
      </c>
      <c r="AE174" s="24">
        <f t="shared" si="1407"/>
        <v>0</v>
      </c>
      <c r="AJ174" s="23">
        <f>+'QTR Raw'!D95</f>
        <v>0</v>
      </c>
      <c r="AK174" s="23">
        <f t="shared" ref="AK174:CE174" si="1428">+AJ174</f>
        <v>0</v>
      </c>
      <c r="AL174" s="23">
        <f>+'QTR Raw'!F95</f>
        <v>0</v>
      </c>
      <c r="AM174" s="23">
        <f t="shared" si="1428"/>
        <v>0</v>
      </c>
      <c r="AN174" s="23">
        <f>+'QTR Raw'!H95</f>
        <v>0</v>
      </c>
      <c r="AO174" s="23">
        <f t="shared" si="1428"/>
        <v>0</v>
      </c>
      <c r="AP174" s="23">
        <f>+'QTR Raw'!J95</f>
        <v>0</v>
      </c>
      <c r="AQ174" s="23">
        <f t="shared" si="1428"/>
        <v>0</v>
      </c>
      <c r="AR174" s="23">
        <f>+'QTR Raw'!L95</f>
        <v>0</v>
      </c>
      <c r="AS174" s="23">
        <f t="shared" si="1428"/>
        <v>0</v>
      </c>
      <c r="AT174" s="23">
        <f>+'QTR Raw'!N95</f>
        <v>0</v>
      </c>
      <c r="AU174" s="23">
        <f t="shared" si="1428"/>
        <v>0</v>
      </c>
      <c r="AV174" s="23">
        <f>+'QTR Raw'!P95</f>
        <v>0</v>
      </c>
      <c r="AW174" s="23">
        <f t="shared" si="1428"/>
        <v>0</v>
      </c>
      <c r="AX174" s="23">
        <f>+'QTR Raw'!R95</f>
        <v>0</v>
      </c>
      <c r="AY174" s="23">
        <f t="shared" si="1428"/>
        <v>0</v>
      </c>
      <c r="AZ174" s="23">
        <f>+'QTR Raw'!T95</f>
        <v>0</v>
      </c>
      <c r="BA174" s="23">
        <f t="shared" si="1428"/>
        <v>0</v>
      </c>
      <c r="BB174" s="23">
        <f>+'QTR Raw'!V95</f>
        <v>0</v>
      </c>
      <c r="BC174" s="23">
        <f t="shared" si="1428"/>
        <v>0</v>
      </c>
      <c r="BD174" s="23">
        <f>+'QTR Raw'!X95</f>
        <v>0</v>
      </c>
      <c r="BE174" s="23">
        <f t="shared" si="1428"/>
        <v>0</v>
      </c>
      <c r="BF174" s="23">
        <f>+'QTR Raw'!Z95</f>
        <v>0</v>
      </c>
      <c r="BG174" s="23">
        <f t="shared" si="1428"/>
        <v>0</v>
      </c>
      <c r="BH174" s="23">
        <f>+'QTR Raw'!AB95</f>
        <v>0</v>
      </c>
      <c r="BI174" s="23">
        <f t="shared" si="1428"/>
        <v>0</v>
      </c>
      <c r="BJ174" s="23">
        <f>+'QTR Raw'!AD95</f>
        <v>0</v>
      </c>
      <c r="BK174" s="23">
        <f t="shared" si="1428"/>
        <v>0</v>
      </c>
      <c r="BL174" s="23">
        <f>+'QTR Raw'!AF95</f>
        <v>0</v>
      </c>
      <c r="BM174" s="23">
        <f t="shared" si="1428"/>
        <v>0</v>
      </c>
      <c r="BN174" s="23">
        <f>+'QTR Raw'!AH95</f>
        <v>0</v>
      </c>
      <c r="BO174" s="23">
        <f t="shared" si="1428"/>
        <v>0</v>
      </c>
      <c r="BP174" s="23">
        <f>+'QTR Raw'!AJ95</f>
        <v>0</v>
      </c>
      <c r="BQ174" s="23">
        <f t="shared" si="1428"/>
        <v>0</v>
      </c>
      <c r="BR174" s="23">
        <f>+'QTR Raw'!AL95</f>
        <v>0</v>
      </c>
      <c r="BS174" s="23">
        <f t="shared" si="1428"/>
        <v>0</v>
      </c>
      <c r="BT174" s="23">
        <f>+'QTR Raw'!AN95</f>
        <v>0</v>
      </c>
      <c r="BU174" s="23">
        <f t="shared" si="1428"/>
        <v>0</v>
      </c>
      <c r="BV174" s="23">
        <f>+'QTR Raw'!AP95</f>
        <v>0</v>
      </c>
      <c r="BW174" s="23">
        <f t="shared" si="1428"/>
        <v>0</v>
      </c>
      <c r="BX174" s="23">
        <f>+'QTR Raw'!AR95</f>
        <v>0</v>
      </c>
      <c r="BY174" s="23">
        <f t="shared" si="1428"/>
        <v>0</v>
      </c>
      <c r="BZ174" s="23">
        <f>+'QTR Raw'!AT95</f>
        <v>0</v>
      </c>
      <c r="CA174" s="23">
        <f t="shared" si="1428"/>
        <v>0</v>
      </c>
      <c r="CB174" s="23">
        <f>+'QTR Raw'!AV95</f>
        <v>0</v>
      </c>
      <c r="CC174" s="23">
        <f t="shared" si="1428"/>
        <v>0</v>
      </c>
      <c r="CD174" s="23">
        <f>+'QTR Raw'!AX95</f>
        <v>0</v>
      </c>
      <c r="CE174" s="23">
        <f t="shared" si="1428"/>
        <v>0</v>
      </c>
      <c r="CF174" s="23">
        <f>+'QTR Raw'!AZ95</f>
        <v>0</v>
      </c>
      <c r="CG174" s="23">
        <f t="shared" si="1409"/>
        <v>0</v>
      </c>
      <c r="CH174" s="23">
        <f t="shared" si="1410"/>
        <v>0</v>
      </c>
      <c r="CI174" s="23">
        <f t="shared" si="1409"/>
        <v>0</v>
      </c>
      <c r="CJ174" s="23">
        <f>+'QTR Raw'!BD95</f>
        <v>0</v>
      </c>
      <c r="CK174" s="23">
        <f t="shared" si="1411"/>
        <v>0</v>
      </c>
      <c r="CL174" s="23">
        <f>+'QTR Raw'!BF95</f>
        <v>0</v>
      </c>
      <c r="CM174" s="24">
        <f t="shared" si="1412"/>
        <v>0</v>
      </c>
      <c r="CN174" s="24">
        <f t="shared" si="1413"/>
        <v>0</v>
      </c>
      <c r="CO174" s="24">
        <f t="shared" si="1414"/>
        <v>0</v>
      </c>
      <c r="CP174" s="24">
        <f t="shared" si="1415"/>
        <v>0</v>
      </c>
      <c r="CQ174" s="24">
        <f t="shared" si="1416"/>
        <v>0</v>
      </c>
      <c r="CR174" s="24">
        <f t="shared" si="1417"/>
        <v>0</v>
      </c>
      <c r="CS174" s="24">
        <f t="shared" si="1418"/>
        <v>0</v>
      </c>
      <c r="CT174" s="24">
        <f t="shared" si="1419"/>
        <v>0</v>
      </c>
      <c r="CU174" s="24">
        <f t="shared" si="1420"/>
        <v>0</v>
      </c>
      <c r="CV174" s="24">
        <f t="shared" si="1421"/>
        <v>0</v>
      </c>
      <c r="CW174" s="24">
        <f t="shared" si="1422"/>
        <v>0</v>
      </c>
      <c r="CX174" s="24">
        <f t="shared" si="1423"/>
        <v>0</v>
      </c>
      <c r="CY174" s="24">
        <f t="shared" si="1424"/>
        <v>0</v>
      </c>
      <c r="CZ174" s="24">
        <f t="shared" si="1425"/>
        <v>0</v>
      </c>
      <c r="DA174" s="24">
        <f t="shared" si="1426"/>
        <v>0</v>
      </c>
      <c r="DB174" s="24">
        <f t="shared" si="1427"/>
        <v>0</v>
      </c>
      <c r="DE174" s="123"/>
      <c r="DF174" s="23">
        <v>0</v>
      </c>
      <c r="DG174" s="23">
        <v>0</v>
      </c>
    </row>
    <row r="175" spans="1:111" s="26" customFormat="1" x14ac:dyDescent="0.2">
      <c r="A175" s="26" t="s">
        <v>438</v>
      </c>
      <c r="B175" s="26">
        <f t="shared" ref="B175:W175" si="1429">B173+B171+B167+B150+B148+B174</f>
        <v>1389.6391988</v>
      </c>
      <c r="C175" s="26">
        <f t="shared" si="1429"/>
        <v>2080.3100000000004</v>
      </c>
      <c r="D175" s="26">
        <f t="shared" si="1429"/>
        <v>2906.4899999999993</v>
      </c>
      <c r="E175" s="26">
        <f t="shared" si="1429"/>
        <v>3343.14</v>
      </c>
      <c r="F175" s="26">
        <f t="shared" si="1429"/>
        <v>5319</v>
      </c>
      <c r="G175" s="26">
        <f t="shared" si="1429"/>
        <v>7034</v>
      </c>
      <c r="H175" s="26">
        <f t="shared" si="1429"/>
        <v>11259</v>
      </c>
      <c r="I175" s="26">
        <f t="shared" si="1429"/>
        <v>13795</v>
      </c>
      <c r="J175" s="26">
        <f t="shared" si="1429"/>
        <v>18254</v>
      </c>
      <c r="K175" s="26">
        <f t="shared" si="1429"/>
        <v>23049</v>
      </c>
      <c r="L175" s="26">
        <f t="shared" si="1429"/>
        <v>25976</v>
      </c>
      <c r="M175" s="26">
        <f t="shared" si="1429"/>
        <v>31332</v>
      </c>
      <c r="N175" s="26">
        <f t="shared" si="1429"/>
        <v>37994</v>
      </c>
      <c r="O175" s="26">
        <f t="shared" si="1429"/>
        <v>44530</v>
      </c>
      <c r="P175" s="26">
        <f t="shared" si="1429"/>
        <v>50736</v>
      </c>
      <c r="Q175" s="26">
        <f t="shared" si="1429"/>
        <v>61744</v>
      </c>
      <c r="R175" s="26">
        <f t="shared" si="1429"/>
        <v>68982</v>
      </c>
      <c r="S175" s="26">
        <f t="shared" si="1429"/>
        <v>64924</v>
      </c>
      <c r="T175" s="26">
        <f t="shared" si="1429"/>
        <v>65006</v>
      </c>
      <c r="U175" s="26">
        <f t="shared" si="1429"/>
        <v>65844</v>
      </c>
      <c r="V175" s="26">
        <f t="shared" si="1429"/>
        <v>76782</v>
      </c>
      <c r="W175" s="26">
        <f t="shared" si="1429"/>
        <v>75736</v>
      </c>
      <c r="X175" s="26">
        <f t="shared" ref="X175:Y175" si="1430">X173+X171+X167+X150+X148+X174</f>
        <v>75795</v>
      </c>
      <c r="Y175" s="26">
        <f t="shared" si="1430"/>
        <v>88461</v>
      </c>
      <c r="Z175" s="26">
        <f t="shared" ref="Z175:AA175" si="1431">Z173+Z171+Z167+Z150+Z148+Z174</f>
        <v>96203</v>
      </c>
      <c r="AA175" s="26">
        <f t="shared" ref="AA175" si="1432">AA173+AA171+AA167+AA150+AA148+AA174</f>
        <v>93297</v>
      </c>
      <c r="AB175" s="27">
        <f t="shared" ref="AB175:AD175" si="1433">AB173+AB171+AB167+AB150+AB148+AB174</f>
        <v>125184.76644252043</v>
      </c>
      <c r="AC175" s="27">
        <f t="shared" si="1433"/>
        <v>159739.27357036038</v>
      </c>
      <c r="AD175" s="27">
        <f t="shared" si="1433"/>
        <v>194719.67306528246</v>
      </c>
      <c r="AE175" s="27">
        <f t="shared" ref="AE175" si="1434">AE173+AE171+AE167+AE150+AE148+AE174</f>
        <v>236262.63981691981</v>
      </c>
      <c r="AJ175" s="26">
        <f t="shared" ref="AJ175" si="1435">AJ173+AJ171+AJ167+AJ150+AJ148+AJ174</f>
        <v>36016</v>
      </c>
      <c r="AK175" s="26">
        <f t="shared" ref="AK175:AL175" si="1436">AK173+AK171+AK167+AK150+AK148+AK174</f>
        <v>38385</v>
      </c>
      <c r="AL175" s="26">
        <f t="shared" si="1436"/>
        <v>39797</v>
      </c>
      <c r="AM175" s="26">
        <f t="shared" ref="AM175:AO175" si="1437">AM173+AM171+AM167+AM150+AM148+AM174</f>
        <v>42171</v>
      </c>
      <c r="AN175" s="26">
        <f t="shared" si="1437"/>
        <v>43199</v>
      </c>
      <c r="AO175" s="26">
        <f t="shared" si="1437"/>
        <v>46074</v>
      </c>
      <c r="AP175" s="26">
        <f t="shared" ref="AP175:CE175" si="1438">AP173+AP171+AP167+AP150+AP148+AP174</f>
        <v>47530</v>
      </c>
      <c r="AQ175" s="26">
        <f t="shared" si="1438"/>
        <v>50416</v>
      </c>
      <c r="AR175" s="26">
        <f t="shared" si="1438"/>
        <v>50582</v>
      </c>
      <c r="AS175" s="26">
        <f t="shared" si="1438"/>
        <v>53832</v>
      </c>
      <c r="AT175" s="26">
        <f t="shared" si="1438"/>
        <v>54763</v>
      </c>
      <c r="AU175" s="26">
        <f t="shared" si="1438"/>
        <v>57791</v>
      </c>
      <c r="AV175" s="26">
        <f t="shared" si="1438"/>
        <v>57345</v>
      </c>
      <c r="AW175" s="26">
        <f t="shared" si="1438"/>
        <v>60810</v>
      </c>
      <c r="AX175" s="26">
        <f t="shared" si="1438"/>
        <v>61744</v>
      </c>
      <c r="AY175" s="26">
        <f t="shared" si="1438"/>
        <v>65180</v>
      </c>
      <c r="AZ175" s="26">
        <f t="shared" si="1438"/>
        <v>64825</v>
      </c>
      <c r="BA175" s="26">
        <f t="shared" si="1438"/>
        <v>68533</v>
      </c>
      <c r="BB175" s="26">
        <f t="shared" si="1438"/>
        <v>68982</v>
      </c>
      <c r="BC175" s="26">
        <f t="shared" si="1438"/>
        <v>72465</v>
      </c>
      <c r="BD175" s="26">
        <f t="shared" si="1438"/>
        <v>72370</v>
      </c>
      <c r="BE175" s="26">
        <f t="shared" si="1438"/>
        <v>77499</v>
      </c>
      <c r="BF175" s="26">
        <f t="shared" si="1438"/>
        <v>64924</v>
      </c>
      <c r="BG175" s="26">
        <f t="shared" si="1438"/>
        <v>68536</v>
      </c>
      <c r="BH175" s="26">
        <f t="shared" ref="BH175" si="1439">BH173+BH171+BH167+BH150+BH148+BH174</f>
        <v>65149</v>
      </c>
      <c r="BI175" s="26">
        <f t="shared" si="1438"/>
        <v>68758</v>
      </c>
      <c r="BJ175" s="26">
        <f t="shared" si="1438"/>
        <v>65006</v>
      </c>
      <c r="BK175" s="26">
        <f t="shared" si="1438"/>
        <v>68804</v>
      </c>
      <c r="BL175" s="26">
        <f t="shared" si="1438"/>
        <v>60881</v>
      </c>
      <c r="BM175" s="26">
        <f t="shared" si="1438"/>
        <v>65338</v>
      </c>
      <c r="BN175" s="26">
        <f t="shared" si="1438"/>
        <v>65844</v>
      </c>
      <c r="BO175" s="26">
        <f t="shared" si="1438"/>
        <v>70077</v>
      </c>
      <c r="BP175" s="26">
        <f t="shared" si="1438"/>
        <v>71434</v>
      </c>
      <c r="BQ175" s="26">
        <f t="shared" si="1438"/>
        <v>76631</v>
      </c>
      <c r="BR175" s="26">
        <f t="shared" si="1438"/>
        <v>76782</v>
      </c>
      <c r="BS175" s="26">
        <f t="shared" si="1438"/>
        <v>81977</v>
      </c>
      <c r="BT175" s="26">
        <f t="shared" si="1438"/>
        <v>70348</v>
      </c>
      <c r="BU175" s="26">
        <f t="shared" si="1438"/>
        <v>76157</v>
      </c>
      <c r="BV175" s="26">
        <f t="shared" si="1438"/>
        <v>75736</v>
      </c>
      <c r="BW175" s="26">
        <f t="shared" si="1438"/>
        <v>81096</v>
      </c>
      <c r="BX175" s="26">
        <f t="shared" si="1438"/>
        <v>80347</v>
      </c>
      <c r="BY175" s="26">
        <f t="shared" si="1438"/>
        <v>86933</v>
      </c>
      <c r="BZ175" s="26">
        <f t="shared" si="1438"/>
        <v>75795</v>
      </c>
      <c r="CA175" s="26">
        <f t="shared" si="1438"/>
        <v>81740</v>
      </c>
      <c r="CB175" s="26">
        <f t="shared" si="1438"/>
        <v>81154</v>
      </c>
      <c r="CC175" s="26">
        <f t="shared" si="1438"/>
        <v>87260</v>
      </c>
      <c r="CD175" s="26">
        <f t="shared" si="1438"/>
        <v>88461</v>
      </c>
      <c r="CE175" s="26">
        <f t="shared" si="1438"/>
        <v>94829</v>
      </c>
      <c r="CF175" s="26">
        <f t="shared" ref="CF175:CG175" si="1440">CF173+CF171+CF167+CF150+CF148+CF174</f>
        <v>90830</v>
      </c>
      <c r="CG175" s="26">
        <f t="shared" si="1440"/>
        <v>97636</v>
      </c>
      <c r="CH175" s="26">
        <f t="shared" ref="CH175:CI175" si="1441">CH173+CH171+CH167+CH150+CH148+CH174</f>
        <v>96203</v>
      </c>
      <c r="CI175" s="26">
        <f t="shared" si="1441"/>
        <v>103124</v>
      </c>
      <c r="CJ175" s="26">
        <f t="shared" ref="CJ175:DB175" si="1442">CJ173+CJ171+CJ167+CJ150+CJ148+CJ174</f>
        <v>103744</v>
      </c>
      <c r="CK175" s="26">
        <f t="shared" si="1442"/>
        <v>110398</v>
      </c>
      <c r="CL175" s="26">
        <f t="shared" ref="CL175" si="1443">CL173+CL171+CL167+CL150+CL148+CL174</f>
        <v>93297</v>
      </c>
      <c r="CM175" s="27">
        <f t="shared" si="1442"/>
        <v>100958.42552918478</v>
      </c>
      <c r="CN175" s="27">
        <f t="shared" si="1442"/>
        <v>108836.33239864135</v>
      </c>
      <c r="CO175" s="27">
        <f t="shared" si="1442"/>
        <v>116924.4301451716</v>
      </c>
      <c r="CP175" s="27">
        <f t="shared" si="1442"/>
        <v>125184.76644252043</v>
      </c>
      <c r="CQ175" s="27">
        <f t="shared" si="1442"/>
        <v>133571.77711956701</v>
      </c>
      <c r="CR175" s="27">
        <f t="shared" si="1442"/>
        <v>142205.57814141226</v>
      </c>
      <c r="CS175" s="27">
        <f t="shared" si="1442"/>
        <v>150869.29809828845</v>
      </c>
      <c r="CT175" s="27">
        <f t="shared" si="1442"/>
        <v>159739.27357036038</v>
      </c>
      <c r="CU175" s="27">
        <f t="shared" si="1442"/>
        <v>168223.19192883233</v>
      </c>
      <c r="CV175" s="27">
        <f t="shared" si="1442"/>
        <v>176919.66453651967</v>
      </c>
      <c r="CW175" s="27">
        <f t="shared" si="1442"/>
        <v>185759.8315602002</v>
      </c>
      <c r="CX175" s="27">
        <f t="shared" si="1442"/>
        <v>194719.67306528246</v>
      </c>
      <c r="CY175" s="27">
        <f t="shared" si="1442"/>
        <v>204512.70483988442</v>
      </c>
      <c r="CZ175" s="27">
        <f t="shared" si="1442"/>
        <v>214665.20794376219</v>
      </c>
      <c r="DA175" s="27">
        <f t="shared" si="1442"/>
        <v>225222.32321702453</v>
      </c>
      <c r="DB175" s="27">
        <f t="shared" si="1442"/>
        <v>236262.63981691981</v>
      </c>
      <c r="DE175" s="121"/>
      <c r="DF175" s="26">
        <v>93297</v>
      </c>
      <c r="DG175" s="26">
        <v>117629.85524680594</v>
      </c>
    </row>
    <row r="176" spans="1:111" s="23" customFormat="1" x14ac:dyDescent="0.2">
      <c r="A176" s="28" t="s">
        <v>439</v>
      </c>
      <c r="B176" s="23">
        <f t="shared" ref="B176:W176" si="1444">B175-B139</f>
        <v>0</v>
      </c>
      <c r="C176" s="23">
        <f t="shared" si="1444"/>
        <v>0</v>
      </c>
      <c r="D176" s="23">
        <f t="shared" si="1444"/>
        <v>0</v>
      </c>
      <c r="E176" s="23">
        <f t="shared" si="1444"/>
        <v>0</v>
      </c>
      <c r="F176" s="23">
        <f t="shared" si="1444"/>
        <v>0</v>
      </c>
      <c r="G176" s="23">
        <f t="shared" si="1444"/>
        <v>0</v>
      </c>
      <c r="H176" s="23">
        <f t="shared" si="1444"/>
        <v>0</v>
      </c>
      <c r="I176" s="23">
        <f t="shared" si="1444"/>
        <v>0</v>
      </c>
      <c r="J176" s="23">
        <f t="shared" si="1444"/>
        <v>0</v>
      </c>
      <c r="K176" s="23">
        <f t="shared" si="1444"/>
        <v>0</v>
      </c>
      <c r="L176" s="23">
        <f t="shared" si="1444"/>
        <v>0</v>
      </c>
      <c r="M176" s="23">
        <f t="shared" si="1444"/>
        <v>0</v>
      </c>
      <c r="N176" s="23">
        <f t="shared" si="1444"/>
        <v>0</v>
      </c>
      <c r="O176" s="23">
        <f t="shared" si="1444"/>
        <v>0</v>
      </c>
      <c r="P176" s="23">
        <f t="shared" si="1444"/>
        <v>0</v>
      </c>
      <c r="Q176" s="23">
        <f t="shared" si="1444"/>
        <v>0</v>
      </c>
      <c r="R176" s="23">
        <f t="shared" si="1444"/>
        <v>0</v>
      </c>
      <c r="S176" s="23">
        <f t="shared" si="1444"/>
        <v>0</v>
      </c>
      <c r="T176" s="23">
        <f t="shared" si="1444"/>
        <v>0</v>
      </c>
      <c r="U176" s="23">
        <f t="shared" si="1444"/>
        <v>0</v>
      </c>
      <c r="V176" s="23">
        <f t="shared" si="1444"/>
        <v>0</v>
      </c>
      <c r="W176" s="23">
        <f t="shared" si="1444"/>
        <v>0</v>
      </c>
      <c r="X176" s="23">
        <f t="shared" ref="X176:Y176" si="1445">X175-X139</f>
        <v>0</v>
      </c>
      <c r="Y176" s="23">
        <f t="shared" si="1445"/>
        <v>0</v>
      </c>
      <c r="Z176" s="23">
        <f t="shared" ref="Z176:AA176" si="1446">Z175-Z139</f>
        <v>0</v>
      </c>
      <c r="AA176" s="23">
        <f t="shared" ref="AA176" si="1447">AA175-AA139</f>
        <v>0</v>
      </c>
      <c r="AB176" s="24">
        <f t="shared" ref="AB176:AD176" si="1448">AB175-AB139</f>
        <v>0</v>
      </c>
      <c r="AC176" s="24">
        <f t="shared" si="1448"/>
        <v>0</v>
      </c>
      <c r="AD176" s="24">
        <f t="shared" si="1448"/>
        <v>0</v>
      </c>
      <c r="AE176" s="24">
        <f t="shared" ref="AE176" si="1449">AE175-AE139</f>
        <v>0</v>
      </c>
      <c r="AJ176" s="23">
        <f t="shared" ref="AJ176" si="1450">AJ175-AJ139</f>
        <v>0</v>
      </c>
      <c r="AK176" s="23">
        <f t="shared" ref="AK176" si="1451">AK175-AK139</f>
        <v>0</v>
      </c>
      <c r="AL176" s="23">
        <f t="shared" ref="AL176:AM176" si="1452">AL175-AL139</f>
        <v>0</v>
      </c>
      <c r="AM176" s="23">
        <f t="shared" si="1452"/>
        <v>0</v>
      </c>
      <c r="AN176" s="23">
        <f t="shared" ref="AN176:AO176" si="1453">AN175-AN139</f>
        <v>0</v>
      </c>
      <c r="AO176" s="23">
        <f t="shared" si="1453"/>
        <v>0</v>
      </c>
      <c r="AP176" s="23">
        <f t="shared" ref="AP176:CE176" si="1454">AP175-AP139</f>
        <v>0</v>
      </c>
      <c r="AQ176" s="23">
        <f t="shared" si="1454"/>
        <v>0</v>
      </c>
      <c r="AR176" s="23">
        <f t="shared" si="1454"/>
        <v>0</v>
      </c>
      <c r="AS176" s="23">
        <f t="shared" si="1454"/>
        <v>0</v>
      </c>
      <c r="AT176" s="23">
        <f t="shared" si="1454"/>
        <v>0</v>
      </c>
      <c r="AU176" s="23">
        <f t="shared" si="1454"/>
        <v>0</v>
      </c>
      <c r="AV176" s="23">
        <f t="shared" si="1454"/>
        <v>0</v>
      </c>
      <c r="AW176" s="23">
        <f t="shared" si="1454"/>
        <v>0</v>
      </c>
      <c r="AX176" s="23">
        <f t="shared" si="1454"/>
        <v>0</v>
      </c>
      <c r="AY176" s="23">
        <f t="shared" si="1454"/>
        <v>0</v>
      </c>
      <c r="AZ176" s="23">
        <f t="shared" si="1454"/>
        <v>0</v>
      </c>
      <c r="BA176" s="23">
        <f t="shared" si="1454"/>
        <v>0</v>
      </c>
      <c r="BB176" s="23">
        <f t="shared" si="1454"/>
        <v>0</v>
      </c>
      <c r="BC176" s="23">
        <f t="shared" si="1454"/>
        <v>0</v>
      </c>
      <c r="BD176" s="23">
        <f t="shared" si="1454"/>
        <v>0</v>
      </c>
      <c r="BE176" s="23">
        <f t="shared" si="1454"/>
        <v>0</v>
      </c>
      <c r="BF176" s="23">
        <f t="shared" si="1454"/>
        <v>0</v>
      </c>
      <c r="BG176" s="23">
        <f t="shared" si="1454"/>
        <v>0</v>
      </c>
      <c r="BH176" s="23">
        <f t="shared" ref="BH176" si="1455">BH175-BH139</f>
        <v>0</v>
      </c>
      <c r="BI176" s="23">
        <f t="shared" si="1454"/>
        <v>0</v>
      </c>
      <c r="BJ176" s="23">
        <f t="shared" si="1454"/>
        <v>0</v>
      </c>
      <c r="BK176" s="23">
        <f t="shared" si="1454"/>
        <v>0</v>
      </c>
      <c r="BL176" s="23">
        <f t="shared" si="1454"/>
        <v>0</v>
      </c>
      <c r="BM176" s="23">
        <f t="shared" si="1454"/>
        <v>0</v>
      </c>
      <c r="BN176" s="23">
        <f t="shared" si="1454"/>
        <v>0</v>
      </c>
      <c r="BO176" s="23">
        <f t="shared" si="1454"/>
        <v>0</v>
      </c>
      <c r="BP176" s="23">
        <f t="shared" si="1454"/>
        <v>0</v>
      </c>
      <c r="BQ176" s="23">
        <f t="shared" si="1454"/>
        <v>0</v>
      </c>
      <c r="BR176" s="23">
        <f t="shared" si="1454"/>
        <v>0</v>
      </c>
      <c r="BS176" s="23">
        <f t="shared" si="1454"/>
        <v>0</v>
      </c>
      <c r="BT176" s="23">
        <f t="shared" si="1454"/>
        <v>0</v>
      </c>
      <c r="BU176" s="23">
        <f t="shared" si="1454"/>
        <v>0</v>
      </c>
      <c r="BV176" s="23">
        <f t="shared" si="1454"/>
        <v>0</v>
      </c>
      <c r="BW176" s="23">
        <f t="shared" si="1454"/>
        <v>0</v>
      </c>
      <c r="BX176" s="23">
        <f t="shared" si="1454"/>
        <v>0</v>
      </c>
      <c r="BY176" s="23">
        <f t="shared" si="1454"/>
        <v>0</v>
      </c>
      <c r="BZ176" s="23">
        <f t="shared" si="1454"/>
        <v>0</v>
      </c>
      <c r="CA176" s="23">
        <f t="shared" si="1454"/>
        <v>0</v>
      </c>
      <c r="CB176" s="23">
        <f t="shared" si="1454"/>
        <v>0</v>
      </c>
      <c r="CC176" s="23">
        <f t="shared" si="1454"/>
        <v>0</v>
      </c>
      <c r="CD176" s="23">
        <f t="shared" si="1454"/>
        <v>0</v>
      </c>
      <c r="CE176" s="23">
        <f t="shared" si="1454"/>
        <v>0</v>
      </c>
      <c r="CF176" s="23">
        <f t="shared" ref="CF176:CG176" si="1456">CF175-CF139</f>
        <v>0</v>
      </c>
      <c r="CG176" s="23">
        <f t="shared" si="1456"/>
        <v>0</v>
      </c>
      <c r="CH176" s="23">
        <f t="shared" ref="CH176:CI176" si="1457">CH175-CH139</f>
        <v>0</v>
      </c>
      <c r="CI176" s="23">
        <f t="shared" si="1457"/>
        <v>0</v>
      </c>
      <c r="CJ176" s="23">
        <f t="shared" ref="CJ176:DB176" si="1458">CJ175-CJ139</f>
        <v>0</v>
      </c>
      <c r="CK176" s="23">
        <f t="shared" si="1458"/>
        <v>0</v>
      </c>
      <c r="CL176" s="23">
        <f t="shared" ref="CL176" si="1459">CL175-CL139</f>
        <v>0</v>
      </c>
      <c r="CM176" s="24">
        <f t="shared" si="1458"/>
        <v>0</v>
      </c>
      <c r="CN176" s="24">
        <f t="shared" si="1458"/>
        <v>0</v>
      </c>
      <c r="CO176" s="24">
        <f t="shared" si="1458"/>
        <v>0</v>
      </c>
      <c r="CP176" s="24">
        <f t="shared" si="1458"/>
        <v>0</v>
      </c>
      <c r="CQ176" s="24">
        <f t="shared" si="1458"/>
        <v>0</v>
      </c>
      <c r="CR176" s="24">
        <f t="shared" si="1458"/>
        <v>0</v>
      </c>
      <c r="CS176" s="24">
        <f t="shared" si="1458"/>
        <v>0</v>
      </c>
      <c r="CT176" s="24">
        <f t="shared" si="1458"/>
        <v>0</v>
      </c>
      <c r="CU176" s="24">
        <f t="shared" si="1458"/>
        <v>0</v>
      </c>
      <c r="CV176" s="24">
        <f t="shared" si="1458"/>
        <v>0</v>
      </c>
      <c r="CW176" s="24">
        <f t="shared" si="1458"/>
        <v>0</v>
      </c>
      <c r="CX176" s="24">
        <f t="shared" si="1458"/>
        <v>0</v>
      </c>
      <c r="CY176" s="24">
        <f t="shared" si="1458"/>
        <v>0</v>
      </c>
      <c r="CZ176" s="24">
        <f t="shared" si="1458"/>
        <v>0</v>
      </c>
      <c r="DA176" s="24">
        <f t="shared" si="1458"/>
        <v>0</v>
      </c>
      <c r="DB176" s="24">
        <f t="shared" si="1458"/>
        <v>0</v>
      </c>
      <c r="DE176" s="123"/>
      <c r="DF176" s="23">
        <v>0</v>
      </c>
      <c r="DG176" s="23">
        <v>0</v>
      </c>
    </row>
    <row r="177" spans="1:111" s="23" customFormat="1" x14ac:dyDescent="0.2">
      <c r="A177" s="28"/>
      <c r="AB177" s="24"/>
      <c r="AC177" s="24"/>
      <c r="AD177" s="24"/>
      <c r="AE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E177" s="123"/>
    </row>
    <row r="178" spans="1:111" s="22" customFormat="1" x14ac:dyDescent="0.2">
      <c r="A178" s="22" t="s">
        <v>80</v>
      </c>
      <c r="B178" s="22">
        <f t="shared" ref="B178:W178" si="1460">B138-B171</f>
        <v>-385.06102850000002</v>
      </c>
      <c r="C178" s="22">
        <f t="shared" si="1460"/>
        <v>-772.22</v>
      </c>
      <c r="D178" s="22">
        <f t="shared" si="1460"/>
        <v>-1346.54</v>
      </c>
      <c r="E178" s="22">
        <f t="shared" si="1460"/>
        <v>-2664.92</v>
      </c>
      <c r="F178" s="22">
        <f t="shared" si="1460"/>
        <v>-2785</v>
      </c>
      <c r="G178" s="22">
        <f t="shared" si="1460"/>
        <v>-4182</v>
      </c>
      <c r="H178" s="22">
        <f t="shared" si="1460"/>
        <v>-5859</v>
      </c>
      <c r="I178" s="22">
        <f t="shared" si="1460"/>
        <v>-7022</v>
      </c>
      <c r="J178" s="22">
        <f t="shared" si="1460"/>
        <v>-9695</v>
      </c>
      <c r="K178" s="22">
        <f t="shared" si="1460"/>
        <v>-14254</v>
      </c>
      <c r="L178" s="22">
        <f t="shared" si="1460"/>
        <v>-16806</v>
      </c>
      <c r="M178" s="22">
        <f t="shared" si="1460"/>
        <v>-20959</v>
      </c>
      <c r="N178" s="22">
        <f t="shared" si="1460"/>
        <v>-23571</v>
      </c>
      <c r="O178" s="22">
        <f t="shared" si="1460"/>
        <v>-28974</v>
      </c>
      <c r="P178" s="22">
        <f t="shared" si="1460"/>
        <v>-31239</v>
      </c>
      <c r="Q178" s="22">
        <f t="shared" si="1460"/>
        <v>-32772</v>
      </c>
      <c r="R178" s="22">
        <f t="shared" si="1460"/>
        <v>-32595</v>
      </c>
      <c r="S178" s="22">
        <f t="shared" si="1460"/>
        <v>-26225</v>
      </c>
      <c r="T178" s="22">
        <f t="shared" si="1460"/>
        <v>-26195</v>
      </c>
      <c r="U178" s="22">
        <f t="shared" si="1460"/>
        <v>-23304</v>
      </c>
      <c r="V178" s="22">
        <f t="shared" si="1460"/>
        <v>-27056</v>
      </c>
      <c r="W178" s="22">
        <f t="shared" si="1460"/>
        <v>-24145</v>
      </c>
      <c r="X178" s="22">
        <f t="shared" ref="X178:Y178" si="1461">X138-X171</f>
        <v>-19082</v>
      </c>
      <c r="Y178" s="22">
        <f t="shared" si="1461"/>
        <v>-27701</v>
      </c>
      <c r="Z178" s="22">
        <f t="shared" ref="Z178:AA178" si="1462">Z138-Z171</f>
        <v>-36937</v>
      </c>
      <c r="AA178" s="22">
        <f t="shared" ref="AA178" si="1463">AA138-AA171</f>
        <v>-35151</v>
      </c>
      <c r="AB178" s="21">
        <f t="shared" ref="AB178:AD178" si="1464">AB138-AB171</f>
        <v>-62254.057499193237</v>
      </c>
      <c r="AC178" s="21">
        <f t="shared" si="1464"/>
        <v>-93983.088158215935</v>
      </c>
      <c r="AD178" s="21">
        <f t="shared" si="1464"/>
        <v>-132702.86596646052</v>
      </c>
      <c r="AE178" s="21">
        <f t="shared" ref="AE178" si="1465">AE138-AE171</f>
        <v>-174945.20972765234</v>
      </c>
      <c r="AJ178" s="22">
        <f t="shared" ref="AJ178:AM178" si="1466">AJ138-AJ171</f>
        <v>-22505</v>
      </c>
      <c r="AK178" s="22">
        <f t="shared" si="1466"/>
        <v>-24490.350983972407</v>
      </c>
      <c r="AL178" s="22">
        <f t="shared" si="1466"/>
        <v>-23571</v>
      </c>
      <c r="AM178" s="22">
        <f t="shared" si="1466"/>
        <v>-25408.858618710543</v>
      </c>
      <c r="AN178" s="22">
        <f t="shared" ref="AN178:AO178" si="1467">AN138-AN171</f>
        <v>-25881</v>
      </c>
      <c r="AO178" s="22">
        <f t="shared" si="1467"/>
        <v>-28717.216891631317</v>
      </c>
      <c r="AP178" s="22">
        <f t="shared" ref="AP178:CE178" si="1468">AP138-AP171</f>
        <v>-29006</v>
      </c>
      <c r="AQ178" s="22">
        <f t="shared" si="1468"/>
        <v>-31958.69436893204</v>
      </c>
      <c r="AR178" s="22">
        <f t="shared" si="1468"/>
        <v>-32306</v>
      </c>
      <c r="AS178" s="22">
        <f t="shared" si="1468"/>
        <v>-35252.981711887274</v>
      </c>
      <c r="AT178" s="22">
        <f t="shared" si="1468"/>
        <v>-31241</v>
      </c>
      <c r="AU178" s="22">
        <f t="shared" si="1468"/>
        <v>-33595.870554022818</v>
      </c>
      <c r="AV178" s="22">
        <f t="shared" si="1468"/>
        <v>-30528</v>
      </c>
      <c r="AW178" s="22">
        <f t="shared" si="1468"/>
        <v>-33817.328173968657</v>
      </c>
      <c r="AX178" s="22">
        <f t="shared" si="1468"/>
        <v>-32772</v>
      </c>
      <c r="AY178" s="22">
        <f t="shared" si="1468"/>
        <v>-36054.585619335347</v>
      </c>
      <c r="AZ178" s="22">
        <f t="shared" si="1468"/>
        <v>-33886</v>
      </c>
      <c r="BA178" s="22">
        <f t="shared" si="1468"/>
        <v>-37618.076718659737</v>
      </c>
      <c r="BB178" s="22">
        <f t="shared" si="1468"/>
        <v>-32595</v>
      </c>
      <c r="BC178" s="22">
        <f t="shared" si="1468"/>
        <v>-36107.328855140186</v>
      </c>
      <c r="BD178" s="22">
        <f t="shared" si="1468"/>
        <v>-35461</v>
      </c>
      <c r="BE178" s="22">
        <f t="shared" si="1468"/>
        <v>-40423.500597711616</v>
      </c>
      <c r="BF178" s="22">
        <f t="shared" si="1468"/>
        <v>-26225</v>
      </c>
      <c r="BG178" s="22">
        <f t="shared" si="1468"/>
        <v>-29117.641486479013</v>
      </c>
      <c r="BH178" s="22">
        <f t="shared" si="1468"/>
        <v>-25431</v>
      </c>
      <c r="BI178" s="22">
        <f t="shared" si="1468"/>
        <v>-28518.47503517881</v>
      </c>
      <c r="BJ178" s="22">
        <f t="shared" si="1468"/>
        <v>-26195</v>
      </c>
      <c r="BK178" s="22">
        <f t="shared" si="1468"/>
        <v>-29831.552950461948</v>
      </c>
      <c r="BL178" s="22">
        <f t="shared" si="1468"/>
        <v>-19991</v>
      </c>
      <c r="BM178" s="22">
        <f t="shared" si="1468"/>
        <v>-24163.169782137968</v>
      </c>
      <c r="BN178" s="22">
        <f t="shared" si="1468"/>
        <v>-23304</v>
      </c>
      <c r="BO178" s="22">
        <f t="shared" si="1468"/>
        <v>-27269.551252847377</v>
      </c>
      <c r="BP178" s="22">
        <f t="shared" si="1468"/>
        <v>-26011</v>
      </c>
      <c r="BQ178" s="22">
        <f t="shared" si="1468"/>
        <v>-30348.898046398048</v>
      </c>
      <c r="BR178" s="22">
        <f t="shared" si="1468"/>
        <v>-27056</v>
      </c>
      <c r="BS178" s="22">
        <f t="shared" si="1468"/>
        <v>-31248.048192771086</v>
      </c>
      <c r="BT178" s="22">
        <f t="shared" si="1468"/>
        <v>-23039</v>
      </c>
      <c r="BU178" s="22">
        <f t="shared" si="1468"/>
        <v>-27551.451624890207</v>
      </c>
      <c r="BV178" s="22">
        <f t="shared" si="1468"/>
        <v>-24145</v>
      </c>
      <c r="BW178" s="22">
        <f t="shared" si="1468"/>
        <v>-28243.089726112281</v>
      </c>
      <c r="BX178" s="22">
        <f t="shared" si="1468"/>
        <v>-26647</v>
      </c>
      <c r="BY178" s="22">
        <f t="shared" si="1468"/>
        <v>-32198.50714324812</v>
      </c>
      <c r="BZ178" s="22">
        <f t="shared" si="1468"/>
        <v>-19082</v>
      </c>
      <c r="CA178" s="22">
        <f t="shared" si="1468"/>
        <v>-24743.700194973419</v>
      </c>
      <c r="CB178" s="22">
        <f t="shared" si="1468"/>
        <v>-23292</v>
      </c>
      <c r="CC178" s="22">
        <f t="shared" si="1468"/>
        <v>-29509.171821305834</v>
      </c>
      <c r="CD178" s="22">
        <f t="shared" si="1468"/>
        <v>-27701</v>
      </c>
      <c r="CE178" s="22">
        <f t="shared" si="1468"/>
        <v>-33105.945811249112</v>
      </c>
      <c r="CF178" s="22">
        <f t="shared" ref="CF178:CG178" si="1469">CF138-CF171</f>
        <v>-29231</v>
      </c>
      <c r="CG178" s="22">
        <f t="shared" si="1469"/>
        <v>-35502.236519787257</v>
      </c>
      <c r="CH178" s="22">
        <f t="shared" ref="CH178:CI178" si="1470">CH138-CH171</f>
        <v>-36937</v>
      </c>
      <c r="CI178" s="22">
        <f t="shared" si="1470"/>
        <v>-44434.034599877828</v>
      </c>
      <c r="CJ178" s="22">
        <f t="shared" ref="CJ178:DB178" si="1471">CJ138-CJ171</f>
        <v>-44438</v>
      </c>
      <c r="CK178" s="22">
        <f t="shared" si="1471"/>
        <v>-49775.752281411558</v>
      </c>
      <c r="CL178" s="22">
        <f t="shared" ref="CL178" si="1472">CL138-CL171</f>
        <v>-35151</v>
      </c>
      <c r="CM178" s="21">
        <f t="shared" si="1471"/>
        <v>-40212.78402253869</v>
      </c>
      <c r="CN178" s="21">
        <f t="shared" si="1471"/>
        <v>-47280.908808620981</v>
      </c>
      <c r="CO178" s="21">
        <f t="shared" si="1471"/>
        <v>-54660.343595896484</v>
      </c>
      <c r="CP178" s="21">
        <f t="shared" si="1471"/>
        <v>-62254.057499193237</v>
      </c>
      <c r="CQ178" s="21">
        <f t="shared" si="1471"/>
        <v>-69888.409948084562</v>
      </c>
      <c r="CR178" s="21">
        <f t="shared" si="1471"/>
        <v>-77821.94749793259</v>
      </c>
      <c r="CS178" s="21">
        <f t="shared" si="1471"/>
        <v>-85801.896988807828</v>
      </c>
      <c r="CT178" s="21">
        <f t="shared" si="1471"/>
        <v>-93983.088158215935</v>
      </c>
      <c r="CU178" s="21">
        <f t="shared" si="1471"/>
        <v>-103699.67993461408</v>
      </c>
      <c r="CV178" s="21">
        <f t="shared" si="1471"/>
        <v>-113430.68809409064</v>
      </c>
      <c r="CW178" s="21">
        <f t="shared" si="1471"/>
        <v>-123105.89950152385</v>
      </c>
      <c r="CX178" s="21">
        <f t="shared" si="1471"/>
        <v>-132702.86596646052</v>
      </c>
      <c r="CY178" s="21">
        <f t="shared" si="1471"/>
        <v>-142937.12012054754</v>
      </c>
      <c r="CZ178" s="21">
        <f t="shared" si="1471"/>
        <v>-153352.721308087</v>
      </c>
      <c r="DA178" s="21">
        <f t="shared" si="1471"/>
        <v>-163995.42088191333</v>
      </c>
      <c r="DB178" s="21">
        <f t="shared" si="1471"/>
        <v>-174945.20972765234</v>
      </c>
      <c r="DE178" s="126"/>
      <c r="DF178" s="22">
        <v>-35151</v>
      </c>
      <c r="DG178" s="22">
        <v>-56477.621528945856</v>
      </c>
    </row>
    <row r="179" spans="1:111" x14ac:dyDescent="0.2">
      <c r="AA179" s="2"/>
      <c r="CE179" s="111"/>
      <c r="CG179" s="111"/>
    </row>
    <row r="180" spans="1:111" s="49" customFormat="1" x14ac:dyDescent="0.2">
      <c r="A180" s="49" t="s">
        <v>81</v>
      </c>
      <c r="B180" s="49">
        <f>'Annual Raw'!C85</f>
        <v>258.29157029999999</v>
      </c>
      <c r="C180" s="49">
        <f>'Annual Raw'!D85</f>
        <v>93.38</v>
      </c>
      <c r="D180" s="49">
        <f>'Annual Raw'!E85</f>
        <v>539.99</v>
      </c>
      <c r="E180" s="49">
        <f>'Annual Raw'!F85</f>
        <v>891.32</v>
      </c>
      <c r="F180" s="49">
        <f>'Annual Raw'!G85</f>
        <v>1865</v>
      </c>
      <c r="G180" s="49">
        <f>'Annual Raw'!H85</f>
        <v>2097</v>
      </c>
      <c r="H180" s="49">
        <f>'Annual Raw'!I85</f>
        <v>2730</v>
      </c>
      <c r="I180" s="49">
        <f>'Annual Raw'!J85</f>
        <v>3705</v>
      </c>
      <c r="J180" s="49">
        <f>'Annual Raw'!K85</f>
        <v>3005</v>
      </c>
      <c r="K180" s="49">
        <f>'Annual Raw'!L85</f>
        <v>2657</v>
      </c>
      <c r="L180" s="49">
        <f>'Annual Raw'!M85</f>
        <v>292</v>
      </c>
      <c r="M180" s="49">
        <f>'Annual Raw'!N85</f>
        <v>95</v>
      </c>
      <c r="N180" s="49">
        <f>'Annual Raw'!O85</f>
        <v>554</v>
      </c>
      <c r="O180" s="49">
        <f>'Annual Raw'!P85</f>
        <v>219</v>
      </c>
      <c r="P180" s="49">
        <f>'Annual Raw'!Q85</f>
        <v>307</v>
      </c>
      <c r="Q180" s="49">
        <f>'Annual Raw'!R85</f>
        <v>284</v>
      </c>
      <c r="R180" s="49">
        <f>'Annual Raw'!S85</f>
        <v>6714</v>
      </c>
      <c r="S180" s="49">
        <f>'Annual Raw'!T85</f>
        <v>4802</v>
      </c>
      <c r="T180" s="49">
        <f>'Annual Raw'!U85</f>
        <v>3081</v>
      </c>
      <c r="U180" s="49">
        <f>'Annual Raw'!V85</f>
        <v>3583</v>
      </c>
      <c r="V180" s="49">
        <f>'Annual Raw'!W85</f>
        <v>4061</v>
      </c>
      <c r="W180" s="49">
        <f>'Annual Raw'!X85</f>
        <v>4641</v>
      </c>
      <c r="X180" s="49">
        <f>'Annual Raw'!Y85</f>
        <v>4762</v>
      </c>
      <c r="Y180" s="49">
        <f>'Annual Raw'!Z85</f>
        <v>3583</v>
      </c>
      <c r="Z180" s="49">
        <f>'Annual Raw'!AA85</f>
        <v>2953</v>
      </c>
      <c r="AA180" s="49">
        <f>'Annual Raw'!AB85</f>
        <v>3117</v>
      </c>
      <c r="AB180" s="50"/>
      <c r="AC180" s="50"/>
      <c r="AD180" s="50"/>
      <c r="AE180" s="50"/>
      <c r="CM180" s="50"/>
      <c r="CN180" s="50"/>
      <c r="CO180" s="50"/>
      <c r="CP180" s="50"/>
      <c r="CQ180" s="50"/>
      <c r="CR180" s="50"/>
      <c r="CS180" s="50"/>
      <c r="CT180" s="50"/>
      <c r="CU180" s="50"/>
      <c r="CV180" s="50"/>
      <c r="CW180" s="50"/>
      <c r="CX180" s="50"/>
      <c r="CY180" s="50"/>
      <c r="CZ180" s="50"/>
      <c r="DA180" s="50"/>
      <c r="DB180" s="50"/>
      <c r="DE180" s="138"/>
      <c r="DF180" s="49">
        <v>3117</v>
      </c>
    </row>
    <row r="181" spans="1:111" s="29" customFormat="1" x14ac:dyDescent="0.2">
      <c r="A181" s="29" t="s">
        <v>82</v>
      </c>
      <c r="B181" s="29">
        <f>'Annual Raw'!C95</f>
        <v>6.8304999999999998</v>
      </c>
      <c r="C181" s="29">
        <f>'Annual Raw'!D95</f>
        <v>16.27</v>
      </c>
      <c r="D181" s="29">
        <f>'Annual Raw'!E95</f>
        <v>7.99</v>
      </c>
      <c r="E181" s="29">
        <f>'Annual Raw'!F95</f>
        <v>11.58</v>
      </c>
      <c r="F181" s="29">
        <f>'Annual Raw'!G95</f>
        <v>16</v>
      </c>
      <c r="G181" s="29">
        <f>'Annual Raw'!H95</f>
        <v>8</v>
      </c>
      <c r="H181" s="29">
        <f>'Annual Raw'!I95</f>
        <v>9</v>
      </c>
      <c r="I181" s="29">
        <f>'Annual Raw'!J95</f>
        <v>7</v>
      </c>
      <c r="J181" s="29">
        <f>'Annual Raw'!K95</f>
        <v>17</v>
      </c>
      <c r="K181" s="29">
        <f>'Annual Raw'!L95</f>
        <v>18</v>
      </c>
      <c r="L181" s="29">
        <f>'Annual Raw'!M95</f>
        <v>21</v>
      </c>
      <c r="M181" s="29">
        <f>'Annual Raw'!N95</f>
        <v>23</v>
      </c>
      <c r="N181" s="29">
        <f>'Annual Raw'!O95</f>
        <v>19</v>
      </c>
      <c r="O181" s="29">
        <f>'Annual Raw'!P95</f>
        <v>37</v>
      </c>
      <c r="P181" s="29">
        <f>'Annual Raw'!Q95</f>
        <v>43</v>
      </c>
      <c r="Q181" s="29">
        <f>'Annual Raw'!R95</f>
        <v>0</v>
      </c>
      <c r="R181" s="29">
        <f>'Annual Raw'!S95</f>
        <v>0</v>
      </c>
      <c r="S181" s="29">
        <f>'Annual Raw'!T95</f>
        <v>0</v>
      </c>
      <c r="T181" s="29">
        <f>'Annual Raw'!U95</f>
        <v>0</v>
      </c>
      <c r="U181" s="29">
        <f>'Annual Raw'!V95</f>
        <v>0</v>
      </c>
      <c r="V181" s="29">
        <f>'Annual Raw'!W95</f>
        <v>0</v>
      </c>
      <c r="W181" s="29">
        <f>'Annual Raw'!X95</f>
        <v>0</v>
      </c>
      <c r="X181" s="29">
        <f>'Annual Raw'!Y95</f>
        <v>0</v>
      </c>
      <c r="Y181" s="29">
        <f>'Annual Raw'!Z95</f>
        <v>0</v>
      </c>
      <c r="Z181" s="29">
        <f>'Annual Raw'!AA95</f>
        <v>0</v>
      </c>
      <c r="AA181" s="29">
        <f>'Annual Raw'!AB95</f>
        <v>0</v>
      </c>
      <c r="AB181" s="30"/>
      <c r="AC181" s="30"/>
      <c r="AD181" s="30"/>
      <c r="AE181" s="30"/>
      <c r="CM181" s="30"/>
      <c r="CN181" s="30"/>
      <c r="CO181" s="30"/>
      <c r="CP181" s="30"/>
      <c r="CQ181" s="30"/>
      <c r="CR181" s="30"/>
      <c r="CS181" s="30"/>
      <c r="CT181" s="30"/>
      <c r="CU181" s="30"/>
      <c r="CV181" s="30"/>
      <c r="CW181" s="30"/>
      <c r="CX181" s="30"/>
      <c r="CY181" s="30"/>
      <c r="CZ181" s="30"/>
      <c r="DA181" s="30"/>
      <c r="DB181" s="30"/>
      <c r="DE181" s="139"/>
      <c r="DF181" s="29">
        <v>0</v>
      </c>
    </row>
    <row r="182" spans="1:111" s="29" customFormat="1" x14ac:dyDescent="0.2">
      <c r="A182" s="29" t="s">
        <v>83</v>
      </c>
      <c r="B182" s="29">
        <f>'Annual Raw'!C93</f>
        <v>8.7553199999999998E-2</v>
      </c>
      <c r="C182" s="29">
        <f>'Annual Raw'!D93</f>
        <v>3.77</v>
      </c>
      <c r="D182" s="29">
        <f>'Annual Raw'!E93</f>
        <v>15.17</v>
      </c>
      <c r="E182" s="29">
        <f>'Annual Raw'!F93</f>
        <v>4.53</v>
      </c>
      <c r="F182" s="29">
        <f>'Annual Raw'!G93</f>
        <v>16</v>
      </c>
      <c r="G182" s="29">
        <f>'Annual Raw'!H93</f>
        <v>14</v>
      </c>
      <c r="H182" s="29">
        <f>'Annual Raw'!I93</f>
        <v>15</v>
      </c>
      <c r="I182" s="29">
        <f>'Annual Raw'!J93</f>
        <v>3</v>
      </c>
      <c r="J182" s="29">
        <f>'Annual Raw'!K93</f>
        <v>4</v>
      </c>
      <c r="K182" s="29">
        <f>'Annual Raw'!L93</f>
        <v>28</v>
      </c>
      <c r="L182" s="29">
        <f>'Annual Raw'!M93</f>
        <v>271</v>
      </c>
      <c r="M182" s="29">
        <f>'Annual Raw'!N93</f>
        <v>72</v>
      </c>
      <c r="N182" s="29">
        <f>'Annual Raw'!O93</f>
        <v>535</v>
      </c>
      <c r="O182" s="29">
        <f>'Annual Raw'!P93</f>
        <v>182</v>
      </c>
      <c r="P182" s="29">
        <f>'Annual Raw'!Q93</f>
        <v>264</v>
      </c>
      <c r="Q182" s="29">
        <f>'Annual Raw'!R93</f>
        <v>284</v>
      </c>
      <c r="R182" s="29">
        <f>'Annual Raw'!S93</f>
        <v>6714</v>
      </c>
      <c r="S182" s="29">
        <f>'Annual Raw'!T93</f>
        <v>4802</v>
      </c>
      <c r="T182" s="29">
        <f>'Annual Raw'!U93</f>
        <v>3081</v>
      </c>
      <c r="U182" s="29">
        <f>'Annual Raw'!V93</f>
        <v>3583</v>
      </c>
      <c r="V182" s="29">
        <f>'Annual Raw'!W93</f>
        <v>4061</v>
      </c>
      <c r="W182" s="29">
        <f>'Annual Raw'!X93</f>
        <v>4641</v>
      </c>
      <c r="X182" s="29">
        <f>'Annual Raw'!Y93</f>
        <v>4762</v>
      </c>
      <c r="Y182" s="29">
        <f>'Annual Raw'!Z93</f>
        <v>3583</v>
      </c>
      <c r="Z182" s="29">
        <f>'Annual Raw'!AA93</f>
        <v>2953</v>
      </c>
      <c r="AA182" s="29">
        <f>'Annual Raw'!AB93</f>
        <v>3117</v>
      </c>
      <c r="AB182" s="30"/>
      <c r="AC182" s="30"/>
      <c r="AD182" s="30"/>
      <c r="AE182" s="30"/>
      <c r="CM182" s="30"/>
      <c r="CN182" s="30"/>
      <c r="CO182" s="30"/>
      <c r="CP182" s="30"/>
      <c r="CQ182" s="30"/>
      <c r="CR182" s="30"/>
      <c r="CS182" s="30"/>
      <c r="CT182" s="30"/>
      <c r="CU182" s="30"/>
      <c r="CV182" s="30"/>
      <c r="CW182" s="30"/>
      <c r="CX182" s="30"/>
      <c r="CY182" s="30"/>
      <c r="CZ182" s="30"/>
      <c r="DA182" s="30"/>
      <c r="DB182" s="30"/>
      <c r="DE182" s="139"/>
      <c r="DF182" s="29">
        <v>3117</v>
      </c>
    </row>
    <row r="183" spans="1:111" s="29" customFormat="1" x14ac:dyDescent="0.2">
      <c r="A183" s="29" t="s">
        <v>84</v>
      </c>
      <c r="B183" s="29">
        <f t="shared" ref="B183:V183" si="1473">B180-B181-B182</f>
        <v>251.37351709999999</v>
      </c>
      <c r="C183" s="29">
        <f t="shared" si="1473"/>
        <v>73.34</v>
      </c>
      <c r="D183" s="29">
        <f t="shared" si="1473"/>
        <v>516.83000000000004</v>
      </c>
      <c r="E183" s="29">
        <f t="shared" si="1473"/>
        <v>875.21</v>
      </c>
      <c r="F183" s="29">
        <f t="shared" si="1473"/>
        <v>1833</v>
      </c>
      <c r="G183" s="29">
        <f t="shared" si="1473"/>
        <v>2075</v>
      </c>
      <c r="H183" s="29">
        <f t="shared" si="1473"/>
        <v>2706</v>
      </c>
      <c r="I183" s="29">
        <f t="shared" si="1473"/>
        <v>3695</v>
      </c>
      <c r="J183" s="29">
        <f t="shared" si="1473"/>
        <v>2984</v>
      </c>
      <c r="K183" s="29">
        <f t="shared" si="1473"/>
        <v>2611</v>
      </c>
      <c r="L183" s="29">
        <f t="shared" si="1473"/>
        <v>0</v>
      </c>
      <c r="M183" s="29">
        <f t="shared" si="1473"/>
        <v>0</v>
      </c>
      <c r="N183" s="29">
        <f t="shared" si="1473"/>
        <v>0</v>
      </c>
      <c r="O183" s="29">
        <f t="shared" si="1473"/>
        <v>0</v>
      </c>
      <c r="P183" s="29">
        <f t="shared" si="1473"/>
        <v>0</v>
      </c>
      <c r="Q183" s="29">
        <f t="shared" si="1473"/>
        <v>0</v>
      </c>
      <c r="R183" s="29">
        <f t="shared" si="1473"/>
        <v>0</v>
      </c>
      <c r="S183" s="29">
        <f t="shared" si="1473"/>
        <v>0</v>
      </c>
      <c r="T183" s="29">
        <f t="shared" si="1473"/>
        <v>0</v>
      </c>
      <c r="U183" s="29">
        <f t="shared" si="1473"/>
        <v>0</v>
      </c>
      <c r="V183" s="29">
        <f t="shared" si="1473"/>
        <v>0</v>
      </c>
      <c r="W183" s="29">
        <f t="shared" ref="W183" si="1474">W180-W181-W182</f>
        <v>0</v>
      </c>
      <c r="X183" s="29">
        <f t="shared" ref="X183:Y183" si="1475">X180-X181-X182</f>
        <v>0</v>
      </c>
      <c r="Y183" s="29">
        <f t="shared" si="1475"/>
        <v>0</v>
      </c>
      <c r="Z183" s="29">
        <f t="shared" ref="Z183:AA183" si="1476">Z180-Z181-Z182</f>
        <v>0</v>
      </c>
      <c r="AA183" s="29">
        <f t="shared" ref="AA183" si="1477">AA180-AA181-AA182</f>
        <v>0</v>
      </c>
      <c r="AB183" s="30">
        <f t="shared" ref="AB183:AD183" si="1478">AB180-AB181-AB182</f>
        <v>0</v>
      </c>
      <c r="AC183" s="30">
        <f t="shared" si="1478"/>
        <v>0</v>
      </c>
      <c r="AD183" s="30">
        <f t="shared" si="1478"/>
        <v>0</v>
      </c>
      <c r="AE183" s="30">
        <f t="shared" ref="AE183" si="1479">AE180-AE181-AE182</f>
        <v>0</v>
      </c>
      <c r="CM183" s="30"/>
      <c r="CN183" s="30"/>
      <c r="CO183" s="30"/>
      <c r="CP183" s="30"/>
      <c r="CQ183" s="30"/>
      <c r="CR183" s="30"/>
      <c r="CS183" s="30"/>
      <c r="CT183" s="30"/>
      <c r="CU183" s="30"/>
      <c r="CV183" s="30"/>
      <c r="CW183" s="30"/>
      <c r="CX183" s="30"/>
      <c r="CY183" s="30"/>
      <c r="CZ183" s="30"/>
      <c r="DA183" s="30"/>
      <c r="DB183" s="30"/>
      <c r="DE183" s="139"/>
      <c r="DF183" s="29">
        <v>0</v>
      </c>
    </row>
    <row r="184" spans="1:111" s="5" customFormat="1" x14ac:dyDescent="0.2">
      <c r="AB184" s="63"/>
      <c r="AC184" s="63"/>
      <c r="AD184" s="63"/>
      <c r="AE184" s="63"/>
      <c r="CE184" s="112"/>
      <c r="CG184" s="112"/>
      <c r="CM184" s="30"/>
      <c r="CN184" s="30"/>
      <c r="CO184" s="30"/>
      <c r="CP184" s="30"/>
      <c r="CQ184" s="30"/>
      <c r="CR184" s="30"/>
      <c r="CS184" s="30"/>
      <c r="CT184" s="30"/>
      <c r="CU184" s="30"/>
      <c r="CV184" s="30"/>
      <c r="CW184" s="30"/>
      <c r="CX184" s="30"/>
      <c r="CY184" s="30"/>
      <c r="CZ184" s="30"/>
      <c r="DA184" s="30"/>
      <c r="DB184" s="30"/>
      <c r="DE184" s="139"/>
    </row>
    <row r="185" spans="1:111" s="95" customFormat="1" x14ac:dyDescent="0.2">
      <c r="A185" s="95" t="s">
        <v>85</v>
      </c>
      <c r="B185" s="95">
        <f t="shared" ref="B185:W185" si="1480">B180/B130</f>
        <v>0.18586951960123418</v>
      </c>
      <c r="C185" s="95">
        <f t="shared" si="1480"/>
        <v>4.4887540799207808E-2</v>
      </c>
      <c r="D185" s="95">
        <f t="shared" si="1480"/>
        <v>0.18578766828717802</v>
      </c>
      <c r="E185" s="95">
        <f t="shared" si="1480"/>
        <v>0.26661162858869208</v>
      </c>
      <c r="F185" s="95">
        <f t="shared" si="1480"/>
        <v>0.35062981763489376</v>
      </c>
      <c r="G185" s="95">
        <f t="shared" si="1480"/>
        <v>0.30103359173126615</v>
      </c>
      <c r="H185" s="95">
        <f t="shared" si="1480"/>
        <v>0.2425588627276766</v>
      </c>
      <c r="I185" s="95">
        <f t="shared" si="1480"/>
        <v>0.26857557085900691</v>
      </c>
      <c r="J185" s="95">
        <f t="shared" si="1480"/>
        <v>0.16462145283225593</v>
      </c>
      <c r="K185" s="95">
        <f t="shared" si="1480"/>
        <v>0.11527615080914573</v>
      </c>
      <c r="L185" s="95">
        <f t="shared" si="1480"/>
        <v>1.1241145672928858E-2</v>
      </c>
      <c r="M185" s="95">
        <f t="shared" si="1480"/>
        <v>3.0320439167624154E-3</v>
      </c>
      <c r="N185" s="95">
        <f t="shared" si="1480"/>
        <v>1.4581249671000685E-2</v>
      </c>
      <c r="O185" s="95">
        <f t="shared" si="1480"/>
        <v>4.9180327868852463E-3</v>
      </c>
      <c r="P185" s="95">
        <f t="shared" si="1480"/>
        <v>6.0509303058971934E-3</v>
      </c>
      <c r="Q185" s="95">
        <f t="shared" si="1480"/>
        <v>4.5996372117128792E-3</v>
      </c>
      <c r="R185" s="95">
        <f t="shared" si="1480"/>
        <v>9.7329738192571971E-2</v>
      </c>
      <c r="S185" s="95">
        <f t="shared" si="1480"/>
        <v>7.3964542612017306E-2</v>
      </c>
      <c r="T185" s="95">
        <f t="shared" si="1480"/>
        <v>4.7437950360288229E-2</v>
      </c>
      <c r="U185" s="95">
        <f t="shared" si="1480"/>
        <v>5.4744079449961805E-2</v>
      </c>
      <c r="V185" s="95">
        <f t="shared" si="1480"/>
        <v>5.3188563345601236E-2</v>
      </c>
      <c r="W185" s="95">
        <f t="shared" si="1480"/>
        <v>6.1592568015925678E-2</v>
      </c>
      <c r="X185" s="95">
        <f t="shared" ref="X185:Y185" si="1481">X180/X130</f>
        <v>6.315063588261037E-2</v>
      </c>
      <c r="Y185" s="95">
        <f t="shared" si="1481"/>
        <v>4.066230877479686E-2</v>
      </c>
      <c r="Z185" s="95">
        <f t="shared" ref="Z185:AA185" si="1482">Z180/Z130</f>
        <v>3.0818844058527625E-2</v>
      </c>
      <c r="AA185" s="95">
        <f t="shared" ref="AA185" si="1483">AA180/AA130</f>
        <v>3.3569551544393228E-2</v>
      </c>
      <c r="AB185" s="87">
        <f t="shared" ref="AB185:AD185" si="1484">AB180/AB130</f>
        <v>0</v>
      </c>
      <c r="AC185" s="87">
        <f t="shared" si="1484"/>
        <v>0</v>
      </c>
      <c r="AD185" s="87">
        <f t="shared" si="1484"/>
        <v>0</v>
      </c>
      <c r="AE185" s="87">
        <f t="shared" ref="AE185" si="1485">AE180/AE130</f>
        <v>0</v>
      </c>
      <c r="CM185" s="96"/>
      <c r="CN185" s="96"/>
      <c r="CO185" s="96"/>
      <c r="CP185" s="96"/>
      <c r="CQ185" s="96"/>
      <c r="CR185" s="96"/>
      <c r="CS185" s="96"/>
      <c r="CT185" s="96"/>
      <c r="CU185" s="96"/>
      <c r="CV185" s="96"/>
      <c r="CW185" s="96"/>
      <c r="CX185" s="96"/>
      <c r="CY185" s="96"/>
      <c r="CZ185" s="96"/>
      <c r="DA185" s="96"/>
      <c r="DB185" s="96"/>
      <c r="DE185" s="140"/>
      <c r="DF185" s="95">
        <v>0</v>
      </c>
    </row>
    <row r="186" spans="1:111" x14ac:dyDescent="0.2">
      <c r="A186" s="152" t="s">
        <v>492</v>
      </c>
      <c r="AA186" s="2"/>
      <c r="CE186" s="111"/>
      <c r="CG186" s="111"/>
    </row>
    <row r="187" spans="1:111" s="6" customFormat="1" x14ac:dyDescent="0.2">
      <c r="AB187" s="19"/>
      <c r="AC187" s="19"/>
      <c r="AD187" s="19"/>
      <c r="AE187" s="19"/>
      <c r="CE187" s="113"/>
      <c r="CG187" s="113"/>
      <c r="CM187" s="24"/>
      <c r="CN187" s="24"/>
      <c r="CO187" s="24"/>
      <c r="CP187" s="24"/>
      <c r="CQ187" s="24"/>
      <c r="CR187" s="24"/>
      <c r="CS187" s="24"/>
      <c r="CT187" s="24"/>
      <c r="CU187" s="24"/>
      <c r="CV187" s="24"/>
      <c r="CW187" s="24"/>
      <c r="CX187" s="24"/>
      <c r="CY187" s="24"/>
      <c r="CZ187" s="24"/>
      <c r="DA187" s="24"/>
      <c r="DB187" s="24"/>
      <c r="DE187" s="123"/>
    </row>
    <row r="188" spans="1:111" s="62" customFormat="1" x14ac:dyDescent="0.2">
      <c r="A188" s="153" t="s">
        <v>493</v>
      </c>
      <c r="AB188" s="63"/>
      <c r="AC188" s="63"/>
      <c r="AD188" s="63"/>
      <c r="AE188" s="63"/>
      <c r="CE188" s="114"/>
      <c r="CG188" s="114"/>
      <c r="CM188" s="30"/>
      <c r="CN188" s="30"/>
      <c r="CO188" s="30"/>
      <c r="CP188" s="30"/>
      <c r="CQ188" s="30"/>
      <c r="CR188" s="30"/>
      <c r="CS188" s="30"/>
      <c r="CT188" s="30"/>
      <c r="CU188" s="30"/>
      <c r="CV188" s="30"/>
      <c r="CW188" s="30"/>
      <c r="CX188" s="30"/>
      <c r="CY188" s="30"/>
      <c r="CZ188" s="30"/>
      <c r="DA188" s="30"/>
      <c r="DB188" s="30"/>
      <c r="DE188" s="139"/>
    </row>
    <row r="189" spans="1:111" s="62" customFormat="1" outlineLevel="1" x14ac:dyDescent="0.2">
      <c r="A189" s="68" t="s">
        <v>464</v>
      </c>
      <c r="B189" s="67">
        <f t="shared" ref="B189:AE189" si="1486">B154/B18*365</f>
        <v>0</v>
      </c>
      <c r="C189" s="67">
        <f t="shared" si="1486"/>
        <v>0</v>
      </c>
      <c r="D189" s="67">
        <f t="shared" si="1486"/>
        <v>0</v>
      </c>
      <c r="E189" s="67">
        <f t="shared" si="1486"/>
        <v>0</v>
      </c>
      <c r="F189" s="67">
        <f t="shared" si="1486"/>
        <v>0</v>
      </c>
      <c r="G189" s="67">
        <f t="shared" si="1486"/>
        <v>0</v>
      </c>
      <c r="H189" s="67">
        <f t="shared" si="1486"/>
        <v>0</v>
      </c>
      <c r="I189" s="67">
        <f t="shared" si="1486"/>
        <v>0</v>
      </c>
      <c r="J189" s="67">
        <f t="shared" si="1486"/>
        <v>0</v>
      </c>
      <c r="K189" s="67">
        <f t="shared" si="1486"/>
        <v>0</v>
      </c>
      <c r="L189" s="67">
        <f t="shared" si="1486"/>
        <v>0</v>
      </c>
      <c r="M189" s="67">
        <f t="shared" si="1486"/>
        <v>0</v>
      </c>
      <c r="N189" s="67">
        <f t="shared" si="1486"/>
        <v>0</v>
      </c>
      <c r="O189" s="67">
        <f t="shared" si="1486"/>
        <v>0</v>
      </c>
      <c r="P189" s="67">
        <f t="shared" si="1486"/>
        <v>0</v>
      </c>
      <c r="Q189" s="67">
        <f t="shared" si="1486"/>
        <v>0</v>
      </c>
      <c r="R189" s="67">
        <f t="shared" si="1486"/>
        <v>0</v>
      </c>
      <c r="S189" s="67">
        <f t="shared" si="1486"/>
        <v>0</v>
      </c>
      <c r="T189" s="67">
        <f t="shared" si="1486"/>
        <v>0</v>
      </c>
      <c r="U189" s="67">
        <f t="shared" si="1486"/>
        <v>0</v>
      </c>
      <c r="V189" s="67">
        <f t="shared" si="1486"/>
        <v>0</v>
      </c>
      <c r="W189" s="67">
        <f t="shared" si="1486"/>
        <v>0</v>
      </c>
      <c r="X189" s="67">
        <f t="shared" si="1486"/>
        <v>0</v>
      </c>
      <c r="Y189" s="67">
        <f t="shared" si="1486"/>
        <v>0</v>
      </c>
      <c r="Z189" s="67">
        <f t="shared" si="1486"/>
        <v>0</v>
      </c>
      <c r="AA189" s="67">
        <f t="shared" ref="AA189" si="1487">AA154/AA18*365</f>
        <v>0</v>
      </c>
      <c r="AB189" s="18">
        <f t="shared" si="1486"/>
        <v>0</v>
      </c>
      <c r="AC189" s="18">
        <f t="shared" si="1486"/>
        <v>0</v>
      </c>
      <c r="AD189" s="18">
        <f t="shared" si="1486"/>
        <v>0</v>
      </c>
      <c r="AE189" s="18">
        <f t="shared" si="1486"/>
        <v>0</v>
      </c>
      <c r="AI189" s="67">
        <f>AJ154/AI18*90</f>
        <v>0</v>
      </c>
      <c r="AJ189" s="67">
        <f>AJ154/AJ18*90</f>
        <v>0</v>
      </c>
      <c r="AK189" s="67">
        <f t="shared" ref="AK189:CE189" si="1488">+AJ189</f>
        <v>0</v>
      </c>
      <c r="AL189" s="67">
        <f>AL154/AL18*90</f>
        <v>0</v>
      </c>
      <c r="AM189" s="67">
        <f t="shared" ref="AM189:AM190" si="1489">+AL189</f>
        <v>0</v>
      </c>
      <c r="AN189" s="67">
        <f>AN154/AN18*90</f>
        <v>0</v>
      </c>
      <c r="AO189" s="67">
        <f t="shared" ref="AO189:AO190" si="1490">+AN189</f>
        <v>0</v>
      </c>
      <c r="AP189" s="67">
        <f>AP154/AP18*90</f>
        <v>0</v>
      </c>
      <c r="AQ189" s="67">
        <f t="shared" ref="AQ189:AQ190" si="1491">+AP189</f>
        <v>0</v>
      </c>
      <c r="AR189" s="67">
        <f>AR154/AR18*90</f>
        <v>0</v>
      </c>
      <c r="AS189" s="67">
        <f t="shared" ref="AS189:AS190" si="1492">+AR189</f>
        <v>0</v>
      </c>
      <c r="AT189" s="67">
        <f>AT154/AT18*90</f>
        <v>0</v>
      </c>
      <c r="AU189" s="67">
        <f t="shared" ref="AU189:AU190" si="1493">+AT189</f>
        <v>0</v>
      </c>
      <c r="AV189" s="67">
        <f>AV154/AV18*90</f>
        <v>0</v>
      </c>
      <c r="AW189" s="67">
        <f t="shared" ref="AW189:AW190" si="1494">+AV189</f>
        <v>0</v>
      </c>
      <c r="AX189" s="67">
        <f>AX154/AX18*90</f>
        <v>0</v>
      </c>
      <c r="AY189" s="67">
        <f t="shared" ref="AY189:AY190" si="1495">+AX189</f>
        <v>0</v>
      </c>
      <c r="AZ189" s="67">
        <f>AZ154/AZ18*90</f>
        <v>0</v>
      </c>
      <c r="BA189" s="67">
        <f t="shared" ref="BA189:BA190" si="1496">+AZ189</f>
        <v>0</v>
      </c>
      <c r="BB189" s="67">
        <f>BB154/BB18*90</f>
        <v>0</v>
      </c>
      <c r="BC189" s="67">
        <f t="shared" ref="BC189:BC190" si="1497">+BB189</f>
        <v>0</v>
      </c>
      <c r="BD189" s="67">
        <f>BD154/BD18*90</f>
        <v>0</v>
      </c>
      <c r="BE189" s="67">
        <f t="shared" ref="BE189:BE190" si="1498">+BD189</f>
        <v>0</v>
      </c>
      <c r="BF189" s="67">
        <f>BF154/BF18*90</f>
        <v>0</v>
      </c>
      <c r="BG189" s="67">
        <f t="shared" ref="BG189:BG190" si="1499">+BF189</f>
        <v>0</v>
      </c>
      <c r="BH189" s="67">
        <f>BH154/BH18*90</f>
        <v>0</v>
      </c>
      <c r="BI189" s="67">
        <f t="shared" ref="BI189:BI190" si="1500">+BH189</f>
        <v>0</v>
      </c>
      <c r="BJ189" s="67">
        <f>BJ154/BJ18*90</f>
        <v>0</v>
      </c>
      <c r="BK189" s="67">
        <f t="shared" ref="BK189:BK190" si="1501">+BJ189</f>
        <v>0</v>
      </c>
      <c r="BL189" s="67">
        <f>BL154/BL18*90</f>
        <v>0</v>
      </c>
      <c r="BM189" s="67">
        <f t="shared" ref="BM189:BM190" si="1502">+BL189</f>
        <v>0</v>
      </c>
      <c r="BN189" s="67">
        <f>BN154/BN18*90</f>
        <v>0</v>
      </c>
      <c r="BO189" s="67">
        <f t="shared" ref="BO189:BO190" si="1503">+BN189</f>
        <v>0</v>
      </c>
      <c r="BP189" s="67">
        <f>BP154/BP18*90</f>
        <v>0</v>
      </c>
      <c r="BQ189" s="67">
        <f t="shared" ref="BQ189:BQ190" si="1504">+BP189</f>
        <v>0</v>
      </c>
      <c r="BR189" s="67">
        <f>BR154/BR18*90</f>
        <v>0</v>
      </c>
      <c r="BS189" s="67">
        <f t="shared" ref="BS189:BS190" si="1505">+BR189</f>
        <v>0</v>
      </c>
      <c r="BT189" s="67">
        <f>BT154/BT18*90</f>
        <v>0</v>
      </c>
      <c r="BU189" s="67">
        <f t="shared" ref="BU189:BU190" si="1506">+BT189</f>
        <v>0</v>
      </c>
      <c r="BV189" s="67">
        <f>BV154/BV18*90</f>
        <v>0</v>
      </c>
      <c r="BW189" s="67">
        <f t="shared" ref="BW189:BW190" si="1507">+BV189</f>
        <v>0</v>
      </c>
      <c r="BX189" s="67">
        <f>BX154/BX18*90</f>
        <v>0</v>
      </c>
      <c r="BY189" s="67">
        <f t="shared" ref="BY189:BY190" si="1508">+BX189</f>
        <v>0</v>
      </c>
      <c r="BZ189" s="67">
        <f>BZ154/BZ18*90</f>
        <v>0</v>
      </c>
      <c r="CA189" s="67">
        <f t="shared" ref="CA189:CA190" si="1509">+BZ189</f>
        <v>0</v>
      </c>
      <c r="CB189" s="67">
        <f>CB154/CB18*90</f>
        <v>0</v>
      </c>
      <c r="CC189" s="67">
        <f t="shared" ref="CC189:CC190" si="1510">+CB189</f>
        <v>0</v>
      </c>
      <c r="CD189" s="67">
        <f>CD154/CD18*90</f>
        <v>0</v>
      </c>
      <c r="CE189" s="67">
        <f t="shared" si="1488"/>
        <v>0</v>
      </c>
      <c r="CF189" s="67">
        <f>CF154/CF18*90</f>
        <v>0</v>
      </c>
      <c r="CG189" s="67">
        <f t="shared" ref="CG189:CI190" si="1511">+CF189</f>
        <v>0</v>
      </c>
      <c r="CH189" s="67">
        <f>CH154/CH18*90</f>
        <v>0</v>
      </c>
      <c r="CI189" s="67">
        <f t="shared" si="1511"/>
        <v>0</v>
      </c>
      <c r="CJ189" s="67">
        <f>CJ154/CJ18*90</f>
        <v>0</v>
      </c>
      <c r="CK189" s="67">
        <f t="shared" ref="CK189:CK190" si="1512">+CJ189</f>
        <v>0</v>
      </c>
      <c r="CL189" s="67">
        <f t="shared" ref="CL189:CL190" si="1513">+CK189</f>
        <v>0</v>
      </c>
      <c r="CM189" s="30">
        <f t="shared" ref="CM189:CM190" si="1514">+CL189</f>
        <v>0</v>
      </c>
      <c r="CN189" s="30">
        <f t="shared" ref="CN189:CN190" si="1515">+CM189</f>
        <v>0</v>
      </c>
      <c r="CO189" s="30">
        <f t="shared" ref="CO189:CO190" si="1516">+CN189</f>
        <v>0</v>
      </c>
      <c r="CP189" s="30">
        <f t="shared" ref="CP189:CP190" si="1517">+CO189</f>
        <v>0</v>
      </c>
      <c r="CQ189" s="30">
        <f t="shared" ref="CQ189:CQ190" si="1518">+CP189</f>
        <v>0</v>
      </c>
      <c r="CR189" s="30">
        <f t="shared" ref="CR189:CR190" si="1519">+CQ189</f>
        <v>0</v>
      </c>
      <c r="CS189" s="30">
        <f t="shared" ref="CS189:CS190" si="1520">+CR189</f>
        <v>0</v>
      </c>
      <c r="CT189" s="30">
        <f t="shared" ref="CT189:CT190" si="1521">+CS189</f>
        <v>0</v>
      </c>
      <c r="CU189" s="30">
        <f t="shared" ref="CU189:CU190" si="1522">+CT189</f>
        <v>0</v>
      </c>
      <c r="CV189" s="30">
        <f t="shared" ref="CV189:CV190" si="1523">+CU189</f>
        <v>0</v>
      </c>
      <c r="CW189" s="30">
        <f t="shared" ref="CW189:CW190" si="1524">+CV189</f>
        <v>0</v>
      </c>
      <c r="CX189" s="30">
        <f t="shared" ref="CX189:CX190" si="1525">+CW189</f>
        <v>0</v>
      </c>
      <c r="CY189" s="30">
        <f t="shared" ref="CY189:CY190" si="1526">+CX189</f>
        <v>0</v>
      </c>
      <c r="CZ189" s="30">
        <f t="shared" ref="CZ189:CZ190" si="1527">+CY189</f>
        <v>0</v>
      </c>
      <c r="DA189" s="30">
        <f t="shared" ref="DA189:DA190" si="1528">+CZ189</f>
        <v>0</v>
      </c>
      <c r="DB189" s="30">
        <f t="shared" ref="DB189:DB190" si="1529">+DA189</f>
        <v>0</v>
      </c>
      <c r="DE189" s="139"/>
      <c r="DF189" s="62">
        <v>0</v>
      </c>
      <c r="DG189" s="62">
        <v>0</v>
      </c>
    </row>
    <row r="190" spans="1:111" s="62" customFormat="1" outlineLevel="1" x14ac:dyDescent="0.2">
      <c r="A190" s="68" t="s">
        <v>465</v>
      </c>
      <c r="B190" s="67">
        <f t="shared" ref="B190:AE190" si="1530">B155/B18*365</f>
        <v>58.069619864927425</v>
      </c>
      <c r="C190" s="67">
        <f t="shared" si="1530"/>
        <v>47.206530214050602</v>
      </c>
      <c r="D190" s="67">
        <f t="shared" si="1530"/>
        <v>52.00777202072539</v>
      </c>
      <c r="E190" s="67">
        <f t="shared" si="1530"/>
        <v>48.996847278459505</v>
      </c>
      <c r="F190" s="67">
        <f t="shared" si="1530"/>
        <v>67.676016830294529</v>
      </c>
      <c r="G190" s="67">
        <f t="shared" si="1530"/>
        <v>61.644785211637441</v>
      </c>
      <c r="H190" s="67">
        <f t="shared" si="1530"/>
        <v>63.999136255668319</v>
      </c>
      <c r="I190" s="67">
        <f t="shared" si="1530"/>
        <v>72.094716031631918</v>
      </c>
      <c r="J190" s="67">
        <f t="shared" si="1530"/>
        <v>61.78398561748029</v>
      </c>
      <c r="K190" s="67">
        <f t="shared" si="1530"/>
        <v>56.077301908363388</v>
      </c>
      <c r="L190" s="67">
        <f t="shared" si="1530"/>
        <v>61.755754336205953</v>
      </c>
      <c r="M190" s="67">
        <f t="shared" si="1530"/>
        <v>63.642912195411157</v>
      </c>
      <c r="N190" s="67">
        <f t="shared" si="1530"/>
        <v>64.068571570182385</v>
      </c>
      <c r="O190" s="67">
        <f t="shared" si="1530"/>
        <v>60.800570482516505</v>
      </c>
      <c r="P190" s="67">
        <f t="shared" si="1530"/>
        <v>66.491213263564589</v>
      </c>
      <c r="Q190" s="67">
        <f t="shared" si="1530"/>
        <v>66.229720856488527</v>
      </c>
      <c r="R190" s="67">
        <f t="shared" si="1530"/>
        <v>65.672711874306415</v>
      </c>
      <c r="S190" s="67">
        <f t="shared" si="1530"/>
        <v>68.018916082924477</v>
      </c>
      <c r="T190" s="67">
        <f t="shared" si="1530"/>
        <v>65.459389174478375</v>
      </c>
      <c r="U190" s="67">
        <f t="shared" si="1530"/>
        <v>74.321849081957467</v>
      </c>
      <c r="V190" s="67">
        <f t="shared" si="1530"/>
        <v>70.092264511505689</v>
      </c>
      <c r="W190" s="67">
        <f t="shared" si="1530"/>
        <v>68.108368066688044</v>
      </c>
      <c r="X190" s="67">
        <f t="shared" si="1530"/>
        <v>63.227837320378555</v>
      </c>
      <c r="Y190" s="67">
        <f t="shared" si="1530"/>
        <v>71.715006182078483</v>
      </c>
      <c r="Z190" s="67">
        <f t="shared" si="1530"/>
        <v>69.775262286029815</v>
      </c>
      <c r="AA190" s="67">
        <f t="shared" ref="AA190" si="1531">AA155/AA18*365</f>
        <v>71.986621886370003</v>
      </c>
      <c r="AB190" s="18">
        <f t="shared" si="1530"/>
        <v>70.731652278234904</v>
      </c>
      <c r="AC190" s="18">
        <f t="shared" si="1530"/>
        <v>71.260339911993213</v>
      </c>
      <c r="AD190" s="18">
        <f t="shared" si="1530"/>
        <v>72.139350372588694</v>
      </c>
      <c r="AE190" s="18">
        <f t="shared" si="1530"/>
        <v>72.976761781415746</v>
      </c>
      <c r="AI190" s="67">
        <f>AJ155/AI18*90</f>
        <v>62.539517470881869</v>
      </c>
      <c r="AJ190" s="67">
        <f>AJ155/AJ18*90</f>
        <v>61.004260499087039</v>
      </c>
      <c r="AK190" s="67">
        <f>+AJ190</f>
        <v>61.004260499087039</v>
      </c>
      <c r="AL190" s="67">
        <f>AL155/AL18*90</f>
        <v>60.978572795102352</v>
      </c>
      <c r="AM190" s="67">
        <f t="shared" si="1489"/>
        <v>60.978572795102352</v>
      </c>
      <c r="AN190" s="67">
        <f>AN155/AN18*90</f>
        <v>57.915156189741616</v>
      </c>
      <c r="AO190" s="67">
        <f t="shared" si="1490"/>
        <v>57.915156189741616</v>
      </c>
      <c r="AP190" s="67">
        <f>AP155/AP18*90</f>
        <v>58.37592233009709</v>
      </c>
      <c r="AQ190" s="67">
        <f t="shared" si="1491"/>
        <v>58.37592233009709</v>
      </c>
      <c r="AR190" s="67">
        <f>AR155/AR18*90</f>
        <v>60.980362764203271</v>
      </c>
      <c r="AS190" s="67">
        <f t="shared" si="1492"/>
        <v>60.980362764203271</v>
      </c>
      <c r="AT190" s="67">
        <f>AT155/AT18*90</f>
        <v>65.183058683170529</v>
      </c>
      <c r="AU190" s="67">
        <f t="shared" si="1493"/>
        <v>65.183058683170529</v>
      </c>
      <c r="AV190" s="67">
        <f>AV155/AV18*90</f>
        <v>59.848417013111614</v>
      </c>
      <c r="AW190" s="67">
        <f t="shared" si="1494"/>
        <v>59.848417013111614</v>
      </c>
      <c r="AX190" s="67">
        <f>AX155/AX18*90</f>
        <v>61.61329305135952</v>
      </c>
      <c r="AY190" s="67">
        <f t="shared" si="1495"/>
        <v>61.61329305135952</v>
      </c>
      <c r="AZ190" s="67">
        <f>AZ155/AZ18*90</f>
        <v>60.161178509532057</v>
      </c>
      <c r="BA190" s="67">
        <f t="shared" si="1496"/>
        <v>60.161178509532057</v>
      </c>
      <c r="BB190" s="67">
        <f>BB155/BB18*90</f>
        <v>64.776869158878512</v>
      </c>
      <c r="BC190" s="67">
        <f t="shared" si="1497"/>
        <v>64.776869158878512</v>
      </c>
      <c r="BD190" s="67">
        <f>BD155/BD18*90</f>
        <v>68.769283315307121</v>
      </c>
      <c r="BE190" s="67">
        <f t="shared" si="1498"/>
        <v>68.769283315307121</v>
      </c>
      <c r="BF190" s="67">
        <f>BF155/BF18*90</f>
        <v>65.408394624785714</v>
      </c>
      <c r="BG190" s="67">
        <f t="shared" si="1499"/>
        <v>65.408394624785714</v>
      </c>
      <c r="BH190" s="67">
        <f>BH155/BH18*90</f>
        <v>64.548983453830843</v>
      </c>
      <c r="BI190" s="67">
        <f t="shared" si="1500"/>
        <v>64.548983453830843</v>
      </c>
      <c r="BJ190" s="67">
        <f>BJ155/BJ18*90</f>
        <v>61.954129718185619</v>
      </c>
      <c r="BK190" s="67">
        <f t="shared" si="1501"/>
        <v>61.954129718185619</v>
      </c>
      <c r="BL190" s="67">
        <f>BL155/BL18*90</f>
        <v>63.853904282115863</v>
      </c>
      <c r="BM190" s="67">
        <f t="shared" si="1502"/>
        <v>63.853904282115863</v>
      </c>
      <c r="BN190" s="67">
        <f>BN155/BN18*90</f>
        <v>71.51029354880302</v>
      </c>
      <c r="BO190" s="67">
        <f t="shared" si="1503"/>
        <v>71.51029354880302</v>
      </c>
      <c r="BP190" s="67">
        <f>BP155/BP18*90</f>
        <v>65.677655677655679</v>
      </c>
      <c r="BQ190" s="67">
        <f t="shared" si="1504"/>
        <v>65.677655677655679</v>
      </c>
      <c r="BR190" s="67">
        <f>BR155/BR18*90</f>
        <v>65.99749154346091</v>
      </c>
      <c r="BS190" s="67">
        <f t="shared" si="1505"/>
        <v>65.99749154346091</v>
      </c>
      <c r="BT190" s="67">
        <f>BT155/BT18*90</f>
        <v>61.174582798459568</v>
      </c>
      <c r="BU190" s="67">
        <f t="shared" si="1506"/>
        <v>61.174582798459568</v>
      </c>
      <c r="BV190" s="67">
        <f>BV155/BV18*90</f>
        <v>63.29222952038667</v>
      </c>
      <c r="BW190" s="67">
        <f t="shared" si="1507"/>
        <v>63.29222952038667</v>
      </c>
      <c r="BX190" s="67">
        <f>BX155/BX18*90</f>
        <v>62.5576112540369</v>
      </c>
      <c r="BY190" s="67">
        <f t="shared" si="1508"/>
        <v>62.5576112540369</v>
      </c>
      <c r="BZ190" s="67">
        <f>BZ155/BZ18*90</f>
        <v>61.113752303624373</v>
      </c>
      <c r="CA190" s="67">
        <f t="shared" si="1509"/>
        <v>61.113752303624373</v>
      </c>
      <c r="CB190" s="67">
        <f>CB155/CB18*90</f>
        <v>65.227727342668103</v>
      </c>
      <c r="CC190" s="67">
        <f t="shared" si="1510"/>
        <v>65.227727342668103</v>
      </c>
      <c r="CD190" s="67">
        <f>CD155/CD18*90</f>
        <v>71.654932362945971</v>
      </c>
      <c r="CE190" s="114">
        <f t="shared" ref="CE190" si="1532">+CD190</f>
        <v>71.654932362945971</v>
      </c>
      <c r="CF190" s="67">
        <f>CF155/CF18*90</f>
        <v>70.296442687747032</v>
      </c>
      <c r="CG190" s="67">
        <f t="shared" si="1511"/>
        <v>70.296442687747032</v>
      </c>
      <c r="CH190" s="67">
        <f>CH155/CH18*90</f>
        <v>68.520952962736715</v>
      </c>
      <c r="CI190" s="67">
        <f t="shared" si="1511"/>
        <v>68.520952962736715</v>
      </c>
      <c r="CJ190" s="67">
        <f>CJ155/CJ18*90</f>
        <v>68.714767363452466</v>
      </c>
      <c r="CK190" s="67">
        <f t="shared" si="1512"/>
        <v>68.714767363452466</v>
      </c>
      <c r="CL190" s="67">
        <f t="shared" si="1513"/>
        <v>68.714767363452466</v>
      </c>
      <c r="CM190" s="30">
        <f t="shared" si="1514"/>
        <v>68.714767363452466</v>
      </c>
      <c r="CN190" s="30">
        <f t="shared" si="1515"/>
        <v>68.714767363452466</v>
      </c>
      <c r="CO190" s="30">
        <f t="shared" si="1516"/>
        <v>68.714767363452466</v>
      </c>
      <c r="CP190" s="30">
        <f t="shared" si="1517"/>
        <v>68.714767363452466</v>
      </c>
      <c r="CQ190" s="30">
        <f t="shared" si="1518"/>
        <v>68.714767363452466</v>
      </c>
      <c r="CR190" s="30">
        <f t="shared" si="1519"/>
        <v>68.714767363452466</v>
      </c>
      <c r="CS190" s="30">
        <f t="shared" si="1520"/>
        <v>68.714767363452466</v>
      </c>
      <c r="CT190" s="30">
        <f t="shared" si="1521"/>
        <v>68.714767363452466</v>
      </c>
      <c r="CU190" s="30">
        <f t="shared" si="1522"/>
        <v>68.714767363452466</v>
      </c>
      <c r="CV190" s="30">
        <f t="shared" si="1523"/>
        <v>68.714767363452466</v>
      </c>
      <c r="CW190" s="30">
        <f t="shared" si="1524"/>
        <v>68.714767363452466</v>
      </c>
      <c r="CX190" s="30">
        <f t="shared" si="1525"/>
        <v>68.714767363452466</v>
      </c>
      <c r="CY190" s="30">
        <f t="shared" si="1526"/>
        <v>68.714767363452466</v>
      </c>
      <c r="CZ190" s="30">
        <f t="shared" si="1527"/>
        <v>68.714767363452466</v>
      </c>
      <c r="DA190" s="30">
        <f t="shared" si="1528"/>
        <v>68.714767363452466</v>
      </c>
      <c r="DB190" s="30">
        <f t="shared" si="1529"/>
        <v>68.714767363452466</v>
      </c>
      <c r="DE190" s="139"/>
      <c r="DF190" s="62">
        <v>71.986621886370003</v>
      </c>
      <c r="DG190" s="62">
        <v>68.714767363452466</v>
      </c>
    </row>
    <row r="191" spans="1:111" s="62" customFormat="1" outlineLevel="1" x14ac:dyDescent="0.2">
      <c r="A191" s="68" t="s">
        <v>466</v>
      </c>
      <c r="B191" s="67">
        <f>B192-B190-B189</f>
        <v>82.634318985909573</v>
      </c>
      <c r="C191" s="67">
        <f t="shared" ref="C191:U191" si="1533">C192-C190-C189</f>
        <v>90.264807438959295</v>
      </c>
      <c r="D191" s="67">
        <f t="shared" si="1533"/>
        <v>91.597453832163893</v>
      </c>
      <c r="E191" s="67">
        <f t="shared" si="1533"/>
        <v>54.231601397088347</v>
      </c>
      <c r="F191" s="67">
        <f t="shared" si="1533"/>
        <v>52.420757363253855</v>
      </c>
      <c r="G191" s="67">
        <f t="shared" si="1533"/>
        <v>49.722193046948846</v>
      </c>
      <c r="H191" s="67">
        <f t="shared" si="1533"/>
        <v>32.866551500755776</v>
      </c>
      <c r="I191" s="67">
        <f t="shared" si="1533"/>
        <v>60.592798945602681</v>
      </c>
      <c r="J191" s="67">
        <f t="shared" si="1533"/>
        <v>55.17148388881207</v>
      </c>
      <c r="K191" s="67">
        <f t="shared" si="1533"/>
        <v>67.360170609445078</v>
      </c>
      <c r="L191" s="67">
        <f t="shared" si="1533"/>
        <v>53.221701029053492</v>
      </c>
      <c r="M191" s="67">
        <f t="shared" si="1533"/>
        <v>55.203355664907804</v>
      </c>
      <c r="N191" s="67">
        <f t="shared" si="1533"/>
        <v>59.265463917525793</v>
      </c>
      <c r="O191" s="67">
        <f t="shared" si="1533"/>
        <v>60.909779985239254</v>
      </c>
      <c r="P191" s="67">
        <f t="shared" si="1533"/>
        <v>77.225097995086173</v>
      </c>
      <c r="Q191" s="67">
        <f t="shared" si="1533"/>
        <v>85.046443842987784</v>
      </c>
      <c r="R191" s="67">
        <f t="shared" si="1533"/>
        <v>84.747751299573636</v>
      </c>
      <c r="S191" s="67">
        <f t="shared" si="1533"/>
        <v>99.916692663282362</v>
      </c>
      <c r="T191" s="67">
        <f t="shared" si="1533"/>
        <v>90.999455700030254</v>
      </c>
      <c r="U191" s="67">
        <f t="shared" si="1533"/>
        <v>81.823583835402204</v>
      </c>
      <c r="V191" s="67">
        <f>V192-V190-V189</f>
        <v>82.276853252647513</v>
      </c>
      <c r="W191" s="67">
        <f t="shared" ref="W191" si="1534">W192-W190-W189</f>
        <v>89.907966886165028</v>
      </c>
      <c r="X191" s="67">
        <f t="shared" ref="X191:Y191" si="1535">X192-X190-X189</f>
        <v>94.461254914251853</v>
      </c>
      <c r="Y191" s="67">
        <f t="shared" si="1535"/>
        <v>94.635875577536282</v>
      </c>
      <c r="Z191" s="67">
        <f t="shared" ref="Z191:AA191" si="1536">Z192-Z190-Z189</f>
        <v>82.557764280017196</v>
      </c>
      <c r="AA191" s="67">
        <f t="shared" ref="AA191" si="1537">AA192-AA190-AA189</f>
        <v>81.912006717044491</v>
      </c>
      <c r="AB191" s="18">
        <f t="shared" ref="AB191:AD191" si="1538">AB192-AB190-AB189</f>
        <v>87.829438337366597</v>
      </c>
      <c r="AC191" s="18">
        <f t="shared" si="1538"/>
        <v>88.485924315472204</v>
      </c>
      <c r="AD191" s="18">
        <f t="shared" si="1538"/>
        <v>89.577415784427046</v>
      </c>
      <c r="AE191" s="18">
        <f t="shared" ref="AE191" si="1539">AE192-AE190-AE189</f>
        <v>90.617252566484154</v>
      </c>
      <c r="AI191" s="67">
        <f t="shared" ref="AI191:AK191" si="1540">AI192-AI190-AI189</f>
        <v>-62.539517470881869</v>
      </c>
      <c r="AJ191" s="67">
        <f t="shared" ref="AJ191:AM191" si="1541">AJ192-AJ190-AJ189</f>
        <v>46.113816189896525</v>
      </c>
      <c r="AK191" s="67">
        <f t="shared" si="1540"/>
        <v>43.609938603223341</v>
      </c>
      <c r="AL191" s="67">
        <f t="shared" si="1541"/>
        <v>51.551559211784962</v>
      </c>
      <c r="AM191" s="67">
        <f t="shared" si="1541"/>
        <v>47.83172095500133</v>
      </c>
      <c r="AN191" s="67">
        <f t="shared" ref="AN191:AY191" si="1542">AN192-AN190-AN189</f>
        <v>49.723871962977249</v>
      </c>
      <c r="AO191" s="67">
        <f t="shared" si="1542"/>
        <v>49.491017964071851</v>
      </c>
      <c r="AP191" s="67">
        <f t="shared" si="1542"/>
        <v>51.756116504854354</v>
      </c>
      <c r="AQ191" s="67">
        <f t="shared" si="1542"/>
        <v>52.18167580266249</v>
      </c>
      <c r="AR191" s="67">
        <f t="shared" si="1542"/>
        <v>53.00029980512668</v>
      </c>
      <c r="AS191" s="67">
        <f t="shared" si="1542"/>
        <v>51.256161206146707</v>
      </c>
      <c r="AT191" s="67">
        <f t="shared" si="1542"/>
        <v>70.927596748937432</v>
      </c>
      <c r="AU191" s="67">
        <f t="shared" si="1542"/>
        <v>66.267939250383179</v>
      </c>
      <c r="AV191" s="67">
        <f t="shared" si="1542"/>
        <v>77.675727534377998</v>
      </c>
      <c r="AW191" s="67">
        <f t="shared" si="1542"/>
        <v>76.371525594264867</v>
      </c>
      <c r="AX191" s="67">
        <f t="shared" si="1542"/>
        <v>79.118429003021149</v>
      </c>
      <c r="AY191" s="67">
        <f t="shared" si="1542"/>
        <v>78.024669288523413</v>
      </c>
      <c r="AZ191" s="67">
        <f t="shared" ref="AZ191:BC191" si="1543">AZ192-AZ190-AZ189</f>
        <v>84.998266897746987</v>
      </c>
      <c r="BA191" s="67">
        <f t="shared" si="1543"/>
        <v>85.180339257801194</v>
      </c>
      <c r="BB191" s="67">
        <f t="shared" si="1543"/>
        <v>83.591705607476612</v>
      </c>
      <c r="BC191" s="67">
        <f t="shared" si="1543"/>
        <v>83.797283054221808</v>
      </c>
      <c r="BD191" s="67">
        <f t="shared" ref="BD191:CE191" si="1544">BD192-BD190-BD189</f>
        <v>86.362497865315646</v>
      </c>
      <c r="BE191" s="67">
        <f t="shared" si="1544"/>
        <v>85.260762054625161</v>
      </c>
      <c r="BF191" s="67">
        <f t="shared" si="1544"/>
        <v>96.081955427749833</v>
      </c>
      <c r="BG191" s="67">
        <f t="shared" si="1544"/>
        <v>90.832810539523209</v>
      </c>
      <c r="BH191" s="67">
        <f t="shared" si="1544"/>
        <v>88.768499199378923</v>
      </c>
      <c r="BI191" s="67">
        <f t="shared" si="1544"/>
        <v>85.487383177570067</v>
      </c>
      <c r="BJ191" s="67">
        <f t="shared" si="1544"/>
        <v>86.126561121686251</v>
      </c>
      <c r="BK191" s="67">
        <f t="shared" si="1544"/>
        <v>85.083704077420578</v>
      </c>
      <c r="BL191" s="67">
        <f t="shared" si="1544"/>
        <v>101.57364443855231</v>
      </c>
      <c r="BM191" s="67">
        <f t="shared" si="1544"/>
        <v>99.537069114844954</v>
      </c>
      <c r="BN191" s="67">
        <f t="shared" si="1544"/>
        <v>94.850646838870489</v>
      </c>
      <c r="BO191" s="67">
        <f t="shared" si="1544"/>
        <v>93.255440523980582</v>
      </c>
      <c r="BP191" s="67">
        <f t="shared" si="1544"/>
        <v>91.274725274725256</v>
      </c>
      <c r="BQ191" s="67">
        <f t="shared" si="1544"/>
        <v>86.49747367609055</v>
      </c>
      <c r="BR191" s="67">
        <f t="shared" si="1544"/>
        <v>93.868724107787614</v>
      </c>
      <c r="BS191" s="67">
        <f t="shared" si="1544"/>
        <v>88.535273874390583</v>
      </c>
      <c r="BT191" s="67">
        <f t="shared" si="1544"/>
        <v>92.927842713330165</v>
      </c>
      <c r="BU191" s="67">
        <f t="shared" si="1544"/>
        <v>86.322841811278124</v>
      </c>
      <c r="BV191" s="67">
        <f t="shared" si="1544"/>
        <v>96.999008551245495</v>
      </c>
      <c r="BW191" s="67">
        <f t="shared" si="1544"/>
        <v>90.825065274151441</v>
      </c>
      <c r="BX191" s="67">
        <f t="shared" si="1544"/>
        <v>96.30822705128908</v>
      </c>
      <c r="BY191" s="67">
        <f t="shared" si="1544"/>
        <v>91.834385928284362</v>
      </c>
      <c r="BZ191" s="67">
        <f t="shared" si="1544"/>
        <v>107.84567719879277</v>
      </c>
      <c r="CA191" s="67">
        <f t="shared" si="1544"/>
        <v>106.44689320644292</v>
      </c>
      <c r="CB191" s="67">
        <f t="shared" si="1544"/>
        <v>102.26496384059085</v>
      </c>
      <c r="CC191" s="67">
        <f t="shared" si="1544"/>
        <v>102.72069240874784</v>
      </c>
      <c r="CD191" s="67">
        <f t="shared" si="1544"/>
        <v>110.10600427181393</v>
      </c>
      <c r="CE191" s="114">
        <f t="shared" si="1544"/>
        <v>106.2075543685616</v>
      </c>
      <c r="CF191" s="67">
        <f t="shared" ref="CF191:CG191" si="1545">CF192-CF190-CF189</f>
        <v>97.448397013614425</v>
      </c>
      <c r="CG191" s="67">
        <f t="shared" si="1545"/>
        <v>95.633081122497828</v>
      </c>
      <c r="CH191" s="67">
        <f t="shared" ref="CH191" si="1546">CH192-CH190-CH189</f>
        <v>81.073671350030537</v>
      </c>
      <c r="CI191" s="67">
        <f>CH191</f>
        <v>81.073671350030537</v>
      </c>
      <c r="CJ191" s="67">
        <f t="shared" ref="CJ191" si="1547">CJ192-CJ190-CJ189</f>
        <v>85.325016857720811</v>
      </c>
      <c r="CK191" s="67">
        <f t="shared" ref="CK191:DB191" si="1548">CJ191</f>
        <v>85.325016857720811</v>
      </c>
      <c r="CL191" s="67">
        <f t="shared" si="1548"/>
        <v>85.325016857720811</v>
      </c>
      <c r="CM191" s="30">
        <f t="shared" si="1548"/>
        <v>85.325016857720811</v>
      </c>
      <c r="CN191" s="30">
        <f t="shared" si="1548"/>
        <v>85.325016857720811</v>
      </c>
      <c r="CO191" s="30">
        <f t="shared" si="1548"/>
        <v>85.325016857720811</v>
      </c>
      <c r="CP191" s="30">
        <f t="shared" si="1548"/>
        <v>85.325016857720811</v>
      </c>
      <c r="CQ191" s="30">
        <f t="shared" si="1548"/>
        <v>85.325016857720811</v>
      </c>
      <c r="CR191" s="30">
        <f t="shared" si="1548"/>
        <v>85.325016857720811</v>
      </c>
      <c r="CS191" s="30">
        <f t="shared" si="1548"/>
        <v>85.325016857720811</v>
      </c>
      <c r="CT191" s="30">
        <f t="shared" si="1548"/>
        <v>85.325016857720811</v>
      </c>
      <c r="CU191" s="30">
        <f t="shared" si="1548"/>
        <v>85.325016857720811</v>
      </c>
      <c r="CV191" s="30">
        <f t="shared" si="1548"/>
        <v>85.325016857720811</v>
      </c>
      <c r="CW191" s="30">
        <f t="shared" si="1548"/>
        <v>85.325016857720811</v>
      </c>
      <c r="CX191" s="30">
        <f t="shared" si="1548"/>
        <v>85.325016857720811</v>
      </c>
      <c r="CY191" s="30">
        <f t="shared" si="1548"/>
        <v>85.325016857720811</v>
      </c>
      <c r="CZ191" s="30">
        <f t="shared" si="1548"/>
        <v>85.325016857720811</v>
      </c>
      <c r="DA191" s="30">
        <f t="shared" si="1548"/>
        <v>85.325016857720811</v>
      </c>
      <c r="DB191" s="30">
        <f t="shared" si="1548"/>
        <v>85.325016857720811</v>
      </c>
      <c r="DE191" s="139"/>
      <c r="DF191" s="62">
        <v>94.532241813602027</v>
      </c>
      <c r="DG191" s="62">
        <v>85.325016857720811</v>
      </c>
    </row>
    <row r="192" spans="1:111" s="7" customFormat="1" outlineLevel="1" x14ac:dyDescent="0.2">
      <c r="A192" s="69" t="s">
        <v>467</v>
      </c>
      <c r="B192" s="70">
        <f t="shared" ref="B192:AE192" si="1549">B158/B18*365</f>
        <v>140.70393885083701</v>
      </c>
      <c r="C192" s="70">
        <f t="shared" si="1549"/>
        <v>137.4713376530099</v>
      </c>
      <c r="D192" s="70">
        <f t="shared" si="1549"/>
        <v>143.60522585288928</v>
      </c>
      <c r="E192" s="70">
        <f t="shared" si="1549"/>
        <v>103.22844867554785</v>
      </c>
      <c r="F192" s="70">
        <f t="shared" si="1549"/>
        <v>120.09677419354838</v>
      </c>
      <c r="G192" s="70">
        <f t="shared" si="1549"/>
        <v>111.36697825858629</v>
      </c>
      <c r="H192" s="70">
        <f t="shared" si="1549"/>
        <v>96.865687756424094</v>
      </c>
      <c r="I192" s="70">
        <f t="shared" si="1549"/>
        <v>132.6875149772346</v>
      </c>
      <c r="J192" s="70">
        <f t="shared" si="1549"/>
        <v>116.95546950629236</v>
      </c>
      <c r="K192" s="70">
        <f t="shared" si="1549"/>
        <v>123.43747251780846</v>
      </c>
      <c r="L192" s="70">
        <f t="shared" si="1549"/>
        <v>114.97745536525944</v>
      </c>
      <c r="M192" s="70">
        <f t="shared" si="1549"/>
        <v>118.84626786031896</v>
      </c>
      <c r="N192" s="70">
        <f t="shared" si="1549"/>
        <v>123.33403548770818</v>
      </c>
      <c r="O192" s="70">
        <f t="shared" si="1549"/>
        <v>121.71035046775576</v>
      </c>
      <c r="P192" s="70">
        <f t="shared" si="1549"/>
        <v>143.71631125865076</v>
      </c>
      <c r="Q192" s="70">
        <f t="shared" si="1549"/>
        <v>151.27616469947631</v>
      </c>
      <c r="R192" s="70">
        <f t="shared" si="1549"/>
        <v>150.42046317388005</v>
      </c>
      <c r="S192" s="70">
        <f t="shared" si="1549"/>
        <v>167.93560874620684</v>
      </c>
      <c r="T192" s="70">
        <f t="shared" si="1549"/>
        <v>156.45884487450863</v>
      </c>
      <c r="U192" s="70">
        <f t="shared" si="1549"/>
        <v>156.14543291735967</v>
      </c>
      <c r="V192" s="70">
        <f t="shared" si="1549"/>
        <v>152.3691177641532</v>
      </c>
      <c r="W192" s="70">
        <f t="shared" si="1549"/>
        <v>158.01633495285307</v>
      </c>
      <c r="X192" s="70">
        <f t="shared" si="1549"/>
        <v>157.68909223463041</v>
      </c>
      <c r="Y192" s="70">
        <f t="shared" si="1549"/>
        <v>166.35088175961477</v>
      </c>
      <c r="Z192" s="70">
        <f t="shared" si="1549"/>
        <v>152.33302656604701</v>
      </c>
      <c r="AA192" s="70">
        <f t="shared" ref="AA192" si="1550">AA158/AA18*365</f>
        <v>153.89862860341449</v>
      </c>
      <c r="AB192" s="71">
        <f t="shared" si="1549"/>
        <v>158.5610906156015</v>
      </c>
      <c r="AC192" s="71">
        <f t="shared" si="1549"/>
        <v>159.74626422746542</v>
      </c>
      <c r="AD192" s="71">
        <f t="shared" si="1549"/>
        <v>161.71676615701574</v>
      </c>
      <c r="AE192" s="71">
        <f t="shared" si="1549"/>
        <v>163.5940143478999</v>
      </c>
      <c r="AI192" s="70">
        <f t="shared" ref="AI192:CD192" si="1551">AI158/AI18*90</f>
        <v>0</v>
      </c>
      <c r="AJ192" s="70">
        <f t="shared" si="1551"/>
        <v>107.11807668898356</v>
      </c>
      <c r="AK192" s="70">
        <f t="shared" si="1551"/>
        <v>104.61419910231038</v>
      </c>
      <c r="AL192" s="70">
        <f t="shared" si="1551"/>
        <v>112.53013200688731</v>
      </c>
      <c r="AM192" s="70">
        <f t="shared" si="1551"/>
        <v>108.81029375010368</v>
      </c>
      <c r="AN192" s="70">
        <f t="shared" si="1551"/>
        <v>107.63902815271886</v>
      </c>
      <c r="AO192" s="70">
        <f t="shared" si="1551"/>
        <v>107.40617415381347</v>
      </c>
      <c r="AP192" s="70">
        <f t="shared" si="1551"/>
        <v>110.13203883495144</v>
      </c>
      <c r="AQ192" s="70">
        <f t="shared" si="1551"/>
        <v>110.55759813275958</v>
      </c>
      <c r="AR192" s="70">
        <f t="shared" si="1551"/>
        <v>113.98066256932995</v>
      </c>
      <c r="AS192" s="70">
        <f t="shared" si="1551"/>
        <v>112.23652397034998</v>
      </c>
      <c r="AT192" s="70">
        <f t="shared" si="1551"/>
        <v>136.11065543210796</v>
      </c>
      <c r="AU192" s="70">
        <f t="shared" si="1551"/>
        <v>131.45099793355371</v>
      </c>
      <c r="AV192" s="70">
        <f t="shared" si="1551"/>
        <v>137.52414454748961</v>
      </c>
      <c r="AW192" s="70">
        <f t="shared" si="1551"/>
        <v>136.21994260737648</v>
      </c>
      <c r="AX192" s="70">
        <f t="shared" si="1551"/>
        <v>140.73172205438067</v>
      </c>
      <c r="AY192" s="70">
        <f t="shared" si="1551"/>
        <v>139.63796233988293</v>
      </c>
      <c r="AZ192" s="70">
        <f t="shared" si="1551"/>
        <v>145.15944540727904</v>
      </c>
      <c r="BA192" s="70">
        <f t="shared" si="1551"/>
        <v>145.34151776733324</v>
      </c>
      <c r="BB192" s="70">
        <f t="shared" si="1551"/>
        <v>148.36857476635512</v>
      </c>
      <c r="BC192" s="70">
        <f t="shared" si="1551"/>
        <v>148.57415221310032</v>
      </c>
      <c r="BD192" s="70">
        <f t="shared" si="1551"/>
        <v>155.13178118062277</v>
      </c>
      <c r="BE192" s="70">
        <f t="shared" si="1551"/>
        <v>154.03004536993228</v>
      </c>
      <c r="BF192" s="70">
        <f t="shared" si="1551"/>
        <v>161.49035005253555</v>
      </c>
      <c r="BG192" s="70">
        <f t="shared" si="1551"/>
        <v>156.24120516430892</v>
      </c>
      <c r="BH192" s="70">
        <f t="shared" si="1551"/>
        <v>153.31748265320977</v>
      </c>
      <c r="BI192" s="70">
        <f t="shared" si="1551"/>
        <v>150.03636663140091</v>
      </c>
      <c r="BJ192" s="70">
        <f t="shared" si="1551"/>
        <v>148.08069083987186</v>
      </c>
      <c r="BK192" s="70">
        <f t="shared" si="1551"/>
        <v>147.03783379560619</v>
      </c>
      <c r="BL192" s="70">
        <f t="shared" si="1551"/>
        <v>165.42754872066817</v>
      </c>
      <c r="BM192" s="70">
        <f t="shared" si="1551"/>
        <v>163.39097339696082</v>
      </c>
      <c r="BN192" s="70">
        <f t="shared" si="1551"/>
        <v>166.36094038767351</v>
      </c>
      <c r="BO192" s="70">
        <f t="shared" si="1551"/>
        <v>164.7657340727836</v>
      </c>
      <c r="BP192" s="70">
        <f t="shared" si="1551"/>
        <v>156.95238095238093</v>
      </c>
      <c r="BQ192" s="70">
        <f t="shared" si="1551"/>
        <v>152.17512935374623</v>
      </c>
      <c r="BR192" s="70">
        <f t="shared" si="1551"/>
        <v>159.86621565124852</v>
      </c>
      <c r="BS192" s="70">
        <f t="shared" si="1551"/>
        <v>154.53276541785149</v>
      </c>
      <c r="BT192" s="70">
        <f t="shared" si="1551"/>
        <v>154.10242551178973</v>
      </c>
      <c r="BU192" s="70">
        <f t="shared" si="1551"/>
        <v>147.49742460973769</v>
      </c>
      <c r="BV192" s="70">
        <f t="shared" si="1551"/>
        <v>160.29123807163216</v>
      </c>
      <c r="BW192" s="70">
        <f t="shared" si="1551"/>
        <v>154.11729479453811</v>
      </c>
      <c r="BX192" s="70">
        <f t="shared" si="1551"/>
        <v>158.86583830532598</v>
      </c>
      <c r="BY192" s="70">
        <f t="shared" si="1551"/>
        <v>154.39199718232126</v>
      </c>
      <c r="BZ192" s="70">
        <f t="shared" si="1551"/>
        <v>168.95942950241715</v>
      </c>
      <c r="CA192" s="70">
        <f t="shared" si="1551"/>
        <v>167.5606455100673</v>
      </c>
      <c r="CB192" s="70">
        <f t="shared" si="1551"/>
        <v>167.49269118325896</v>
      </c>
      <c r="CC192" s="70">
        <f t="shared" si="1551"/>
        <v>167.94841975141594</v>
      </c>
      <c r="CD192" s="70">
        <f t="shared" si="1551"/>
        <v>181.7609366347599</v>
      </c>
      <c r="CE192" s="115">
        <f>CE158/CE20*90</f>
        <v>177.86248673150757</v>
      </c>
      <c r="CF192" s="70">
        <f>CF158/CF18*90</f>
        <v>167.74483970136146</v>
      </c>
      <c r="CG192" s="70">
        <f>CG158/CG20*90</f>
        <v>165.92952381024486</v>
      </c>
      <c r="CH192" s="70">
        <f>CH158/CH18*90</f>
        <v>149.59462431276725</v>
      </c>
      <c r="CI192" s="70">
        <f>CI189+CI190+CI191</f>
        <v>149.59462431276725</v>
      </c>
      <c r="CJ192" s="70">
        <f>CJ158/CJ18*90</f>
        <v>154.03978422117328</v>
      </c>
      <c r="CK192" s="70">
        <f t="shared" ref="CK192:DB192" si="1552">CK189+CK190+CK191</f>
        <v>154.03978422117328</v>
      </c>
      <c r="CL192" s="70">
        <f t="shared" si="1552"/>
        <v>154.03978422117328</v>
      </c>
      <c r="CM192" s="50">
        <f t="shared" si="1552"/>
        <v>154.03978422117328</v>
      </c>
      <c r="CN192" s="50">
        <f t="shared" si="1552"/>
        <v>154.03978422117328</v>
      </c>
      <c r="CO192" s="50">
        <f t="shared" si="1552"/>
        <v>154.03978422117328</v>
      </c>
      <c r="CP192" s="50">
        <f t="shared" si="1552"/>
        <v>154.03978422117328</v>
      </c>
      <c r="CQ192" s="50">
        <f t="shared" si="1552"/>
        <v>154.03978422117328</v>
      </c>
      <c r="CR192" s="50">
        <f t="shared" si="1552"/>
        <v>154.03978422117328</v>
      </c>
      <c r="CS192" s="50">
        <f t="shared" si="1552"/>
        <v>154.03978422117328</v>
      </c>
      <c r="CT192" s="50">
        <f t="shared" si="1552"/>
        <v>154.03978422117328</v>
      </c>
      <c r="CU192" s="50">
        <f t="shared" si="1552"/>
        <v>154.03978422117328</v>
      </c>
      <c r="CV192" s="50">
        <f t="shared" si="1552"/>
        <v>154.03978422117328</v>
      </c>
      <c r="CW192" s="50">
        <f t="shared" si="1552"/>
        <v>154.03978422117328</v>
      </c>
      <c r="CX192" s="50">
        <f t="shared" si="1552"/>
        <v>154.03978422117328</v>
      </c>
      <c r="CY192" s="50">
        <f t="shared" si="1552"/>
        <v>154.03978422117328</v>
      </c>
      <c r="CZ192" s="50">
        <f t="shared" si="1552"/>
        <v>154.03978422117328</v>
      </c>
      <c r="DA192" s="50">
        <f t="shared" si="1552"/>
        <v>154.03978422117328</v>
      </c>
      <c r="DB192" s="50">
        <f t="shared" si="1552"/>
        <v>154.03978422117328</v>
      </c>
      <c r="DE192" s="138"/>
      <c r="DF192" s="7">
        <v>166.51886369997203</v>
      </c>
      <c r="DG192" s="7">
        <v>154.03978422117328</v>
      </c>
    </row>
    <row r="193" spans="1:111" s="62" customFormat="1" outlineLevel="1" x14ac:dyDescent="0.2">
      <c r="A193" s="68" t="s">
        <v>468</v>
      </c>
      <c r="B193" s="67">
        <f t="shared" ref="B193:AE193" si="1553">B163/B18*365</f>
        <v>2.5109842802409518E-2</v>
      </c>
      <c r="C193" s="67">
        <f t="shared" si="1553"/>
        <v>0</v>
      </c>
      <c r="D193" s="67">
        <f t="shared" si="1553"/>
        <v>14.764531673250954</v>
      </c>
      <c r="E193" s="67">
        <f t="shared" si="1553"/>
        <v>25.132836728175651</v>
      </c>
      <c r="F193" s="67">
        <f t="shared" si="1553"/>
        <v>16.125525946704066</v>
      </c>
      <c r="G193" s="67">
        <f t="shared" si="1553"/>
        <v>14.64447011868501</v>
      </c>
      <c r="H193" s="67">
        <f t="shared" si="1553"/>
        <v>12.531850572230621</v>
      </c>
      <c r="I193" s="67">
        <f t="shared" si="1553"/>
        <v>11.939252336448597</v>
      </c>
      <c r="J193" s="67">
        <f t="shared" si="1553"/>
        <v>9.5906513621905685</v>
      </c>
      <c r="K193" s="67">
        <f t="shared" si="1553"/>
        <v>10.576686307272887</v>
      </c>
      <c r="L193" s="67">
        <f t="shared" si="1553"/>
        <v>0.583978764408567</v>
      </c>
      <c r="M193" s="67">
        <f t="shared" si="1553"/>
        <v>0.24885871820715005</v>
      </c>
      <c r="N193" s="67">
        <f t="shared" si="1553"/>
        <v>1.7095806899286281</v>
      </c>
      <c r="O193" s="67">
        <f t="shared" si="1553"/>
        <v>1.259549598069136</v>
      </c>
      <c r="P193" s="67">
        <f t="shared" si="1553"/>
        <v>0.95838256531442823</v>
      </c>
      <c r="Q193" s="67">
        <f t="shared" si="1553"/>
        <v>2.2563700132925479</v>
      </c>
      <c r="R193" s="67">
        <f t="shared" si="1553"/>
        <v>1.956004322177443</v>
      </c>
      <c r="S193" s="67">
        <f t="shared" si="1553"/>
        <v>3.5919287598196306</v>
      </c>
      <c r="T193" s="67">
        <f t="shared" si="1553"/>
        <v>7.3066223162987605</v>
      </c>
      <c r="U193" s="67">
        <f t="shared" si="1553"/>
        <v>11.465673910409624</v>
      </c>
      <c r="V193" s="67">
        <f t="shared" si="1553"/>
        <v>9.6088960108288877</v>
      </c>
      <c r="W193" s="67">
        <f t="shared" si="1553"/>
        <v>12.404616864379609</v>
      </c>
      <c r="X193" s="67">
        <f t="shared" si="1553"/>
        <v>9.6120040608583679</v>
      </c>
      <c r="Y193" s="67">
        <f t="shared" si="1553"/>
        <v>9.3963688423244616</v>
      </c>
      <c r="Z193" s="67">
        <f t="shared" si="1553"/>
        <v>9.3248665562304431</v>
      </c>
      <c r="AA193" s="67">
        <f t="shared" ref="AA193" si="1554">AA163/AA18*365</f>
        <v>9.6924713126224464</v>
      </c>
      <c r="AB193" s="18">
        <f t="shared" si="1553"/>
        <v>7.9939594057979226</v>
      </c>
      <c r="AC193" s="18">
        <f t="shared" si="1553"/>
        <v>8.0537106960121836</v>
      </c>
      <c r="AD193" s="18">
        <f t="shared" si="1553"/>
        <v>8.1530548186636818</v>
      </c>
      <c r="AE193" s="18">
        <f t="shared" si="1553"/>
        <v>8.2476974940783983</v>
      </c>
      <c r="AI193" s="67">
        <f>AJ163/AI18*90</f>
        <v>0</v>
      </c>
      <c r="AJ193" s="67">
        <f>AJ163/AJ18*90</f>
        <v>0</v>
      </c>
      <c r="AK193" s="67">
        <f t="shared" ref="AK193:CE193" si="1555">+AJ193</f>
        <v>0</v>
      </c>
      <c r="AL193" s="67">
        <f>AL163/AL18*90</f>
        <v>1.6271283719150567</v>
      </c>
      <c r="AM193" s="67">
        <f t="shared" ref="AM193" si="1556">+AL193</f>
        <v>1.6271283719150567</v>
      </c>
      <c r="AN193" s="67">
        <f>AN163/AN18*90</f>
        <v>0.69417662938681057</v>
      </c>
      <c r="AO193" s="67">
        <f t="shared" ref="AO193" si="1557">+AN193</f>
        <v>0.69417662938681057</v>
      </c>
      <c r="AP193" s="67">
        <f>AP163/AP18*90</f>
        <v>1.2093203883495145</v>
      </c>
      <c r="AQ193" s="67">
        <f t="shared" ref="AQ193" si="1558">+AP193</f>
        <v>1.2093203883495145</v>
      </c>
      <c r="AR193" s="67">
        <f>AR163/AR18*90</f>
        <v>0.91065807225303552</v>
      </c>
      <c r="AS193" s="67">
        <f t="shared" ref="AS193" si="1559">+AR193</f>
        <v>0.91065807225303552</v>
      </c>
      <c r="AT193" s="67">
        <f>AT163/AT18*90</f>
        <v>0.93952725374692414</v>
      </c>
      <c r="AU193" s="67">
        <f t="shared" ref="AU193" si="1560">+AT193</f>
        <v>0.93952725374692414</v>
      </c>
      <c r="AV193" s="67">
        <f>AV163/AV18*90</f>
        <v>0.63319475535657177</v>
      </c>
      <c r="AW193" s="67">
        <f t="shared" ref="AW193" si="1561">+AV193</f>
        <v>0.63319475535657177</v>
      </c>
      <c r="AX193" s="67">
        <f>AX163/AX18*90</f>
        <v>2.0990936555891238</v>
      </c>
      <c r="AY193" s="67">
        <f t="shared" ref="AY193" si="1562">+AX193</f>
        <v>2.0990936555891238</v>
      </c>
      <c r="AZ193" s="67">
        <f>AZ163/AZ18*90</f>
        <v>1.5961871750433274</v>
      </c>
      <c r="BA193" s="67">
        <f t="shared" ref="BA193" si="1563">+AZ193</f>
        <v>1.5961871750433274</v>
      </c>
      <c r="BB193" s="67">
        <f>BB163/BB18*90</f>
        <v>1.9293224299065421</v>
      </c>
      <c r="BC193" s="67">
        <f t="shared" ref="BC193" si="1564">+BB193</f>
        <v>1.9293224299065421</v>
      </c>
      <c r="BD193" s="67">
        <f>BD163/BD18*90</f>
        <v>2.7563044344509593</v>
      </c>
      <c r="BE193" s="67">
        <f t="shared" ref="BE193" si="1565">+BD193</f>
        <v>2.7563044344509593</v>
      </c>
      <c r="BF193" s="67">
        <f>BF163/BF18*90</f>
        <v>3.4540728861361498</v>
      </c>
      <c r="BG193" s="67">
        <f t="shared" ref="BG193" si="1566">+BF193</f>
        <v>3.4540728861361498</v>
      </c>
      <c r="BH193" s="67">
        <f>BH163/BH18*90</f>
        <v>5.209859770003396</v>
      </c>
      <c r="BI193" s="67">
        <f t="shared" ref="BI193" si="1567">+BH193</f>
        <v>5.209859770003396</v>
      </c>
      <c r="BJ193" s="67">
        <f>BJ163/BJ18*90</f>
        <v>6.915362830214959</v>
      </c>
      <c r="BK193" s="67">
        <f t="shared" ref="BK193" si="1568">+BJ193</f>
        <v>6.915362830214959</v>
      </c>
      <c r="BL193" s="67">
        <f>BL163/BL18*90</f>
        <v>8.4873392549383535</v>
      </c>
      <c r="BM193" s="67">
        <f t="shared" ref="BM193" si="1569">+BL193</f>
        <v>8.4873392549383535</v>
      </c>
      <c r="BN193" s="67">
        <f>BN163/BN18*90</f>
        <v>11.031933639919199</v>
      </c>
      <c r="BO193" s="67">
        <f t="shared" ref="BO193" si="1570">+BN193</f>
        <v>11.031933639919199</v>
      </c>
      <c r="BP193" s="67">
        <f>BP163/BP18*90</f>
        <v>8.6996336996336989</v>
      </c>
      <c r="BQ193" s="67">
        <f t="shared" ref="BQ193" si="1571">+BP193</f>
        <v>8.6996336996336989</v>
      </c>
      <c r="BR193" s="67">
        <f>BR163/BR18*90</f>
        <v>9.0475466534909348</v>
      </c>
      <c r="BS193" s="67">
        <f t="shared" ref="BS193" si="1572">+BR193</f>
        <v>9.0475466534909348</v>
      </c>
      <c r="BT193" s="67">
        <f>BT163/BT18*90</f>
        <v>9.6561043172758598</v>
      </c>
      <c r="BU193" s="67">
        <f t="shared" ref="BU193" si="1573">+BT193</f>
        <v>9.6561043172758598</v>
      </c>
      <c r="BV193" s="67">
        <f>BV163/BV18*90</f>
        <v>11.52745073739001</v>
      </c>
      <c r="BW193" s="67">
        <f t="shared" ref="BW193" si="1574">+BV193</f>
        <v>11.52745073739001</v>
      </c>
      <c r="BX193" s="67">
        <f>BX163/BX18*90</f>
        <v>10.251792654223001</v>
      </c>
      <c r="BY193" s="67">
        <f t="shared" ref="BY193" si="1575">+BX193</f>
        <v>10.251792654223001</v>
      </c>
      <c r="BZ193" s="67">
        <f>BZ163/BZ18*90</f>
        <v>9.2906172377874512</v>
      </c>
      <c r="CA193" s="67">
        <f t="shared" ref="CA193" si="1576">+BZ193</f>
        <v>9.2906172377874512</v>
      </c>
      <c r="CB193" s="67">
        <f>CB163/CB18*90</f>
        <v>7.3926757962763512</v>
      </c>
      <c r="CC193" s="67">
        <f t="shared" ref="CC193" si="1577">+CB193</f>
        <v>7.3926757962763512</v>
      </c>
      <c r="CD193" s="67">
        <f>CD163/CD18*90</f>
        <v>9.3884977454315326</v>
      </c>
      <c r="CE193" s="114">
        <f t="shared" si="1555"/>
        <v>9.3884977454315326</v>
      </c>
      <c r="CF193" s="67">
        <f>CF163/CF18*90</f>
        <v>8.4343434343434343</v>
      </c>
      <c r="CG193" s="67">
        <f t="shared" ref="CG193:CI193" si="1578">+CF193</f>
        <v>8.4343434343434343</v>
      </c>
      <c r="CH193" s="67">
        <f>CH163/CH18*90</f>
        <v>9.157238851557727</v>
      </c>
      <c r="CI193" s="67">
        <f t="shared" si="1578"/>
        <v>9.157238851557727</v>
      </c>
      <c r="CJ193" s="67">
        <f>CJ163/CJ18*90</f>
        <v>7.7660148347943352</v>
      </c>
      <c r="CK193" s="67">
        <f t="shared" ref="CK193" si="1579">+CJ193</f>
        <v>7.7660148347943352</v>
      </c>
      <c r="CL193" s="67">
        <f t="shared" ref="CL193" si="1580">+CK193</f>
        <v>7.7660148347943352</v>
      </c>
      <c r="CM193" s="30">
        <f t="shared" ref="CM193" si="1581">+CL193</f>
        <v>7.7660148347943352</v>
      </c>
      <c r="CN193" s="30">
        <f t="shared" ref="CN193" si="1582">+CM193</f>
        <v>7.7660148347943352</v>
      </c>
      <c r="CO193" s="30">
        <f t="shared" ref="CO193" si="1583">+CN193</f>
        <v>7.7660148347943352</v>
      </c>
      <c r="CP193" s="30">
        <f t="shared" ref="CP193" si="1584">+CO193</f>
        <v>7.7660148347943352</v>
      </c>
      <c r="CQ193" s="30">
        <f t="shared" ref="CQ193" si="1585">+CP193</f>
        <v>7.7660148347943352</v>
      </c>
      <c r="CR193" s="30">
        <f t="shared" ref="CR193" si="1586">+CQ193</f>
        <v>7.7660148347943352</v>
      </c>
      <c r="CS193" s="30">
        <f t="shared" ref="CS193" si="1587">+CR193</f>
        <v>7.7660148347943352</v>
      </c>
      <c r="CT193" s="30">
        <f t="shared" ref="CT193" si="1588">+CS193</f>
        <v>7.7660148347943352</v>
      </c>
      <c r="CU193" s="30">
        <f t="shared" ref="CU193" si="1589">+CT193</f>
        <v>7.7660148347943352</v>
      </c>
      <c r="CV193" s="30">
        <f t="shared" ref="CV193" si="1590">+CU193</f>
        <v>7.7660148347943352</v>
      </c>
      <c r="CW193" s="30">
        <f t="shared" ref="CW193" si="1591">+CV193</f>
        <v>7.7660148347943352</v>
      </c>
      <c r="CX193" s="30">
        <f t="shared" ref="CX193" si="1592">+CW193</f>
        <v>7.7660148347943352</v>
      </c>
      <c r="CY193" s="30">
        <f t="shared" ref="CY193" si="1593">+CX193</f>
        <v>7.7660148347943352</v>
      </c>
      <c r="CZ193" s="30">
        <f t="shared" ref="CZ193" si="1594">+CY193</f>
        <v>7.7660148347943352</v>
      </c>
      <c r="DA193" s="30">
        <f t="shared" ref="DA193" si="1595">+CZ193</f>
        <v>7.7660148347943352</v>
      </c>
      <c r="DB193" s="30">
        <f t="shared" ref="DB193" si="1596">+DA193</f>
        <v>7.7660148347943352</v>
      </c>
      <c r="DE193" s="139"/>
      <c r="DF193" s="62">
        <v>9.6924713126224464</v>
      </c>
      <c r="DG193" s="62">
        <v>7.7660148347943352</v>
      </c>
    </row>
    <row r="194" spans="1:111" s="62" customFormat="1" outlineLevel="1" x14ac:dyDescent="0.2">
      <c r="A194" s="68" t="s">
        <v>466</v>
      </c>
      <c r="B194" s="67">
        <f>B195-B193</f>
        <v>61.401491648381558</v>
      </c>
      <c r="C194" s="67">
        <f t="shared" ref="C194:V194" si="1597">C195-C193</f>
        <v>64.405167480286835</v>
      </c>
      <c r="D194" s="67">
        <f t="shared" si="1597"/>
        <v>56.211311600613186</v>
      </c>
      <c r="E194" s="67">
        <f t="shared" si="1597"/>
        <v>107.85323360018134</v>
      </c>
      <c r="F194" s="67">
        <f t="shared" si="1597"/>
        <v>57.232819074333797</v>
      </c>
      <c r="G194" s="67">
        <f t="shared" si="1597"/>
        <v>75.292511290830802</v>
      </c>
      <c r="H194" s="67">
        <f t="shared" si="1597"/>
        <v>43.953429784783708</v>
      </c>
      <c r="I194" s="67">
        <f t="shared" si="1597"/>
        <v>79.704349388928847</v>
      </c>
      <c r="J194" s="67">
        <f t="shared" si="1597"/>
        <v>55.558475084128517</v>
      </c>
      <c r="K194" s="67">
        <f t="shared" si="1597"/>
        <v>60.924281065869316</v>
      </c>
      <c r="L194" s="67">
        <f t="shared" si="1597"/>
        <v>69.984546016508489</v>
      </c>
      <c r="M194" s="67">
        <f t="shared" si="1597"/>
        <v>75.761249777672376</v>
      </c>
      <c r="N194" s="67">
        <f t="shared" si="1597"/>
        <v>73.195380650277556</v>
      </c>
      <c r="O194" s="67">
        <f t="shared" si="1597"/>
        <v>89.282408792611648</v>
      </c>
      <c r="P194" s="67">
        <f t="shared" si="1597"/>
        <v>105.51107485136632</v>
      </c>
      <c r="Q194" s="67">
        <f t="shared" si="1597"/>
        <v>75.804679617558975</v>
      </c>
      <c r="R194" s="67">
        <f t="shared" si="1597"/>
        <v>73.544696571461941</v>
      </c>
      <c r="S194" s="67">
        <f t="shared" si="1597"/>
        <v>71.067397407901069</v>
      </c>
      <c r="T194" s="67">
        <f t="shared" si="1597"/>
        <v>76.840943453280929</v>
      </c>
      <c r="U194" s="67">
        <f t="shared" si="1597"/>
        <v>92.883215296670372</v>
      </c>
      <c r="V194" s="67">
        <f t="shared" si="1597"/>
        <v>102.02504180269129</v>
      </c>
      <c r="W194" s="67">
        <f t="shared" ref="W194" si="1598">W195-W193</f>
        <v>110.60033212485921</v>
      </c>
      <c r="X194" s="67">
        <f t="shared" ref="X194:Y194" si="1599">X195-X193</f>
        <v>111.75291448350106</v>
      </c>
      <c r="Y194" s="67">
        <f t="shared" si="1599"/>
        <v>103.56670137307218</v>
      </c>
      <c r="Z194" s="67">
        <f t="shared" ref="Z194:AA194" si="1600">Z195-Z193</f>
        <v>104.83532732069452</v>
      </c>
      <c r="AA194" s="67">
        <f t="shared" ref="AA194" si="1601">AA195-AA193</f>
        <v>114.91830394626365</v>
      </c>
      <c r="AB194" s="18">
        <f t="shared" ref="AB194:AD194" si="1602">AB195-AB193</f>
        <v>106.42439991428131</v>
      </c>
      <c r="AC194" s="18">
        <f t="shared" si="1602"/>
        <v>107.21987495766783</v>
      </c>
      <c r="AD194" s="18">
        <f t="shared" si="1602"/>
        <v>108.54245343242569</v>
      </c>
      <c r="AE194" s="18">
        <f t="shared" ref="AE194" si="1603">AE195-AE193</f>
        <v>109.80244105883118</v>
      </c>
      <c r="AI194" s="67">
        <f t="shared" ref="AI194:AK194" si="1604">AI195-AI193</f>
        <v>0</v>
      </c>
      <c r="AJ194" s="67">
        <f t="shared" ref="AJ194:AM194" si="1605">AJ195-AJ193</f>
        <v>50.943396226415096</v>
      </c>
      <c r="AK194" s="67">
        <f t="shared" si="1604"/>
        <v>48.177283192632387</v>
      </c>
      <c r="AL194" s="67">
        <f t="shared" si="1605"/>
        <v>53.772718576621386</v>
      </c>
      <c r="AM194" s="67">
        <f t="shared" si="1605"/>
        <v>49.892606727611607</v>
      </c>
      <c r="AN194" s="67">
        <f t="shared" ref="AN194:AY194" si="1606">AN195-AN193</f>
        <v>63.905900501349784</v>
      </c>
      <c r="AO194" s="67">
        <f t="shared" si="1606"/>
        <v>63.606632888070003</v>
      </c>
      <c r="AP194" s="67">
        <f t="shared" si="1606"/>
        <v>64.92582524271846</v>
      </c>
      <c r="AQ194" s="67">
        <f t="shared" si="1606"/>
        <v>65.45967110415036</v>
      </c>
      <c r="AR194" s="67">
        <f t="shared" si="1606"/>
        <v>73.574426622695242</v>
      </c>
      <c r="AS194" s="67">
        <f t="shared" si="1606"/>
        <v>71.153232821107551</v>
      </c>
      <c r="AT194" s="67">
        <f t="shared" si="1606"/>
        <v>75.759451196778755</v>
      </c>
      <c r="AU194" s="67">
        <f t="shared" si="1606"/>
        <v>70.78236031768148</v>
      </c>
      <c r="AV194" s="67">
        <f t="shared" si="1606"/>
        <v>75.833706427886156</v>
      </c>
      <c r="AW194" s="67">
        <f t="shared" si="1606"/>
        <v>74.560432649981138</v>
      </c>
      <c r="AX194" s="67">
        <f t="shared" si="1606"/>
        <v>70.520845921450146</v>
      </c>
      <c r="AY194" s="67">
        <f t="shared" si="1606"/>
        <v>69.545942080800856</v>
      </c>
      <c r="AZ194" s="67">
        <f t="shared" ref="AZ194:BC194" si="1607">AZ195-AZ193</f>
        <v>71.433275563258235</v>
      </c>
      <c r="BA194" s="67">
        <f t="shared" si="1607"/>
        <v>71.586290742777749</v>
      </c>
      <c r="BB194" s="67">
        <f t="shared" si="1607"/>
        <v>72.541471962616811</v>
      </c>
      <c r="BC194" s="67">
        <f t="shared" si="1607"/>
        <v>72.719873521489632</v>
      </c>
      <c r="BD194" s="67">
        <f t="shared" ref="BD194:CE194" si="1608">BD195-BD193</f>
        <v>78.805715261570001</v>
      </c>
      <c r="BE194" s="67">
        <f t="shared" si="1608"/>
        <v>77.800382151286968</v>
      </c>
      <c r="BF194" s="67">
        <f t="shared" si="1608"/>
        <v>68.339877232760045</v>
      </c>
      <c r="BG194" s="67">
        <f t="shared" si="1608"/>
        <v>64.606336260978679</v>
      </c>
      <c r="BH194" s="67">
        <f t="shared" si="1608"/>
        <v>65.544664952205352</v>
      </c>
      <c r="BI194" s="67">
        <f t="shared" si="1608"/>
        <v>63.121962616822422</v>
      </c>
      <c r="BJ194" s="67">
        <f t="shared" si="1608"/>
        <v>72.726217558846741</v>
      </c>
      <c r="BK194" s="67">
        <f t="shared" si="1608"/>
        <v>71.845617575562983</v>
      </c>
      <c r="BL194" s="67">
        <f t="shared" si="1608"/>
        <v>85.465994962216627</v>
      </c>
      <c r="BM194" s="67">
        <f t="shared" si="1608"/>
        <v>83.752381777238881</v>
      </c>
      <c r="BN194" s="67">
        <f t="shared" si="1608"/>
        <v>89.369493273735344</v>
      </c>
      <c r="BO194" s="67">
        <f t="shared" si="1608"/>
        <v>87.866469469680951</v>
      </c>
      <c r="BP194" s="67">
        <f t="shared" si="1608"/>
        <v>87.567765567765576</v>
      </c>
      <c r="BQ194" s="67">
        <f t="shared" si="1608"/>
        <v>82.984533497897942</v>
      </c>
      <c r="BR194" s="67">
        <f t="shared" si="1608"/>
        <v>96.064763787009227</v>
      </c>
      <c r="BS194" s="67">
        <f t="shared" si="1608"/>
        <v>90.606538571838243</v>
      </c>
      <c r="BT194" s="67">
        <f t="shared" si="1608"/>
        <v>96.463752449158847</v>
      </c>
      <c r="BU194" s="67">
        <f t="shared" si="1608"/>
        <v>89.607430884614175</v>
      </c>
      <c r="BV194" s="67">
        <f t="shared" si="1608"/>
        <v>102.77946461767257</v>
      </c>
      <c r="BW194" s="67">
        <f t="shared" si="1608"/>
        <v>96.237597911227155</v>
      </c>
      <c r="BX194" s="67">
        <f t="shared" si="1608"/>
        <v>102.47358914007336</v>
      </c>
      <c r="BY194" s="67">
        <f t="shared" si="1608"/>
        <v>97.713346208048435</v>
      </c>
      <c r="BZ194" s="67">
        <f t="shared" si="1608"/>
        <v>108.01634571726183</v>
      </c>
      <c r="CA194" s="67">
        <f t="shared" si="1608"/>
        <v>106.61534811377956</v>
      </c>
      <c r="CB194" s="67">
        <f t="shared" si="1608"/>
        <v>103.66364056008617</v>
      </c>
      <c r="CC194" s="67">
        <f t="shared" si="1608"/>
        <v>104.12560212256251</v>
      </c>
      <c r="CD194" s="67">
        <f t="shared" si="1608"/>
        <v>103.47994620678745</v>
      </c>
      <c r="CE194" s="114">
        <f t="shared" si="1608"/>
        <v>99.816100724914151</v>
      </c>
      <c r="CF194" s="67">
        <f t="shared" ref="CF194:CG194" si="1609">CF195-CF193</f>
        <v>99.940711462450594</v>
      </c>
      <c r="CG194" s="67">
        <f t="shared" si="1609"/>
        <v>98.078967531845606</v>
      </c>
      <c r="CH194" s="67">
        <f t="shared" ref="CH194" si="1610">CH195-CH193</f>
        <v>102.95076359193648</v>
      </c>
      <c r="CI194" s="67">
        <f>CH194</f>
        <v>102.95076359193648</v>
      </c>
      <c r="CJ194" s="67">
        <f t="shared" ref="CJ194" si="1611">CJ195-CJ193</f>
        <v>103.38975050573163</v>
      </c>
      <c r="CK194" s="67">
        <f t="shared" ref="CK194:DB194" si="1612">CJ194</f>
        <v>103.38975050573163</v>
      </c>
      <c r="CL194" s="67">
        <f t="shared" si="1612"/>
        <v>103.38975050573163</v>
      </c>
      <c r="CM194" s="30">
        <f t="shared" si="1612"/>
        <v>103.38975050573163</v>
      </c>
      <c r="CN194" s="30">
        <f t="shared" si="1612"/>
        <v>103.38975050573163</v>
      </c>
      <c r="CO194" s="30">
        <f t="shared" si="1612"/>
        <v>103.38975050573163</v>
      </c>
      <c r="CP194" s="30">
        <f t="shared" si="1612"/>
        <v>103.38975050573163</v>
      </c>
      <c r="CQ194" s="30">
        <f t="shared" si="1612"/>
        <v>103.38975050573163</v>
      </c>
      <c r="CR194" s="30">
        <f t="shared" si="1612"/>
        <v>103.38975050573163</v>
      </c>
      <c r="CS194" s="30">
        <f t="shared" si="1612"/>
        <v>103.38975050573163</v>
      </c>
      <c r="CT194" s="30">
        <f t="shared" si="1612"/>
        <v>103.38975050573163</v>
      </c>
      <c r="CU194" s="30">
        <f t="shared" si="1612"/>
        <v>103.38975050573163</v>
      </c>
      <c r="CV194" s="30">
        <f t="shared" si="1612"/>
        <v>103.38975050573163</v>
      </c>
      <c r="CW194" s="30">
        <f t="shared" si="1612"/>
        <v>103.38975050573163</v>
      </c>
      <c r="CX194" s="30">
        <f t="shared" si="1612"/>
        <v>103.38975050573163</v>
      </c>
      <c r="CY194" s="30">
        <f t="shared" si="1612"/>
        <v>103.38975050573163</v>
      </c>
      <c r="CZ194" s="30">
        <f t="shared" si="1612"/>
        <v>103.38975050573163</v>
      </c>
      <c r="DA194" s="30">
        <f t="shared" si="1612"/>
        <v>103.38975050573163</v>
      </c>
      <c r="DB194" s="30">
        <f t="shared" si="1612"/>
        <v>103.38975050573163</v>
      </c>
      <c r="DE194" s="139"/>
      <c r="DF194" s="62">
        <v>114.91830394626365</v>
      </c>
      <c r="DG194" s="62">
        <v>103.38975050573163</v>
      </c>
    </row>
    <row r="195" spans="1:111" s="7" customFormat="1" outlineLevel="1" x14ac:dyDescent="0.2">
      <c r="A195" s="69" t="s">
        <v>469</v>
      </c>
      <c r="B195" s="70">
        <f t="shared" ref="B195:AE195" si="1613">B166/B18*365</f>
        <v>61.426601491183966</v>
      </c>
      <c r="C195" s="70">
        <f t="shared" si="1613"/>
        <v>64.405167480286835</v>
      </c>
      <c r="D195" s="70">
        <f t="shared" si="1613"/>
        <v>70.975843273864143</v>
      </c>
      <c r="E195" s="70">
        <f t="shared" si="1613"/>
        <v>132.98607032835699</v>
      </c>
      <c r="F195" s="70">
        <f t="shared" si="1613"/>
        <v>73.358345021037863</v>
      </c>
      <c r="G195" s="70">
        <f t="shared" si="1613"/>
        <v>89.936981409515809</v>
      </c>
      <c r="H195" s="70">
        <f t="shared" si="1613"/>
        <v>56.485280357014325</v>
      </c>
      <c r="I195" s="70">
        <f t="shared" si="1613"/>
        <v>91.643601725377437</v>
      </c>
      <c r="J195" s="70">
        <f t="shared" si="1613"/>
        <v>65.149126446319087</v>
      </c>
      <c r="K195" s="70">
        <f t="shared" si="1613"/>
        <v>71.500967373142203</v>
      </c>
      <c r="L195" s="70">
        <f t="shared" si="1613"/>
        <v>70.568524780917059</v>
      </c>
      <c r="M195" s="70">
        <f t="shared" si="1613"/>
        <v>76.010108495879521</v>
      </c>
      <c r="N195" s="70">
        <f t="shared" si="1613"/>
        <v>74.904961340206185</v>
      </c>
      <c r="O195" s="70">
        <f t="shared" si="1613"/>
        <v>90.54195839068079</v>
      </c>
      <c r="P195" s="70">
        <f t="shared" si="1613"/>
        <v>106.46945741668074</v>
      </c>
      <c r="Q195" s="70">
        <f t="shared" si="1613"/>
        <v>78.061049630851528</v>
      </c>
      <c r="R195" s="70">
        <f t="shared" si="1613"/>
        <v>75.50070089363939</v>
      </c>
      <c r="S195" s="70">
        <f t="shared" si="1613"/>
        <v>74.659326167720707</v>
      </c>
      <c r="T195" s="70">
        <f t="shared" si="1613"/>
        <v>84.147565769579685</v>
      </c>
      <c r="U195" s="70">
        <f t="shared" si="1613"/>
        <v>104.34888920707999</v>
      </c>
      <c r="V195" s="70">
        <f t="shared" si="1613"/>
        <v>111.63393781352018</v>
      </c>
      <c r="W195" s="70">
        <f t="shared" si="1613"/>
        <v>123.00494898923881</v>
      </c>
      <c r="X195" s="70">
        <f t="shared" si="1613"/>
        <v>121.36491854435943</v>
      </c>
      <c r="Y195" s="70">
        <f t="shared" si="1613"/>
        <v>112.96307021539664</v>
      </c>
      <c r="Z195" s="70">
        <f t="shared" si="1613"/>
        <v>114.16019387692496</v>
      </c>
      <c r="AA195" s="70">
        <f t="shared" ref="AA195" si="1614">AA166/AA18*365</f>
        <v>124.61077525888609</v>
      </c>
      <c r="AB195" s="71">
        <f t="shared" si="1613"/>
        <v>114.41835932007923</v>
      </c>
      <c r="AC195" s="71">
        <f t="shared" si="1613"/>
        <v>115.27358565368002</v>
      </c>
      <c r="AD195" s="71">
        <f t="shared" si="1613"/>
        <v>116.69550825108936</v>
      </c>
      <c r="AE195" s="71">
        <f t="shared" si="1613"/>
        <v>118.05013855290957</v>
      </c>
      <c r="AI195" s="70">
        <f t="shared" ref="AI195:CD195" si="1615">AI166/AI18*90</f>
        <v>0</v>
      </c>
      <c r="AJ195" s="70">
        <f t="shared" si="1615"/>
        <v>50.943396226415096</v>
      </c>
      <c r="AK195" s="70">
        <f>AK166/AK18*90</f>
        <v>48.177283192632387</v>
      </c>
      <c r="AL195" s="70">
        <f t="shared" si="1615"/>
        <v>55.399846948536442</v>
      </c>
      <c r="AM195" s="70">
        <f t="shared" si="1615"/>
        <v>51.519735099526663</v>
      </c>
      <c r="AN195" s="70">
        <f t="shared" si="1615"/>
        <v>64.600077130736594</v>
      </c>
      <c r="AO195" s="70">
        <f t="shared" si="1615"/>
        <v>64.300809517456813</v>
      </c>
      <c r="AP195" s="70">
        <f t="shared" si="1615"/>
        <v>66.135145631067971</v>
      </c>
      <c r="AQ195" s="70">
        <f t="shared" si="1615"/>
        <v>66.66899149249987</v>
      </c>
      <c r="AR195" s="70">
        <f t="shared" si="1615"/>
        <v>74.485084694948284</v>
      </c>
      <c r="AS195" s="70">
        <f t="shared" si="1615"/>
        <v>72.063890893360593</v>
      </c>
      <c r="AT195" s="70">
        <f t="shared" si="1615"/>
        <v>76.698978450525686</v>
      </c>
      <c r="AU195" s="70">
        <f t="shared" si="1615"/>
        <v>71.721887571428411</v>
      </c>
      <c r="AV195" s="70">
        <f t="shared" si="1615"/>
        <v>76.466901183242726</v>
      </c>
      <c r="AW195" s="70">
        <f t="shared" si="1615"/>
        <v>75.193627405337708</v>
      </c>
      <c r="AX195" s="70">
        <f t="shared" si="1615"/>
        <v>72.619939577039275</v>
      </c>
      <c r="AY195" s="70">
        <f t="shared" si="1615"/>
        <v>71.645035736389985</v>
      </c>
      <c r="AZ195" s="70">
        <f t="shared" si="1615"/>
        <v>73.029462738301561</v>
      </c>
      <c r="BA195" s="70">
        <f t="shared" si="1615"/>
        <v>73.182477917821075</v>
      </c>
      <c r="BB195" s="70">
        <f t="shared" si="1615"/>
        <v>74.470794392523359</v>
      </c>
      <c r="BC195" s="70">
        <f t="shared" si="1615"/>
        <v>74.64919595139618</v>
      </c>
      <c r="BD195" s="70">
        <f t="shared" si="1615"/>
        <v>81.562019696020954</v>
      </c>
      <c r="BE195" s="70">
        <f t="shared" si="1615"/>
        <v>80.556686585737921</v>
      </c>
      <c r="BF195" s="70">
        <f t="shared" si="1615"/>
        <v>71.793950118896191</v>
      </c>
      <c r="BG195" s="70">
        <f t="shared" si="1615"/>
        <v>68.060409147114825</v>
      </c>
      <c r="BH195" s="70">
        <f t="shared" si="1615"/>
        <v>70.754524722208743</v>
      </c>
      <c r="BI195" s="70">
        <f t="shared" si="1615"/>
        <v>68.33182238682582</v>
      </c>
      <c r="BJ195" s="70">
        <f t="shared" si="1615"/>
        <v>79.641580389061701</v>
      </c>
      <c r="BK195" s="70">
        <f t="shared" si="1615"/>
        <v>78.760980405777943</v>
      </c>
      <c r="BL195" s="70">
        <f t="shared" si="1615"/>
        <v>93.953334217154975</v>
      </c>
      <c r="BM195" s="70">
        <f t="shared" si="1615"/>
        <v>92.239721032177229</v>
      </c>
      <c r="BN195" s="70">
        <f t="shared" si="1615"/>
        <v>100.40142691365455</v>
      </c>
      <c r="BO195" s="70">
        <f t="shared" si="1615"/>
        <v>98.898403109600153</v>
      </c>
      <c r="BP195" s="70">
        <f t="shared" si="1615"/>
        <v>96.26739926739927</v>
      </c>
      <c r="BQ195" s="70">
        <f t="shared" si="1615"/>
        <v>91.684167197531636</v>
      </c>
      <c r="BR195" s="70">
        <f t="shared" si="1615"/>
        <v>105.11231044050017</v>
      </c>
      <c r="BS195" s="70">
        <f t="shared" si="1615"/>
        <v>99.654085225329183</v>
      </c>
      <c r="BT195" s="70">
        <f t="shared" si="1615"/>
        <v>106.11985676643471</v>
      </c>
      <c r="BU195" s="70">
        <f t="shared" si="1615"/>
        <v>99.263535201890036</v>
      </c>
      <c r="BV195" s="70">
        <f t="shared" si="1615"/>
        <v>114.30691535506259</v>
      </c>
      <c r="BW195" s="70">
        <f t="shared" si="1615"/>
        <v>107.76504864861717</v>
      </c>
      <c r="BX195" s="70">
        <f t="shared" si="1615"/>
        <v>112.72538179429635</v>
      </c>
      <c r="BY195" s="70">
        <f t="shared" si="1615"/>
        <v>107.96513886227143</v>
      </c>
      <c r="BZ195" s="70">
        <f t="shared" si="1615"/>
        <v>117.30696295504927</v>
      </c>
      <c r="CA195" s="70">
        <f t="shared" si="1615"/>
        <v>115.905965351567</v>
      </c>
      <c r="CB195" s="70">
        <f t="shared" si="1615"/>
        <v>111.05631635636252</v>
      </c>
      <c r="CC195" s="70">
        <f t="shared" si="1615"/>
        <v>111.51827791883886</v>
      </c>
      <c r="CD195" s="70">
        <f t="shared" si="1615"/>
        <v>112.86844395221898</v>
      </c>
      <c r="CE195" s="115">
        <f>CE166/CE20*90</f>
        <v>109.20459847034569</v>
      </c>
      <c r="CF195" s="70">
        <f>CF166/CF18*90</f>
        <v>108.37505489679403</v>
      </c>
      <c r="CG195" s="70">
        <f>CG166/CG20*90</f>
        <v>106.51331096618904</v>
      </c>
      <c r="CH195" s="70">
        <f>CH166/CH18*90</f>
        <v>112.1080024434942</v>
      </c>
      <c r="CI195" s="70">
        <f>CI193+CI194</f>
        <v>112.1080024434942</v>
      </c>
      <c r="CJ195" s="70">
        <f>CJ166/CJ18*90</f>
        <v>111.15576534052596</v>
      </c>
      <c r="CK195" s="70">
        <f t="shared" ref="CK195:DB195" si="1616">CK193+CK194</f>
        <v>111.15576534052596</v>
      </c>
      <c r="CL195" s="70">
        <f t="shared" si="1616"/>
        <v>111.15576534052596</v>
      </c>
      <c r="CM195" s="50">
        <f t="shared" si="1616"/>
        <v>111.15576534052596</v>
      </c>
      <c r="CN195" s="50">
        <f t="shared" si="1616"/>
        <v>111.15576534052596</v>
      </c>
      <c r="CO195" s="50">
        <f t="shared" si="1616"/>
        <v>111.15576534052596</v>
      </c>
      <c r="CP195" s="50">
        <f t="shared" si="1616"/>
        <v>111.15576534052596</v>
      </c>
      <c r="CQ195" s="50">
        <f t="shared" si="1616"/>
        <v>111.15576534052596</v>
      </c>
      <c r="CR195" s="50">
        <f t="shared" si="1616"/>
        <v>111.15576534052596</v>
      </c>
      <c r="CS195" s="50">
        <f t="shared" si="1616"/>
        <v>111.15576534052596</v>
      </c>
      <c r="CT195" s="50">
        <f t="shared" si="1616"/>
        <v>111.15576534052596</v>
      </c>
      <c r="CU195" s="50">
        <f t="shared" si="1616"/>
        <v>111.15576534052596</v>
      </c>
      <c r="CV195" s="50">
        <f t="shared" si="1616"/>
        <v>111.15576534052596</v>
      </c>
      <c r="CW195" s="50">
        <f t="shared" si="1616"/>
        <v>111.15576534052596</v>
      </c>
      <c r="CX195" s="50">
        <f t="shared" si="1616"/>
        <v>111.15576534052596</v>
      </c>
      <c r="CY195" s="50">
        <f t="shared" si="1616"/>
        <v>111.15576534052596</v>
      </c>
      <c r="CZ195" s="50">
        <f t="shared" si="1616"/>
        <v>111.15576534052596</v>
      </c>
      <c r="DA195" s="50">
        <f t="shared" si="1616"/>
        <v>111.15576534052596</v>
      </c>
      <c r="DB195" s="50">
        <f t="shared" si="1616"/>
        <v>111.15576534052596</v>
      </c>
      <c r="DE195" s="138"/>
      <c r="DF195" s="7">
        <v>124.61077525888609</v>
      </c>
      <c r="DG195" s="7">
        <v>111.15576534052596</v>
      </c>
    </row>
    <row r="196" spans="1:111" s="7" customFormat="1" x14ac:dyDescent="0.2">
      <c r="A196" s="69" t="s">
        <v>470</v>
      </c>
      <c r="B196" s="70">
        <f>B192-B195</f>
        <v>79.277337359653046</v>
      </c>
      <c r="C196" s="70">
        <f t="shared" ref="C196:V196" si="1617">C192-C195</f>
        <v>73.066170172723062</v>
      </c>
      <c r="D196" s="70">
        <f t="shared" si="1617"/>
        <v>72.629382579025133</v>
      </c>
      <c r="E196" s="70">
        <f t="shared" si="1617"/>
        <v>-29.757621652809135</v>
      </c>
      <c r="F196" s="70">
        <f t="shared" si="1617"/>
        <v>46.738429172510521</v>
      </c>
      <c r="G196" s="70">
        <f t="shared" si="1617"/>
        <v>21.429996849070477</v>
      </c>
      <c r="H196" s="70">
        <f t="shared" si="1617"/>
        <v>40.380407399409769</v>
      </c>
      <c r="I196" s="70">
        <f t="shared" si="1617"/>
        <v>41.043913251857163</v>
      </c>
      <c r="J196" s="70">
        <f t="shared" si="1617"/>
        <v>51.806343059973273</v>
      </c>
      <c r="K196" s="70">
        <f t="shared" si="1617"/>
        <v>51.936505144666256</v>
      </c>
      <c r="L196" s="70">
        <f t="shared" si="1617"/>
        <v>44.408930584342386</v>
      </c>
      <c r="M196" s="70">
        <f t="shared" si="1617"/>
        <v>42.836159364439439</v>
      </c>
      <c r="N196" s="70">
        <f t="shared" si="1617"/>
        <v>48.429074147501993</v>
      </c>
      <c r="O196" s="70">
        <f t="shared" si="1617"/>
        <v>31.168392077074969</v>
      </c>
      <c r="P196" s="70">
        <f t="shared" si="1617"/>
        <v>37.246853841970022</v>
      </c>
      <c r="Q196" s="70">
        <f t="shared" si="1617"/>
        <v>73.215115068624783</v>
      </c>
      <c r="R196" s="70">
        <f t="shared" si="1617"/>
        <v>74.919762280240661</v>
      </c>
      <c r="S196" s="70">
        <f t="shared" si="1617"/>
        <v>93.276282578486132</v>
      </c>
      <c r="T196" s="70">
        <f t="shared" si="1617"/>
        <v>72.311279104928943</v>
      </c>
      <c r="U196" s="70">
        <f t="shared" si="1617"/>
        <v>51.796543710279678</v>
      </c>
      <c r="V196" s="70">
        <f t="shared" si="1617"/>
        <v>40.735179950633025</v>
      </c>
      <c r="W196" s="70">
        <f t="shared" ref="W196" si="1618">W192-W195</f>
        <v>35.011385963614259</v>
      </c>
      <c r="X196" s="70">
        <f t="shared" ref="X196:Y196" si="1619">X192-X195</f>
        <v>36.324173690270982</v>
      </c>
      <c r="Y196" s="70">
        <f t="shared" si="1619"/>
        <v>53.387811544218124</v>
      </c>
      <c r="Z196" s="70">
        <f t="shared" ref="Z196:AA196" si="1620">Z192-Z195</f>
        <v>38.172832689122046</v>
      </c>
      <c r="AA196" s="70">
        <f t="shared" ref="AA196" si="1621">AA192-AA195</f>
        <v>29.287853344528401</v>
      </c>
      <c r="AB196" s="71">
        <f t="shared" ref="AB196:AD196" si="1622">AB192-AB195</f>
        <v>44.142731295522267</v>
      </c>
      <c r="AC196" s="71">
        <f t="shared" si="1622"/>
        <v>44.472678573785402</v>
      </c>
      <c r="AD196" s="71">
        <f t="shared" si="1622"/>
        <v>45.021257905926376</v>
      </c>
      <c r="AE196" s="71">
        <f t="shared" ref="AE196" si="1623">AE192-AE195</f>
        <v>45.543875794990328</v>
      </c>
      <c r="AI196" s="70">
        <f t="shared" ref="AI196:AK196" si="1624">AI192-AI195</f>
        <v>0</v>
      </c>
      <c r="AJ196" s="70">
        <f t="shared" ref="AJ196:AM196" si="1625">AJ192-AJ195</f>
        <v>56.174680462568467</v>
      </c>
      <c r="AK196" s="70">
        <f t="shared" si="1624"/>
        <v>56.436915909677992</v>
      </c>
      <c r="AL196" s="70">
        <f t="shared" si="1625"/>
        <v>57.130285058350871</v>
      </c>
      <c r="AM196" s="70">
        <f t="shared" si="1625"/>
        <v>57.290558650577019</v>
      </c>
      <c r="AN196" s="70">
        <f t="shared" ref="AN196:AY196" si="1626">AN192-AN195</f>
        <v>43.038951021982271</v>
      </c>
      <c r="AO196" s="70">
        <f t="shared" si="1626"/>
        <v>43.105364636356654</v>
      </c>
      <c r="AP196" s="70">
        <f t="shared" si="1626"/>
        <v>43.996893203883474</v>
      </c>
      <c r="AQ196" s="70">
        <f t="shared" si="1626"/>
        <v>43.888606640259709</v>
      </c>
      <c r="AR196" s="70">
        <f t="shared" si="1626"/>
        <v>39.495577874381667</v>
      </c>
      <c r="AS196" s="70">
        <f t="shared" si="1626"/>
        <v>40.172633076989385</v>
      </c>
      <c r="AT196" s="70">
        <f t="shared" si="1626"/>
        <v>59.411676981582275</v>
      </c>
      <c r="AU196" s="70">
        <f t="shared" si="1626"/>
        <v>59.729110362125297</v>
      </c>
      <c r="AV196" s="70">
        <f t="shared" si="1626"/>
        <v>61.057243364246887</v>
      </c>
      <c r="AW196" s="70">
        <f t="shared" si="1626"/>
        <v>61.026315202038774</v>
      </c>
      <c r="AX196" s="70">
        <f t="shared" si="1626"/>
        <v>68.111782477341393</v>
      </c>
      <c r="AY196" s="70">
        <f t="shared" si="1626"/>
        <v>67.992926603492947</v>
      </c>
      <c r="AZ196" s="70">
        <f t="shared" ref="AZ196:BC196" si="1627">AZ192-AZ195</f>
        <v>72.129982668977476</v>
      </c>
      <c r="BA196" s="70">
        <f t="shared" si="1627"/>
        <v>72.159039849512169</v>
      </c>
      <c r="BB196" s="70">
        <f t="shared" si="1627"/>
        <v>73.897780373831765</v>
      </c>
      <c r="BC196" s="70">
        <f t="shared" si="1627"/>
        <v>73.924956261704139</v>
      </c>
      <c r="BD196" s="70">
        <f t="shared" ref="BD196:CE196" si="1628">BD192-BD195</f>
        <v>73.569761484601813</v>
      </c>
      <c r="BE196" s="70">
        <f t="shared" si="1628"/>
        <v>73.47335878419436</v>
      </c>
      <c r="BF196" s="70">
        <f t="shared" si="1628"/>
        <v>89.696399933639356</v>
      </c>
      <c r="BG196" s="70">
        <f t="shared" si="1628"/>
        <v>88.180796017194098</v>
      </c>
      <c r="BH196" s="70">
        <f t="shared" si="1628"/>
        <v>82.562957931001023</v>
      </c>
      <c r="BI196" s="70">
        <f t="shared" si="1628"/>
        <v>81.704544244575089</v>
      </c>
      <c r="BJ196" s="70">
        <f t="shared" si="1628"/>
        <v>68.439110450810162</v>
      </c>
      <c r="BK196" s="70">
        <f t="shared" si="1628"/>
        <v>68.276853389828247</v>
      </c>
      <c r="BL196" s="70">
        <f t="shared" si="1628"/>
        <v>71.474214503513195</v>
      </c>
      <c r="BM196" s="70">
        <f t="shared" si="1628"/>
        <v>71.151252364783588</v>
      </c>
      <c r="BN196" s="70">
        <f t="shared" si="1628"/>
        <v>65.959513474018962</v>
      </c>
      <c r="BO196" s="70">
        <f t="shared" si="1628"/>
        <v>65.867330963183448</v>
      </c>
      <c r="BP196" s="70">
        <f t="shared" si="1628"/>
        <v>60.684981684981665</v>
      </c>
      <c r="BQ196" s="70">
        <f t="shared" si="1628"/>
        <v>60.490962156214593</v>
      </c>
      <c r="BR196" s="70">
        <f t="shared" si="1628"/>
        <v>54.753905210748357</v>
      </c>
      <c r="BS196" s="70">
        <f t="shared" si="1628"/>
        <v>54.87868019252231</v>
      </c>
      <c r="BT196" s="70">
        <f t="shared" si="1628"/>
        <v>47.982568745355024</v>
      </c>
      <c r="BU196" s="70">
        <f t="shared" si="1628"/>
        <v>48.233889407847656</v>
      </c>
      <c r="BV196" s="70">
        <f t="shared" si="1628"/>
        <v>45.984322716569579</v>
      </c>
      <c r="BW196" s="70">
        <f t="shared" si="1628"/>
        <v>46.352246145920944</v>
      </c>
      <c r="BX196" s="70">
        <f t="shared" si="1628"/>
        <v>46.140456511029626</v>
      </c>
      <c r="BY196" s="70">
        <f t="shared" si="1628"/>
        <v>46.426858320049831</v>
      </c>
      <c r="BZ196" s="70">
        <f t="shared" si="1628"/>
        <v>51.652466547367879</v>
      </c>
      <c r="CA196" s="70">
        <f t="shared" si="1628"/>
        <v>51.654680158500298</v>
      </c>
      <c r="CB196" s="70">
        <f t="shared" si="1628"/>
        <v>56.43637482689644</v>
      </c>
      <c r="CC196" s="70">
        <f t="shared" si="1628"/>
        <v>56.430141832577078</v>
      </c>
      <c r="CD196" s="70">
        <f t="shared" si="1628"/>
        <v>68.892492682540919</v>
      </c>
      <c r="CE196" s="115">
        <f t="shared" si="1628"/>
        <v>68.657888261161887</v>
      </c>
      <c r="CF196" s="70">
        <f t="shared" ref="CF196:CG196" si="1629">CF192-CF195</f>
        <v>59.369784804567431</v>
      </c>
      <c r="CG196" s="70">
        <f t="shared" si="1629"/>
        <v>59.416212844055821</v>
      </c>
      <c r="CH196" s="70">
        <f t="shared" ref="CH196:CI196" si="1630">CH192-CH195</f>
        <v>37.486621869273051</v>
      </c>
      <c r="CI196" s="70">
        <f t="shared" si="1630"/>
        <v>37.486621869273051</v>
      </c>
      <c r="CJ196" s="70">
        <f t="shared" ref="CJ196:DB196" si="1631">CJ192-CJ195</f>
        <v>42.884018880647318</v>
      </c>
      <c r="CK196" s="70">
        <f t="shared" si="1631"/>
        <v>42.884018880647318</v>
      </c>
      <c r="CL196" s="70">
        <f t="shared" si="1631"/>
        <v>42.884018880647318</v>
      </c>
      <c r="CM196" s="50">
        <f t="shared" si="1631"/>
        <v>42.884018880647318</v>
      </c>
      <c r="CN196" s="50">
        <f t="shared" si="1631"/>
        <v>42.884018880647318</v>
      </c>
      <c r="CO196" s="50">
        <f t="shared" si="1631"/>
        <v>42.884018880647318</v>
      </c>
      <c r="CP196" s="50">
        <f t="shared" si="1631"/>
        <v>42.884018880647318</v>
      </c>
      <c r="CQ196" s="50">
        <f t="shared" si="1631"/>
        <v>42.884018880647318</v>
      </c>
      <c r="CR196" s="50">
        <f t="shared" si="1631"/>
        <v>42.884018880647318</v>
      </c>
      <c r="CS196" s="50">
        <f t="shared" si="1631"/>
        <v>42.884018880647318</v>
      </c>
      <c r="CT196" s="50">
        <f t="shared" si="1631"/>
        <v>42.884018880647318</v>
      </c>
      <c r="CU196" s="50">
        <f t="shared" si="1631"/>
        <v>42.884018880647318</v>
      </c>
      <c r="CV196" s="50">
        <f t="shared" si="1631"/>
        <v>42.884018880647318</v>
      </c>
      <c r="CW196" s="50">
        <f t="shared" si="1631"/>
        <v>42.884018880647318</v>
      </c>
      <c r="CX196" s="50">
        <f t="shared" si="1631"/>
        <v>42.884018880647318</v>
      </c>
      <c r="CY196" s="50">
        <f t="shared" si="1631"/>
        <v>42.884018880647318</v>
      </c>
      <c r="CZ196" s="50">
        <f t="shared" si="1631"/>
        <v>42.884018880647318</v>
      </c>
      <c r="DA196" s="50">
        <f t="shared" si="1631"/>
        <v>42.884018880647318</v>
      </c>
      <c r="DB196" s="50">
        <f t="shared" si="1631"/>
        <v>42.884018880647318</v>
      </c>
      <c r="DE196" s="138"/>
      <c r="DF196" s="7">
        <v>41.908088441085937</v>
      </c>
      <c r="DG196" s="7">
        <v>42.884018880647318</v>
      </c>
    </row>
    <row r="197" spans="1:111" s="7" customFormat="1" x14ac:dyDescent="0.2">
      <c r="A197" s="69" t="s">
        <v>86</v>
      </c>
      <c r="AB197" s="77"/>
      <c r="AC197" s="77"/>
      <c r="AD197" s="77"/>
      <c r="AE197" s="77"/>
      <c r="CE197" s="115"/>
      <c r="CG197" s="115"/>
      <c r="CM197" s="50"/>
      <c r="CN197" s="50"/>
      <c r="CO197" s="50"/>
      <c r="CP197" s="50"/>
      <c r="CQ197" s="50"/>
      <c r="CR197" s="50"/>
      <c r="CS197" s="50"/>
      <c r="CT197" s="50"/>
      <c r="CU197" s="50"/>
      <c r="CV197" s="50"/>
      <c r="CW197" s="50"/>
      <c r="CX197" s="50"/>
      <c r="CY197" s="50"/>
      <c r="CZ197" s="50"/>
      <c r="DA197" s="50"/>
      <c r="DB197" s="50"/>
      <c r="DE197" s="138"/>
    </row>
    <row r="198" spans="1:111" s="86" customFormat="1" x14ac:dyDescent="0.2">
      <c r="A198" s="86" t="s">
        <v>440</v>
      </c>
      <c r="C198" s="86">
        <f t="shared" ref="C198:Y198" si="1632">C20/B20-1</f>
        <v>0.36990252557889147</v>
      </c>
      <c r="D198" s="86">
        <f t="shared" si="1632"/>
        <v>0.39806190682864817</v>
      </c>
      <c r="E198" s="86">
        <f t="shared" si="1632"/>
        <v>0.33323534744696404</v>
      </c>
      <c r="F198" s="86">
        <f t="shared" si="1632"/>
        <v>0.46920944992221236</v>
      </c>
      <c r="G198" s="86">
        <f t="shared" si="1632"/>
        <v>0.33534361851332406</v>
      </c>
      <c r="H198" s="86">
        <f t="shared" si="1632"/>
        <v>0.45919546266148514</v>
      </c>
      <c r="I198" s="86">
        <f t="shared" si="1632"/>
        <v>0.20146836536385226</v>
      </c>
      <c r="J198" s="86">
        <f t="shared" si="1632"/>
        <v>0.29960460100647013</v>
      </c>
      <c r="K198" s="86">
        <f t="shared" si="1632"/>
        <v>4.8356612732217696E-2</v>
      </c>
      <c r="L198" s="86">
        <f t="shared" si="1632"/>
        <v>0.20926039926127871</v>
      </c>
      <c r="M198" s="86">
        <f t="shared" si="1632"/>
        <v>0.226646303770772</v>
      </c>
      <c r="N198" s="86">
        <f t="shared" si="1632"/>
        <v>0.19618189363846561</v>
      </c>
      <c r="O198" s="86">
        <f t="shared" si="1632"/>
        <v>0.2423919508326724</v>
      </c>
      <c r="P198" s="86">
        <f t="shared" si="1632"/>
        <v>6.3550954461133458E-2</v>
      </c>
      <c r="Q198" s="86">
        <f t="shared" si="1632"/>
        <v>0.17108347868489648</v>
      </c>
      <c r="R198" s="86">
        <f t="shared" si="1632"/>
        <v>9.67793597155715E-2</v>
      </c>
      <c r="S198" s="86">
        <f t="shared" si="1632"/>
        <v>2.9758775772443125E-2</v>
      </c>
      <c r="T198" s="86">
        <f t="shared" si="1632"/>
        <v>0.17232920223476356</v>
      </c>
      <c r="U198" s="86">
        <f t="shared" si="1632"/>
        <v>9.8167523435137571E-2</v>
      </c>
      <c r="V198" s="86">
        <f t="shared" si="1632"/>
        <v>0.10662951173574475</v>
      </c>
      <c r="W198" s="86">
        <f t="shared" si="1632"/>
        <v>0.21069551715900947</v>
      </c>
      <c r="X198" s="86">
        <f t="shared" si="1632"/>
        <v>0.20655864387829759</v>
      </c>
      <c r="Y198" s="86">
        <f t="shared" si="1632"/>
        <v>4.7033733741236095E-2</v>
      </c>
      <c r="Z198" s="86">
        <f>Z20/Y20-1</f>
        <v>6.0649443612936782E-2</v>
      </c>
      <c r="AA198" s="86">
        <f>AA20/Z20-1</f>
        <v>9.6079514080618544E-2</v>
      </c>
      <c r="AB198" s="87">
        <f t="shared" ref="AB198:AE198" si="1633">AB20/AA20-1</f>
        <v>7.5962262861340779E-2</v>
      </c>
      <c r="AC198" s="87">
        <f t="shared" si="1633"/>
        <v>5.3529072638652364E-2</v>
      </c>
      <c r="AD198" s="87">
        <f t="shared" si="1633"/>
        <v>7.898876242480557E-2</v>
      </c>
      <c r="AE198" s="87">
        <f t="shared" si="1633"/>
        <v>0.11338898429937849</v>
      </c>
      <c r="AN198" s="86">
        <f t="shared" ref="AN198:CI198" si="1634">+(AN20+AM20)/(AJ20+AI20)-1</f>
        <v>0.24207818930041158</v>
      </c>
      <c r="AO198" s="86">
        <f t="shared" si="1634"/>
        <v>0.27724090326397799</v>
      </c>
      <c r="AP198" s="86">
        <f t="shared" si="1634"/>
        <v>0.24058817894434337</v>
      </c>
      <c r="AQ198" s="86">
        <f t="shared" si="1634"/>
        <v>0.18065466599143676</v>
      </c>
      <c r="AR198" s="86">
        <f t="shared" si="1634"/>
        <v>8.142135343328083E-2</v>
      </c>
      <c r="AS198" s="86">
        <f t="shared" si="1634"/>
        <v>4.7596988998262812E-2</v>
      </c>
      <c r="AT198" s="86">
        <f t="shared" si="1634"/>
        <v>5.0422763599861087E-2</v>
      </c>
      <c r="AU198" s="86">
        <f t="shared" si="1634"/>
        <v>8.2667186586079078E-2</v>
      </c>
      <c r="AV198" s="86">
        <f t="shared" si="1634"/>
        <v>0.14847579656862742</v>
      </c>
      <c r="AW198" s="86">
        <f t="shared" si="1634"/>
        <v>0.16209742796079296</v>
      </c>
      <c r="AX198" s="86">
        <f t="shared" si="1634"/>
        <v>0.19278126952622476</v>
      </c>
      <c r="AY198" s="86">
        <f t="shared" si="1634"/>
        <v>0.20050423194669542</v>
      </c>
      <c r="AZ198" s="86">
        <f t="shared" si="1634"/>
        <v>0.1368168328387076</v>
      </c>
      <c r="BA198" s="86">
        <f t="shared" si="1634"/>
        <v>9.6584963693439496E-2</v>
      </c>
      <c r="BB198" s="86">
        <f t="shared" si="1634"/>
        <v>5.9811413780352485E-2</v>
      </c>
      <c r="BC198" s="86">
        <f t="shared" si="1634"/>
        <v>2.5981039241569581E-2</v>
      </c>
      <c r="BD198" s="86">
        <f t="shared" si="1634"/>
        <v>1.622081426727684E-2</v>
      </c>
      <c r="BE198" s="86">
        <f t="shared" si="1634"/>
        <v>2.249660237689044E-2</v>
      </c>
      <c r="BF198" s="86">
        <f t="shared" si="1634"/>
        <v>4.3148315064111875E-2</v>
      </c>
      <c r="BG198" s="86">
        <f t="shared" si="1634"/>
        <v>8.8104567518568322E-2</v>
      </c>
      <c r="BH198" s="86">
        <f t="shared" si="1634"/>
        <v>0.14697647568191652</v>
      </c>
      <c r="BI198" s="86">
        <f t="shared" si="1634"/>
        <v>0.18800373292610506</v>
      </c>
      <c r="BJ198" s="86">
        <f t="shared" si="1634"/>
        <v>0.19683920060205695</v>
      </c>
      <c r="BK198" s="86">
        <f t="shared" si="1634"/>
        <v>0.1647631076832119</v>
      </c>
      <c r="BL198" s="86">
        <f t="shared" si="1634"/>
        <v>0.11815184840325132</v>
      </c>
      <c r="BM198" s="86">
        <f t="shared" si="1634"/>
        <v>8.8362017662881653E-2</v>
      </c>
      <c r="BN198" s="86">
        <f t="shared" si="1634"/>
        <v>7.9647872563403999E-2</v>
      </c>
      <c r="BO198" s="86">
        <f t="shared" si="1634"/>
        <v>8.2829587928568094E-2</v>
      </c>
      <c r="BP198" s="86">
        <f t="shared" si="1634"/>
        <v>8.5591465610370898E-2</v>
      </c>
      <c r="BQ198" s="86">
        <f t="shared" si="1634"/>
        <v>0.1044596574878065</v>
      </c>
      <c r="BR198" s="86">
        <f t="shared" si="1634"/>
        <v>0.12681464224853856</v>
      </c>
      <c r="BS198" s="86">
        <f t="shared" si="1634"/>
        <v>0.1550115060086934</v>
      </c>
      <c r="BT198" s="86">
        <f t="shared" si="1634"/>
        <v>0.1920389758474137</v>
      </c>
      <c r="BU198" s="86">
        <f t="shared" si="1634"/>
        <v>0.2172802344693745</v>
      </c>
      <c r="BV198" s="86">
        <f t="shared" si="1634"/>
        <v>0.22789923044526983</v>
      </c>
      <c r="BW198" s="86">
        <f t="shared" si="1634"/>
        <v>0.23131698858081062</v>
      </c>
      <c r="BX198" s="86">
        <f t="shared" si="1634"/>
        <v>0.23496469442415391</v>
      </c>
      <c r="BY198" s="86">
        <f t="shared" si="1634"/>
        <v>0.21778457433828424</v>
      </c>
      <c r="BZ198" s="86">
        <f t="shared" si="1634"/>
        <v>0.18109536504373036</v>
      </c>
      <c r="CA198" s="86">
        <f t="shared" si="1634"/>
        <v>0.12926617325382805</v>
      </c>
      <c r="CB198" s="86">
        <f t="shared" si="1634"/>
        <v>8.335680486705721E-2</v>
      </c>
      <c r="CC198" s="86">
        <f t="shared" si="1634"/>
        <v>3.9529229453884707E-2</v>
      </c>
      <c r="CD198" s="86">
        <f t="shared" si="1634"/>
        <v>1.3001755566995232E-2</v>
      </c>
      <c r="CE198" s="86">
        <f t="shared" si="1634"/>
        <v>2.4730013001830864E-2</v>
      </c>
      <c r="CF198" s="86">
        <f t="shared" si="1634"/>
        <v>4.3859763152079179E-2</v>
      </c>
      <c r="CG198" s="86">
        <f t="shared" si="1634"/>
        <v>6.3419649167898218E-2</v>
      </c>
      <c r="CH198" s="86">
        <f t="shared" si="1634"/>
        <v>7.7465339309913395E-2</v>
      </c>
      <c r="CI198" s="86">
        <f t="shared" si="1634"/>
        <v>7.7241772184675872E-2</v>
      </c>
      <c r="CJ198" s="86">
        <f>+(CJ20+CI20)/(CF20+CE20)-1</f>
        <v>8.0546942130234944E-2</v>
      </c>
      <c r="CM198" s="87"/>
      <c r="CN198" s="87"/>
      <c r="CO198" s="87"/>
      <c r="CP198" s="87"/>
      <c r="CQ198" s="87"/>
      <c r="CR198" s="87"/>
      <c r="CS198" s="87"/>
      <c r="CT198" s="87"/>
      <c r="CU198" s="87"/>
      <c r="CV198" s="87"/>
      <c r="CW198" s="87"/>
      <c r="CX198" s="87"/>
      <c r="CY198" s="87"/>
      <c r="CZ198" s="87"/>
      <c r="DA198" s="87"/>
      <c r="DB198" s="87"/>
      <c r="DE198" s="141"/>
      <c r="DF198" s="86">
        <v>9.6079514080618544E-2</v>
      </c>
    </row>
    <row r="199" spans="1:111" s="86" customFormat="1" x14ac:dyDescent="0.2">
      <c r="A199" s="86" t="s">
        <v>441</v>
      </c>
      <c r="C199" s="86">
        <f t="shared" ref="C199" si="1635">C196/B196-1</f>
        <v>-7.8347323381360967E-2</v>
      </c>
      <c r="D199" s="86">
        <f t="shared" ref="D199" si="1636">D196/C196-1</f>
        <v>-5.9779730163137534E-3</v>
      </c>
      <c r="E199" s="86">
        <f>E196/D196-1</f>
        <v>-1.4097187749108435</v>
      </c>
      <c r="F199" s="86">
        <f t="shared" ref="F199" si="1637">F196/E196-1</f>
        <v>-2.570637254476229</v>
      </c>
      <c r="G199" s="86">
        <f t="shared" ref="G199" si="1638">G196/F196-1</f>
        <v>-0.54149086247693889</v>
      </c>
      <c r="H199" s="86">
        <f t="shared" ref="H199" si="1639">H196/G196-1</f>
        <v>0.88429366946739729</v>
      </c>
      <c r="I199" s="86">
        <f t="shared" ref="I199" si="1640">I196/H196-1</f>
        <v>1.6431380839835086E-2</v>
      </c>
      <c r="J199" s="86">
        <f t="shared" ref="J199" si="1641">J196/I196-1</f>
        <v>0.26221743872409942</v>
      </c>
      <c r="K199" s="86">
        <f>K196/J196-1</f>
        <v>2.5124738980766281E-3</v>
      </c>
      <c r="L199" s="86">
        <f t="shared" ref="L199" si="1642">L196/K196-1</f>
        <v>-0.1449380265259711</v>
      </c>
      <c r="M199" s="86">
        <f t="shared" ref="M199" si="1643">M196/L196-1</f>
        <v>-3.5415651744099219E-2</v>
      </c>
      <c r="N199" s="86">
        <f t="shared" ref="N199" si="1644">N196/M196-1</f>
        <v>0.13056527163136677</v>
      </c>
      <c r="O199" s="86">
        <f t="shared" ref="O199" si="1645">O196/N196-1</f>
        <v>-0.3564115642156529</v>
      </c>
      <c r="P199" s="86">
        <f t="shared" ref="P199" si="1646">P196/O196-1</f>
        <v>0.19502006230747759</v>
      </c>
      <c r="Q199" s="86">
        <f t="shared" ref="Q199" si="1647">Q196/P196-1</f>
        <v>0.96567246670711993</v>
      </c>
      <c r="R199" s="86">
        <f t="shared" ref="R199" si="1648">R196/Q196-1</f>
        <v>2.3282722563750857E-2</v>
      </c>
      <c r="S199" s="86">
        <f t="shared" ref="S199" si="1649">S196/R196-1</f>
        <v>0.2450157306904166</v>
      </c>
      <c r="T199" s="86">
        <f t="shared" ref="T199" si="1650">T196/S196-1</f>
        <v>-0.22476242506680577</v>
      </c>
      <c r="U199" s="86">
        <f t="shared" ref="U199" si="1651">U196/T196-1</f>
        <v>-0.28370035281606465</v>
      </c>
      <c r="V199" s="86">
        <f t="shared" ref="V199" si="1652">V196/U196-1</f>
        <v>-0.21355409004735171</v>
      </c>
      <c r="W199" s="86">
        <f t="shared" ref="W199:AA199" si="1653">W196/V196-1</f>
        <v>-0.14051230395828451</v>
      </c>
      <c r="X199" s="86">
        <f t="shared" si="1653"/>
        <v>3.7496022808723994E-2</v>
      </c>
      <c r="Y199" s="86">
        <f t="shared" si="1653"/>
        <v>0.46975983540452693</v>
      </c>
      <c r="Z199" s="86">
        <f t="shared" si="1653"/>
        <v>-0.28498974606768379</v>
      </c>
      <c r="AA199" s="86">
        <f t="shared" si="1653"/>
        <v>-0.23275661560022398</v>
      </c>
      <c r="AB199" s="87">
        <f t="shared" ref="AB199" si="1654">AB196/AA196-1</f>
        <v>0.5072026883038554</v>
      </c>
      <c r="AC199" s="87">
        <f t="shared" ref="AC199" si="1655">AC196/AB196-1</f>
        <v>7.474555121073978E-3</v>
      </c>
      <c r="AD199" s="87">
        <f t="shared" ref="AD199" si="1656">AD196/AC196-1</f>
        <v>1.2335198817197801E-2</v>
      </c>
      <c r="AE199" s="87">
        <f t="shared" ref="AE199" si="1657">AE196/AD196-1</f>
        <v>1.1608247156398521E-2</v>
      </c>
      <c r="AN199" s="86">
        <f t="shared" ref="AN199:CI199" si="1658">+AN196/AJ196-1</f>
        <v>-0.23383719021488836</v>
      </c>
      <c r="AO199" s="86">
        <f t="shared" si="1658"/>
        <v>-0.23622040748394613</v>
      </c>
      <c r="AP199" s="86">
        <f t="shared" si="1658"/>
        <v>-0.22988493477764749</v>
      </c>
      <c r="AQ199" s="86">
        <f t="shared" si="1658"/>
        <v>-0.23392950472097251</v>
      </c>
      <c r="AR199" s="86">
        <f t="shared" si="1658"/>
        <v>-8.2329449567458468E-2</v>
      </c>
      <c r="AS199" s="86">
        <f t="shared" si="1658"/>
        <v>-6.8036347311018819E-2</v>
      </c>
      <c r="AT199" s="86">
        <f t="shared" si="1658"/>
        <v>0.35036073356966457</v>
      </c>
      <c r="AU199" s="86">
        <f t="shared" si="1658"/>
        <v>0.36092519071532436</v>
      </c>
      <c r="AV199" s="86">
        <f t="shared" si="1658"/>
        <v>0.54592606692434131</v>
      </c>
      <c r="AW199" s="86">
        <f t="shared" si="1658"/>
        <v>0.51910170003255862</v>
      </c>
      <c r="AX199" s="86">
        <f t="shared" si="1658"/>
        <v>0.14643763545769239</v>
      </c>
      <c r="AY199" s="86">
        <f t="shared" si="1658"/>
        <v>0.13835491925571697</v>
      </c>
      <c r="AZ199" s="86">
        <f t="shared" si="1658"/>
        <v>0.18135013463798821</v>
      </c>
      <c r="BA199" s="86">
        <f t="shared" si="1658"/>
        <v>0.18242498519886841</v>
      </c>
      <c r="BB199" s="86">
        <f t="shared" si="1658"/>
        <v>8.4948560822280417E-2</v>
      </c>
      <c r="BC199" s="86">
        <f t="shared" si="1658"/>
        <v>8.7244805519320678E-2</v>
      </c>
      <c r="BD199" s="86">
        <f t="shared" si="1658"/>
        <v>1.9960892299556443E-2</v>
      </c>
      <c r="BE199" s="86">
        <f t="shared" si="1658"/>
        <v>1.8214196550053963E-2</v>
      </c>
      <c r="BF199" s="86">
        <f t="shared" si="1658"/>
        <v>0.21379017718645987</v>
      </c>
      <c r="BG199" s="86">
        <f t="shared" si="1658"/>
        <v>0.19284204518190573</v>
      </c>
      <c r="BH199" s="86">
        <f t="shared" si="1658"/>
        <v>0.12224039149945454</v>
      </c>
      <c r="BI199" s="86">
        <f t="shared" si="1658"/>
        <v>0.11202952466835403</v>
      </c>
      <c r="BJ199" s="86">
        <f t="shared" si="1658"/>
        <v>-0.23699155705865682</v>
      </c>
      <c r="BK199" s="86">
        <f t="shared" si="1658"/>
        <v>-0.22571742971661135</v>
      </c>
      <c r="BL199" s="86">
        <f t="shared" si="1658"/>
        <v>-0.1343065183875175</v>
      </c>
      <c r="BM199" s="86">
        <f t="shared" si="1658"/>
        <v>-0.12916407498952798</v>
      </c>
      <c r="BN199" s="86">
        <f t="shared" si="1658"/>
        <v>-3.6230701428730305E-2</v>
      </c>
      <c r="BO199" s="86">
        <f t="shared" si="1658"/>
        <v>-3.5290472642135029E-2</v>
      </c>
      <c r="BP199" s="86">
        <f t="shared" si="1658"/>
        <v>-0.15095280015985635</v>
      </c>
      <c r="BQ199" s="86">
        <f t="shared" si="1658"/>
        <v>-0.14982575645914165</v>
      </c>
      <c r="BR199" s="86">
        <f t="shared" si="1658"/>
        <v>-0.16988615702395116</v>
      </c>
      <c r="BS199" s="86">
        <f t="shared" si="1658"/>
        <v>-0.16683005990941469</v>
      </c>
      <c r="BT199" s="86">
        <f t="shared" si="1658"/>
        <v>-0.20931724105257887</v>
      </c>
      <c r="BU199" s="86">
        <f t="shared" si="1658"/>
        <v>-0.20262651330811565</v>
      </c>
      <c r="BV199" s="86">
        <f t="shared" si="1658"/>
        <v>-0.16016359856752793</v>
      </c>
      <c r="BW199" s="86">
        <f t="shared" si="1658"/>
        <v>-0.15536878832889944</v>
      </c>
      <c r="BX199" s="86">
        <f t="shared" si="1658"/>
        <v>-3.8391280052169519E-2</v>
      </c>
      <c r="BY199" s="86">
        <f t="shared" si="1658"/>
        <v>-3.7463930650880051E-2</v>
      </c>
      <c r="BZ199" s="86">
        <f t="shared" si="1658"/>
        <v>0.123262527225521</v>
      </c>
      <c r="CA199" s="86">
        <f t="shared" si="1658"/>
        <v>0.11439432721095821</v>
      </c>
      <c r="CB199" s="86">
        <f t="shared" si="1658"/>
        <v>0.2231429659436861</v>
      </c>
      <c r="CC199" s="86">
        <f t="shared" si="1658"/>
        <v>0.21546328729737119</v>
      </c>
      <c r="CD199" s="86">
        <f t="shared" si="1658"/>
        <v>0.33376965878992593</v>
      </c>
      <c r="CE199" s="86">
        <f t="shared" si="1658"/>
        <v>0.32917071697061973</v>
      </c>
      <c r="CF199" s="86">
        <f t="shared" si="1658"/>
        <v>5.1977292777370065E-2</v>
      </c>
      <c r="CG199" s="86">
        <f t="shared" si="1658"/>
        <v>5.2916241471413272E-2</v>
      </c>
      <c r="CH199" s="86">
        <f t="shared" si="1658"/>
        <v>-0.4558678252213525</v>
      </c>
      <c r="CI199" s="86">
        <f t="shared" si="1658"/>
        <v>-0.45400852227378607</v>
      </c>
      <c r="CJ199" s="86">
        <f>+CJ196/CF196-1</f>
        <v>-0.27767939496812577</v>
      </c>
      <c r="CM199" s="87"/>
      <c r="CN199" s="87"/>
      <c r="CO199" s="87"/>
      <c r="CP199" s="87"/>
      <c r="CQ199" s="87"/>
      <c r="CR199" s="87"/>
      <c r="CS199" s="87"/>
      <c r="CT199" s="87"/>
      <c r="CU199" s="87"/>
      <c r="CV199" s="87"/>
      <c r="CW199" s="87"/>
      <c r="CX199" s="87"/>
      <c r="CY199" s="87"/>
      <c r="CZ199" s="87"/>
      <c r="DA199" s="87"/>
      <c r="DB199" s="87"/>
      <c r="DE199" s="141"/>
      <c r="DF199" s="86">
        <v>9.7851154573297183E-2</v>
      </c>
    </row>
    <row r="200" spans="1:111" s="103" customFormat="1" x14ac:dyDescent="0.2">
      <c r="A200" s="147" t="s">
        <v>87</v>
      </c>
      <c r="C200" s="103">
        <f>IF(C199&gt;C198,"RF",0)</f>
        <v>0</v>
      </c>
      <c r="D200" s="103">
        <f>IF(D199&gt;D198,"RF",0)</f>
        <v>0</v>
      </c>
      <c r="E200" s="103">
        <f t="shared" ref="E200:U200" si="1659">IF(E199&gt;E198,"RF",0)</f>
        <v>0</v>
      </c>
      <c r="F200" s="103">
        <f t="shared" si="1659"/>
        <v>0</v>
      </c>
      <c r="G200" s="103">
        <f t="shared" si="1659"/>
        <v>0</v>
      </c>
      <c r="H200" s="103" t="str">
        <f t="shared" si="1659"/>
        <v>RF</v>
      </c>
      <c r="I200" s="103">
        <f t="shared" si="1659"/>
        <v>0</v>
      </c>
      <c r="J200" s="103">
        <f t="shared" si="1659"/>
        <v>0</v>
      </c>
      <c r="K200" s="103">
        <f t="shared" si="1659"/>
        <v>0</v>
      </c>
      <c r="L200" s="103">
        <f t="shared" si="1659"/>
        <v>0</v>
      </c>
      <c r="M200" s="103">
        <f t="shared" si="1659"/>
        <v>0</v>
      </c>
      <c r="N200" s="103">
        <f t="shared" si="1659"/>
        <v>0</v>
      </c>
      <c r="O200" s="103">
        <f t="shared" si="1659"/>
        <v>0</v>
      </c>
      <c r="P200" s="103" t="str">
        <f t="shared" si="1659"/>
        <v>RF</v>
      </c>
      <c r="Q200" s="103" t="str">
        <f t="shared" si="1659"/>
        <v>RF</v>
      </c>
      <c r="R200" s="103">
        <f t="shared" si="1659"/>
        <v>0</v>
      </c>
      <c r="S200" s="103" t="str">
        <f t="shared" si="1659"/>
        <v>RF</v>
      </c>
      <c r="T200" s="103">
        <f t="shared" si="1659"/>
        <v>0</v>
      </c>
      <c r="U200" s="103">
        <f t="shared" si="1659"/>
        <v>0</v>
      </c>
      <c r="V200" s="103">
        <f>IF(V199&gt;V198,"RF",0)</f>
        <v>0</v>
      </c>
      <c r="W200" s="103">
        <f t="shared" ref="W200" si="1660">IF(W199&gt;W198,"RF",0)</f>
        <v>0</v>
      </c>
      <c r="X200" s="103">
        <f t="shared" ref="X200:Y200" si="1661">IF(X199&gt;X198,"RF",0)</f>
        <v>0</v>
      </c>
      <c r="Y200" s="103" t="str">
        <f t="shared" si="1661"/>
        <v>RF</v>
      </c>
      <c r="Z200" s="103">
        <f t="shared" ref="Z200:AA200" si="1662">IF(Z199&gt;Z198,"RF",0)</f>
        <v>0</v>
      </c>
      <c r="AA200" s="103">
        <f t="shared" ref="AA200" si="1663">IF(AA199&gt;AA198,"RF",0)</f>
        <v>0</v>
      </c>
      <c r="AB200" s="73" t="str">
        <f t="shared" ref="AB200:AD200" si="1664">IF(AB199&gt;AB198,"RF",0)</f>
        <v>RF</v>
      </c>
      <c r="AC200" s="73">
        <f t="shared" si="1664"/>
        <v>0</v>
      </c>
      <c r="AD200" s="73">
        <f t="shared" si="1664"/>
        <v>0</v>
      </c>
      <c r="AE200" s="73">
        <f t="shared" ref="AE200" si="1665">IF(AE199&gt;AE198,"RF",0)</f>
        <v>0</v>
      </c>
      <c r="CM200" s="73"/>
      <c r="CN200" s="73"/>
      <c r="CO200" s="73"/>
      <c r="CP200" s="73"/>
      <c r="CQ200" s="73"/>
      <c r="CR200" s="73"/>
      <c r="CS200" s="73"/>
      <c r="CT200" s="73"/>
      <c r="CU200" s="73"/>
      <c r="CV200" s="73"/>
      <c r="CW200" s="73"/>
      <c r="CX200" s="73"/>
      <c r="CY200" s="73"/>
      <c r="CZ200" s="73"/>
      <c r="DA200" s="73"/>
      <c r="DB200" s="73"/>
      <c r="DE200" s="142"/>
      <c r="DF200" s="103" t="s">
        <v>532</v>
      </c>
    </row>
    <row r="201" spans="1:111" x14ac:dyDescent="0.2">
      <c r="A201" s="153" t="s">
        <v>494</v>
      </c>
      <c r="AA201" s="2"/>
    </row>
    <row r="202" spans="1:111" x14ac:dyDescent="0.2">
      <c r="A202" s="152" t="s">
        <v>495</v>
      </c>
      <c r="AA202" s="2"/>
    </row>
    <row r="203" spans="1:111" s="23" customFormat="1" x14ac:dyDescent="0.2">
      <c r="A203" s="23" t="s">
        <v>22</v>
      </c>
      <c r="C203" s="23">
        <f t="shared" ref="C203:AE203" si="1666">C58</f>
        <v>807.95999999999981</v>
      </c>
      <c r="D203" s="23">
        <f t="shared" si="1666"/>
        <v>954.77000000000021</v>
      </c>
      <c r="E203" s="23">
        <f t="shared" si="1666"/>
        <v>1243.6300000000001</v>
      </c>
      <c r="F203" s="23">
        <f t="shared" si="1666"/>
        <v>1891</v>
      </c>
      <c r="G203" s="23">
        <f t="shared" si="1666"/>
        <v>2458</v>
      </c>
      <c r="H203" s="23">
        <f t="shared" si="1666"/>
        <v>3856</v>
      </c>
      <c r="I203" s="23">
        <f t="shared" si="1666"/>
        <v>4659</v>
      </c>
      <c r="J203" s="23">
        <f t="shared" si="1666"/>
        <v>5988</v>
      </c>
      <c r="K203" s="23">
        <f t="shared" si="1666"/>
        <v>6266</v>
      </c>
      <c r="L203" s="23">
        <f t="shared" si="1666"/>
        <v>6835</v>
      </c>
      <c r="M203" s="23">
        <f t="shared" si="1666"/>
        <v>8332</v>
      </c>
      <c r="N203" s="23">
        <f t="shared" si="1666"/>
        <v>9429</v>
      </c>
      <c r="O203" s="23">
        <f t="shared" si="1666"/>
        <v>10656</v>
      </c>
      <c r="P203" s="23">
        <f t="shared" si="1666"/>
        <v>12372</v>
      </c>
      <c r="Q203" s="23">
        <f t="shared" si="1666"/>
        <v>13489</v>
      </c>
      <c r="R203" s="23">
        <f t="shared" si="1666"/>
        <v>14353</v>
      </c>
      <c r="S203" s="23">
        <f t="shared" si="1666"/>
        <v>16029</v>
      </c>
      <c r="T203" s="23">
        <f t="shared" si="1666"/>
        <v>15404</v>
      </c>
      <c r="U203" s="23">
        <f t="shared" si="1666"/>
        <v>16594</v>
      </c>
      <c r="V203" s="23">
        <f t="shared" si="1666"/>
        <v>19351</v>
      </c>
      <c r="W203" s="23">
        <f t="shared" si="1666"/>
        <v>22110</v>
      </c>
      <c r="X203" s="23">
        <f t="shared" si="1666"/>
        <v>24095</v>
      </c>
      <c r="Y203" s="23">
        <f t="shared" si="1666"/>
        <v>26233</v>
      </c>
      <c r="Z203" s="23">
        <f t="shared" si="1666"/>
        <v>26713</v>
      </c>
      <c r="AA203" s="23">
        <f t="shared" ref="AA203" si="1667">AA58</f>
        <v>29440</v>
      </c>
      <c r="AB203" s="24">
        <f t="shared" si="1666"/>
        <v>31887.766442520428</v>
      </c>
      <c r="AC203" s="24">
        <f t="shared" si="1666"/>
        <v>34554.507127839963</v>
      </c>
      <c r="AD203" s="24">
        <f t="shared" si="1666"/>
        <v>34980.399494922109</v>
      </c>
      <c r="AE203" s="24">
        <f t="shared" si="1666"/>
        <v>41542.96675163733</v>
      </c>
      <c r="AI203" s="23">
        <f t="shared" ref="AI203:BN203" si="1668">AI58</f>
        <v>2289</v>
      </c>
      <c r="AJ203" s="23">
        <f t="shared" si="1668"/>
        <v>2369</v>
      </c>
      <c r="AK203" s="23">
        <f t="shared" si="1668"/>
        <v>2369</v>
      </c>
      <c r="AL203" s="23">
        <f t="shared" si="1668"/>
        <v>2394</v>
      </c>
      <c r="AM203" s="23">
        <f t="shared" si="1668"/>
        <v>2374</v>
      </c>
      <c r="AN203" s="23">
        <f t="shared" si="1668"/>
        <v>2407</v>
      </c>
      <c r="AO203" s="23">
        <f t="shared" si="1668"/>
        <v>2875</v>
      </c>
      <c r="AP203" s="23">
        <f t="shared" si="1668"/>
        <v>2992</v>
      </c>
      <c r="AQ203" s="23">
        <f t="shared" si="1668"/>
        <v>2886</v>
      </c>
      <c r="AR203" s="23">
        <f t="shared" si="1668"/>
        <v>3096</v>
      </c>
      <c r="AS203" s="23">
        <f t="shared" si="1668"/>
        <v>3250</v>
      </c>
      <c r="AT203" s="23">
        <f t="shared" si="1668"/>
        <v>3097</v>
      </c>
      <c r="AU203" s="23">
        <f t="shared" si="1668"/>
        <v>3028</v>
      </c>
      <c r="AV203" s="23">
        <f t="shared" si="1668"/>
        <v>3398</v>
      </c>
      <c r="AW203" s="23">
        <f t="shared" si="1668"/>
        <v>3465</v>
      </c>
      <c r="AX203" s="23">
        <f t="shared" si="1668"/>
        <v>3597</v>
      </c>
      <c r="AY203" s="23">
        <f t="shared" si="1668"/>
        <v>3436</v>
      </c>
      <c r="AZ203" s="23">
        <f t="shared" si="1668"/>
        <v>3606</v>
      </c>
      <c r="BA203" s="23">
        <f t="shared" si="1668"/>
        <v>3708</v>
      </c>
      <c r="BB203" s="23">
        <f t="shared" si="1668"/>
        <v>3603</v>
      </c>
      <c r="BC203" s="23">
        <f t="shared" si="1668"/>
        <v>3483</v>
      </c>
      <c r="BD203" s="23">
        <f t="shared" si="1668"/>
        <v>3726</v>
      </c>
      <c r="BE203" s="23">
        <f t="shared" si="1668"/>
        <v>5129</v>
      </c>
      <c r="BF203" s="23">
        <f t="shared" si="1668"/>
        <v>3690</v>
      </c>
      <c r="BG203" s="23">
        <f t="shared" si="1668"/>
        <v>3612</v>
      </c>
      <c r="BH203" s="23">
        <f t="shared" si="1668"/>
        <v>4110</v>
      </c>
      <c r="BI203" s="23">
        <f t="shared" si="1668"/>
        <v>3609</v>
      </c>
      <c r="BJ203" s="23">
        <f t="shared" si="1668"/>
        <v>4074</v>
      </c>
      <c r="BK203" s="23">
        <f t="shared" si="1668"/>
        <v>3798</v>
      </c>
      <c r="BL203" s="23">
        <f t="shared" si="1668"/>
        <v>4019</v>
      </c>
      <c r="BM203" s="23">
        <f t="shared" si="1668"/>
        <v>4457</v>
      </c>
      <c r="BN203" s="23">
        <f t="shared" si="1668"/>
        <v>4321</v>
      </c>
      <c r="BO203" s="23">
        <f t="shared" ref="BO203:CT203" si="1669">BO58</f>
        <v>4233</v>
      </c>
      <c r="BP203" s="23">
        <f t="shared" si="1669"/>
        <v>4845</v>
      </c>
      <c r="BQ203" s="23">
        <f t="shared" si="1669"/>
        <v>5197</v>
      </c>
      <c r="BR203" s="23">
        <f t="shared" si="1669"/>
        <v>5076</v>
      </c>
      <c r="BS203" s="23">
        <f t="shared" si="1669"/>
        <v>5195</v>
      </c>
      <c r="BT203" s="23">
        <f t="shared" si="1669"/>
        <v>5421</v>
      </c>
      <c r="BU203" s="23">
        <f t="shared" si="1669"/>
        <v>5809</v>
      </c>
      <c r="BV203" s="23">
        <f t="shared" si="1669"/>
        <v>5686</v>
      </c>
      <c r="BW203" s="23">
        <f t="shared" si="1669"/>
        <v>5360</v>
      </c>
      <c r="BX203" s="23">
        <f t="shared" si="1669"/>
        <v>6021</v>
      </c>
      <c r="BY203" s="23">
        <f t="shared" si="1669"/>
        <v>6586</v>
      </c>
      <c r="BZ203" s="23">
        <f t="shared" si="1669"/>
        <v>6128</v>
      </c>
      <c r="CA203" s="23">
        <f t="shared" si="1669"/>
        <v>5945</v>
      </c>
      <c r="CB203" s="23">
        <f t="shared" si="1669"/>
        <v>6212</v>
      </c>
      <c r="CC203" s="23">
        <f t="shared" si="1669"/>
        <v>6106</v>
      </c>
      <c r="CD203" s="23">
        <f t="shared" si="1669"/>
        <v>7969</v>
      </c>
      <c r="CE203" s="23">
        <f t="shared" si="1669"/>
        <v>6368</v>
      </c>
      <c r="CF203" s="23">
        <f t="shared" si="1669"/>
        <v>6506</v>
      </c>
      <c r="CG203" s="23">
        <f t="shared" si="1669"/>
        <v>6806</v>
      </c>
      <c r="CH203" s="23">
        <f t="shared" si="1669"/>
        <v>7033</v>
      </c>
      <c r="CI203" s="23">
        <f t="shared" si="1669"/>
        <v>6921</v>
      </c>
      <c r="CJ203" s="23">
        <f t="shared" si="1669"/>
        <v>7364</v>
      </c>
      <c r="CK203" s="23">
        <f t="shared" si="1669"/>
        <v>6654</v>
      </c>
      <c r="CL203" s="23">
        <f t="shared" si="1669"/>
        <v>8501</v>
      </c>
      <c r="CM203" s="24">
        <f t="shared" si="1669"/>
        <v>7661.4255291847821</v>
      </c>
      <c r="CN203" s="24">
        <f t="shared" si="1669"/>
        <v>7877.9068694565585</v>
      </c>
      <c r="CO203" s="24">
        <f t="shared" si="1669"/>
        <v>8088.0977465302658</v>
      </c>
      <c r="CP203" s="24">
        <f t="shared" si="1669"/>
        <v>8260.3362973488183</v>
      </c>
      <c r="CQ203" s="24">
        <f t="shared" si="1669"/>
        <v>8387.0106770465864</v>
      </c>
      <c r="CR203" s="24">
        <f t="shared" si="1669"/>
        <v>8633.8010218452509</v>
      </c>
      <c r="CS203" s="24">
        <f t="shared" si="1669"/>
        <v>8663.719956876208</v>
      </c>
      <c r="CT203" s="24">
        <f t="shared" si="1669"/>
        <v>8869.9754720719175</v>
      </c>
      <c r="CU203" s="24">
        <f t="shared" ref="CU203:DB203" si="1670">CU58</f>
        <v>8483.9183584719522</v>
      </c>
      <c r="CV203" s="24">
        <f t="shared" si="1670"/>
        <v>8696.4726076873376</v>
      </c>
      <c r="CW203" s="24">
        <f t="shared" si="1670"/>
        <v>8840.1670236805221</v>
      </c>
      <c r="CX203" s="24">
        <f t="shared" si="1670"/>
        <v>8959.8415050822987</v>
      </c>
      <c r="CY203" s="24">
        <f t="shared" si="1670"/>
        <v>9793.0317746019355</v>
      </c>
      <c r="CZ203" s="24">
        <f t="shared" si="1670"/>
        <v>10152.503103877794</v>
      </c>
      <c r="DA203" s="24">
        <f t="shared" si="1670"/>
        <v>10557.115273262323</v>
      </c>
      <c r="DB203" s="24">
        <f t="shared" si="1670"/>
        <v>11040.316599895265</v>
      </c>
      <c r="DE203" s="123"/>
      <c r="DF203" s="23">
        <v>29440</v>
      </c>
      <c r="DG203" s="23">
        <v>7231.8552468059434</v>
      </c>
    </row>
    <row r="204" spans="1:111" s="23" customFormat="1" x14ac:dyDescent="0.2">
      <c r="A204" s="23" t="s">
        <v>88</v>
      </c>
      <c r="C204" s="23">
        <f t="shared" ref="C204:AE204" si="1671">C42</f>
        <v>160.65</v>
      </c>
      <c r="D204" s="23">
        <f t="shared" si="1671"/>
        <v>190.34</v>
      </c>
      <c r="E204" s="23">
        <f t="shared" si="1671"/>
        <v>236.73</v>
      </c>
      <c r="F204" s="23">
        <f t="shared" si="1671"/>
        <v>287</v>
      </c>
      <c r="G204" s="23">
        <f t="shared" si="1671"/>
        <v>437</v>
      </c>
      <c r="H204" s="23">
        <f t="shared" si="1671"/>
        <v>514</v>
      </c>
      <c r="I204" s="23">
        <f t="shared" si="1671"/>
        <v>598</v>
      </c>
      <c r="J204" s="23">
        <f t="shared" si="1671"/>
        <v>761</v>
      </c>
      <c r="K204" s="23">
        <f t="shared" si="1671"/>
        <v>905</v>
      </c>
      <c r="L204" s="23">
        <f t="shared" si="1671"/>
        <v>854</v>
      </c>
      <c r="M204" s="23">
        <f t="shared" si="1671"/>
        <v>928</v>
      </c>
      <c r="N204" s="23">
        <f t="shared" si="1671"/>
        <v>1099</v>
      </c>
      <c r="O204" s="23">
        <f t="shared" si="1671"/>
        <v>1317</v>
      </c>
      <c r="P204" s="23">
        <f t="shared" si="1671"/>
        <v>1017</v>
      </c>
      <c r="Q204" s="23">
        <f t="shared" si="1671"/>
        <v>1459</v>
      </c>
      <c r="R204" s="23">
        <f t="shared" si="1671"/>
        <v>1703</v>
      </c>
      <c r="S204" s="23">
        <f t="shared" si="1671"/>
        <v>1863</v>
      </c>
      <c r="T204" s="23">
        <f t="shared" si="1671"/>
        <v>2011</v>
      </c>
      <c r="U204" s="23">
        <f t="shared" si="1671"/>
        <v>2893</v>
      </c>
      <c r="V204" s="23">
        <f t="shared" si="1671"/>
        <v>3267</v>
      </c>
      <c r="W204" s="23">
        <f t="shared" si="1671"/>
        <v>3476</v>
      </c>
      <c r="X204" s="23">
        <f t="shared" si="1671"/>
        <v>4225</v>
      </c>
      <c r="Y204" s="23">
        <f t="shared" si="1671"/>
        <v>4678</v>
      </c>
      <c r="Z204" s="23">
        <f t="shared" si="1671"/>
        <v>4812</v>
      </c>
      <c r="AA204" s="23">
        <f t="shared" ref="AA204" si="1672">AA42</f>
        <v>4902</v>
      </c>
      <c r="AB204" s="24">
        <f t="shared" si="1671"/>
        <v>5950.263295104246</v>
      </c>
      <c r="AC204" s="24">
        <f t="shared" si="1671"/>
        <v>6601.9744253245372</v>
      </c>
      <c r="AD204" s="24">
        <f t="shared" si="1671"/>
        <v>6016.7857041261777</v>
      </c>
      <c r="AE204" s="24">
        <f t="shared" si="1671"/>
        <v>4103.7564832688649</v>
      </c>
      <c r="AI204" s="23">
        <f t="shared" ref="AI204:BN204" si="1673">AI42</f>
        <v>0</v>
      </c>
      <c r="AJ204" s="23">
        <f t="shared" si="1673"/>
        <v>0</v>
      </c>
      <c r="AK204" s="23">
        <f t="shared" si="1673"/>
        <v>0</v>
      </c>
      <c r="AL204" s="23">
        <f t="shared" si="1673"/>
        <v>0</v>
      </c>
      <c r="AM204" s="23">
        <f t="shared" si="1673"/>
        <v>0</v>
      </c>
      <c r="AN204" s="23">
        <f t="shared" si="1673"/>
        <v>0</v>
      </c>
      <c r="AO204" s="23">
        <f t="shared" si="1673"/>
        <v>0</v>
      </c>
      <c r="AP204" s="23">
        <f t="shared" si="1673"/>
        <v>0</v>
      </c>
      <c r="AQ204" s="23">
        <f t="shared" si="1673"/>
        <v>0</v>
      </c>
      <c r="AR204" s="23">
        <f t="shared" si="1673"/>
        <v>0</v>
      </c>
      <c r="AS204" s="23">
        <f t="shared" si="1673"/>
        <v>0</v>
      </c>
      <c r="AT204" s="23">
        <f t="shared" si="1673"/>
        <v>0</v>
      </c>
      <c r="AU204" s="23">
        <f t="shared" si="1673"/>
        <v>313</v>
      </c>
      <c r="AV204" s="23">
        <f t="shared" si="1673"/>
        <v>358</v>
      </c>
      <c r="AW204" s="23">
        <f t="shared" si="1673"/>
        <v>369</v>
      </c>
      <c r="AX204" s="23">
        <f t="shared" si="1673"/>
        <v>419</v>
      </c>
      <c r="AY204" s="23">
        <f t="shared" si="1673"/>
        <v>400</v>
      </c>
      <c r="AZ204" s="23">
        <f t="shared" si="1673"/>
        <v>424</v>
      </c>
      <c r="BA204" s="23">
        <f t="shared" si="1673"/>
        <v>433</v>
      </c>
      <c r="BB204" s="23">
        <f t="shared" si="1673"/>
        <v>446</v>
      </c>
      <c r="BC204" s="23">
        <f t="shared" si="1673"/>
        <v>450</v>
      </c>
      <c r="BD204" s="23">
        <f t="shared" si="1673"/>
        <v>456</v>
      </c>
      <c r="BE204" s="23">
        <f t="shared" si="1673"/>
        <v>498</v>
      </c>
      <c r="BF204" s="23">
        <f t="shared" si="1673"/>
        <v>458</v>
      </c>
      <c r="BG204" s="23">
        <f t="shared" si="1673"/>
        <v>436</v>
      </c>
      <c r="BH204" s="23">
        <f t="shared" si="1673"/>
        <v>463</v>
      </c>
      <c r="BI204" s="23">
        <f t="shared" si="1673"/>
        <v>580</v>
      </c>
      <c r="BJ204" s="23">
        <f t="shared" si="1673"/>
        <v>531</v>
      </c>
      <c r="BK204" s="23">
        <f t="shared" si="1673"/>
        <v>681</v>
      </c>
      <c r="BL204" s="23">
        <f t="shared" si="1673"/>
        <v>727</v>
      </c>
      <c r="BM204" s="23">
        <f t="shared" si="1673"/>
        <v>737</v>
      </c>
      <c r="BN204" s="23">
        <f t="shared" si="1673"/>
        <v>749</v>
      </c>
      <c r="BO204" s="23">
        <f t="shared" ref="BO204:CT204" si="1674">BO42</f>
        <v>756</v>
      </c>
      <c r="BP204" s="23">
        <f t="shared" si="1674"/>
        <v>855</v>
      </c>
      <c r="BQ204" s="23">
        <f t="shared" si="1674"/>
        <v>826</v>
      </c>
      <c r="BR204" s="23">
        <f t="shared" si="1674"/>
        <v>831</v>
      </c>
      <c r="BS204" s="23">
        <f t="shared" si="1674"/>
        <v>829</v>
      </c>
      <c r="BT204" s="23">
        <f t="shared" si="1674"/>
        <v>859</v>
      </c>
      <c r="BU204" s="23">
        <f t="shared" si="1674"/>
        <v>899</v>
      </c>
      <c r="BV204" s="23">
        <f t="shared" si="1674"/>
        <v>890</v>
      </c>
      <c r="BW204" s="23">
        <f t="shared" si="1674"/>
        <v>950</v>
      </c>
      <c r="BX204" s="23">
        <f t="shared" si="1674"/>
        <v>1029</v>
      </c>
      <c r="BY204" s="23">
        <f t="shared" si="1674"/>
        <v>1125</v>
      </c>
      <c r="BZ204" s="23">
        <f t="shared" si="1674"/>
        <v>1121</v>
      </c>
      <c r="CA204" s="23">
        <f t="shared" si="1674"/>
        <v>1173</v>
      </c>
      <c r="CB204" s="23">
        <f t="shared" si="1674"/>
        <v>1166</v>
      </c>
      <c r="CC204" s="23">
        <f t="shared" si="1674"/>
        <v>1176</v>
      </c>
      <c r="CD204" s="23">
        <f t="shared" si="1674"/>
        <v>1163</v>
      </c>
      <c r="CE204" s="23">
        <f t="shared" si="1674"/>
        <v>1149</v>
      </c>
      <c r="CF204" s="23">
        <f t="shared" si="1674"/>
        <v>1160</v>
      </c>
      <c r="CG204" s="23">
        <f t="shared" si="1674"/>
        <v>1203</v>
      </c>
      <c r="CH204" s="23">
        <f t="shared" si="1674"/>
        <v>1299</v>
      </c>
      <c r="CI204" s="23">
        <f t="shared" si="1674"/>
        <v>1140</v>
      </c>
      <c r="CJ204" s="23">
        <f t="shared" si="1674"/>
        <v>1182</v>
      </c>
      <c r="CK204" s="23">
        <f t="shared" si="1674"/>
        <v>1155</v>
      </c>
      <c r="CL204" s="23">
        <f t="shared" si="1674"/>
        <v>1424</v>
      </c>
      <c r="CM204" s="24">
        <f t="shared" si="1674"/>
        <v>1411.8664872829779</v>
      </c>
      <c r="CN204" s="24">
        <f t="shared" si="1674"/>
        <v>1465.5215658984584</v>
      </c>
      <c r="CO204" s="24">
        <f t="shared" si="1674"/>
        <v>1514.2817228694751</v>
      </c>
      <c r="CP204" s="24">
        <f t="shared" si="1674"/>
        <v>1558.5935190533348</v>
      </c>
      <c r="CQ204" s="24">
        <f t="shared" si="1674"/>
        <v>1598.862775819819</v>
      </c>
      <c r="CR204" s="24">
        <f t="shared" si="1674"/>
        <v>1635.4582916909558</v>
      </c>
      <c r="CS204" s="24">
        <f t="shared" si="1674"/>
        <v>1668.7152199139091</v>
      </c>
      <c r="CT204" s="24">
        <f t="shared" si="1674"/>
        <v>1698.9381378998528</v>
      </c>
      <c r="CU204" s="24">
        <f t="shared" ref="CU204:DB204" si="1675">CU42</f>
        <v>1726.4038366397215</v>
      </c>
      <c r="CV204" s="24">
        <f t="shared" si="1675"/>
        <v>1568.9050177932249</v>
      </c>
      <c r="CW204" s="24">
        <f t="shared" si="1675"/>
        <v>1425.7747246714653</v>
      </c>
      <c r="CX204" s="24">
        <f t="shared" si="1675"/>
        <v>1295.7021250217654</v>
      </c>
      <c r="CY204" s="24">
        <f t="shared" si="1675"/>
        <v>1177.4959730561689</v>
      </c>
      <c r="CZ204" s="24">
        <f t="shared" si="1675"/>
        <v>1070.0736996477517</v>
      </c>
      <c r="DA204" s="24">
        <f t="shared" si="1675"/>
        <v>972.45149782198484</v>
      </c>
      <c r="DB204" s="24">
        <f t="shared" si="1675"/>
        <v>883.73531274295988</v>
      </c>
      <c r="DE204" s="123"/>
      <c r="DF204" s="23">
        <v>4901</v>
      </c>
      <c r="DG204" s="23">
        <v>1221.105052831211</v>
      </c>
    </row>
    <row r="205" spans="1:111" s="22" customFormat="1" x14ac:dyDescent="0.2">
      <c r="A205" s="22" t="s">
        <v>89</v>
      </c>
      <c r="C205" s="22">
        <f t="shared" ref="C205:W205" si="1676">C203+C204</f>
        <v>968.60999999999979</v>
      </c>
      <c r="D205" s="22">
        <f t="shared" si="1676"/>
        <v>1145.1100000000001</v>
      </c>
      <c r="E205" s="22">
        <f t="shared" si="1676"/>
        <v>1480.3600000000001</v>
      </c>
      <c r="F205" s="22">
        <f t="shared" si="1676"/>
        <v>2178</v>
      </c>
      <c r="G205" s="22">
        <f t="shared" si="1676"/>
        <v>2895</v>
      </c>
      <c r="H205" s="22">
        <f t="shared" si="1676"/>
        <v>4370</v>
      </c>
      <c r="I205" s="22">
        <f t="shared" si="1676"/>
        <v>5257</v>
      </c>
      <c r="J205" s="22">
        <f t="shared" si="1676"/>
        <v>6749</v>
      </c>
      <c r="K205" s="22">
        <f t="shared" si="1676"/>
        <v>7171</v>
      </c>
      <c r="L205" s="22">
        <f t="shared" si="1676"/>
        <v>7689</v>
      </c>
      <c r="M205" s="22">
        <f t="shared" si="1676"/>
        <v>9260</v>
      </c>
      <c r="N205" s="22">
        <f t="shared" si="1676"/>
        <v>10528</v>
      </c>
      <c r="O205" s="22">
        <f t="shared" si="1676"/>
        <v>11973</v>
      </c>
      <c r="P205" s="22">
        <f t="shared" si="1676"/>
        <v>13389</v>
      </c>
      <c r="Q205" s="22">
        <f t="shared" si="1676"/>
        <v>14948</v>
      </c>
      <c r="R205" s="22">
        <f t="shared" si="1676"/>
        <v>16056</v>
      </c>
      <c r="S205" s="22">
        <f t="shared" si="1676"/>
        <v>17892</v>
      </c>
      <c r="T205" s="22">
        <f t="shared" si="1676"/>
        <v>17415</v>
      </c>
      <c r="U205" s="22">
        <f t="shared" si="1676"/>
        <v>19487</v>
      </c>
      <c r="V205" s="22">
        <f t="shared" si="1676"/>
        <v>22618</v>
      </c>
      <c r="W205" s="22">
        <f t="shared" si="1676"/>
        <v>25586</v>
      </c>
      <c r="X205" s="22">
        <f t="shared" ref="X205:Y205" si="1677">X203+X204</f>
        <v>28320</v>
      </c>
      <c r="Y205" s="22">
        <f t="shared" si="1677"/>
        <v>30911</v>
      </c>
      <c r="Z205" s="22">
        <f t="shared" ref="Z205:AA205" si="1678">Z203+Z204</f>
        <v>31525</v>
      </c>
      <c r="AA205" s="22">
        <f t="shared" ref="AA205" si="1679">AA203+AA204</f>
        <v>34342</v>
      </c>
      <c r="AB205" s="21">
        <f t="shared" ref="AB205:AD205" si="1680">AB203+AB204</f>
        <v>37838.029737624674</v>
      </c>
      <c r="AC205" s="21">
        <f t="shared" si="1680"/>
        <v>41156.4815531645</v>
      </c>
      <c r="AD205" s="21">
        <f t="shared" si="1680"/>
        <v>40997.185199048283</v>
      </c>
      <c r="AE205" s="21">
        <f t="shared" ref="AE205" si="1681">AE203+AE204</f>
        <v>45646.723234906196</v>
      </c>
      <c r="AI205" s="22">
        <f t="shared" ref="AI205" si="1682">AI203+AI204</f>
        <v>2289</v>
      </c>
      <c r="AJ205" s="22">
        <f t="shared" ref="AJ205:AL205" si="1683">AJ203+AJ204</f>
        <v>2369</v>
      </c>
      <c r="AK205" s="22">
        <f t="shared" si="1683"/>
        <v>2369</v>
      </c>
      <c r="AL205" s="22">
        <f t="shared" si="1683"/>
        <v>2394</v>
      </c>
      <c r="AM205" s="22">
        <f t="shared" ref="AM205" si="1684">AM203+AM204</f>
        <v>2374</v>
      </c>
      <c r="AN205" s="22">
        <f t="shared" ref="AN205:CD205" si="1685">AN203+AN204</f>
        <v>2407</v>
      </c>
      <c r="AO205" s="22">
        <f t="shared" si="1685"/>
        <v>2875</v>
      </c>
      <c r="AP205" s="22">
        <f t="shared" si="1685"/>
        <v>2992</v>
      </c>
      <c r="AQ205" s="22">
        <f t="shared" si="1685"/>
        <v>2886</v>
      </c>
      <c r="AR205" s="22">
        <f t="shared" si="1685"/>
        <v>3096</v>
      </c>
      <c r="AS205" s="22">
        <f t="shared" si="1685"/>
        <v>3250</v>
      </c>
      <c r="AT205" s="22">
        <f t="shared" si="1685"/>
        <v>3097</v>
      </c>
      <c r="AU205" s="22">
        <f t="shared" si="1685"/>
        <v>3341</v>
      </c>
      <c r="AV205" s="22">
        <f t="shared" si="1685"/>
        <v>3756</v>
      </c>
      <c r="AW205" s="22">
        <f t="shared" si="1685"/>
        <v>3834</v>
      </c>
      <c r="AX205" s="22">
        <f t="shared" si="1685"/>
        <v>4016</v>
      </c>
      <c r="AY205" s="22">
        <f t="shared" si="1685"/>
        <v>3836</v>
      </c>
      <c r="AZ205" s="22">
        <f t="shared" si="1685"/>
        <v>4030</v>
      </c>
      <c r="BA205" s="22">
        <f t="shared" si="1685"/>
        <v>4141</v>
      </c>
      <c r="BB205" s="22">
        <f t="shared" si="1685"/>
        <v>4049</v>
      </c>
      <c r="BC205" s="22">
        <f t="shared" si="1685"/>
        <v>3933</v>
      </c>
      <c r="BD205" s="22">
        <f t="shared" si="1685"/>
        <v>4182</v>
      </c>
      <c r="BE205" s="22">
        <f t="shared" si="1685"/>
        <v>5627</v>
      </c>
      <c r="BF205" s="22">
        <f t="shared" si="1685"/>
        <v>4148</v>
      </c>
      <c r="BG205" s="22">
        <f t="shared" si="1685"/>
        <v>4048</v>
      </c>
      <c r="BH205" s="22">
        <f t="shared" si="1685"/>
        <v>4573</v>
      </c>
      <c r="BI205" s="22">
        <f t="shared" si="1685"/>
        <v>4189</v>
      </c>
      <c r="BJ205" s="22">
        <f t="shared" si="1685"/>
        <v>4605</v>
      </c>
      <c r="BK205" s="22">
        <f t="shared" si="1685"/>
        <v>4479</v>
      </c>
      <c r="BL205" s="22">
        <f t="shared" si="1685"/>
        <v>4746</v>
      </c>
      <c r="BM205" s="22">
        <f t="shared" si="1685"/>
        <v>5194</v>
      </c>
      <c r="BN205" s="22">
        <f t="shared" si="1685"/>
        <v>5070</v>
      </c>
      <c r="BO205" s="22">
        <f t="shared" si="1685"/>
        <v>4989</v>
      </c>
      <c r="BP205" s="22">
        <f t="shared" si="1685"/>
        <v>5700</v>
      </c>
      <c r="BQ205" s="22">
        <f t="shared" si="1685"/>
        <v>6023</v>
      </c>
      <c r="BR205" s="22">
        <f t="shared" si="1685"/>
        <v>5907</v>
      </c>
      <c r="BS205" s="22">
        <f t="shared" si="1685"/>
        <v>6024</v>
      </c>
      <c r="BT205" s="22">
        <f t="shared" si="1685"/>
        <v>6280</v>
      </c>
      <c r="BU205" s="22">
        <f t="shared" si="1685"/>
        <v>6708</v>
      </c>
      <c r="BV205" s="22">
        <f t="shared" si="1685"/>
        <v>6576</v>
      </c>
      <c r="BW205" s="22">
        <f t="shared" si="1685"/>
        <v>6310</v>
      </c>
      <c r="BX205" s="22">
        <f t="shared" si="1685"/>
        <v>7050</v>
      </c>
      <c r="BY205" s="22">
        <f t="shared" si="1685"/>
        <v>7711</v>
      </c>
      <c r="BZ205" s="22">
        <f t="shared" si="1685"/>
        <v>7249</v>
      </c>
      <c r="CA205" s="22">
        <f t="shared" si="1685"/>
        <v>7118</v>
      </c>
      <c r="CB205" s="22">
        <f t="shared" si="1685"/>
        <v>7378</v>
      </c>
      <c r="CC205" s="22">
        <f t="shared" si="1685"/>
        <v>7282</v>
      </c>
      <c r="CD205" s="22">
        <f t="shared" si="1685"/>
        <v>9132</v>
      </c>
      <c r="CE205" s="22">
        <f t="shared" ref="CE205:CF205" si="1686">CE203+CE204</f>
        <v>7517</v>
      </c>
      <c r="CF205" s="22">
        <f t="shared" si="1686"/>
        <v>7666</v>
      </c>
      <c r="CG205" s="22">
        <f t="shared" ref="CG205:CH205" si="1687">CG203+CG204</f>
        <v>8009</v>
      </c>
      <c r="CH205" s="22">
        <f t="shared" si="1687"/>
        <v>8332</v>
      </c>
      <c r="CI205" s="22">
        <f t="shared" ref="CI205:CJ205" si="1688">CI203+CI204</f>
        <v>8061</v>
      </c>
      <c r="CJ205" s="22">
        <f t="shared" si="1688"/>
        <v>8546</v>
      </c>
      <c r="CK205" s="22">
        <f t="shared" ref="CK205:DB205" si="1689">CK203+CK204</f>
        <v>7809</v>
      </c>
      <c r="CL205" s="22">
        <f t="shared" si="1689"/>
        <v>9925</v>
      </c>
      <c r="CM205" s="21">
        <f t="shared" si="1689"/>
        <v>9073.2920164677598</v>
      </c>
      <c r="CN205" s="21">
        <f t="shared" si="1689"/>
        <v>9343.4284353550174</v>
      </c>
      <c r="CO205" s="21">
        <f t="shared" si="1689"/>
        <v>9602.3794693997406</v>
      </c>
      <c r="CP205" s="21">
        <f t="shared" si="1689"/>
        <v>9818.9298164021529</v>
      </c>
      <c r="CQ205" s="21">
        <f t="shared" si="1689"/>
        <v>9985.8734528664063</v>
      </c>
      <c r="CR205" s="21">
        <f t="shared" si="1689"/>
        <v>10269.259313536208</v>
      </c>
      <c r="CS205" s="21">
        <f t="shared" si="1689"/>
        <v>10332.435176790117</v>
      </c>
      <c r="CT205" s="21">
        <f t="shared" si="1689"/>
        <v>10568.913609971771</v>
      </c>
      <c r="CU205" s="21">
        <f t="shared" si="1689"/>
        <v>10210.322195111674</v>
      </c>
      <c r="CV205" s="21">
        <f t="shared" si="1689"/>
        <v>10265.377625480563</v>
      </c>
      <c r="CW205" s="21">
        <f t="shared" si="1689"/>
        <v>10265.941748351986</v>
      </c>
      <c r="CX205" s="21">
        <f t="shared" si="1689"/>
        <v>10255.543630104065</v>
      </c>
      <c r="CY205" s="21">
        <f t="shared" si="1689"/>
        <v>10970.527747658105</v>
      </c>
      <c r="CZ205" s="21">
        <f t="shared" si="1689"/>
        <v>11222.576803525546</v>
      </c>
      <c r="DA205" s="21">
        <f t="shared" si="1689"/>
        <v>11529.566771084308</v>
      </c>
      <c r="DB205" s="21">
        <f t="shared" si="1689"/>
        <v>11924.051912638224</v>
      </c>
      <c r="DE205" s="126"/>
      <c r="DF205" s="22">
        <v>34341</v>
      </c>
      <c r="DG205" s="22">
        <v>8452.9602996371541</v>
      </c>
    </row>
    <row r="206" spans="1:111" s="23" customFormat="1" x14ac:dyDescent="0.2">
      <c r="A206" s="23" t="s">
        <v>65</v>
      </c>
      <c r="C206" s="23">
        <f t="shared" ref="C206:AA206" si="1690">B158-C158+B173+B174-C173-C174</f>
        <v>-272.17039600000021</v>
      </c>
      <c r="D206" s="23">
        <f t="shared" si="1690"/>
        <v>-464.09999999999974</v>
      </c>
      <c r="E206" s="23">
        <f>D158-E158+D173+D174-E173-E174</f>
        <v>56.449999999999903</v>
      </c>
      <c r="F206" s="23">
        <f t="shared" si="1690"/>
        <v>-978.53</v>
      </c>
      <c r="G206" s="23">
        <f t="shared" si="1690"/>
        <v>-579</v>
      </c>
      <c r="H206" s="23">
        <f t="shared" si="1690"/>
        <v>-809</v>
      </c>
      <c r="I206" s="23">
        <f t="shared" si="1690"/>
        <v>-2408</v>
      </c>
      <c r="J206" s="23">
        <f>I158-J158+I173+I174-J173-J174</f>
        <v>-890</v>
      </c>
      <c r="K206" s="23">
        <f>J158-K158+J173+J174-K173-K174</f>
        <v>-814</v>
      </c>
      <c r="L206" s="23">
        <f t="shared" si="1690"/>
        <v>-1093</v>
      </c>
      <c r="M206" s="23">
        <f t="shared" si="1690"/>
        <v>-2265</v>
      </c>
      <c r="N206" s="23">
        <f t="shared" si="1690"/>
        <v>-2799</v>
      </c>
      <c r="O206" s="23">
        <f t="shared" si="1690"/>
        <v>-3298</v>
      </c>
      <c r="P206" s="23">
        <f t="shared" si="1690"/>
        <v>-4184</v>
      </c>
      <c r="Q206" s="23">
        <f t="shared" si="1690"/>
        <v>-4633</v>
      </c>
      <c r="R206" s="23">
        <f t="shared" si="1690"/>
        <v>-2393</v>
      </c>
      <c r="S206" s="23">
        <f t="shared" si="1690"/>
        <v>-4632</v>
      </c>
      <c r="T206" s="23">
        <f t="shared" si="1690"/>
        <v>-2951</v>
      </c>
      <c r="U206" s="23">
        <f t="shared" si="1690"/>
        <v>-3477</v>
      </c>
      <c r="V206" s="23">
        <f t="shared" si="1690"/>
        <v>-2549</v>
      </c>
      <c r="W206" s="23">
        <f t="shared" si="1690"/>
        <v>-10552</v>
      </c>
      <c r="X206" s="23">
        <f t="shared" si="1690"/>
        <v>-10715</v>
      </c>
      <c r="Y206" s="23">
        <f t="shared" si="1690"/>
        <v>-5264</v>
      </c>
      <c r="Z206" s="23">
        <f t="shared" si="1690"/>
        <v>1286</v>
      </c>
      <c r="AA206" s="23">
        <f t="shared" si="1690"/>
        <v>-8501</v>
      </c>
      <c r="AB206" s="24">
        <f t="shared" ref="AB206" si="1691">AA158-AB158+AA173+AA174-AB173-AB174</f>
        <v>-8177.3348289938003</v>
      </c>
      <c r="AC206" s="24">
        <f t="shared" ref="AC206" si="1692">AB158-AC158+AB173+AB174-AC173-AC174</f>
        <v>-5127.4165402242943</v>
      </c>
      <c r="AD206" s="24">
        <f t="shared" ref="AD206" si="1693">AC158-AD158+AC173+AC174-AD173-AD174</f>
        <v>-8180.4679743161105</v>
      </c>
      <c r="AE206" s="24">
        <f t="shared" ref="AE206" si="1694">AD158-AE158+AD173+AD174-AE173-AE174</f>
        <v>-12228.561903152426</v>
      </c>
      <c r="AI206" s="23">
        <f>AH158-AI158+AH173+AH174-AI173-AJ174</f>
        <v>0</v>
      </c>
      <c r="AJ206" s="23">
        <f t="shared" ref="AJ206:AL206" si="1695">AI158-AJ158+AI173+AI174-AJ173-AK174</f>
        <v>-12031</v>
      </c>
      <c r="AK206" s="23">
        <f t="shared" si="1695"/>
        <v>-383.64901602759346</v>
      </c>
      <c r="AL206" s="23">
        <f t="shared" si="1695"/>
        <v>-1040.3509839724065</v>
      </c>
      <c r="AM206" s="23">
        <f t="shared" ref="AM206" si="1696">AL158-AM158+AL173+AL174-AM173-AM174</f>
        <v>-550.83977424909062</v>
      </c>
      <c r="AN206" s="23">
        <f t="shared" ref="AN206" si="1697">AM158-AN158+AM173+AM174-AN173-AN174</f>
        <v>-1985.1602257509094</v>
      </c>
      <c r="AO206" s="23">
        <f t="shared" ref="AO206" si="1698">AN158-AO158+AN173+AN174-AO173-AO174</f>
        <v>-39.253605861935284</v>
      </c>
      <c r="AP206" s="23">
        <f t="shared" ref="AP206" si="1699">AO158-AP158+AO173+AO174-AP173-AP174</f>
        <v>-316.74639413806472</v>
      </c>
      <c r="AQ206" s="23">
        <f t="shared" ref="AQ206" si="1700">AP158-AQ158+AP173+AP174-AQ173-AQ174</f>
        <v>68.105242718445879</v>
      </c>
      <c r="AR206" s="23">
        <f t="shared" ref="AR206" si="1701">AQ158-AR158+AQ173+AQ174-AR173-AR174</f>
        <v>-1228.1052427184459</v>
      </c>
      <c r="AS206" s="23">
        <f t="shared" ref="AS206" si="1702">AR158-AS158+AR173+AR174-AS173-AS174</f>
        <v>-307.61205216609233</v>
      </c>
      <c r="AT206" s="23">
        <f t="shared" ref="AT206" si="1703">AS158-AT158+AS173+AS174-AT173-AT174</f>
        <v>-2844.3879478339077</v>
      </c>
      <c r="AU206" s="23">
        <f t="shared" ref="AU206" si="1704">AT158-AU158+AT173+AT174-AU173-AU174</f>
        <v>-682.97360375810968</v>
      </c>
      <c r="AV206" s="23">
        <f t="shared" ref="AV206" si="1705">AU158-AV158+AU173+AU174-AV173-AV174</f>
        <v>-2783.0263962418903</v>
      </c>
      <c r="AW206" s="23">
        <f t="shared" ref="AW206" si="1706">AV158-AW158+AV173+AV174-AW173-AW174</f>
        <v>-177.55030380556491</v>
      </c>
      <c r="AX206" s="23">
        <f t="shared" ref="AX206" si="1707">AW158-AX158+AW173+AW174-AX173-AX174</f>
        <v>-1860.4496961944351</v>
      </c>
      <c r="AY206" s="23">
        <f t="shared" ref="AY206" si="1708">AX158-AY158+AX173+AX174-AY173-AY174</f>
        <v>-158.82537764350491</v>
      </c>
      <c r="AZ206" s="23">
        <f t="shared" ref="AZ206" si="1709">AY158-AZ158+AY173+AY174-AZ173-AZ174</f>
        <v>-1990.1746223564951</v>
      </c>
      <c r="BA206" s="23">
        <f t="shared" ref="BA206" si="1710">AZ158-BA158+AZ173+AZ174-BA173-BA174</f>
        <v>24.73292894280894</v>
      </c>
      <c r="BB206" s="23">
        <f t="shared" ref="BB206" si="1711">BA158-BB158+BA173+BA174-BB173-BB174</f>
        <v>-268.73292894280894</v>
      </c>
      <c r="BC206" s="23">
        <f t="shared" ref="BC206" si="1712">BB158-BC158+BB173+BB174-BC173-BC174</f>
        <v>30.229205607472977</v>
      </c>
      <c r="BD206" s="23">
        <f t="shared" ref="BD206" si="1713">BC158-BD158+BC173+BC174-BD173-BD174</f>
        <v>-2290.229205607473</v>
      </c>
      <c r="BE206" s="23">
        <f t="shared" ref="BE206" si="1714">BD158-BE158+BD173+BD174-BE173-BE174</f>
        <v>-173.45141458416765</v>
      </c>
      <c r="BF206" s="23">
        <f t="shared" ref="BF206" si="1715">BE158-BF158+BE173+BE174-BF173-BF174</f>
        <v>-2198.5485854158323</v>
      </c>
      <c r="BG206" s="23">
        <f t="shared" ref="BG206" si="1716">BF158-BG158+BF173+BF174-BG173-BG174</f>
        <v>-759.4641375877909</v>
      </c>
      <c r="BH206" s="23">
        <f t="shared" ref="BH206" si="1717">BG158-BH158+BG173+BG174-BH173-BH174</f>
        <v>-2046.5358624122091</v>
      </c>
      <c r="BI206" s="23">
        <f t="shared" ref="BI206" si="1718">BH158-BI158+BH173+BH174-BI173-BI174</f>
        <v>-567.31384346644336</v>
      </c>
      <c r="BJ206" s="23">
        <f t="shared" ref="BJ206" si="1719">BI158-BJ158+BI173+BI174-BJ173-BJ174</f>
        <v>422.31384346644336</v>
      </c>
      <c r="BK206" s="23">
        <f t="shared" ref="BK206" si="1720">BJ158-BK158+BJ173+BJ174-BK173-BK174</f>
        <v>-181.73211384001479</v>
      </c>
      <c r="BL206" s="23">
        <f t="shared" ref="BL206" si="1721">BK158-BL158+BK173+BK174-BL173-BL174</f>
        <v>-5929.2678861599852</v>
      </c>
      <c r="BM206" s="23">
        <f t="shared" ref="BM206" si="1722">BL158-BM158+BL173+BL174-BM173-BM174</f>
        <v>-328.49286314021447</v>
      </c>
      <c r="BN206" s="23">
        <f t="shared" ref="BN206" si="1723">BM158-BN158+BM173+BM174-BN173-BN174</f>
        <v>-1205.5071368597855</v>
      </c>
      <c r="BO206" s="23">
        <f t="shared" ref="BO206" si="1724">BN158-BO158+BN173+BN174-BO173-BO174</f>
        <v>-316.23440924915485</v>
      </c>
      <c r="BP206" s="23">
        <f t="shared" ref="BP206" si="1725">BO158-BP158+BO173+BO174-BP173-BP174</f>
        <v>810.23440924915485</v>
      </c>
      <c r="BQ206" s="23">
        <f t="shared" ref="BQ206" si="1726">BP158-BQ158+BP173+BP174-BQ173-BQ174</f>
        <v>-990.2730972730933</v>
      </c>
      <c r="BR206" s="23">
        <f t="shared" ref="BR206" si="1727">BQ158-BR158+BQ173+BQ174-BR173-BR174</f>
        <v>-2678.7269027269067</v>
      </c>
      <c r="BS206" s="23">
        <f t="shared" ref="BS206" si="1728">BR158-BS158+BR173+BR174-BS173-BS174</f>
        <v>-1162.2891566265025</v>
      </c>
      <c r="BT206" s="23">
        <f t="shared" ref="BT206" si="1729">BS158-BT158+BS173+BS174-BT173-BT174</f>
        <v>-2682.7108433734975</v>
      </c>
      <c r="BU206" s="23">
        <f t="shared" ref="BU206" si="1730">BT158-BU158+BT173+BT174-BU173-BU174</f>
        <v>-1539.5603337612338</v>
      </c>
      <c r="BV206" s="23">
        <f t="shared" ref="BV206" si="1731">BU158-BV158+BU173+BU174-BV173-BV174</f>
        <v>-5196.4396662387662</v>
      </c>
      <c r="BW206" s="23">
        <f t="shared" ref="BW206" si="1732">BV158-BW158+BV173+BV174-BW173-BW174</f>
        <v>-1542.9239063080968</v>
      </c>
      <c r="BX206" s="23">
        <f t="shared" ref="BX206" si="1733">BW158-BX158+BW173+BW174-BX173-BX174</f>
        <v>-5670.0760936919032</v>
      </c>
      <c r="BY206" s="23">
        <f t="shared" ref="BY206" si="1734">BX158-BY158+BX173+BX174-BY173-BY174</f>
        <v>-1237.2505336909526</v>
      </c>
      <c r="BZ206" s="23">
        <f t="shared" ref="BZ206" si="1735">BY158-BZ158+BY173+BY174-BZ173-BZ174</f>
        <v>-4323.7494663090474</v>
      </c>
      <c r="CA206" s="23">
        <f t="shared" ref="CA206" si="1736">BZ158-CA158+BZ173+BZ174-CA173-CA174</f>
        <v>-334.0885125931527</v>
      </c>
      <c r="CB206" s="23">
        <f t="shared" ref="CB206" si="1737">CA158-CB158+CA173+CA174-CB173-CB174</f>
        <v>-1760.9114874068473</v>
      </c>
      <c r="CC206" s="23">
        <f t="shared" ref="CC206" si="1738">CB158-CC158+CB173+CB174-CC173-CC174</f>
        <v>125.38218700312427</v>
      </c>
      <c r="CD206" s="23">
        <f t="shared" ref="CD206" si="1739">CC158-CD158+CC173+CC174-CD173-CD174</f>
        <v>-2964.3821870031243</v>
      </c>
      <c r="CE206" s="23">
        <f t="shared" ref="CE206" si="1740">CD158-CE158+CD173+CD174-CE173-CE174</f>
        <v>-1108.2629538802285</v>
      </c>
      <c r="CF206" s="23">
        <f t="shared" ref="CF206" si="1741">CE158-CF158+CE173+CE174-CF173-CF174</f>
        <v>1095.2629538802285</v>
      </c>
      <c r="CG206" s="23">
        <f t="shared" ref="CG206" si="1742">CF158-CG158+CF173+CF174-CG173-CG174</f>
        <v>-607.67369345629413</v>
      </c>
      <c r="CH206" s="23">
        <f t="shared" ref="CH206:CJ206" si="1743">CG158-CH158+CG173+CG174-CH173-CH174</f>
        <v>8458.6736934562941</v>
      </c>
      <c r="CI206" s="23">
        <f t="shared" si="1743"/>
        <v>-2250.5680146609666</v>
      </c>
      <c r="CJ206" s="23">
        <f t="shared" si="1743"/>
        <v>-6324.4319853390334</v>
      </c>
      <c r="CK206" s="23">
        <f t="shared" ref="CK206" si="1744">CJ158-CK158+CJ173+CJ174-CK173-CK174</f>
        <v>-1692.7260732748837</v>
      </c>
      <c r="CL206" s="23">
        <f t="shared" ref="CL206" si="1745">CK158-CL158+CK173+CK174-CL173-CL174</f>
        <v>-4410.2739267251163</v>
      </c>
      <c r="CM206" s="24">
        <f t="shared" ref="CM206" si="1746">CL158-CM158+CL173+CL174-CM173-CM174</f>
        <v>598.35528969678853</v>
      </c>
      <c r="CN206" s="24">
        <f t="shared" ref="CN206" si="1747">CM158-CN158+CM173+CM174-CN173-CN174</f>
        <v>-988.89320162132208</v>
      </c>
      <c r="CO206" s="24">
        <f t="shared" ref="CO206" si="1748">CN158-CO158+CN173+CN174-CO173-CO174</f>
        <v>-800.8193174071348</v>
      </c>
      <c r="CP206" s="24">
        <f t="shared" ref="CP206" si="1749">CO158-CP158+CO173+CO174-CP173-CP174</f>
        <v>-808.97759966213198</v>
      </c>
      <c r="CQ206" s="24">
        <f t="shared" ref="CQ206" si="1750">CP158-CQ158+CP173+CP174-CQ173-CQ174</f>
        <v>-1262.666630015141</v>
      </c>
      <c r="CR206" s="24">
        <f t="shared" ref="CR206" si="1751">CQ158-CR158+CQ173+CQ174-CR173-CR174</f>
        <v>-1205.9156158102996</v>
      </c>
      <c r="CS206" s="24">
        <f t="shared" ref="CS206" si="1752">CR158-CS158+CR173+CR174-CS173-CS174</f>
        <v>-1266.1317762800027</v>
      </c>
      <c r="CT206" s="24">
        <f t="shared" ref="CT206" si="1753">CS158-CT158+CS173+CS174-CT173-CT174</f>
        <v>-1392.702518118851</v>
      </c>
      <c r="CU206" s="24">
        <f t="shared" ref="CU206" si="1754">CT158-CU158+CT173+CT174-CU173-CU174</f>
        <v>-1773.4841357506812</v>
      </c>
      <c r="CV206" s="24">
        <f t="shared" ref="CV206" si="1755">CU158-CV158+CU173+CU174-CV173-CV174</f>
        <v>-1919.4599616871419</v>
      </c>
      <c r="CW206" s="24">
        <f t="shared" ref="CW206" si="1756">CV158-CW158+CV173+CV174-CW173-CW174</f>
        <v>-2121.908734843295</v>
      </c>
      <c r="CX206" s="24">
        <f t="shared" ref="CX206" si="1757">CW158-CX158+CW173+CW174-CX173-CX174</f>
        <v>-2365.6151420349925</v>
      </c>
      <c r="CY206" s="24">
        <f t="shared" ref="CY206" si="1758">CX158-CY158+CX173+CX174-CY173-CY174</f>
        <v>-2644.7014165601286</v>
      </c>
      <c r="CZ206" s="24">
        <f t="shared" ref="CZ206" si="1759">CY158-CZ158+CY173+CY174-CZ173-CZ174</f>
        <v>-2898.6637214251969</v>
      </c>
      <c r="DA206" s="24">
        <f t="shared" ref="DA206" si="1760">CZ158-DA158+CZ173+CZ174-DA173-DA174</f>
        <v>-3185.6350049343309</v>
      </c>
      <c r="DB206" s="24">
        <f t="shared" ref="DB206" si="1761">DA158-DB158+DA173+DA174-DB173-DB174</f>
        <v>-3499.5617602327693</v>
      </c>
      <c r="DE206" s="123"/>
      <c r="DF206" s="23">
        <v>-14678</v>
      </c>
      <c r="DG206" s="23">
        <v>894.08319522258535</v>
      </c>
    </row>
    <row r="207" spans="1:111" s="23" customFormat="1" x14ac:dyDescent="0.2">
      <c r="A207" s="23" t="s">
        <v>73</v>
      </c>
      <c r="C207" s="23">
        <f t="shared" ref="C207:AA207" si="1762">B166-C166</f>
        <v>-139.55985490000006</v>
      </c>
      <c r="D207" s="23">
        <f t="shared" si="1762"/>
        <v>-248.39999999999992</v>
      </c>
      <c r="E207" s="23">
        <f>D166-E166</f>
        <v>-1060.3400000000001</v>
      </c>
      <c r="F207" s="23">
        <f t="shared" si="1762"/>
        <v>335.15000000000009</v>
      </c>
      <c r="G207" s="23">
        <f t="shared" si="1762"/>
        <v>-913</v>
      </c>
      <c r="H207" s="23">
        <f t="shared" si="1762"/>
        <v>196</v>
      </c>
      <c r="I207" s="23">
        <f t="shared" si="1762"/>
        <v>-2041</v>
      </c>
      <c r="J207" s="23">
        <f>I166-J166</f>
        <v>319</v>
      </c>
      <c r="K207" s="23">
        <f>J166-K166</f>
        <v>-583</v>
      </c>
      <c r="L207" s="23">
        <f t="shared" si="1762"/>
        <v>-862</v>
      </c>
      <c r="M207" s="23">
        <f t="shared" si="1762"/>
        <v>-1708</v>
      </c>
      <c r="N207" s="23">
        <f t="shared" si="1762"/>
        <v>-1256</v>
      </c>
      <c r="O207" s="23">
        <f t="shared" si="1762"/>
        <v>-4155</v>
      </c>
      <c r="P207" s="23">
        <f t="shared" si="1762"/>
        <v>-3117</v>
      </c>
      <c r="Q207" s="23">
        <f t="shared" si="1762"/>
        <v>2199</v>
      </c>
      <c r="R207" s="23">
        <f t="shared" si="1762"/>
        <v>-812</v>
      </c>
      <c r="S207" s="23">
        <f t="shared" si="1762"/>
        <v>-259</v>
      </c>
      <c r="T207" s="23">
        <f t="shared" si="1762"/>
        <v>-4635</v>
      </c>
      <c r="U207" s="23">
        <f t="shared" si="1762"/>
        <v>-6896</v>
      </c>
      <c r="V207" s="23">
        <f t="shared" si="1762"/>
        <v>-4773</v>
      </c>
      <c r="W207" s="23">
        <f t="shared" si="1762"/>
        <v>-10264</v>
      </c>
      <c r="X207" s="23">
        <f t="shared" si="1762"/>
        <v>-7808</v>
      </c>
      <c r="Y207" s="23">
        <f t="shared" si="1762"/>
        <v>1242</v>
      </c>
      <c r="Z207" s="23">
        <f t="shared" si="1762"/>
        <v>-3419</v>
      </c>
      <c r="AA207" s="23">
        <f t="shared" si="1762"/>
        <v>-10013</v>
      </c>
      <c r="AB207" s="24">
        <f t="shared" ref="AB207" si="1763">AA166-AB166</f>
        <v>734.63740943763696</v>
      </c>
      <c r="AC207" s="24">
        <f t="shared" ref="AC207" si="1764">AB166-AC166</f>
        <v>-3699.9656460825063</v>
      </c>
      <c r="AD207" s="24">
        <f t="shared" ref="AD207" si="1765">AC166-AD166</f>
        <v>-5903.0605835124297</v>
      </c>
      <c r="AE207" s="24">
        <f t="shared" ref="AE207" si="1766">AD166-AE166</f>
        <v>-8824.182429438064</v>
      </c>
      <c r="AI207" s="23">
        <f t="shared" ref="AI207" si="1767">AH166-AI166</f>
        <v>0</v>
      </c>
      <c r="AJ207" s="23">
        <f t="shared" ref="AJ207" si="1768">AI166-AJ166</f>
        <v>-5580</v>
      </c>
      <c r="AK207" s="23">
        <f t="shared" ref="AK207" si="1769">AJ166-AK166</f>
        <v>0</v>
      </c>
      <c r="AL207" s="23">
        <f t="shared" ref="AL207" si="1770">AK166-AL166</f>
        <v>-855</v>
      </c>
      <c r="AM207" s="23">
        <f t="shared" ref="AM207" si="1771">AL166-AM166</f>
        <v>-14.698392959632656</v>
      </c>
      <c r="AN207" s="23">
        <f t="shared" ref="AN207" si="1772">AM166-AN166</f>
        <v>-2856.3016070403673</v>
      </c>
      <c r="AO207" s="23">
        <f t="shared" ref="AO207" si="1773">AN166-AO166</f>
        <v>-0.47049749325015</v>
      </c>
      <c r="AP207" s="23">
        <f t="shared" ref="AP207" si="1774">AO166-AP166</f>
        <v>-154.52950250674985</v>
      </c>
      <c r="AQ207" s="23">
        <f t="shared" ref="AQ207" si="1775">AP166-AQ166</f>
        <v>1.4108737864080467</v>
      </c>
      <c r="AR207" s="23">
        <f t="shared" ref="AR207" si="1776">AQ166-AR166</f>
        <v>-1582.410873786408</v>
      </c>
      <c r="AS207" s="23">
        <f t="shared" ref="AS207" si="1777">AR166-AS166</f>
        <v>-4.5937640533647937</v>
      </c>
      <c r="AT207" s="23">
        <f t="shared" ref="AT207" si="1778">AS166-AT166</f>
        <v>-382.40623594663521</v>
      </c>
      <c r="AU207" s="23">
        <f t="shared" ref="AU207" si="1779">AT166-AU166</f>
        <v>-9.8441577809262526</v>
      </c>
      <c r="AV207" s="23">
        <f t="shared" ref="AV207" si="1780">AU166-AV166</f>
        <v>-1845.1558422190737</v>
      </c>
      <c r="AW207" s="23">
        <f t="shared" ref="AW207" si="1781">AV166-AW166</f>
        <v>-1.8784777742239385</v>
      </c>
      <c r="AX207" s="23">
        <f t="shared" ref="AX207" si="1782">AW166-AX166</f>
        <v>-68.121522225776062</v>
      </c>
      <c r="AY207" s="23">
        <f t="shared" ref="AY207" si="1783">AX166-AY166</f>
        <v>-5.4109969788514718</v>
      </c>
      <c r="AZ207" s="23">
        <f t="shared" ref="AZ207" si="1784">AY166-AZ166</f>
        <v>-686.58900302114853</v>
      </c>
      <c r="BA207" s="23">
        <f t="shared" ref="BA207" si="1785">AZ166-BA166</f>
        <v>0.65621028307396045</v>
      </c>
      <c r="BB207" s="23">
        <f t="shared" ref="BB207" si="1786">BA166-BB166</f>
        <v>-120.65621028307396</v>
      </c>
      <c r="BC207" s="23">
        <f t="shared" ref="BC207" si="1787">BB166-BC166</f>
        <v>0.90035046728917223</v>
      </c>
      <c r="BD207" s="23">
        <f t="shared" ref="BD207" si="1788">BC166-BD166</f>
        <v>-1754.9003504672892</v>
      </c>
      <c r="BE207" s="23">
        <f t="shared" ref="BE207" si="1789">BD166-BE166</f>
        <v>-6.9520122957819694</v>
      </c>
      <c r="BF207" s="23">
        <f t="shared" ref="BF207" si="1790">BE166-BF166</f>
        <v>1501.952012295782</v>
      </c>
      <c r="BG207" s="23">
        <f t="shared" ref="BG207" si="1791">BF166-BG166</f>
        <v>-40.105624066804012</v>
      </c>
      <c r="BH207" s="23">
        <f t="shared" ref="BH207" si="1792">BG166-BH166</f>
        <v>-1736.894375933196</v>
      </c>
      <c r="BI207" s="23">
        <f t="shared" ref="BI207" si="1793">BH166-BI166</f>
        <v>-45.788878645251316</v>
      </c>
      <c r="BJ207" s="23">
        <f t="shared" ref="BJ207" si="1794">BI166-BJ166</f>
        <v>-2812.2111213547487</v>
      </c>
      <c r="BK207" s="23">
        <f t="shared" ref="BK207" si="1795">BJ166-BK166</f>
        <v>-20.285064301962848</v>
      </c>
      <c r="BL207" s="23">
        <f t="shared" ref="BL207" si="1796">BK166-BL166</f>
        <v>-4542.7149356980372</v>
      </c>
      <c r="BM207" s="23">
        <f t="shared" ref="BM207" si="1797">BL166-BM166</f>
        <v>-43.662645278182026</v>
      </c>
      <c r="BN207" s="23">
        <f t="shared" ref="BN207" si="1798">BM166-BN166</f>
        <v>-2289.337354721818</v>
      </c>
      <c r="BO207" s="23">
        <f t="shared" ref="BO207" si="1799">BN166-BO166</f>
        <v>-48.785662096532178</v>
      </c>
      <c r="BP207" s="23">
        <f t="shared" ref="BP207" si="1800">BO166-BP166</f>
        <v>-276.21433790346782</v>
      </c>
      <c r="BQ207" s="23">
        <f t="shared" ref="BQ207" si="1801">BP166-BQ166</f>
        <v>-131.17114367114118</v>
      </c>
      <c r="BR207" s="23">
        <f t="shared" ref="BR207" si="1802">BQ166-BR166</f>
        <v>-4316.8288563288588</v>
      </c>
      <c r="BS207" s="23">
        <f t="shared" ref="BS207" si="1803">BR166-BS166</f>
        <v>-159.3373493975887</v>
      </c>
      <c r="BT207" s="23">
        <f t="shared" ref="BT207" si="1804">BS166-BT166</f>
        <v>-4015.6626506024113</v>
      </c>
      <c r="BU207" s="23">
        <f t="shared" ref="BU207" si="1805">BT166-BU166</f>
        <v>-243.01195865144109</v>
      </c>
      <c r="BV207" s="23">
        <f t="shared" ref="BV207" si="1806">BU166-BV166</f>
        <v>-5845.9880413485589</v>
      </c>
      <c r="BW207" s="23">
        <f t="shared" ref="BW207" si="1807">BV166-BW166</f>
        <v>-281.01363242037769</v>
      </c>
      <c r="BX207" s="23">
        <f t="shared" ref="BX207" si="1808">BW166-BX166</f>
        <v>-4489.9863675796223</v>
      </c>
      <c r="BY207" s="23">
        <f t="shared" ref="BY207" si="1809">BX166-BY166</f>
        <v>-202.75767693907255</v>
      </c>
      <c r="BZ207" s="23">
        <f t="shared" ref="BZ207" si="1810">BY166-BZ166</f>
        <v>-2834.2423230609274</v>
      </c>
      <c r="CA207" s="23">
        <f t="shared" ref="CA207" si="1811">BZ166-CA166</f>
        <v>-50.788707566571247</v>
      </c>
      <c r="CB207" s="23">
        <f t="shared" ref="CB207" si="1812">CA166-CB166</f>
        <v>734.78870756657125</v>
      </c>
      <c r="CC207" s="23">
        <f t="shared" ref="CC207" si="1813">CB166-CC166</f>
        <v>14.210365697290399</v>
      </c>
      <c r="CD207" s="23">
        <f t="shared" ref="CD207" si="1814">CC166-CD166</f>
        <v>543.7896343027096</v>
      </c>
      <c r="CE207" s="23">
        <f t="shared" ref="CE207" si="1815">CD166-CE166</f>
        <v>-145.20876512934046</v>
      </c>
      <c r="CF207" s="23">
        <f t="shared" ref="CF207" si="1816">CE166-CF166</f>
        <v>-1649.7912348706595</v>
      </c>
      <c r="CG207" s="23">
        <f t="shared" ref="CG207" si="1817">CF166-CG166</f>
        <v>-72.91021324355097</v>
      </c>
      <c r="CH207" s="23">
        <f t="shared" ref="CH207:CJ207" si="1818">CG166-CH166</f>
        <v>-1551.089786756449</v>
      </c>
      <c r="CI207" s="23">
        <f t="shared" si="1818"/>
        <v>-1686.602614538795</v>
      </c>
      <c r="CJ207" s="23">
        <f t="shared" si="1818"/>
        <v>-2283.397385461205</v>
      </c>
      <c r="CK207" s="23">
        <f t="shared" ref="CK207" si="1819">CJ166-CK166</f>
        <v>-1221.4783546864419</v>
      </c>
      <c r="CL207" s="23">
        <f t="shared" ref="CL207" si="1820">CK166-CL166</f>
        <v>-4821.5216453135581</v>
      </c>
      <c r="CM207" s="24">
        <f t="shared" ref="CM207" si="1821">CL166-CM166</f>
        <v>2609.8632836258621</v>
      </c>
      <c r="CN207" s="24">
        <f t="shared" ref="CN207" si="1822">CM166-CN166</f>
        <v>-713.58955234859604</v>
      </c>
      <c r="CO207" s="24">
        <f t="shared" ref="CO207" si="1823">CN166-CO166</f>
        <v>-577.87463528289663</v>
      </c>
      <c r="CP207" s="24">
        <f t="shared" ref="CP207" si="1824">CO166-CP166</f>
        <v>-583.76168655673246</v>
      </c>
      <c r="CQ207" s="24">
        <f t="shared" ref="CQ207" si="1825">CP166-CQ166</f>
        <v>-911.14562604005914</v>
      </c>
      <c r="CR207" s="24">
        <f t="shared" ref="CR207" si="1826">CQ166-CR166</f>
        <v>-870.19385212212364</v>
      </c>
      <c r="CS207" s="24">
        <f t="shared" ref="CS207" si="1827">CR166-CS166</f>
        <v>-913.64609036513139</v>
      </c>
      <c r="CT207" s="24">
        <f t="shared" ref="CT207" si="1828">CS166-CT166</f>
        <v>-1004.9800775551921</v>
      </c>
      <c r="CU207" s="24">
        <f t="shared" ref="CU207" si="1829">CT166-CU166</f>
        <v>-1279.7537170371506</v>
      </c>
      <c r="CV207" s="24">
        <f t="shared" ref="CV207" si="1830">CU166-CV166</f>
        <v>-1385.0904956831509</v>
      </c>
      <c r="CW207" s="24">
        <f t="shared" ref="CW207" si="1831">CV166-CW166</f>
        <v>-1531.1783939245215</v>
      </c>
      <c r="CX207" s="24">
        <f t="shared" ref="CX207" si="1832">CW166-CX166</f>
        <v>-1707.0379768676066</v>
      </c>
      <c r="CY207" s="24">
        <f t="shared" ref="CY207" si="1833">CX166-CY166</f>
        <v>-1908.4278229890333</v>
      </c>
      <c r="CZ207" s="24">
        <f t="shared" ref="CZ207" si="1834">CY166-CZ166</f>
        <v>-2091.6881054391124</v>
      </c>
      <c r="DA207" s="24">
        <f t="shared" ref="DA207" si="1835">CZ166-DA166</f>
        <v>-2298.7678076763696</v>
      </c>
      <c r="DB207" s="24">
        <f t="shared" ref="DB207" si="1836">DA166-DB166</f>
        <v>-2525.2986933335487</v>
      </c>
      <c r="DE207" s="123"/>
      <c r="DF207" s="23">
        <v>-10013</v>
      </c>
      <c r="DG207" s="23">
        <v>645.17424732544168</v>
      </c>
    </row>
    <row r="208" spans="1:111" s="22" customFormat="1" x14ac:dyDescent="0.2">
      <c r="A208" s="22" t="s">
        <v>90</v>
      </c>
      <c r="C208" s="22">
        <f t="shared" ref="C208:W208" si="1837">C206-C207</f>
        <v>-132.61054110000015</v>
      </c>
      <c r="D208" s="22">
        <f t="shared" si="1837"/>
        <v>-215.69999999999982</v>
      </c>
      <c r="E208" s="22">
        <f t="shared" si="1837"/>
        <v>1116.79</v>
      </c>
      <c r="F208" s="22">
        <f t="shared" si="1837"/>
        <v>-1313.68</v>
      </c>
      <c r="G208" s="22">
        <f t="shared" si="1837"/>
        <v>334</v>
      </c>
      <c r="H208" s="22">
        <f t="shared" si="1837"/>
        <v>-1005</v>
      </c>
      <c r="I208" s="22">
        <f t="shared" si="1837"/>
        <v>-367</v>
      </c>
      <c r="J208" s="22">
        <f>J206-J207</f>
        <v>-1209</v>
      </c>
      <c r="K208" s="22">
        <f t="shared" si="1837"/>
        <v>-231</v>
      </c>
      <c r="L208" s="22">
        <f t="shared" si="1837"/>
        <v>-231</v>
      </c>
      <c r="M208" s="22">
        <f t="shared" si="1837"/>
        <v>-557</v>
      </c>
      <c r="N208" s="22">
        <f t="shared" si="1837"/>
        <v>-1543</v>
      </c>
      <c r="O208" s="22">
        <f t="shared" si="1837"/>
        <v>857</v>
      </c>
      <c r="P208" s="22">
        <f t="shared" si="1837"/>
        <v>-1067</v>
      </c>
      <c r="Q208" s="22">
        <f t="shared" si="1837"/>
        <v>-6832</v>
      </c>
      <c r="R208" s="22">
        <f t="shared" si="1837"/>
        <v>-1581</v>
      </c>
      <c r="S208" s="22">
        <f t="shared" si="1837"/>
        <v>-4373</v>
      </c>
      <c r="T208" s="22">
        <f t="shared" si="1837"/>
        <v>1684</v>
      </c>
      <c r="U208" s="22">
        <f t="shared" si="1837"/>
        <v>3419</v>
      </c>
      <c r="V208" s="22">
        <f t="shared" si="1837"/>
        <v>2224</v>
      </c>
      <c r="W208" s="22">
        <f t="shared" si="1837"/>
        <v>-288</v>
      </c>
      <c r="X208" s="22">
        <f t="shared" ref="X208:Y208" si="1838">X206-X207</f>
        <v>-2907</v>
      </c>
      <c r="Y208" s="22">
        <f t="shared" si="1838"/>
        <v>-6506</v>
      </c>
      <c r="Z208" s="22">
        <f t="shared" ref="Z208:AA208" si="1839">Z206-Z207</f>
        <v>4705</v>
      </c>
      <c r="AA208" s="22">
        <f t="shared" ref="AA208" si="1840">AA206-AA207</f>
        <v>1512</v>
      </c>
      <c r="AB208" s="21">
        <f t="shared" ref="AB208:AD208" si="1841">AB206-AB207</f>
        <v>-8911.9722384314373</v>
      </c>
      <c r="AC208" s="21">
        <f t="shared" si="1841"/>
        <v>-1427.450894141788</v>
      </c>
      <c r="AD208" s="21">
        <f t="shared" si="1841"/>
        <v>-2277.4073908036808</v>
      </c>
      <c r="AE208" s="21">
        <f t="shared" ref="AE208" si="1842">AE206-AE207</f>
        <v>-3404.3794737143617</v>
      </c>
      <c r="AI208" s="22">
        <f t="shared" ref="AI208" si="1843">AI206-AI207</f>
        <v>0</v>
      </c>
      <c r="AJ208" s="22">
        <f t="shared" ref="AJ208:AL208" si="1844">AJ206-AJ207</f>
        <v>-6451</v>
      </c>
      <c r="AK208" s="22">
        <f t="shared" si="1844"/>
        <v>-383.64901602759346</v>
      </c>
      <c r="AL208" s="22">
        <f t="shared" si="1844"/>
        <v>-185.35098397240654</v>
      </c>
      <c r="AM208" s="22">
        <f t="shared" ref="AM208" si="1845">AM206-AM207</f>
        <v>-536.14138128945797</v>
      </c>
      <c r="AN208" s="22">
        <f t="shared" ref="AN208:CD208" si="1846">AN206-AN207</f>
        <v>871.14138128945797</v>
      </c>
      <c r="AO208" s="22">
        <f t="shared" si="1846"/>
        <v>-38.783108368685134</v>
      </c>
      <c r="AP208" s="22">
        <f t="shared" si="1846"/>
        <v>-162.21689163131487</v>
      </c>
      <c r="AQ208" s="22">
        <f t="shared" si="1846"/>
        <v>66.694368932037833</v>
      </c>
      <c r="AR208" s="22">
        <f t="shared" si="1846"/>
        <v>354.30563106796217</v>
      </c>
      <c r="AS208" s="22">
        <f t="shared" si="1846"/>
        <v>-303.01828811272753</v>
      </c>
      <c r="AT208" s="22">
        <f t="shared" si="1846"/>
        <v>-2461.9817118872725</v>
      </c>
      <c r="AU208" s="22">
        <f t="shared" si="1846"/>
        <v>-673.12944597718342</v>
      </c>
      <c r="AV208" s="22">
        <f t="shared" si="1846"/>
        <v>-937.87055402281658</v>
      </c>
      <c r="AW208" s="22">
        <f t="shared" si="1846"/>
        <v>-175.67182603134097</v>
      </c>
      <c r="AX208" s="22">
        <f t="shared" si="1846"/>
        <v>-1792.328173968659</v>
      </c>
      <c r="AY208" s="22">
        <f t="shared" si="1846"/>
        <v>-153.41438066465344</v>
      </c>
      <c r="AZ208" s="22">
        <f t="shared" si="1846"/>
        <v>-1303.5856193353466</v>
      </c>
      <c r="BA208" s="22">
        <f t="shared" si="1846"/>
        <v>24.076718659734979</v>
      </c>
      <c r="BB208" s="22">
        <f t="shared" si="1846"/>
        <v>-148.07671865973498</v>
      </c>
      <c r="BC208" s="22">
        <f t="shared" si="1846"/>
        <v>29.328855140183805</v>
      </c>
      <c r="BD208" s="22">
        <f t="shared" si="1846"/>
        <v>-535.3288551401838</v>
      </c>
      <c r="BE208" s="22">
        <f t="shared" si="1846"/>
        <v>-166.49940228838568</v>
      </c>
      <c r="BF208" s="22">
        <f t="shared" si="1846"/>
        <v>-3700.5005977116143</v>
      </c>
      <c r="BG208" s="22">
        <f t="shared" si="1846"/>
        <v>-719.35851352098689</v>
      </c>
      <c r="BH208" s="22">
        <f t="shared" si="1846"/>
        <v>-309.64148647901311</v>
      </c>
      <c r="BI208" s="22">
        <f t="shared" si="1846"/>
        <v>-521.52496482119204</v>
      </c>
      <c r="BJ208" s="22">
        <f t="shared" si="1846"/>
        <v>3234.524964821192</v>
      </c>
      <c r="BK208" s="22">
        <f t="shared" si="1846"/>
        <v>-161.44704953805194</v>
      </c>
      <c r="BL208" s="22">
        <f t="shared" si="1846"/>
        <v>-1386.5529504619481</v>
      </c>
      <c r="BM208" s="22">
        <f t="shared" si="1846"/>
        <v>-284.83021786203244</v>
      </c>
      <c r="BN208" s="22">
        <f t="shared" si="1846"/>
        <v>1083.8302178620324</v>
      </c>
      <c r="BO208" s="22">
        <f t="shared" si="1846"/>
        <v>-267.44874715262267</v>
      </c>
      <c r="BP208" s="22">
        <f t="shared" si="1846"/>
        <v>1086.4487471526227</v>
      </c>
      <c r="BQ208" s="22">
        <f t="shared" si="1846"/>
        <v>-859.10195360195212</v>
      </c>
      <c r="BR208" s="22">
        <f t="shared" si="1846"/>
        <v>1638.1019536019521</v>
      </c>
      <c r="BS208" s="22">
        <f t="shared" si="1846"/>
        <v>-1002.9518072289138</v>
      </c>
      <c r="BT208" s="22">
        <f t="shared" si="1846"/>
        <v>1332.9518072289138</v>
      </c>
      <c r="BU208" s="22">
        <f t="shared" si="1846"/>
        <v>-1296.5483751097927</v>
      </c>
      <c r="BV208" s="22">
        <f t="shared" si="1846"/>
        <v>649.54837510979269</v>
      </c>
      <c r="BW208" s="22">
        <f t="shared" si="1846"/>
        <v>-1261.9102738877191</v>
      </c>
      <c r="BX208" s="22">
        <f t="shared" si="1846"/>
        <v>-1180.0897261122809</v>
      </c>
      <c r="BY208" s="22">
        <f t="shared" si="1846"/>
        <v>-1034.49285675188</v>
      </c>
      <c r="BZ208" s="22">
        <f t="shared" si="1846"/>
        <v>-1489.50714324812</v>
      </c>
      <c r="CA208" s="22">
        <f t="shared" si="1846"/>
        <v>-283.29980502658145</v>
      </c>
      <c r="CB208" s="22">
        <f t="shared" si="1846"/>
        <v>-2495.7001949734185</v>
      </c>
      <c r="CC208" s="22">
        <f t="shared" si="1846"/>
        <v>111.17182130583387</v>
      </c>
      <c r="CD208" s="22">
        <f t="shared" si="1846"/>
        <v>-3508.1718213058339</v>
      </c>
      <c r="CE208" s="22">
        <f t="shared" ref="CE208:CF208" si="1847">CE206-CE207</f>
        <v>-963.05418875088799</v>
      </c>
      <c r="CF208" s="22">
        <f t="shared" si="1847"/>
        <v>2745.054188750888</v>
      </c>
      <c r="CG208" s="22">
        <f t="shared" ref="CG208:CH208" si="1848">CG206-CG207</f>
        <v>-534.76348021274316</v>
      </c>
      <c r="CH208" s="22">
        <f t="shared" si="1848"/>
        <v>10009.763480212743</v>
      </c>
      <c r="CI208" s="22">
        <f t="shared" ref="CI208:CJ208" si="1849">CI206-CI207</f>
        <v>-563.96540012217156</v>
      </c>
      <c r="CJ208" s="22">
        <f t="shared" si="1849"/>
        <v>-4041.0345998778284</v>
      </c>
      <c r="CK208" s="22">
        <f t="shared" ref="CK208:DB208" si="1850">CK206-CK207</f>
        <v>-471.24771858844178</v>
      </c>
      <c r="CL208" s="22">
        <f t="shared" si="1850"/>
        <v>411.24771858844178</v>
      </c>
      <c r="CM208" s="21">
        <f t="shared" si="1850"/>
        <v>-2011.5079939290736</v>
      </c>
      <c r="CN208" s="21">
        <f t="shared" si="1850"/>
        <v>-275.30364927272603</v>
      </c>
      <c r="CO208" s="21">
        <f t="shared" si="1850"/>
        <v>-222.94468212423817</v>
      </c>
      <c r="CP208" s="21">
        <f t="shared" si="1850"/>
        <v>-225.21591310539952</v>
      </c>
      <c r="CQ208" s="21">
        <f t="shared" si="1850"/>
        <v>-351.52100397508184</v>
      </c>
      <c r="CR208" s="21">
        <f t="shared" si="1850"/>
        <v>-335.721763688176</v>
      </c>
      <c r="CS208" s="21">
        <f t="shared" si="1850"/>
        <v>-352.48568591487128</v>
      </c>
      <c r="CT208" s="21">
        <f t="shared" si="1850"/>
        <v>-387.72244056365889</v>
      </c>
      <c r="CU208" s="21">
        <f t="shared" si="1850"/>
        <v>-493.73041871353053</v>
      </c>
      <c r="CV208" s="21">
        <f t="shared" si="1850"/>
        <v>-534.36946600399096</v>
      </c>
      <c r="CW208" s="21">
        <f t="shared" si="1850"/>
        <v>-590.73034091877344</v>
      </c>
      <c r="CX208" s="21">
        <f t="shared" si="1850"/>
        <v>-658.57716516738583</v>
      </c>
      <c r="CY208" s="21">
        <f t="shared" si="1850"/>
        <v>-736.27359357109526</v>
      </c>
      <c r="CZ208" s="21">
        <f t="shared" si="1850"/>
        <v>-806.97561598608445</v>
      </c>
      <c r="DA208" s="21">
        <f t="shared" si="1850"/>
        <v>-886.86719725796138</v>
      </c>
      <c r="DB208" s="21">
        <f t="shared" si="1850"/>
        <v>-974.26306689922058</v>
      </c>
      <c r="DE208" s="126"/>
      <c r="DF208" s="22">
        <v>-4665</v>
      </c>
      <c r="DG208" s="22">
        <v>248.90894789714366</v>
      </c>
    </row>
    <row r="209" spans="1:111" s="22" customFormat="1" x14ac:dyDescent="0.2">
      <c r="A209" s="22" t="s">
        <v>91</v>
      </c>
      <c r="C209" s="22">
        <f t="shared" ref="C209:W209" si="1851">C205+C208</f>
        <v>835.99945889999958</v>
      </c>
      <c r="D209" s="22">
        <f>D205+D208</f>
        <v>929.41000000000031</v>
      </c>
      <c r="E209" s="22">
        <f t="shared" si="1851"/>
        <v>2597.15</v>
      </c>
      <c r="F209" s="22">
        <f t="shared" si="1851"/>
        <v>864.31999999999994</v>
      </c>
      <c r="G209" s="22">
        <f t="shared" si="1851"/>
        <v>3229</v>
      </c>
      <c r="H209" s="22">
        <f t="shared" si="1851"/>
        <v>3365</v>
      </c>
      <c r="I209" s="22">
        <f t="shared" si="1851"/>
        <v>4890</v>
      </c>
      <c r="J209" s="22">
        <f>J205+J208</f>
        <v>5540</v>
      </c>
      <c r="K209" s="22">
        <f t="shared" si="1851"/>
        <v>6940</v>
      </c>
      <c r="L209" s="22">
        <f t="shared" si="1851"/>
        <v>7458</v>
      </c>
      <c r="M209" s="22">
        <f t="shared" si="1851"/>
        <v>8703</v>
      </c>
      <c r="N209" s="22">
        <f t="shared" si="1851"/>
        <v>8985</v>
      </c>
      <c r="O209" s="22">
        <f t="shared" si="1851"/>
        <v>12830</v>
      </c>
      <c r="P209" s="22">
        <f t="shared" si="1851"/>
        <v>12322</v>
      </c>
      <c r="Q209" s="22">
        <f t="shared" si="1851"/>
        <v>8116</v>
      </c>
      <c r="R209" s="22">
        <f t="shared" si="1851"/>
        <v>14475</v>
      </c>
      <c r="S209" s="22">
        <f t="shared" si="1851"/>
        <v>13519</v>
      </c>
      <c r="T209" s="22">
        <f t="shared" si="1851"/>
        <v>19099</v>
      </c>
      <c r="U209" s="22">
        <f t="shared" si="1851"/>
        <v>22906</v>
      </c>
      <c r="V209" s="22">
        <f t="shared" si="1851"/>
        <v>24842</v>
      </c>
      <c r="W209" s="22">
        <f t="shared" si="1851"/>
        <v>25298</v>
      </c>
      <c r="X209" s="22">
        <f t="shared" ref="X209:Y209" si="1852">X205+X208</f>
        <v>25413</v>
      </c>
      <c r="Y209" s="22">
        <f t="shared" si="1852"/>
        <v>24405</v>
      </c>
      <c r="Z209" s="22">
        <f t="shared" ref="Z209:AA209" si="1853">Z205+Z208</f>
        <v>36230</v>
      </c>
      <c r="AA209" s="22">
        <f t="shared" ref="AA209" si="1854">AA205+AA208</f>
        <v>35854</v>
      </c>
      <c r="AB209" s="21">
        <f t="shared" ref="AB209:AD209" si="1855">AB205+AB208</f>
        <v>28926.057499193237</v>
      </c>
      <c r="AC209" s="21">
        <f t="shared" si="1855"/>
        <v>39729.030659022712</v>
      </c>
      <c r="AD209" s="21">
        <f t="shared" si="1855"/>
        <v>38719.777808244602</v>
      </c>
      <c r="AE209" s="21">
        <f t="shared" ref="AE209" si="1856">AE205+AE208</f>
        <v>42242.343761191834</v>
      </c>
      <c r="AI209" s="22">
        <f t="shared" ref="AI209" si="1857">AI205+AI208</f>
        <v>2289</v>
      </c>
      <c r="AJ209" s="22">
        <f t="shared" ref="AJ209:AL209" si="1858">AJ205+AJ208</f>
        <v>-4082</v>
      </c>
      <c r="AK209" s="22">
        <f t="shared" si="1858"/>
        <v>1985.3509839724065</v>
      </c>
      <c r="AL209" s="22">
        <f t="shared" si="1858"/>
        <v>2208.6490160275935</v>
      </c>
      <c r="AM209" s="22">
        <f t="shared" ref="AM209" si="1859">AM205+AM208</f>
        <v>1837.858618710542</v>
      </c>
      <c r="AN209" s="22">
        <f t="shared" ref="AN209:CD209" si="1860">AN205+AN208</f>
        <v>3278.141381289458</v>
      </c>
      <c r="AO209" s="22">
        <f t="shared" si="1860"/>
        <v>2836.2168916313149</v>
      </c>
      <c r="AP209" s="22">
        <f t="shared" si="1860"/>
        <v>2829.7831083686851</v>
      </c>
      <c r="AQ209" s="22">
        <f t="shared" si="1860"/>
        <v>2952.6943689320378</v>
      </c>
      <c r="AR209" s="22">
        <f t="shared" si="1860"/>
        <v>3450.3056310679622</v>
      </c>
      <c r="AS209" s="22">
        <f t="shared" si="1860"/>
        <v>2946.9817118872725</v>
      </c>
      <c r="AT209" s="22">
        <f t="shared" si="1860"/>
        <v>635.01828811272753</v>
      </c>
      <c r="AU209" s="22">
        <f t="shared" si="1860"/>
        <v>2667.8705540228166</v>
      </c>
      <c r="AV209" s="22">
        <f t="shared" si="1860"/>
        <v>2818.1294459771834</v>
      </c>
      <c r="AW209" s="22">
        <f t="shared" si="1860"/>
        <v>3658.328173968659</v>
      </c>
      <c r="AX209" s="22">
        <f t="shared" si="1860"/>
        <v>2223.671826031341</v>
      </c>
      <c r="AY209" s="22">
        <f t="shared" si="1860"/>
        <v>3682.5856193353466</v>
      </c>
      <c r="AZ209" s="22">
        <f t="shared" si="1860"/>
        <v>2726.4143806646534</v>
      </c>
      <c r="BA209" s="22">
        <f t="shared" si="1860"/>
        <v>4165.076718659735</v>
      </c>
      <c r="BB209" s="22">
        <f t="shared" si="1860"/>
        <v>3900.923281340265</v>
      </c>
      <c r="BC209" s="22">
        <f t="shared" si="1860"/>
        <v>3962.3288551401838</v>
      </c>
      <c r="BD209" s="22">
        <f t="shared" si="1860"/>
        <v>3646.6711448598162</v>
      </c>
      <c r="BE209" s="22">
        <f t="shared" si="1860"/>
        <v>5460.5005977116143</v>
      </c>
      <c r="BF209" s="22">
        <f t="shared" si="1860"/>
        <v>447.49940228838568</v>
      </c>
      <c r="BG209" s="22">
        <f t="shared" si="1860"/>
        <v>3328.6414864790131</v>
      </c>
      <c r="BH209" s="22">
        <f t="shared" si="1860"/>
        <v>4263.3585135209869</v>
      </c>
      <c r="BI209" s="22">
        <f t="shared" si="1860"/>
        <v>3667.475035178808</v>
      </c>
      <c r="BJ209" s="22">
        <f t="shared" si="1860"/>
        <v>7839.524964821192</v>
      </c>
      <c r="BK209" s="22">
        <f t="shared" si="1860"/>
        <v>4317.5529504619481</v>
      </c>
      <c r="BL209" s="22">
        <f t="shared" si="1860"/>
        <v>3359.4470495380519</v>
      </c>
      <c r="BM209" s="22">
        <f t="shared" si="1860"/>
        <v>4909.1697821379676</v>
      </c>
      <c r="BN209" s="22">
        <f t="shared" si="1860"/>
        <v>6153.8302178620324</v>
      </c>
      <c r="BO209" s="22">
        <f t="shared" si="1860"/>
        <v>4721.5512528473773</v>
      </c>
      <c r="BP209" s="22">
        <f t="shared" si="1860"/>
        <v>6786.4487471526227</v>
      </c>
      <c r="BQ209" s="22">
        <f t="shared" si="1860"/>
        <v>5163.8980463980479</v>
      </c>
      <c r="BR209" s="22">
        <f t="shared" si="1860"/>
        <v>7545.1019536019521</v>
      </c>
      <c r="BS209" s="22">
        <f t="shared" si="1860"/>
        <v>5021.0481927710862</v>
      </c>
      <c r="BT209" s="22">
        <f t="shared" si="1860"/>
        <v>7612.9518072289138</v>
      </c>
      <c r="BU209" s="22">
        <f t="shared" si="1860"/>
        <v>5411.4516248902073</v>
      </c>
      <c r="BV209" s="22">
        <f t="shared" si="1860"/>
        <v>7225.5483751097927</v>
      </c>
      <c r="BW209" s="22">
        <f t="shared" si="1860"/>
        <v>5048.0897261122809</v>
      </c>
      <c r="BX209" s="22">
        <f t="shared" si="1860"/>
        <v>5869.9102738877191</v>
      </c>
      <c r="BY209" s="22">
        <f t="shared" si="1860"/>
        <v>6676.50714324812</v>
      </c>
      <c r="BZ209" s="22">
        <f t="shared" si="1860"/>
        <v>5759.49285675188</v>
      </c>
      <c r="CA209" s="22">
        <f t="shared" si="1860"/>
        <v>6834.7001949734185</v>
      </c>
      <c r="CB209" s="22">
        <f t="shared" si="1860"/>
        <v>4882.2998050265815</v>
      </c>
      <c r="CC209" s="22">
        <f t="shared" si="1860"/>
        <v>7393.1718213058339</v>
      </c>
      <c r="CD209" s="22">
        <f t="shared" si="1860"/>
        <v>5623.8281786941661</v>
      </c>
      <c r="CE209" s="22">
        <f t="shared" ref="CE209:CF209" si="1861">CE205+CE208</f>
        <v>6553.945811249112</v>
      </c>
      <c r="CF209" s="22">
        <f t="shared" si="1861"/>
        <v>10411.054188750888</v>
      </c>
      <c r="CG209" s="22">
        <f t="shared" ref="CG209:CH209" si="1862">CG205+CG208</f>
        <v>7474.2365197872568</v>
      </c>
      <c r="CH209" s="22">
        <f t="shared" si="1862"/>
        <v>18341.763480212743</v>
      </c>
      <c r="CI209" s="22">
        <f t="shared" ref="CI209:CJ209" si="1863">CI205+CI208</f>
        <v>7497.0345998778284</v>
      </c>
      <c r="CJ209" s="22">
        <f t="shared" si="1863"/>
        <v>4504.9654001221716</v>
      </c>
      <c r="CK209" s="22">
        <f t="shared" ref="CK209:DB209" si="1864">CK205+CK208</f>
        <v>7337.7522814115582</v>
      </c>
      <c r="CL209" s="22">
        <f t="shared" si="1864"/>
        <v>10336.247718588442</v>
      </c>
      <c r="CM209" s="21">
        <f t="shared" si="1864"/>
        <v>7061.7840225386863</v>
      </c>
      <c r="CN209" s="21">
        <f t="shared" si="1864"/>
        <v>9068.1247860822914</v>
      </c>
      <c r="CO209" s="21">
        <f t="shared" si="1864"/>
        <v>9379.4347872755025</v>
      </c>
      <c r="CP209" s="21">
        <f t="shared" si="1864"/>
        <v>9593.7139032967534</v>
      </c>
      <c r="CQ209" s="21">
        <f t="shared" si="1864"/>
        <v>9634.3524488913245</v>
      </c>
      <c r="CR209" s="21">
        <f t="shared" si="1864"/>
        <v>9933.5375498480316</v>
      </c>
      <c r="CS209" s="21">
        <f t="shared" si="1864"/>
        <v>9979.9494908752458</v>
      </c>
      <c r="CT209" s="21">
        <f t="shared" si="1864"/>
        <v>10181.191169408112</v>
      </c>
      <c r="CU209" s="21">
        <f t="shared" si="1864"/>
        <v>9716.5917763981433</v>
      </c>
      <c r="CV209" s="21">
        <f t="shared" si="1864"/>
        <v>9731.0081594765725</v>
      </c>
      <c r="CW209" s="21">
        <f t="shared" si="1864"/>
        <v>9675.211407433213</v>
      </c>
      <c r="CX209" s="21">
        <f t="shared" si="1864"/>
        <v>9596.9664649366787</v>
      </c>
      <c r="CY209" s="21">
        <f t="shared" si="1864"/>
        <v>10234.25415408701</v>
      </c>
      <c r="CZ209" s="21">
        <f t="shared" si="1864"/>
        <v>10415.601187539462</v>
      </c>
      <c r="DA209" s="21">
        <f t="shared" si="1864"/>
        <v>10642.699573826347</v>
      </c>
      <c r="DB209" s="21">
        <f t="shared" si="1864"/>
        <v>10949.788845739004</v>
      </c>
      <c r="DE209" s="126"/>
      <c r="DF209" s="22">
        <v>29676</v>
      </c>
      <c r="DG209" s="22">
        <v>8701.8692475342978</v>
      </c>
    </row>
    <row r="210" spans="1:111" s="23" customFormat="1" x14ac:dyDescent="0.2">
      <c r="AB210" s="24"/>
      <c r="AC210" s="24"/>
      <c r="AD210" s="24"/>
      <c r="AE210" s="24"/>
      <c r="CM210" s="24"/>
      <c r="CN210" s="24"/>
      <c r="CO210" s="24"/>
      <c r="CP210" s="24"/>
      <c r="CQ210" s="24"/>
      <c r="CR210" s="24"/>
      <c r="CS210" s="24"/>
      <c r="CT210" s="24"/>
      <c r="CU210" s="24"/>
      <c r="CV210" s="24"/>
      <c r="CW210" s="24"/>
      <c r="CX210" s="24"/>
      <c r="CY210" s="24"/>
      <c r="CZ210" s="24"/>
      <c r="DA210" s="24"/>
      <c r="DB210" s="24"/>
      <c r="DE210" s="123"/>
    </row>
    <row r="211" spans="1:111" s="22" customFormat="1" x14ac:dyDescent="0.2">
      <c r="A211" s="22" t="s">
        <v>92</v>
      </c>
      <c r="C211" s="22">
        <f t="shared" ref="C211:W211" si="1865">C212+C213</f>
        <v>-331.55128859999996</v>
      </c>
      <c r="D211" s="22">
        <f>D212+D213</f>
        <v>-226.5</v>
      </c>
      <c r="E211" s="22">
        <f t="shared" si="1865"/>
        <v>-471.79000000000025</v>
      </c>
      <c r="F211" s="22">
        <f t="shared" si="1865"/>
        <v>-829.0999999999998</v>
      </c>
      <c r="G211" s="22">
        <f t="shared" si="1865"/>
        <v>-1089</v>
      </c>
      <c r="H211" s="22">
        <f t="shared" si="1865"/>
        <v>-2057</v>
      </c>
      <c r="I211" s="22">
        <f t="shared" si="1865"/>
        <v>-1604</v>
      </c>
      <c r="J211" s="22">
        <f t="shared" si="1865"/>
        <v>-1338</v>
      </c>
      <c r="K211" s="22">
        <f t="shared" si="1865"/>
        <v>-910</v>
      </c>
      <c r="L211" s="22">
        <f t="shared" si="1865"/>
        <v>-998</v>
      </c>
      <c r="M211" s="22">
        <f t="shared" si="1865"/>
        <v>-1574</v>
      </c>
      <c r="N211" s="22">
        <f t="shared" si="1865"/>
        <v>-3606</v>
      </c>
      <c r="O211" s="22">
        <f t="shared" si="1865"/>
        <v>-3307</v>
      </c>
      <c r="P211" s="22">
        <f t="shared" si="1865"/>
        <v>-3891</v>
      </c>
      <c r="Q211" s="22">
        <f t="shared" si="1865"/>
        <v>-4102</v>
      </c>
      <c r="R211" s="22">
        <f t="shared" si="1865"/>
        <v>-7537</v>
      </c>
      <c r="S211" s="22">
        <f t="shared" si="1865"/>
        <v>198</v>
      </c>
      <c r="T211" s="22">
        <f t="shared" si="1865"/>
        <v>-3807</v>
      </c>
      <c r="U211" s="22">
        <f t="shared" si="1865"/>
        <v>-10041</v>
      </c>
      <c r="V211" s="22">
        <f t="shared" si="1865"/>
        <v>-12677</v>
      </c>
      <c r="W211" s="22">
        <f t="shared" si="1865"/>
        <v>-5053</v>
      </c>
      <c r="X211" s="22">
        <f t="shared" ref="X211:Y211" si="1866">X212+X213</f>
        <v>-6440</v>
      </c>
      <c r="Y211" s="22">
        <f t="shared" si="1866"/>
        <v>-2219</v>
      </c>
      <c r="Z211" s="22">
        <f t="shared" ref="Z211:AA211" si="1867">Z212+Z213</f>
        <v>-8023</v>
      </c>
      <c r="AA211" s="22">
        <f t="shared" ref="AA211" si="1868">AA212+AA213</f>
        <v>-5294</v>
      </c>
      <c r="AB211" s="21">
        <f t="shared" ref="AB211:AD211" si="1869">AB212+AB213</f>
        <v>-1823</v>
      </c>
      <c r="AC211" s="21">
        <f t="shared" si="1869"/>
        <v>-8000</v>
      </c>
      <c r="AD211" s="21">
        <f t="shared" si="1869"/>
        <v>0</v>
      </c>
      <c r="AE211" s="21">
        <f t="shared" ref="AE211" si="1870">AE212+AE213</f>
        <v>0</v>
      </c>
      <c r="AI211" s="22">
        <f t="shared" ref="AI211" si="1871">AI212+AI213</f>
        <v>0</v>
      </c>
      <c r="AJ211" s="22">
        <f t="shared" ref="AJ211:AL211" si="1872">AJ212+AJ213</f>
        <v>-7060</v>
      </c>
      <c r="AK211" s="22">
        <f t="shared" si="1872"/>
        <v>0</v>
      </c>
      <c r="AL211" s="22">
        <f t="shared" si="1872"/>
        <v>-2146</v>
      </c>
      <c r="AM211" s="22">
        <f t="shared" ref="AM211" si="1873">AM212+AM213</f>
        <v>0</v>
      </c>
      <c r="AN211" s="22">
        <f t="shared" ref="AN211:CD211" si="1874">AN212+AN213</f>
        <v>-1427</v>
      </c>
      <c r="AO211" s="22">
        <f t="shared" si="1874"/>
        <v>0</v>
      </c>
      <c r="AP211" s="22">
        <f t="shared" si="1874"/>
        <v>-1005</v>
      </c>
      <c r="AQ211" s="22">
        <f t="shared" si="1874"/>
        <v>0</v>
      </c>
      <c r="AR211" s="22">
        <f t="shared" si="1874"/>
        <v>-173</v>
      </c>
      <c r="AS211" s="22">
        <f t="shared" si="1874"/>
        <v>0</v>
      </c>
      <c r="AT211" s="22">
        <f t="shared" si="1874"/>
        <v>-2481</v>
      </c>
      <c r="AU211" s="22">
        <f t="shared" si="1874"/>
        <v>-313</v>
      </c>
      <c r="AV211" s="22">
        <f t="shared" si="1874"/>
        <v>-2042</v>
      </c>
      <c r="AW211" s="22">
        <f t="shared" si="1874"/>
        <v>-369</v>
      </c>
      <c r="AX211" s="22">
        <f t="shared" si="1874"/>
        <v>-606</v>
      </c>
      <c r="AY211" s="22">
        <f t="shared" si="1874"/>
        <v>-400</v>
      </c>
      <c r="AZ211" s="22">
        <f t="shared" si="1874"/>
        <v>-934</v>
      </c>
      <c r="BA211" s="22">
        <f t="shared" si="1874"/>
        <v>-433</v>
      </c>
      <c r="BB211" s="22">
        <f t="shared" si="1874"/>
        <v>-5770</v>
      </c>
      <c r="BC211" s="22">
        <f t="shared" si="1874"/>
        <v>-450</v>
      </c>
      <c r="BD211" s="22">
        <f t="shared" si="1874"/>
        <v>-472</v>
      </c>
      <c r="BE211" s="22">
        <f t="shared" si="1874"/>
        <v>-498</v>
      </c>
      <c r="BF211" s="22">
        <f t="shared" si="1874"/>
        <v>1619</v>
      </c>
      <c r="BG211" s="22">
        <f t="shared" si="1874"/>
        <v>-436</v>
      </c>
      <c r="BH211" s="22">
        <f t="shared" si="1874"/>
        <v>-453</v>
      </c>
      <c r="BI211" s="22">
        <f t="shared" si="1874"/>
        <v>-580</v>
      </c>
      <c r="BJ211" s="22">
        <f t="shared" si="1874"/>
        <v>-2337</v>
      </c>
      <c r="BK211" s="22">
        <f t="shared" si="1874"/>
        <v>-681</v>
      </c>
      <c r="BL211" s="22">
        <f t="shared" si="1874"/>
        <v>-1258</v>
      </c>
      <c r="BM211" s="22">
        <f t="shared" si="1874"/>
        <v>-737</v>
      </c>
      <c r="BN211" s="22">
        <f t="shared" si="1874"/>
        <v>-3198</v>
      </c>
      <c r="BO211" s="22">
        <f t="shared" si="1874"/>
        <v>-756</v>
      </c>
      <c r="BP211" s="22">
        <f t="shared" si="1874"/>
        <v>-4557</v>
      </c>
      <c r="BQ211" s="22">
        <f t="shared" si="1874"/>
        <v>-826</v>
      </c>
      <c r="BR211" s="22">
        <f t="shared" si="1874"/>
        <v>-5913</v>
      </c>
      <c r="BS211" s="22">
        <f t="shared" si="1874"/>
        <v>-829</v>
      </c>
      <c r="BT211" s="22">
        <f t="shared" si="1874"/>
        <v>1228</v>
      </c>
      <c r="BU211" s="22">
        <f t="shared" si="1874"/>
        <v>-899</v>
      </c>
      <c r="BV211" s="22">
        <f t="shared" si="1874"/>
        <v>-4525</v>
      </c>
      <c r="BW211" s="22">
        <f t="shared" si="1874"/>
        <v>-950</v>
      </c>
      <c r="BX211" s="22">
        <f t="shared" si="1874"/>
        <v>-696</v>
      </c>
      <c r="BY211" s="22">
        <f t="shared" si="1874"/>
        <v>-1125</v>
      </c>
      <c r="BZ211" s="22">
        <f t="shared" si="1874"/>
        <v>-1610</v>
      </c>
      <c r="CA211" s="22">
        <f t="shared" si="1874"/>
        <v>-1173</v>
      </c>
      <c r="CB211" s="22">
        <f t="shared" si="1874"/>
        <v>464</v>
      </c>
      <c r="CC211" s="22">
        <f t="shared" si="1874"/>
        <v>-1176</v>
      </c>
      <c r="CD211" s="22">
        <f t="shared" si="1874"/>
        <v>-664</v>
      </c>
      <c r="CE211" s="22">
        <f t="shared" ref="CE211:CF211" si="1875">CE212+CE213</f>
        <v>-1149</v>
      </c>
      <c r="CF211" s="22">
        <f t="shared" si="1875"/>
        <v>-3781</v>
      </c>
      <c r="CG211" s="22">
        <f t="shared" ref="CG211:CH211" si="1876">CG212+CG213</f>
        <v>-1203</v>
      </c>
      <c r="CH211" s="22">
        <f t="shared" si="1876"/>
        <v>-8441</v>
      </c>
      <c r="CI211" s="22">
        <f t="shared" ref="CI211:CJ211" si="1877">CI212+CI213</f>
        <v>0</v>
      </c>
      <c r="CJ211" s="22">
        <f t="shared" si="1877"/>
        <v>2243</v>
      </c>
      <c r="CK211" s="22">
        <f t="shared" ref="CK211:DB211" si="1878">CK212+CK213</f>
        <v>-2000</v>
      </c>
      <c r="CL211" s="22">
        <f t="shared" si="1878"/>
        <v>641</v>
      </c>
      <c r="CM211" s="21">
        <f t="shared" si="1878"/>
        <v>-2000</v>
      </c>
      <c r="CN211" s="21">
        <f t="shared" si="1878"/>
        <v>-2000.0000000000036</v>
      </c>
      <c r="CO211" s="21">
        <f t="shared" si="1878"/>
        <v>-2000</v>
      </c>
      <c r="CP211" s="21">
        <f t="shared" si="1878"/>
        <v>-2000</v>
      </c>
      <c r="CQ211" s="21">
        <f t="shared" si="1878"/>
        <v>-2000</v>
      </c>
      <c r="CR211" s="21">
        <f t="shared" si="1878"/>
        <v>-2000</v>
      </c>
      <c r="CS211" s="21">
        <f t="shared" si="1878"/>
        <v>-2000</v>
      </c>
      <c r="CT211" s="21">
        <f t="shared" si="1878"/>
        <v>-2000</v>
      </c>
      <c r="CU211" s="21">
        <f t="shared" si="1878"/>
        <v>0</v>
      </c>
      <c r="CV211" s="21">
        <f t="shared" si="1878"/>
        <v>0</v>
      </c>
      <c r="CW211" s="21">
        <f t="shared" si="1878"/>
        <v>0</v>
      </c>
      <c r="CX211" s="21">
        <f t="shared" si="1878"/>
        <v>0</v>
      </c>
      <c r="CY211" s="21">
        <f t="shared" si="1878"/>
        <v>0</v>
      </c>
      <c r="CZ211" s="21">
        <f t="shared" si="1878"/>
        <v>0</v>
      </c>
      <c r="DA211" s="21">
        <f t="shared" si="1878"/>
        <v>0</v>
      </c>
      <c r="DB211" s="21">
        <f t="shared" si="1878"/>
        <v>0</v>
      </c>
      <c r="DE211" s="126"/>
      <c r="DF211" s="22">
        <v>884</v>
      </c>
      <c r="DG211" s="22">
        <v>-2000</v>
      </c>
    </row>
    <row r="212" spans="1:111" s="23" customFormat="1" x14ac:dyDescent="0.2">
      <c r="A212" s="23" t="s">
        <v>93</v>
      </c>
      <c r="C212" s="23">
        <f t="shared" ref="C212:AA212" si="1879">B150-C150</f>
        <v>-10.324517899999996</v>
      </c>
      <c r="D212" s="23">
        <f t="shared" si="1879"/>
        <v>23.49</v>
      </c>
      <c r="E212" s="23">
        <f>D150-E150</f>
        <v>18.909999999999918</v>
      </c>
      <c r="F212" s="23">
        <f t="shared" si="1879"/>
        <v>4.0000000000079972E-2</v>
      </c>
      <c r="G212" s="23">
        <f t="shared" si="1879"/>
        <v>0</v>
      </c>
      <c r="H212" s="23">
        <f t="shared" si="1879"/>
        <v>2</v>
      </c>
      <c r="I212" s="23">
        <f t="shared" si="1879"/>
        <v>0</v>
      </c>
      <c r="J212" s="23">
        <f>I150-J150</f>
        <v>0</v>
      </c>
      <c r="K212" s="23">
        <f>J150-K150</f>
        <v>-4</v>
      </c>
      <c r="L212" s="23">
        <f t="shared" si="1879"/>
        <v>0</v>
      </c>
      <c r="M212" s="23">
        <f t="shared" si="1879"/>
        <v>0</v>
      </c>
      <c r="N212" s="23">
        <f t="shared" si="1879"/>
        <v>-373</v>
      </c>
      <c r="O212" s="23">
        <f t="shared" si="1879"/>
        <v>-930</v>
      </c>
      <c r="P212" s="23">
        <f t="shared" si="1879"/>
        <v>-91</v>
      </c>
      <c r="Q212" s="23">
        <f t="shared" si="1879"/>
        <v>-419</v>
      </c>
      <c r="R212" s="23">
        <f t="shared" si="1879"/>
        <v>-4636</v>
      </c>
      <c r="S212" s="23">
        <f t="shared" si="1879"/>
        <v>697</v>
      </c>
      <c r="T212" s="23">
        <f t="shared" si="1879"/>
        <v>1122</v>
      </c>
      <c r="U212" s="23">
        <f t="shared" si="1879"/>
        <v>497</v>
      </c>
      <c r="V212" s="23">
        <f t="shared" si="1879"/>
        <v>-7726</v>
      </c>
      <c r="W212" s="23">
        <f t="shared" si="1879"/>
        <v>-1788</v>
      </c>
      <c r="X212" s="23">
        <f t="shared" si="1879"/>
        <v>1082</v>
      </c>
      <c r="Y212" s="23">
        <f t="shared" si="1879"/>
        <v>861</v>
      </c>
      <c r="Z212" s="23">
        <f t="shared" si="1879"/>
        <v>649</v>
      </c>
      <c r="AA212" s="23">
        <f t="shared" si="1879"/>
        <v>2129</v>
      </c>
      <c r="AB212" s="24">
        <f t="shared" ref="AB212" si="1880">AA150-AB150</f>
        <v>0</v>
      </c>
      <c r="AC212" s="24">
        <f t="shared" ref="AC212" si="1881">AB150-AC150</f>
        <v>0</v>
      </c>
      <c r="AD212" s="24">
        <f t="shared" ref="AD212" si="1882">AC150-AD150</f>
        <v>0</v>
      </c>
      <c r="AE212" s="24">
        <f t="shared" ref="AE212" si="1883">AD150-AE150</f>
        <v>0</v>
      </c>
      <c r="AI212" s="23">
        <f t="shared" ref="AI212" si="1884">AH150-AI150</f>
        <v>0</v>
      </c>
      <c r="AJ212" s="23">
        <f t="shared" ref="AJ212" si="1885">AI150-AJ150</f>
        <v>-74</v>
      </c>
      <c r="AK212" s="23">
        <f t="shared" ref="AK212" si="1886">AJ150-AK150</f>
        <v>0</v>
      </c>
      <c r="AL212" s="23">
        <f t="shared" ref="AL212" si="1887">AK150-AL150</f>
        <v>-320</v>
      </c>
      <c r="AM212" s="23">
        <f t="shared" ref="AM212" si="1888">AL150-AM150</f>
        <v>0</v>
      </c>
      <c r="AN212" s="23">
        <f t="shared" ref="AN212" si="1889">AM150-AN150</f>
        <v>-637</v>
      </c>
      <c r="AO212" s="23">
        <f t="shared" ref="AO212" si="1890">AN150-AO150</f>
        <v>0</v>
      </c>
      <c r="AP212" s="23">
        <f t="shared" ref="AP212" si="1891">AO150-AP150</f>
        <v>-221</v>
      </c>
      <c r="AQ212" s="23">
        <f t="shared" ref="AQ212" si="1892">AP150-AQ150</f>
        <v>0</v>
      </c>
      <c r="AR212" s="23">
        <f t="shared" ref="AR212" si="1893">AQ150-AR150</f>
        <v>-64</v>
      </c>
      <c r="AS212" s="23">
        <f t="shared" ref="AS212" si="1894">AR150-AS150</f>
        <v>0</v>
      </c>
      <c r="AT212" s="23">
        <f t="shared" ref="AT212" si="1895">AS150-AT150</f>
        <v>-122</v>
      </c>
      <c r="AU212" s="23">
        <f t="shared" ref="AU212" si="1896">AT150-AU150</f>
        <v>0</v>
      </c>
      <c r="AV212" s="23">
        <f t="shared" ref="AV212" si="1897">AU150-AV150</f>
        <v>-267</v>
      </c>
      <c r="AW212" s="23">
        <f t="shared" ref="AW212" si="1898">AV150-AW150</f>
        <v>0</v>
      </c>
      <c r="AX212" s="23">
        <f t="shared" ref="AX212" si="1899">AW150-AX150</f>
        <v>-112</v>
      </c>
      <c r="AY212" s="23">
        <f t="shared" ref="AY212" si="1900">AX150-AY150</f>
        <v>0</v>
      </c>
      <c r="AZ212" s="23">
        <f t="shared" ref="AZ212" si="1901">AY150-AZ150</f>
        <v>-213</v>
      </c>
      <c r="BA212" s="23">
        <f t="shared" ref="BA212" si="1902">AZ150-BA150</f>
        <v>0</v>
      </c>
      <c r="BB212" s="23">
        <f t="shared" ref="BB212" si="1903">BA150-BB150</f>
        <v>-4423</v>
      </c>
      <c r="BC212" s="23">
        <f t="shared" ref="BC212" si="1904">BB150-BC150</f>
        <v>0</v>
      </c>
      <c r="BD212" s="23">
        <f t="shared" ref="BD212" si="1905">BC150-BD150</f>
        <v>284</v>
      </c>
      <c r="BE212" s="23">
        <f t="shared" ref="BE212" si="1906">BD150-BE150</f>
        <v>0</v>
      </c>
      <c r="BF212" s="23">
        <f t="shared" ref="BF212" si="1907">BE150-BF150</f>
        <v>413</v>
      </c>
      <c r="BG212" s="23">
        <f t="shared" ref="BG212" si="1908">BF150-BG150</f>
        <v>0</v>
      </c>
      <c r="BH212" s="23">
        <f t="shared" ref="BH212" si="1909">BG150-BH150</f>
        <v>591</v>
      </c>
      <c r="BI212" s="23">
        <f t="shared" ref="BI212" si="1910">BH150-BI150</f>
        <v>0</v>
      </c>
      <c r="BJ212" s="23">
        <f t="shared" ref="BJ212" si="1911">BI150-BJ150</f>
        <v>531</v>
      </c>
      <c r="BK212" s="23">
        <f t="shared" ref="BK212" si="1912">BJ150-BK150</f>
        <v>0</v>
      </c>
      <c r="BL212" s="23">
        <f t="shared" ref="BL212" si="1913">BK150-BL150</f>
        <v>691</v>
      </c>
      <c r="BM212" s="23">
        <f t="shared" ref="BM212" si="1914">BL150-BM150</f>
        <v>0</v>
      </c>
      <c r="BN212" s="23">
        <f t="shared" ref="BN212" si="1915">BM150-BN150</f>
        <v>-194</v>
      </c>
      <c r="BO212" s="23">
        <f t="shared" ref="BO212" si="1916">BN150-BO150</f>
        <v>0</v>
      </c>
      <c r="BP212" s="23">
        <f t="shared" ref="BP212" si="1917">BO150-BP150</f>
        <v>-3617</v>
      </c>
      <c r="BQ212" s="23">
        <f t="shared" ref="BQ212" si="1918">BP150-BQ150</f>
        <v>0</v>
      </c>
      <c r="BR212" s="23">
        <f t="shared" ref="BR212" si="1919">BQ150-BR150</f>
        <v>-4109</v>
      </c>
      <c r="BS212" s="23">
        <f t="shared" ref="BS212" si="1920">BR150-BS150</f>
        <v>0</v>
      </c>
      <c r="BT212" s="23">
        <f t="shared" ref="BT212" si="1921">BS150-BT150</f>
        <v>1767</v>
      </c>
      <c r="BU212" s="23">
        <f t="shared" ref="BU212" si="1922">BT150-BU150</f>
        <v>0</v>
      </c>
      <c r="BV212" s="23">
        <f t="shared" ref="BV212" si="1923">BU150-BV150</f>
        <v>-3555</v>
      </c>
      <c r="BW212" s="23">
        <f t="shared" ref="BW212" si="1924">BV150-BW150</f>
        <v>0</v>
      </c>
      <c r="BX212" s="23">
        <f t="shared" ref="BX212" si="1925">BW150-BX150</f>
        <v>981</v>
      </c>
      <c r="BY212" s="23">
        <f t="shared" ref="BY212" si="1926">BX150-BY150</f>
        <v>0</v>
      </c>
      <c r="BZ212" s="23">
        <f t="shared" ref="BZ212" si="1927">BY150-BZ150</f>
        <v>101</v>
      </c>
      <c r="CA212" s="23">
        <f t="shared" ref="CA212" si="1928">BZ150-CA150</f>
        <v>0</v>
      </c>
      <c r="CB212" s="23">
        <f t="shared" ref="CB212" si="1929">CA150-CB150</f>
        <v>825</v>
      </c>
      <c r="CC212" s="23">
        <f t="shared" ref="CC212" si="1930">CB150-CC150</f>
        <v>0</v>
      </c>
      <c r="CD212" s="23">
        <f t="shared" ref="CD212" si="1931">CC150-CD150</f>
        <v>36</v>
      </c>
      <c r="CE212" s="23">
        <f t="shared" ref="CE212" si="1932">CD150-CE150</f>
        <v>0</v>
      </c>
      <c r="CF212" s="23">
        <f t="shared" ref="CF212" si="1933">CE150-CF150</f>
        <v>1746</v>
      </c>
      <c r="CG212" s="23">
        <f t="shared" ref="CG212" si="1934">CF150-CG150</f>
        <v>0</v>
      </c>
      <c r="CH212" s="23">
        <f t="shared" ref="CH212:CJ212" si="1935">CG150-CH150</f>
        <v>-1097</v>
      </c>
      <c r="CI212" s="23">
        <f t="shared" si="1935"/>
        <v>0</v>
      </c>
      <c r="CJ212" s="23">
        <f t="shared" si="1935"/>
        <v>180</v>
      </c>
      <c r="CK212" s="23">
        <f t="shared" ref="CK212" si="1936">CJ150-CK150</f>
        <v>0</v>
      </c>
      <c r="CL212" s="23">
        <f t="shared" ref="CL212" si="1937">CK150-CL150</f>
        <v>1949</v>
      </c>
      <c r="CM212" s="24">
        <f t="shared" ref="CM212" si="1938">CL150-CM150</f>
        <v>0</v>
      </c>
      <c r="CN212" s="24">
        <f t="shared" ref="CN212" si="1939">CM150-CN150</f>
        <v>0</v>
      </c>
      <c r="CO212" s="24">
        <f t="shared" ref="CO212" si="1940">CN150-CO150</f>
        <v>0</v>
      </c>
      <c r="CP212" s="24">
        <f t="shared" ref="CP212" si="1941">CO150-CP150</f>
        <v>0</v>
      </c>
      <c r="CQ212" s="24">
        <f t="shared" ref="CQ212" si="1942">CP150-CQ150</f>
        <v>0</v>
      </c>
      <c r="CR212" s="24">
        <f t="shared" ref="CR212" si="1943">CQ150-CR150</f>
        <v>0</v>
      </c>
      <c r="CS212" s="24">
        <f t="shared" ref="CS212" si="1944">CR150-CS150</f>
        <v>0</v>
      </c>
      <c r="CT212" s="24">
        <f t="shared" ref="CT212" si="1945">CS150-CT150</f>
        <v>0</v>
      </c>
      <c r="CU212" s="24">
        <f t="shared" ref="CU212" si="1946">CT150-CU150</f>
        <v>0</v>
      </c>
      <c r="CV212" s="24">
        <f t="shared" ref="CV212" si="1947">CU150-CV150</f>
        <v>0</v>
      </c>
      <c r="CW212" s="24">
        <f t="shared" ref="CW212" si="1948">CV150-CW150</f>
        <v>0</v>
      </c>
      <c r="CX212" s="24">
        <f t="shared" ref="CX212" si="1949">CW150-CX150</f>
        <v>0</v>
      </c>
      <c r="CY212" s="24">
        <f t="shared" ref="CY212" si="1950">CX150-CY150</f>
        <v>0</v>
      </c>
      <c r="CZ212" s="24">
        <f t="shared" ref="CZ212" si="1951">CY150-CZ150</f>
        <v>0</v>
      </c>
      <c r="DA212" s="24">
        <f t="shared" ref="DA212" si="1952">CZ150-DA150</f>
        <v>0</v>
      </c>
      <c r="DB212" s="24">
        <f t="shared" ref="DB212" si="1953">DA150-DB150</f>
        <v>0</v>
      </c>
      <c r="DE212" s="123"/>
      <c r="DF212" s="23">
        <v>2129</v>
      </c>
      <c r="DG212" s="23">
        <v>0</v>
      </c>
    </row>
    <row r="213" spans="1:111" s="23" customFormat="1" x14ac:dyDescent="0.2">
      <c r="A213" s="23" t="s">
        <v>94</v>
      </c>
      <c r="C213" s="23">
        <f t="shared" ref="C213:AE213" si="1954">B148-C42-C148</f>
        <v>-321.22677069999997</v>
      </c>
      <c r="D213" s="23">
        <f t="shared" si="1954"/>
        <v>-249.99</v>
      </c>
      <c r="E213" s="23">
        <f t="shared" si="1954"/>
        <v>-490.70000000000016</v>
      </c>
      <c r="F213" s="23">
        <f t="shared" si="1954"/>
        <v>-829.13999999999987</v>
      </c>
      <c r="G213" s="23">
        <f t="shared" si="1954"/>
        <v>-1089</v>
      </c>
      <c r="H213" s="23">
        <f t="shared" si="1954"/>
        <v>-2059</v>
      </c>
      <c r="I213" s="23">
        <f t="shared" si="1954"/>
        <v>-1604</v>
      </c>
      <c r="J213" s="23">
        <f t="shared" si="1954"/>
        <v>-1338</v>
      </c>
      <c r="K213" s="23">
        <f t="shared" si="1954"/>
        <v>-906</v>
      </c>
      <c r="L213" s="23">
        <f t="shared" si="1954"/>
        <v>-998</v>
      </c>
      <c r="M213" s="23">
        <f t="shared" si="1954"/>
        <v>-1574</v>
      </c>
      <c r="N213" s="23">
        <f t="shared" si="1954"/>
        <v>-3233</v>
      </c>
      <c r="O213" s="23">
        <f t="shared" si="1954"/>
        <v>-2377</v>
      </c>
      <c r="P213" s="23">
        <f t="shared" si="1954"/>
        <v>-3800</v>
      </c>
      <c r="Q213" s="23">
        <f t="shared" si="1954"/>
        <v>-3683</v>
      </c>
      <c r="R213" s="23">
        <f t="shared" si="1954"/>
        <v>-2901</v>
      </c>
      <c r="S213" s="23">
        <f t="shared" si="1954"/>
        <v>-499</v>
      </c>
      <c r="T213" s="23">
        <f t="shared" si="1954"/>
        <v>-4929</v>
      </c>
      <c r="U213" s="23">
        <f t="shared" si="1954"/>
        <v>-10538</v>
      </c>
      <c r="V213" s="23">
        <f t="shared" si="1954"/>
        <v>-4951</v>
      </c>
      <c r="W213" s="23">
        <f t="shared" si="1954"/>
        <v>-3265</v>
      </c>
      <c r="X213" s="23">
        <f t="shared" si="1954"/>
        <v>-7522</v>
      </c>
      <c r="Y213" s="23">
        <f t="shared" si="1954"/>
        <v>-3080</v>
      </c>
      <c r="Z213" s="23">
        <f t="shared" si="1954"/>
        <v>-8672</v>
      </c>
      <c r="AA213" s="23">
        <f t="shared" si="1954"/>
        <v>-7423</v>
      </c>
      <c r="AB213" s="24">
        <f t="shared" si="1954"/>
        <v>-1823</v>
      </c>
      <c r="AC213" s="24">
        <f t="shared" si="1954"/>
        <v>-8000</v>
      </c>
      <c r="AD213" s="24">
        <f t="shared" si="1954"/>
        <v>0</v>
      </c>
      <c r="AE213" s="24">
        <f t="shared" si="1954"/>
        <v>0</v>
      </c>
      <c r="AI213" s="23">
        <f t="shared" ref="AI213:BN213" si="1955">AH148-AI42-AI148</f>
        <v>0</v>
      </c>
      <c r="AJ213" s="23">
        <f t="shared" si="1955"/>
        <v>-6986</v>
      </c>
      <c r="AK213" s="23">
        <f t="shared" si="1955"/>
        <v>0</v>
      </c>
      <c r="AL213" s="23">
        <f t="shared" si="1955"/>
        <v>-1826</v>
      </c>
      <c r="AM213" s="23">
        <f t="shared" si="1955"/>
        <v>0</v>
      </c>
      <c r="AN213" s="23">
        <f t="shared" si="1955"/>
        <v>-790</v>
      </c>
      <c r="AO213" s="23">
        <f t="shared" si="1955"/>
        <v>0</v>
      </c>
      <c r="AP213" s="23">
        <f t="shared" si="1955"/>
        <v>-784</v>
      </c>
      <c r="AQ213" s="23">
        <f t="shared" si="1955"/>
        <v>0</v>
      </c>
      <c r="AR213" s="23">
        <f t="shared" si="1955"/>
        <v>-109</v>
      </c>
      <c r="AS213" s="23">
        <f t="shared" si="1955"/>
        <v>0</v>
      </c>
      <c r="AT213" s="23">
        <f t="shared" si="1955"/>
        <v>-2359</v>
      </c>
      <c r="AU213" s="23">
        <f t="shared" si="1955"/>
        <v>-313</v>
      </c>
      <c r="AV213" s="23">
        <f t="shared" si="1955"/>
        <v>-1775</v>
      </c>
      <c r="AW213" s="23">
        <f t="shared" si="1955"/>
        <v>-369</v>
      </c>
      <c r="AX213" s="23">
        <f t="shared" si="1955"/>
        <v>-494</v>
      </c>
      <c r="AY213" s="23">
        <f t="shared" si="1955"/>
        <v>-400</v>
      </c>
      <c r="AZ213" s="23">
        <f t="shared" si="1955"/>
        <v>-721</v>
      </c>
      <c r="BA213" s="23">
        <f t="shared" si="1955"/>
        <v>-433</v>
      </c>
      <c r="BB213" s="23">
        <f t="shared" si="1955"/>
        <v>-1347</v>
      </c>
      <c r="BC213" s="23">
        <f t="shared" si="1955"/>
        <v>-450</v>
      </c>
      <c r="BD213" s="23">
        <f t="shared" si="1955"/>
        <v>-756</v>
      </c>
      <c r="BE213" s="23">
        <f t="shared" si="1955"/>
        <v>-498</v>
      </c>
      <c r="BF213" s="23">
        <f t="shared" si="1955"/>
        <v>1206</v>
      </c>
      <c r="BG213" s="23">
        <f t="shared" si="1955"/>
        <v>-436</v>
      </c>
      <c r="BH213" s="23">
        <f t="shared" si="1955"/>
        <v>-1044</v>
      </c>
      <c r="BI213" s="23">
        <f t="shared" si="1955"/>
        <v>-580</v>
      </c>
      <c r="BJ213" s="23">
        <f t="shared" si="1955"/>
        <v>-2868</v>
      </c>
      <c r="BK213" s="23">
        <f t="shared" si="1955"/>
        <v>-681</v>
      </c>
      <c r="BL213" s="23">
        <f t="shared" si="1955"/>
        <v>-1949</v>
      </c>
      <c r="BM213" s="23">
        <f t="shared" si="1955"/>
        <v>-737</v>
      </c>
      <c r="BN213" s="23">
        <f t="shared" si="1955"/>
        <v>-3004</v>
      </c>
      <c r="BO213" s="23">
        <f t="shared" ref="BO213:CT213" si="1956">BN148-BO42-BO148</f>
        <v>-756</v>
      </c>
      <c r="BP213" s="23">
        <f t="shared" si="1956"/>
        <v>-940</v>
      </c>
      <c r="BQ213" s="23">
        <f t="shared" si="1956"/>
        <v>-826</v>
      </c>
      <c r="BR213" s="23">
        <f t="shared" si="1956"/>
        <v>-1804</v>
      </c>
      <c r="BS213" s="23">
        <f t="shared" si="1956"/>
        <v>-829</v>
      </c>
      <c r="BT213" s="23">
        <f t="shared" si="1956"/>
        <v>-539</v>
      </c>
      <c r="BU213" s="23">
        <f t="shared" si="1956"/>
        <v>-899</v>
      </c>
      <c r="BV213" s="23">
        <f t="shared" si="1956"/>
        <v>-970</v>
      </c>
      <c r="BW213" s="23">
        <f t="shared" si="1956"/>
        <v>-950</v>
      </c>
      <c r="BX213" s="23">
        <f t="shared" si="1956"/>
        <v>-1677</v>
      </c>
      <c r="BY213" s="23">
        <f t="shared" si="1956"/>
        <v>-1125</v>
      </c>
      <c r="BZ213" s="23">
        <f t="shared" si="1956"/>
        <v>-1711</v>
      </c>
      <c r="CA213" s="23">
        <f t="shared" si="1956"/>
        <v>-1173</v>
      </c>
      <c r="CB213" s="23">
        <f t="shared" si="1956"/>
        <v>-361</v>
      </c>
      <c r="CC213" s="23">
        <f t="shared" si="1956"/>
        <v>-1176</v>
      </c>
      <c r="CD213" s="23">
        <f t="shared" si="1956"/>
        <v>-700</v>
      </c>
      <c r="CE213" s="23">
        <f t="shared" si="1956"/>
        <v>-1149</v>
      </c>
      <c r="CF213" s="23">
        <f t="shared" si="1956"/>
        <v>-5527</v>
      </c>
      <c r="CG213" s="23">
        <f t="shared" si="1956"/>
        <v>-1203</v>
      </c>
      <c r="CH213" s="23">
        <f t="shared" si="1956"/>
        <v>-7344</v>
      </c>
      <c r="CI213" s="23">
        <f t="shared" si="1956"/>
        <v>0</v>
      </c>
      <c r="CJ213" s="23">
        <f t="shared" si="1956"/>
        <v>2063</v>
      </c>
      <c r="CK213" s="23">
        <f t="shared" si="1956"/>
        <v>-2000</v>
      </c>
      <c r="CL213" s="23">
        <f t="shared" si="1956"/>
        <v>-1308</v>
      </c>
      <c r="CM213" s="24">
        <f t="shared" si="1956"/>
        <v>-2000</v>
      </c>
      <c r="CN213" s="24">
        <f t="shared" si="1956"/>
        <v>-2000.0000000000036</v>
      </c>
      <c r="CO213" s="24">
        <f t="shared" si="1956"/>
        <v>-2000</v>
      </c>
      <c r="CP213" s="24">
        <f t="shared" si="1956"/>
        <v>-2000</v>
      </c>
      <c r="CQ213" s="24">
        <f t="shared" si="1956"/>
        <v>-2000</v>
      </c>
      <c r="CR213" s="24">
        <f t="shared" si="1956"/>
        <v>-2000</v>
      </c>
      <c r="CS213" s="24">
        <f t="shared" si="1956"/>
        <v>-2000</v>
      </c>
      <c r="CT213" s="24">
        <f t="shared" si="1956"/>
        <v>-2000</v>
      </c>
      <c r="CU213" s="24">
        <f t="shared" ref="CU213:DB213" si="1957">CT148-CU42-CU148</f>
        <v>0</v>
      </c>
      <c r="CV213" s="24">
        <f t="shared" si="1957"/>
        <v>0</v>
      </c>
      <c r="CW213" s="24">
        <f t="shared" si="1957"/>
        <v>0</v>
      </c>
      <c r="CX213" s="24">
        <f t="shared" si="1957"/>
        <v>0</v>
      </c>
      <c r="CY213" s="24">
        <f t="shared" si="1957"/>
        <v>0</v>
      </c>
      <c r="CZ213" s="24">
        <f t="shared" si="1957"/>
        <v>0</v>
      </c>
      <c r="DA213" s="24">
        <f t="shared" si="1957"/>
        <v>0</v>
      </c>
      <c r="DB213" s="24">
        <f t="shared" si="1957"/>
        <v>0</v>
      </c>
      <c r="DE213" s="123"/>
      <c r="DF213" s="23">
        <v>-1245</v>
      </c>
      <c r="DG213" s="23">
        <v>-2000</v>
      </c>
    </row>
    <row r="214" spans="1:111" s="23" customFormat="1" x14ac:dyDescent="0.2">
      <c r="AB214" s="24"/>
      <c r="AC214" s="24"/>
      <c r="AD214" s="24"/>
      <c r="AE214" s="24"/>
      <c r="CM214" s="24"/>
      <c r="CN214" s="24"/>
      <c r="CO214" s="24"/>
      <c r="CP214" s="24"/>
      <c r="CQ214" s="24"/>
      <c r="CR214" s="24"/>
      <c r="CS214" s="24"/>
      <c r="CT214" s="24"/>
      <c r="CU214" s="24"/>
      <c r="CV214" s="24"/>
      <c r="CW214" s="24"/>
      <c r="CX214" s="24"/>
      <c r="CY214" s="24"/>
      <c r="CZ214" s="24"/>
      <c r="DA214" s="24"/>
      <c r="DB214" s="24"/>
      <c r="DE214" s="123"/>
    </row>
    <row r="215" spans="1:111" s="22" customFormat="1" x14ac:dyDescent="0.2">
      <c r="A215" s="22" t="s">
        <v>95</v>
      </c>
      <c r="C215" s="22">
        <f t="shared" ref="C215:W215" si="1958">C216+C217</f>
        <v>-117.28919879999989</v>
      </c>
      <c r="D215" s="22">
        <f t="shared" si="1958"/>
        <v>-128.59000000000037</v>
      </c>
      <c r="E215" s="22">
        <f t="shared" si="1958"/>
        <v>-806.97999999999956</v>
      </c>
      <c r="F215" s="22">
        <f t="shared" si="1958"/>
        <v>84.859999999999673</v>
      </c>
      <c r="G215" s="22">
        <f t="shared" si="1958"/>
        <v>-743</v>
      </c>
      <c r="H215" s="22">
        <f t="shared" si="1958"/>
        <v>369</v>
      </c>
      <c r="I215" s="22">
        <f t="shared" si="1958"/>
        <v>-2123</v>
      </c>
      <c r="J215" s="22">
        <f t="shared" si="1958"/>
        <v>-1529</v>
      </c>
      <c r="K215" s="22">
        <f t="shared" si="1958"/>
        <v>-1471</v>
      </c>
      <c r="L215" s="22">
        <f t="shared" si="1958"/>
        <v>-3908</v>
      </c>
      <c r="M215" s="22">
        <f t="shared" si="1958"/>
        <v>-2976</v>
      </c>
      <c r="N215" s="22">
        <f t="shared" si="1958"/>
        <v>-2767</v>
      </c>
      <c r="O215" s="22">
        <f t="shared" si="1958"/>
        <v>-4120</v>
      </c>
      <c r="P215" s="22">
        <f t="shared" si="1958"/>
        <v>-6166</v>
      </c>
      <c r="Q215" s="22">
        <f t="shared" si="1958"/>
        <v>-2481</v>
      </c>
      <c r="R215" s="22">
        <f t="shared" si="1958"/>
        <v>-7115</v>
      </c>
      <c r="S215" s="22">
        <f t="shared" si="1958"/>
        <v>-20087</v>
      </c>
      <c r="T215" s="22">
        <f t="shared" si="1958"/>
        <v>-15322</v>
      </c>
      <c r="U215" s="22">
        <f t="shared" si="1958"/>
        <v>-15756</v>
      </c>
      <c r="V215" s="22">
        <f t="shared" si="1958"/>
        <v>-8413</v>
      </c>
      <c r="W215" s="22">
        <f t="shared" si="1958"/>
        <v>-23156</v>
      </c>
      <c r="X215" s="22">
        <f t="shared" ref="X215:Y215" si="1959">X216+X217</f>
        <v>-24036</v>
      </c>
      <c r="Y215" s="22">
        <f t="shared" si="1959"/>
        <v>-13567</v>
      </c>
      <c r="Z215" s="22">
        <f t="shared" ref="Z215:AA215" si="1960">Z216+Z217</f>
        <v>-18971</v>
      </c>
      <c r="AA215" s="22">
        <f t="shared" ref="AA215" si="1961">AA216+AA217</f>
        <v>-32346</v>
      </c>
      <c r="AB215" s="21">
        <f t="shared" ref="AB215:AD215" si="1962">AB216+AB217</f>
        <v>0</v>
      </c>
      <c r="AC215" s="21">
        <f t="shared" si="1962"/>
        <v>0</v>
      </c>
      <c r="AD215" s="21">
        <f t="shared" si="1962"/>
        <v>0</v>
      </c>
      <c r="AE215" s="21">
        <f t="shared" ref="AE215" si="1963">AE216+AE217</f>
        <v>-2.9103830456733704E-11</v>
      </c>
      <c r="AI215" s="22">
        <f t="shared" ref="AI215" si="1964">AI216+AI217</f>
        <v>-2289</v>
      </c>
      <c r="AJ215" s="22">
        <f t="shared" ref="AJ215:AL215" si="1965">AJ216+AJ217</f>
        <v>33647</v>
      </c>
      <c r="AK215" s="22">
        <f t="shared" si="1965"/>
        <v>0</v>
      </c>
      <c r="AL215" s="22">
        <f t="shared" si="1965"/>
        <v>-982</v>
      </c>
      <c r="AM215" s="22">
        <f t="shared" ref="AM215" si="1966">AM216+AM217</f>
        <v>0</v>
      </c>
      <c r="AN215" s="22">
        <f t="shared" ref="AN215:CD215" si="1967">AN216+AN217</f>
        <v>-1379</v>
      </c>
      <c r="AO215" s="22">
        <f t="shared" si="1967"/>
        <v>0</v>
      </c>
      <c r="AP215" s="22">
        <f t="shared" si="1967"/>
        <v>-1536</v>
      </c>
      <c r="AQ215" s="22">
        <f t="shared" si="1967"/>
        <v>0</v>
      </c>
      <c r="AR215" s="22">
        <f t="shared" si="1967"/>
        <v>-2930</v>
      </c>
      <c r="AS215" s="22">
        <f t="shared" si="1967"/>
        <v>0</v>
      </c>
      <c r="AT215" s="22">
        <f t="shared" si="1967"/>
        <v>-2166</v>
      </c>
      <c r="AU215" s="22">
        <f t="shared" si="1967"/>
        <v>0</v>
      </c>
      <c r="AV215" s="22">
        <f t="shared" si="1967"/>
        <v>-3844</v>
      </c>
      <c r="AW215" s="22">
        <f t="shared" si="1967"/>
        <v>0</v>
      </c>
      <c r="AX215" s="22">
        <f t="shared" si="1967"/>
        <v>-2663</v>
      </c>
      <c r="AY215" s="22">
        <f t="shared" si="1967"/>
        <v>0</v>
      </c>
      <c r="AZ215" s="22">
        <f t="shared" si="1967"/>
        <v>-3961</v>
      </c>
      <c r="BA215" s="22">
        <f t="shared" si="1967"/>
        <v>0</v>
      </c>
      <c r="BB215" s="22">
        <f t="shared" si="1967"/>
        <v>-3154</v>
      </c>
      <c r="BC215" s="22">
        <f t="shared" si="1967"/>
        <v>0</v>
      </c>
      <c r="BD215" s="22">
        <f t="shared" si="1967"/>
        <v>-3821</v>
      </c>
      <c r="BE215" s="22">
        <f t="shared" si="1967"/>
        <v>0</v>
      </c>
      <c r="BF215" s="22">
        <f t="shared" si="1967"/>
        <v>-16265</v>
      </c>
      <c r="BG215" s="22">
        <f t="shared" si="1967"/>
        <v>0</v>
      </c>
      <c r="BH215" s="22">
        <f t="shared" si="1967"/>
        <v>-7497</v>
      </c>
      <c r="BI215" s="22">
        <f t="shared" si="1967"/>
        <v>0</v>
      </c>
      <c r="BJ215" s="22">
        <f t="shared" si="1967"/>
        <v>-7826</v>
      </c>
      <c r="BK215" s="22">
        <f t="shared" si="1967"/>
        <v>0</v>
      </c>
      <c r="BL215" s="22">
        <f t="shared" si="1967"/>
        <v>-11942</v>
      </c>
      <c r="BM215" s="22">
        <f t="shared" si="1967"/>
        <v>0</v>
      </c>
      <c r="BN215" s="22">
        <f t="shared" si="1967"/>
        <v>-3815</v>
      </c>
      <c r="BO215" s="22">
        <f t="shared" si="1967"/>
        <v>0</v>
      </c>
      <c r="BP215" s="22">
        <f t="shared" si="1967"/>
        <v>-3488</v>
      </c>
      <c r="BQ215" s="22">
        <f t="shared" si="1967"/>
        <v>0</v>
      </c>
      <c r="BR215" s="22">
        <f t="shared" si="1967"/>
        <v>-4925</v>
      </c>
      <c r="BS215" s="22">
        <f t="shared" si="1967"/>
        <v>0</v>
      </c>
      <c r="BT215" s="22">
        <f t="shared" si="1967"/>
        <v>-17050</v>
      </c>
      <c r="BU215" s="22">
        <f t="shared" si="1967"/>
        <v>0</v>
      </c>
      <c r="BV215" s="22">
        <f t="shared" si="1967"/>
        <v>-6107</v>
      </c>
      <c r="BW215" s="22">
        <f t="shared" si="1967"/>
        <v>0</v>
      </c>
      <c r="BX215" s="22">
        <f t="shared" si="1967"/>
        <v>-6770</v>
      </c>
      <c r="BY215" s="22">
        <f t="shared" si="1967"/>
        <v>0</v>
      </c>
      <c r="BZ215" s="22">
        <f t="shared" si="1967"/>
        <v>-17266</v>
      </c>
      <c r="CA215" s="22">
        <f t="shared" si="1967"/>
        <v>0</v>
      </c>
      <c r="CB215" s="22">
        <f t="shared" si="1967"/>
        <v>-6798</v>
      </c>
      <c r="CC215" s="22">
        <f t="shared" si="1967"/>
        <v>0</v>
      </c>
      <c r="CD215" s="22">
        <f t="shared" si="1967"/>
        <v>-6768</v>
      </c>
      <c r="CE215" s="22">
        <f t="shared" ref="CE215:CF215" si="1968">CE216+CE217</f>
        <v>0</v>
      </c>
      <c r="CF215" s="22">
        <f t="shared" si="1968"/>
        <v>-10505</v>
      </c>
      <c r="CG215" s="22">
        <f t="shared" ref="CG215:CH215" si="1969">CG216+CG217</f>
        <v>0</v>
      </c>
      <c r="CH215" s="22">
        <f t="shared" si="1969"/>
        <v>-8466</v>
      </c>
      <c r="CI215" s="22">
        <f t="shared" ref="CI215:CJ215" si="1970">CI216+CI217</f>
        <v>0</v>
      </c>
      <c r="CJ215" s="22">
        <f t="shared" si="1970"/>
        <v>-6744</v>
      </c>
      <c r="CK215" s="22">
        <f t="shared" ref="CK215:DB215" si="1971">CK216+CK217</f>
        <v>0</v>
      </c>
      <c r="CL215" s="22">
        <f t="shared" si="1971"/>
        <v>-25602</v>
      </c>
      <c r="CM215" s="21">
        <f t="shared" si="1971"/>
        <v>0</v>
      </c>
      <c r="CN215" s="21">
        <f t="shared" si="1971"/>
        <v>0</v>
      </c>
      <c r="CO215" s="21">
        <f t="shared" si="1971"/>
        <v>0</v>
      </c>
      <c r="CP215" s="21">
        <f t="shared" si="1971"/>
        <v>0</v>
      </c>
      <c r="CQ215" s="21">
        <f t="shared" si="1971"/>
        <v>0</v>
      </c>
      <c r="CR215" s="21">
        <f t="shared" si="1971"/>
        <v>0</v>
      </c>
      <c r="CS215" s="21">
        <f t="shared" si="1971"/>
        <v>0</v>
      </c>
      <c r="CT215" s="21">
        <f t="shared" si="1971"/>
        <v>0</v>
      </c>
      <c r="CU215" s="21">
        <f t="shared" si="1971"/>
        <v>0</v>
      </c>
      <c r="CV215" s="21">
        <f t="shared" si="1971"/>
        <v>0</v>
      </c>
      <c r="CW215" s="21">
        <f t="shared" si="1971"/>
        <v>0</v>
      </c>
      <c r="CX215" s="21">
        <f t="shared" si="1971"/>
        <v>0</v>
      </c>
      <c r="CY215" s="21">
        <f t="shared" si="1971"/>
        <v>0</v>
      </c>
      <c r="CZ215" s="21">
        <f t="shared" si="1971"/>
        <v>0</v>
      </c>
      <c r="DA215" s="21">
        <f t="shared" si="1971"/>
        <v>0</v>
      </c>
      <c r="DB215" s="21">
        <f t="shared" si="1971"/>
        <v>0</v>
      </c>
      <c r="DE215" s="126"/>
      <c r="DF215" s="22">
        <v>-32346</v>
      </c>
      <c r="DG215" s="22">
        <v>0</v>
      </c>
    </row>
    <row r="216" spans="1:111" s="23" customFormat="1" x14ac:dyDescent="0.2">
      <c r="A216" s="23" t="s">
        <v>49</v>
      </c>
      <c r="C216" s="23">
        <f t="shared" ref="C216:AA216" si="1972">C138-B138</f>
        <v>0</v>
      </c>
      <c r="D216" s="23">
        <f t="shared" si="1972"/>
        <v>0</v>
      </c>
      <c r="E216" s="23">
        <f>E138-D138</f>
        <v>0</v>
      </c>
      <c r="F216" s="23">
        <f t="shared" si="1972"/>
        <v>0</v>
      </c>
      <c r="G216" s="23">
        <f t="shared" si="1972"/>
        <v>0</v>
      </c>
      <c r="H216" s="23">
        <f t="shared" si="1972"/>
        <v>0</v>
      </c>
      <c r="I216" s="23">
        <f t="shared" si="1972"/>
        <v>0</v>
      </c>
      <c r="J216" s="23">
        <f>J138-I138</f>
        <v>0</v>
      </c>
      <c r="K216" s="23">
        <f>K138-J138</f>
        <v>0</v>
      </c>
      <c r="L216" s="23">
        <f t="shared" si="1972"/>
        <v>0</v>
      </c>
      <c r="M216" s="23">
        <f t="shared" si="1972"/>
        <v>0</v>
      </c>
      <c r="N216" s="23">
        <f t="shared" si="1972"/>
        <v>0</v>
      </c>
      <c r="O216" s="23">
        <f t="shared" si="1972"/>
        <v>0</v>
      </c>
      <c r="P216" s="23">
        <f t="shared" si="1972"/>
        <v>0</v>
      </c>
      <c r="Q216" s="23">
        <f t="shared" si="1972"/>
        <v>0</v>
      </c>
      <c r="R216" s="23">
        <f t="shared" si="1972"/>
        <v>0</v>
      </c>
      <c r="S216" s="23">
        <f t="shared" si="1972"/>
        <v>0</v>
      </c>
      <c r="T216" s="23">
        <f t="shared" si="1972"/>
        <v>0</v>
      </c>
      <c r="U216" s="23">
        <f t="shared" si="1972"/>
        <v>0</v>
      </c>
      <c r="V216" s="23">
        <f t="shared" si="1972"/>
        <v>0</v>
      </c>
      <c r="W216" s="23">
        <f t="shared" si="1972"/>
        <v>0</v>
      </c>
      <c r="X216" s="23">
        <f t="shared" si="1972"/>
        <v>0</v>
      </c>
      <c r="Y216" s="23">
        <f t="shared" si="1972"/>
        <v>0</v>
      </c>
      <c r="Z216" s="23">
        <f t="shared" si="1972"/>
        <v>0</v>
      </c>
      <c r="AA216" s="23">
        <f t="shared" si="1972"/>
        <v>0</v>
      </c>
      <c r="AB216" s="24">
        <f t="shared" ref="AB216" si="1973">AB138-AA138</f>
        <v>0</v>
      </c>
      <c r="AC216" s="24">
        <f t="shared" ref="AC216" si="1974">AC138-AB138</f>
        <v>0</v>
      </c>
      <c r="AD216" s="24">
        <f t="shared" ref="AD216" si="1975">AD138-AC138</f>
        <v>0</v>
      </c>
      <c r="AE216" s="24">
        <f t="shared" ref="AE216" si="1976">AE138-AD138</f>
        <v>0</v>
      </c>
      <c r="AI216" s="23">
        <f t="shared" ref="AI216" si="1977">AI138-AH138</f>
        <v>0</v>
      </c>
      <c r="AJ216" s="23">
        <f t="shared" ref="AJ216" si="1978">AJ138-AI138</f>
        <v>0</v>
      </c>
      <c r="AK216" s="23">
        <f t="shared" ref="AK216" si="1979">AK138-AJ138</f>
        <v>0</v>
      </c>
      <c r="AL216" s="23">
        <f t="shared" ref="AL216" si="1980">AL138-AK138</f>
        <v>0</v>
      </c>
      <c r="AM216" s="23">
        <f t="shared" ref="AM216" si="1981">AM138-AL138</f>
        <v>0</v>
      </c>
      <c r="AN216" s="23">
        <f t="shared" ref="AN216" si="1982">AN138-AM138</f>
        <v>0</v>
      </c>
      <c r="AO216" s="23">
        <f t="shared" ref="AO216" si="1983">AO138-AN138</f>
        <v>0</v>
      </c>
      <c r="AP216" s="23">
        <f t="shared" ref="AP216" si="1984">AP138-AO138</f>
        <v>0</v>
      </c>
      <c r="AQ216" s="23">
        <f t="shared" ref="AQ216" si="1985">AQ138-AP138</f>
        <v>0</v>
      </c>
      <c r="AR216" s="23">
        <f t="shared" ref="AR216" si="1986">AR138-AQ138</f>
        <v>0</v>
      </c>
      <c r="AS216" s="23">
        <f t="shared" ref="AS216" si="1987">AS138-AR138</f>
        <v>0</v>
      </c>
      <c r="AT216" s="23">
        <f t="shared" ref="AT216" si="1988">AT138-AS138</f>
        <v>0</v>
      </c>
      <c r="AU216" s="23">
        <f t="shared" ref="AU216" si="1989">AU138-AT138</f>
        <v>0</v>
      </c>
      <c r="AV216" s="23">
        <f t="shared" ref="AV216" si="1990">AV138-AU138</f>
        <v>0</v>
      </c>
      <c r="AW216" s="23">
        <f t="shared" ref="AW216" si="1991">AW138-AV138</f>
        <v>0</v>
      </c>
      <c r="AX216" s="23">
        <f t="shared" ref="AX216" si="1992">AX138-AW138</f>
        <v>0</v>
      </c>
      <c r="AY216" s="23">
        <f t="shared" ref="AY216" si="1993">AY138-AX138</f>
        <v>0</v>
      </c>
      <c r="AZ216" s="23">
        <f t="shared" ref="AZ216" si="1994">AZ138-AY138</f>
        <v>0</v>
      </c>
      <c r="BA216" s="23">
        <f t="shared" ref="BA216" si="1995">BA138-AZ138</f>
        <v>0</v>
      </c>
      <c r="BB216" s="23">
        <f t="shared" ref="BB216" si="1996">BB138-BA138</f>
        <v>0</v>
      </c>
      <c r="BC216" s="23">
        <f t="shared" ref="BC216" si="1997">BC138-BB138</f>
        <v>0</v>
      </c>
      <c r="BD216" s="23">
        <f t="shared" ref="BD216" si="1998">BD138-BC138</f>
        <v>0</v>
      </c>
      <c r="BE216" s="23">
        <f t="shared" ref="BE216" si="1999">BE138-BD138</f>
        <v>0</v>
      </c>
      <c r="BF216" s="23">
        <f t="shared" ref="BF216" si="2000">BF138-BE138</f>
        <v>0</v>
      </c>
      <c r="BG216" s="23">
        <f t="shared" ref="BG216" si="2001">BG138-BF138</f>
        <v>0</v>
      </c>
      <c r="BH216" s="23">
        <f t="shared" ref="BH216" si="2002">BH138-BG138</f>
        <v>0</v>
      </c>
      <c r="BI216" s="23">
        <f t="shared" ref="BI216" si="2003">BI138-BH138</f>
        <v>0</v>
      </c>
      <c r="BJ216" s="23">
        <f t="shared" ref="BJ216" si="2004">BJ138-BI138</f>
        <v>0</v>
      </c>
      <c r="BK216" s="23">
        <f t="shared" ref="BK216" si="2005">BK138-BJ138</f>
        <v>0</v>
      </c>
      <c r="BL216" s="23">
        <f t="shared" ref="BL216" si="2006">BL138-BK138</f>
        <v>0</v>
      </c>
      <c r="BM216" s="23">
        <f t="shared" ref="BM216" si="2007">BM138-BL138</f>
        <v>0</v>
      </c>
      <c r="BN216" s="23">
        <f t="shared" ref="BN216" si="2008">BN138-BM138</f>
        <v>0</v>
      </c>
      <c r="BO216" s="23">
        <f t="shared" ref="BO216" si="2009">BO138-BN138</f>
        <v>0</v>
      </c>
      <c r="BP216" s="23">
        <f t="shared" ref="BP216" si="2010">BP138-BO138</f>
        <v>0</v>
      </c>
      <c r="BQ216" s="23">
        <f t="shared" ref="BQ216" si="2011">BQ138-BP138</f>
        <v>0</v>
      </c>
      <c r="BR216" s="23">
        <f t="shared" ref="BR216" si="2012">BR138-BQ138</f>
        <v>0</v>
      </c>
      <c r="BS216" s="23">
        <f t="shared" ref="BS216" si="2013">BS138-BR138</f>
        <v>0</v>
      </c>
      <c r="BT216" s="23">
        <f t="shared" ref="BT216" si="2014">BT138-BS138</f>
        <v>0</v>
      </c>
      <c r="BU216" s="23">
        <f t="shared" ref="BU216" si="2015">BU138-BT138</f>
        <v>0</v>
      </c>
      <c r="BV216" s="23">
        <f t="shared" ref="BV216" si="2016">BV138-BU138</f>
        <v>0</v>
      </c>
      <c r="BW216" s="23">
        <f t="shared" ref="BW216" si="2017">BW138-BV138</f>
        <v>0</v>
      </c>
      <c r="BX216" s="23">
        <f t="shared" ref="BX216" si="2018">BX138-BW138</f>
        <v>0</v>
      </c>
      <c r="BY216" s="23">
        <f t="shared" ref="BY216" si="2019">BY138-BX138</f>
        <v>0</v>
      </c>
      <c r="BZ216" s="23">
        <f t="shared" ref="BZ216" si="2020">BZ138-BY138</f>
        <v>0</v>
      </c>
      <c r="CA216" s="23">
        <f t="shared" ref="CA216" si="2021">CA138-BZ138</f>
        <v>0</v>
      </c>
      <c r="CB216" s="23">
        <f t="shared" ref="CB216" si="2022">CB138-CA138</f>
        <v>0</v>
      </c>
      <c r="CC216" s="23">
        <f t="shared" ref="CC216" si="2023">CC138-CB138</f>
        <v>0</v>
      </c>
      <c r="CD216" s="23">
        <f t="shared" ref="CD216" si="2024">CD138-CC138</f>
        <v>0</v>
      </c>
      <c r="CE216" s="23">
        <f t="shared" ref="CE216" si="2025">CE138-CD138</f>
        <v>0</v>
      </c>
      <c r="CF216" s="23">
        <f t="shared" ref="CF216" si="2026">CF138-CE138</f>
        <v>0</v>
      </c>
      <c r="CG216" s="23">
        <f t="shared" ref="CG216" si="2027">CG138-CF138</f>
        <v>0</v>
      </c>
      <c r="CH216" s="23">
        <f t="shared" ref="CH216:CJ216" si="2028">CH138-CG138</f>
        <v>0</v>
      </c>
      <c r="CI216" s="23">
        <f t="shared" si="2028"/>
        <v>0</v>
      </c>
      <c r="CJ216" s="23">
        <f t="shared" si="2028"/>
        <v>0</v>
      </c>
      <c r="CK216" s="23">
        <f t="shared" ref="CK216" si="2029">CK138-CJ138</f>
        <v>0</v>
      </c>
      <c r="CL216" s="23">
        <f t="shared" ref="CL216" si="2030">CL138-CK138</f>
        <v>0</v>
      </c>
      <c r="CM216" s="24">
        <f t="shared" ref="CM216" si="2031">CM138-CL138</f>
        <v>0</v>
      </c>
      <c r="CN216" s="24">
        <f t="shared" ref="CN216" si="2032">CN138-CM138</f>
        <v>0</v>
      </c>
      <c r="CO216" s="24">
        <f t="shared" ref="CO216" si="2033">CO138-CN138</f>
        <v>0</v>
      </c>
      <c r="CP216" s="24">
        <f t="shared" ref="CP216" si="2034">CP138-CO138</f>
        <v>0</v>
      </c>
      <c r="CQ216" s="24">
        <f t="shared" ref="CQ216" si="2035">CQ138-CP138</f>
        <v>0</v>
      </c>
      <c r="CR216" s="24">
        <f t="shared" ref="CR216" si="2036">CR138-CQ138</f>
        <v>0</v>
      </c>
      <c r="CS216" s="24">
        <f t="shared" ref="CS216" si="2037">CS138-CR138</f>
        <v>0</v>
      </c>
      <c r="CT216" s="24">
        <f t="shared" ref="CT216" si="2038">CT138-CS138</f>
        <v>0</v>
      </c>
      <c r="CU216" s="24">
        <f t="shared" ref="CU216" si="2039">CU138-CT138</f>
        <v>0</v>
      </c>
      <c r="CV216" s="24">
        <f t="shared" ref="CV216" si="2040">CV138-CU138</f>
        <v>0</v>
      </c>
      <c r="CW216" s="24">
        <f t="shared" ref="CW216" si="2041">CW138-CV138</f>
        <v>0</v>
      </c>
      <c r="CX216" s="24">
        <f t="shared" ref="CX216" si="2042">CX138-CW138</f>
        <v>0</v>
      </c>
      <c r="CY216" s="24">
        <f t="shared" ref="CY216" si="2043">CY138-CX138</f>
        <v>0</v>
      </c>
      <c r="CZ216" s="24">
        <f t="shared" ref="CZ216" si="2044">CZ138-CY138</f>
        <v>0</v>
      </c>
      <c r="DA216" s="24">
        <f t="shared" ref="DA216" si="2045">DA138-CZ138</f>
        <v>0</v>
      </c>
      <c r="DB216" s="24">
        <f t="shared" ref="DB216" si="2046">DB138-DA138</f>
        <v>0</v>
      </c>
      <c r="DE216" s="123"/>
      <c r="DF216" s="23">
        <v>0</v>
      </c>
      <c r="DG216" s="23">
        <v>0</v>
      </c>
    </row>
    <row r="217" spans="1:111" s="23" customFormat="1" x14ac:dyDescent="0.2">
      <c r="A217" s="23" t="s">
        <v>27</v>
      </c>
      <c r="C217" s="23">
        <f t="shared" ref="C217:AE217" si="2047">C130-C58-B130+C132-B132</f>
        <v>-117.28919879999989</v>
      </c>
      <c r="D217" s="23">
        <f t="shared" si="2047"/>
        <v>-128.59000000000037</v>
      </c>
      <c r="E217" s="23">
        <f t="shared" si="2047"/>
        <v>-806.97999999999956</v>
      </c>
      <c r="F217" s="23">
        <f t="shared" si="2047"/>
        <v>84.859999999999673</v>
      </c>
      <c r="G217" s="23">
        <f t="shared" si="2047"/>
        <v>-743</v>
      </c>
      <c r="H217" s="23">
        <f t="shared" si="2047"/>
        <v>369</v>
      </c>
      <c r="I217" s="23">
        <f t="shared" si="2047"/>
        <v>-2123</v>
      </c>
      <c r="J217" s="23">
        <f t="shared" si="2047"/>
        <v>-1529</v>
      </c>
      <c r="K217" s="23">
        <f t="shared" si="2047"/>
        <v>-1471</v>
      </c>
      <c r="L217" s="23">
        <f t="shared" si="2047"/>
        <v>-3908</v>
      </c>
      <c r="M217" s="23">
        <f t="shared" si="2047"/>
        <v>-2976</v>
      </c>
      <c r="N217" s="23">
        <f t="shared" si="2047"/>
        <v>-2767</v>
      </c>
      <c r="O217" s="23">
        <f t="shared" si="2047"/>
        <v>-4120</v>
      </c>
      <c r="P217" s="23">
        <f t="shared" si="2047"/>
        <v>-6166</v>
      </c>
      <c r="Q217" s="23">
        <f t="shared" si="2047"/>
        <v>-2481</v>
      </c>
      <c r="R217" s="23">
        <f t="shared" si="2047"/>
        <v>-7115</v>
      </c>
      <c r="S217" s="23">
        <f t="shared" si="2047"/>
        <v>-20087</v>
      </c>
      <c r="T217" s="23">
        <f t="shared" si="2047"/>
        <v>-15322</v>
      </c>
      <c r="U217" s="23">
        <f t="shared" si="2047"/>
        <v>-15756</v>
      </c>
      <c r="V217" s="23">
        <f t="shared" si="2047"/>
        <v>-8413</v>
      </c>
      <c r="W217" s="23">
        <f t="shared" si="2047"/>
        <v>-23156</v>
      </c>
      <c r="X217" s="23">
        <f t="shared" si="2047"/>
        <v>-24036</v>
      </c>
      <c r="Y217" s="23">
        <f t="shared" si="2047"/>
        <v>-13567</v>
      </c>
      <c r="Z217" s="23">
        <f t="shared" si="2047"/>
        <v>-18971</v>
      </c>
      <c r="AA217" s="23">
        <f t="shared" si="2047"/>
        <v>-32346</v>
      </c>
      <c r="AB217" s="24">
        <f t="shared" si="2047"/>
        <v>0</v>
      </c>
      <c r="AC217" s="24">
        <f t="shared" si="2047"/>
        <v>0</v>
      </c>
      <c r="AD217" s="24">
        <f t="shared" si="2047"/>
        <v>0</v>
      </c>
      <c r="AE217" s="24">
        <f t="shared" si="2047"/>
        <v>-2.9103830456733704E-11</v>
      </c>
      <c r="AI217" s="23">
        <f t="shared" ref="AI217:BN217" si="2048">AI130-AI58-AH130+AI132-AH132</f>
        <v>-2289</v>
      </c>
      <c r="AJ217" s="23">
        <f t="shared" si="2048"/>
        <v>33647</v>
      </c>
      <c r="AK217" s="23">
        <f t="shared" si="2048"/>
        <v>0</v>
      </c>
      <c r="AL217" s="23">
        <f t="shared" si="2048"/>
        <v>-982</v>
      </c>
      <c r="AM217" s="23">
        <f t="shared" si="2048"/>
        <v>0</v>
      </c>
      <c r="AN217" s="23">
        <f t="shared" si="2048"/>
        <v>-1379</v>
      </c>
      <c r="AO217" s="23">
        <f t="shared" si="2048"/>
        <v>0</v>
      </c>
      <c r="AP217" s="23">
        <f t="shared" si="2048"/>
        <v>-1536</v>
      </c>
      <c r="AQ217" s="23">
        <f t="shared" si="2048"/>
        <v>0</v>
      </c>
      <c r="AR217" s="23">
        <f t="shared" si="2048"/>
        <v>-2930</v>
      </c>
      <c r="AS217" s="23">
        <f t="shared" si="2048"/>
        <v>0</v>
      </c>
      <c r="AT217" s="23">
        <f t="shared" si="2048"/>
        <v>-2166</v>
      </c>
      <c r="AU217" s="23">
        <f t="shared" si="2048"/>
        <v>0</v>
      </c>
      <c r="AV217" s="23">
        <f t="shared" si="2048"/>
        <v>-3844</v>
      </c>
      <c r="AW217" s="23">
        <f t="shared" si="2048"/>
        <v>0</v>
      </c>
      <c r="AX217" s="23">
        <f t="shared" si="2048"/>
        <v>-2663</v>
      </c>
      <c r="AY217" s="23">
        <f t="shared" si="2048"/>
        <v>0</v>
      </c>
      <c r="AZ217" s="23">
        <f t="shared" si="2048"/>
        <v>-3961</v>
      </c>
      <c r="BA217" s="23">
        <f t="shared" si="2048"/>
        <v>0</v>
      </c>
      <c r="BB217" s="23">
        <f t="shared" si="2048"/>
        <v>-3154</v>
      </c>
      <c r="BC217" s="23">
        <f t="shared" si="2048"/>
        <v>0</v>
      </c>
      <c r="BD217" s="23">
        <f t="shared" si="2048"/>
        <v>-3821</v>
      </c>
      <c r="BE217" s="23">
        <f t="shared" si="2048"/>
        <v>0</v>
      </c>
      <c r="BF217" s="23">
        <f t="shared" si="2048"/>
        <v>-16265</v>
      </c>
      <c r="BG217" s="23">
        <f t="shared" si="2048"/>
        <v>0</v>
      </c>
      <c r="BH217" s="23">
        <f t="shared" si="2048"/>
        <v>-7497</v>
      </c>
      <c r="BI217" s="23">
        <f t="shared" si="2048"/>
        <v>0</v>
      </c>
      <c r="BJ217" s="23">
        <f t="shared" si="2048"/>
        <v>-7826</v>
      </c>
      <c r="BK217" s="23">
        <f t="shared" si="2048"/>
        <v>0</v>
      </c>
      <c r="BL217" s="23">
        <f t="shared" si="2048"/>
        <v>-11942</v>
      </c>
      <c r="BM217" s="23">
        <f t="shared" si="2048"/>
        <v>0</v>
      </c>
      <c r="BN217" s="23">
        <f t="shared" si="2048"/>
        <v>-3815</v>
      </c>
      <c r="BO217" s="23">
        <f t="shared" ref="BO217:CT217" si="2049">BO130-BO58-BN130+BO132-BN132</f>
        <v>0</v>
      </c>
      <c r="BP217" s="23">
        <f t="shared" si="2049"/>
        <v>-3488</v>
      </c>
      <c r="BQ217" s="23">
        <f t="shared" si="2049"/>
        <v>0</v>
      </c>
      <c r="BR217" s="23">
        <f t="shared" si="2049"/>
        <v>-4925</v>
      </c>
      <c r="BS217" s="23">
        <f t="shared" si="2049"/>
        <v>0</v>
      </c>
      <c r="BT217" s="23">
        <f t="shared" si="2049"/>
        <v>-17050</v>
      </c>
      <c r="BU217" s="23">
        <f t="shared" si="2049"/>
        <v>0</v>
      </c>
      <c r="BV217" s="23">
        <f t="shared" si="2049"/>
        <v>-6107</v>
      </c>
      <c r="BW217" s="23">
        <f t="shared" si="2049"/>
        <v>0</v>
      </c>
      <c r="BX217" s="23">
        <f t="shared" si="2049"/>
        <v>-6770</v>
      </c>
      <c r="BY217" s="23">
        <f t="shared" si="2049"/>
        <v>0</v>
      </c>
      <c r="BZ217" s="23">
        <f t="shared" si="2049"/>
        <v>-17266</v>
      </c>
      <c r="CA217" s="23">
        <f t="shared" si="2049"/>
        <v>0</v>
      </c>
      <c r="CB217" s="23">
        <f t="shared" si="2049"/>
        <v>-6798</v>
      </c>
      <c r="CC217" s="23">
        <f t="shared" si="2049"/>
        <v>0</v>
      </c>
      <c r="CD217" s="23">
        <f t="shared" si="2049"/>
        <v>-6768</v>
      </c>
      <c r="CE217" s="23">
        <f t="shared" si="2049"/>
        <v>0</v>
      </c>
      <c r="CF217" s="23">
        <f t="shared" si="2049"/>
        <v>-10505</v>
      </c>
      <c r="CG217" s="23">
        <f t="shared" si="2049"/>
        <v>0</v>
      </c>
      <c r="CH217" s="23">
        <f t="shared" si="2049"/>
        <v>-8466</v>
      </c>
      <c r="CI217" s="23">
        <f t="shared" si="2049"/>
        <v>0</v>
      </c>
      <c r="CJ217" s="23">
        <f t="shared" si="2049"/>
        <v>-6744</v>
      </c>
      <c r="CK217" s="23">
        <f t="shared" si="2049"/>
        <v>0</v>
      </c>
      <c r="CL217" s="23">
        <f t="shared" si="2049"/>
        <v>-25602</v>
      </c>
      <c r="CM217" s="24">
        <f t="shared" si="2049"/>
        <v>0</v>
      </c>
      <c r="CN217" s="24">
        <f t="shared" si="2049"/>
        <v>0</v>
      </c>
      <c r="CO217" s="24">
        <f t="shared" si="2049"/>
        <v>0</v>
      </c>
      <c r="CP217" s="24">
        <f t="shared" si="2049"/>
        <v>0</v>
      </c>
      <c r="CQ217" s="24">
        <f t="shared" si="2049"/>
        <v>0</v>
      </c>
      <c r="CR217" s="24">
        <f t="shared" si="2049"/>
        <v>0</v>
      </c>
      <c r="CS217" s="24">
        <f t="shared" si="2049"/>
        <v>0</v>
      </c>
      <c r="CT217" s="24">
        <f t="shared" si="2049"/>
        <v>0</v>
      </c>
      <c r="CU217" s="24">
        <f t="shared" ref="CU217:DB217" si="2050">CU130-CU58-CT130+CU132-CT132</f>
        <v>0</v>
      </c>
      <c r="CV217" s="24">
        <f t="shared" si="2050"/>
        <v>0</v>
      </c>
      <c r="CW217" s="24">
        <f t="shared" si="2050"/>
        <v>0</v>
      </c>
      <c r="CX217" s="24">
        <f t="shared" si="2050"/>
        <v>0</v>
      </c>
      <c r="CY217" s="24">
        <f t="shared" si="2050"/>
        <v>0</v>
      </c>
      <c r="CZ217" s="24">
        <f t="shared" si="2050"/>
        <v>0</v>
      </c>
      <c r="DA217" s="24">
        <f t="shared" si="2050"/>
        <v>0</v>
      </c>
      <c r="DB217" s="24">
        <f t="shared" si="2050"/>
        <v>0</v>
      </c>
      <c r="DE217" s="123"/>
      <c r="DF217" s="23">
        <v>-32346</v>
      </c>
      <c r="DG217" s="23">
        <v>0</v>
      </c>
    </row>
    <row r="218" spans="1:111" s="23" customFormat="1" x14ac:dyDescent="0.2">
      <c r="AB218" s="24"/>
      <c r="AC218" s="24"/>
      <c r="AD218" s="24"/>
      <c r="AE218" s="24"/>
      <c r="CM218" s="24"/>
      <c r="CN218" s="24"/>
      <c r="CO218" s="24"/>
      <c r="CP218" s="24"/>
      <c r="CQ218" s="24"/>
      <c r="CR218" s="24"/>
      <c r="CS218" s="24"/>
      <c r="CT218" s="24"/>
      <c r="CU218" s="24"/>
      <c r="CV218" s="24"/>
      <c r="CW218" s="24"/>
      <c r="CX218" s="24"/>
      <c r="CY218" s="24"/>
      <c r="CZ218" s="24"/>
      <c r="DA218" s="24"/>
      <c r="DB218" s="24"/>
      <c r="DE218" s="123"/>
    </row>
    <row r="219" spans="1:111" s="23" customFormat="1" x14ac:dyDescent="0.2">
      <c r="A219" s="23" t="s">
        <v>442</v>
      </c>
      <c r="C219" s="23">
        <f t="shared" ref="C219" si="2051">B171</f>
        <v>385.06102850000002</v>
      </c>
      <c r="D219" s="23">
        <f t="shared" ref="D219" si="2052">C171</f>
        <v>772.22</v>
      </c>
      <c r="E219" s="23">
        <f>D171</f>
        <v>1346.54</v>
      </c>
      <c r="F219" s="23">
        <f t="shared" ref="F219" si="2053">E171</f>
        <v>2664.92</v>
      </c>
      <c r="G219" s="23">
        <f t="shared" ref="G219" si="2054">F171</f>
        <v>2785</v>
      </c>
      <c r="H219" s="23">
        <f t="shared" ref="H219" si="2055">G171</f>
        <v>4182</v>
      </c>
      <c r="I219" s="23">
        <f t="shared" ref="I219" si="2056">H171</f>
        <v>5859</v>
      </c>
      <c r="J219" s="23">
        <f>I171</f>
        <v>7022</v>
      </c>
      <c r="K219" s="23">
        <f>J171</f>
        <v>9695</v>
      </c>
      <c r="L219" s="23">
        <f t="shared" ref="L219" si="2057">K171</f>
        <v>14254</v>
      </c>
      <c r="M219" s="23">
        <f t="shared" ref="M219" si="2058">L171</f>
        <v>16806</v>
      </c>
      <c r="N219" s="23">
        <f t="shared" ref="N219" si="2059">M171</f>
        <v>20959</v>
      </c>
      <c r="O219" s="23">
        <f t="shared" ref="O219" si="2060">N171</f>
        <v>23571</v>
      </c>
      <c r="P219" s="23">
        <f t="shared" ref="P219" si="2061">O171</f>
        <v>28974</v>
      </c>
      <c r="Q219" s="23">
        <f t="shared" ref="Q219" si="2062">P171</f>
        <v>31239</v>
      </c>
      <c r="R219" s="23">
        <f t="shared" ref="R219" si="2063">Q171</f>
        <v>32772</v>
      </c>
      <c r="S219" s="23">
        <f t="shared" ref="S219" si="2064">R171</f>
        <v>32595</v>
      </c>
      <c r="T219" s="23">
        <f t="shared" ref="T219" si="2065">S171</f>
        <v>26225</v>
      </c>
      <c r="U219" s="23">
        <f t="shared" ref="U219" si="2066">T171</f>
        <v>26195</v>
      </c>
      <c r="V219" s="23">
        <f t="shared" ref="V219" si="2067">U171</f>
        <v>23304</v>
      </c>
      <c r="W219" s="23">
        <f t="shared" ref="W219:AA219" si="2068">V171</f>
        <v>27056</v>
      </c>
      <c r="X219" s="23">
        <f t="shared" si="2068"/>
        <v>24145</v>
      </c>
      <c r="Y219" s="23">
        <f t="shared" si="2068"/>
        <v>19082</v>
      </c>
      <c r="Z219" s="23">
        <f t="shared" si="2068"/>
        <v>27701</v>
      </c>
      <c r="AA219" s="23">
        <f t="shared" si="2068"/>
        <v>36937</v>
      </c>
      <c r="AB219" s="24">
        <f t="shared" ref="AB219" si="2069">AA171</f>
        <v>35151</v>
      </c>
      <c r="AC219" s="24">
        <f t="shared" ref="AC219" si="2070">AB171</f>
        <v>62254.057499193237</v>
      </c>
      <c r="AD219" s="24">
        <f t="shared" ref="AD219" si="2071">AC171</f>
        <v>93983.088158215935</v>
      </c>
      <c r="AE219" s="24">
        <f t="shared" ref="AE219" si="2072">AD171</f>
        <v>132702.86596646052</v>
      </c>
      <c r="AI219" s="23">
        <f t="shared" ref="AI219" si="2073">AH171</f>
        <v>0</v>
      </c>
      <c r="AJ219" s="23">
        <f t="shared" ref="AJ219" si="2074">AI171</f>
        <v>0</v>
      </c>
      <c r="AK219" s="23">
        <f t="shared" ref="AK219" si="2075">AJ171</f>
        <v>22505</v>
      </c>
      <c r="AL219" s="23">
        <f t="shared" ref="AL219" si="2076">AK171</f>
        <v>24490.350983972407</v>
      </c>
      <c r="AM219" s="23">
        <f t="shared" ref="AM219" si="2077">AL171</f>
        <v>23571</v>
      </c>
      <c r="AN219" s="23">
        <f t="shared" ref="AN219" si="2078">AM171</f>
        <v>25408.858618710543</v>
      </c>
      <c r="AO219" s="23">
        <f t="shared" ref="AO219" si="2079">AN171</f>
        <v>25881</v>
      </c>
      <c r="AP219" s="23">
        <f t="shared" ref="AP219" si="2080">AO171</f>
        <v>28717.216891631317</v>
      </c>
      <c r="AQ219" s="23">
        <f t="shared" ref="AQ219" si="2081">AP171</f>
        <v>29006</v>
      </c>
      <c r="AR219" s="23">
        <f t="shared" ref="AR219" si="2082">AQ171</f>
        <v>31958.69436893204</v>
      </c>
      <c r="AS219" s="23">
        <f t="shared" ref="AS219" si="2083">AR171</f>
        <v>32306</v>
      </c>
      <c r="AT219" s="23">
        <f t="shared" ref="AT219" si="2084">AS171</f>
        <v>35252.981711887274</v>
      </c>
      <c r="AU219" s="23">
        <f t="shared" ref="AU219" si="2085">AT171</f>
        <v>31241</v>
      </c>
      <c r="AV219" s="23">
        <f t="shared" ref="AV219" si="2086">AU171</f>
        <v>33595.870554022818</v>
      </c>
      <c r="AW219" s="23">
        <f t="shared" ref="AW219" si="2087">AV171</f>
        <v>30528</v>
      </c>
      <c r="AX219" s="23">
        <f t="shared" ref="AX219" si="2088">AW171</f>
        <v>33817.328173968657</v>
      </c>
      <c r="AY219" s="23">
        <f t="shared" ref="AY219" si="2089">AX171</f>
        <v>32772</v>
      </c>
      <c r="AZ219" s="23">
        <f t="shared" ref="AZ219" si="2090">AY171</f>
        <v>36054.585619335347</v>
      </c>
      <c r="BA219" s="23">
        <f t="shared" ref="BA219" si="2091">AZ171</f>
        <v>33886</v>
      </c>
      <c r="BB219" s="23">
        <f t="shared" ref="BB219" si="2092">BA171</f>
        <v>37618.076718659737</v>
      </c>
      <c r="BC219" s="23">
        <f t="shared" ref="BC219" si="2093">BB171</f>
        <v>32595</v>
      </c>
      <c r="BD219" s="23">
        <f t="shared" ref="BD219" si="2094">BC171</f>
        <v>36107.328855140186</v>
      </c>
      <c r="BE219" s="23">
        <f t="shared" ref="BE219" si="2095">BD171</f>
        <v>35461</v>
      </c>
      <c r="BF219" s="23">
        <f t="shared" ref="BF219" si="2096">BE171</f>
        <v>40423.500597711616</v>
      </c>
      <c r="BG219" s="23">
        <f t="shared" ref="BG219" si="2097">BF171</f>
        <v>26225</v>
      </c>
      <c r="BH219" s="23">
        <f t="shared" ref="BH219" si="2098">BG171</f>
        <v>29117.641486479013</v>
      </c>
      <c r="BI219" s="23">
        <f t="shared" ref="BI219" si="2099">BH171</f>
        <v>25431</v>
      </c>
      <c r="BJ219" s="23">
        <f t="shared" ref="BJ219" si="2100">BI171</f>
        <v>28518.47503517881</v>
      </c>
      <c r="BK219" s="23">
        <f t="shared" ref="BK219" si="2101">BJ171</f>
        <v>26195</v>
      </c>
      <c r="BL219" s="23">
        <f t="shared" ref="BL219" si="2102">BK171</f>
        <v>29831.552950461948</v>
      </c>
      <c r="BM219" s="23">
        <f t="shared" ref="BM219" si="2103">BL171</f>
        <v>19991</v>
      </c>
      <c r="BN219" s="23">
        <f t="shared" ref="BN219" si="2104">BM171</f>
        <v>24163.169782137968</v>
      </c>
      <c r="BO219" s="23">
        <f t="shared" ref="BO219" si="2105">BN171</f>
        <v>23304</v>
      </c>
      <c r="BP219" s="23">
        <f t="shared" ref="BP219" si="2106">BO171</f>
        <v>27269.551252847377</v>
      </c>
      <c r="BQ219" s="23">
        <f t="shared" ref="BQ219" si="2107">BP171</f>
        <v>26011</v>
      </c>
      <c r="BR219" s="23">
        <f t="shared" ref="BR219" si="2108">BQ171</f>
        <v>30348.898046398048</v>
      </c>
      <c r="BS219" s="23">
        <f t="shared" ref="BS219" si="2109">BR171</f>
        <v>27056</v>
      </c>
      <c r="BT219" s="23">
        <f t="shared" ref="BT219" si="2110">BS171</f>
        <v>31248.048192771086</v>
      </c>
      <c r="BU219" s="23">
        <f t="shared" ref="BU219" si="2111">BT171</f>
        <v>23039</v>
      </c>
      <c r="BV219" s="23">
        <f t="shared" ref="BV219" si="2112">BU171</f>
        <v>27551.451624890207</v>
      </c>
      <c r="BW219" s="23">
        <f t="shared" ref="BW219" si="2113">BV171</f>
        <v>24145</v>
      </c>
      <c r="BX219" s="23">
        <f t="shared" ref="BX219" si="2114">BW171</f>
        <v>28243.089726112281</v>
      </c>
      <c r="BY219" s="23">
        <f t="shared" ref="BY219" si="2115">BX171</f>
        <v>26647</v>
      </c>
      <c r="BZ219" s="23">
        <f t="shared" ref="BZ219" si="2116">BY171</f>
        <v>32198.50714324812</v>
      </c>
      <c r="CA219" s="23">
        <f t="shared" ref="CA219" si="2117">BZ171</f>
        <v>19082</v>
      </c>
      <c r="CB219" s="23">
        <f t="shared" ref="CB219" si="2118">CA171</f>
        <v>24743.700194973419</v>
      </c>
      <c r="CC219" s="23">
        <f t="shared" ref="CC219" si="2119">CB171</f>
        <v>23292</v>
      </c>
      <c r="CD219" s="23">
        <f t="shared" ref="CD219" si="2120">CC171</f>
        <v>29509.171821305834</v>
      </c>
      <c r="CE219" s="23">
        <f t="shared" ref="CE219" si="2121">CD171</f>
        <v>27701</v>
      </c>
      <c r="CF219" s="23">
        <f t="shared" ref="CF219" si="2122">CE171</f>
        <v>33105.945811249112</v>
      </c>
      <c r="CG219" s="23">
        <f t="shared" ref="CG219" si="2123">CF171</f>
        <v>29231</v>
      </c>
      <c r="CH219" s="23">
        <f t="shared" ref="CH219:CJ219" si="2124">CG171</f>
        <v>35502.236519787257</v>
      </c>
      <c r="CI219" s="23">
        <f t="shared" si="2124"/>
        <v>36937</v>
      </c>
      <c r="CJ219" s="23">
        <f t="shared" si="2124"/>
        <v>44434.034599877828</v>
      </c>
      <c r="CK219" s="23">
        <f t="shared" ref="CK219" si="2125">CJ171</f>
        <v>44438</v>
      </c>
      <c r="CL219" s="23">
        <f t="shared" ref="CL219" si="2126">CK171</f>
        <v>49775.752281411558</v>
      </c>
      <c r="CM219" s="24">
        <f t="shared" ref="CM219" si="2127">CL171</f>
        <v>35151</v>
      </c>
      <c r="CN219" s="24">
        <f t="shared" ref="CN219" si="2128">CM171</f>
        <v>40212.78402253869</v>
      </c>
      <c r="CO219" s="24">
        <f t="shared" ref="CO219" si="2129">CN171</f>
        <v>47280.908808620981</v>
      </c>
      <c r="CP219" s="24">
        <f t="shared" ref="CP219" si="2130">CO171</f>
        <v>54660.343595896484</v>
      </c>
      <c r="CQ219" s="24">
        <f t="shared" ref="CQ219" si="2131">CP171</f>
        <v>62254.057499193237</v>
      </c>
      <c r="CR219" s="24">
        <f t="shared" ref="CR219" si="2132">CQ171</f>
        <v>69888.409948084562</v>
      </c>
      <c r="CS219" s="24">
        <f t="shared" ref="CS219" si="2133">CR171</f>
        <v>77821.94749793259</v>
      </c>
      <c r="CT219" s="24">
        <f t="shared" ref="CT219" si="2134">CS171</f>
        <v>85801.896988807828</v>
      </c>
      <c r="CU219" s="24">
        <f t="shared" ref="CU219" si="2135">CT171</f>
        <v>93983.088158215935</v>
      </c>
      <c r="CV219" s="24">
        <f t="shared" ref="CV219" si="2136">CU171</f>
        <v>103699.67993461408</v>
      </c>
      <c r="CW219" s="24">
        <f t="shared" ref="CW219" si="2137">CV171</f>
        <v>113430.68809409064</v>
      </c>
      <c r="CX219" s="24">
        <f t="shared" ref="CX219" si="2138">CW171</f>
        <v>123105.89950152385</v>
      </c>
      <c r="CY219" s="24">
        <f t="shared" ref="CY219" si="2139">CX171</f>
        <v>132702.86596646052</v>
      </c>
      <c r="CZ219" s="24">
        <f t="shared" ref="CZ219" si="2140">CY171</f>
        <v>142937.12012054754</v>
      </c>
      <c r="DA219" s="24">
        <f t="shared" ref="DA219" si="2141">CZ171</f>
        <v>153352.721308087</v>
      </c>
      <c r="DB219" s="24">
        <f t="shared" ref="DB219" si="2142">DA171</f>
        <v>163995.42088191333</v>
      </c>
      <c r="DE219" s="123"/>
      <c r="DF219" s="23">
        <v>36937</v>
      </c>
      <c r="DG219" s="23">
        <v>49775.752281411558</v>
      </c>
    </row>
    <row r="220" spans="1:111" s="23" customFormat="1" x14ac:dyDescent="0.2">
      <c r="A220" s="23" t="s">
        <v>443</v>
      </c>
      <c r="C220" s="23">
        <f t="shared" ref="C220:W220" si="2143">C219+C215+C211+C209</f>
        <v>772.2199999999998</v>
      </c>
      <c r="D220" s="23">
        <f t="shared" si="2143"/>
        <v>1346.54</v>
      </c>
      <c r="E220" s="23">
        <f t="shared" si="2143"/>
        <v>2664.92</v>
      </c>
      <c r="F220" s="23">
        <f t="shared" si="2143"/>
        <v>2785</v>
      </c>
      <c r="G220" s="23">
        <f t="shared" si="2143"/>
        <v>4182</v>
      </c>
      <c r="H220" s="23">
        <f t="shared" si="2143"/>
        <v>5859</v>
      </c>
      <c r="I220" s="23">
        <f t="shared" si="2143"/>
        <v>7022</v>
      </c>
      <c r="J220" s="23">
        <f>J219+J215+J211+J209</f>
        <v>9695</v>
      </c>
      <c r="K220" s="23">
        <f>K219+K215+K211+K209</f>
        <v>14254</v>
      </c>
      <c r="L220" s="23">
        <f>L219+L215+L211+L209</f>
        <v>16806</v>
      </c>
      <c r="M220" s="23">
        <f>M219+M215+M211+M209</f>
        <v>20959</v>
      </c>
      <c r="N220" s="23">
        <f t="shared" si="2143"/>
        <v>23571</v>
      </c>
      <c r="O220" s="23">
        <f t="shared" si="2143"/>
        <v>28974</v>
      </c>
      <c r="P220" s="23">
        <f t="shared" si="2143"/>
        <v>31239</v>
      </c>
      <c r="Q220" s="23">
        <f t="shared" si="2143"/>
        <v>32772</v>
      </c>
      <c r="R220" s="23">
        <f t="shared" si="2143"/>
        <v>32595</v>
      </c>
      <c r="S220" s="23">
        <f t="shared" si="2143"/>
        <v>26225</v>
      </c>
      <c r="T220" s="23">
        <f t="shared" si="2143"/>
        <v>26195</v>
      </c>
      <c r="U220" s="23">
        <f t="shared" si="2143"/>
        <v>23304</v>
      </c>
      <c r="V220" s="23">
        <f t="shared" si="2143"/>
        <v>27056</v>
      </c>
      <c r="W220" s="23">
        <f t="shared" si="2143"/>
        <v>24145</v>
      </c>
      <c r="X220" s="23">
        <f t="shared" ref="X220:Y220" si="2144">X219+X215+X211+X209</f>
        <v>19082</v>
      </c>
      <c r="Y220" s="23">
        <f t="shared" si="2144"/>
        <v>27701</v>
      </c>
      <c r="Z220" s="23">
        <f t="shared" ref="Z220:AA220" si="2145">Z219+Z215+Z211+Z209</f>
        <v>36937</v>
      </c>
      <c r="AA220" s="23">
        <f t="shared" ref="AA220" si="2146">AA219+AA215+AA211+AA209</f>
        <v>35151</v>
      </c>
      <c r="AB220" s="24">
        <f t="shared" ref="AB220:AD220" si="2147">AB219+AB215+AB211+AB209</f>
        <v>62254.057499193237</v>
      </c>
      <c r="AC220" s="24">
        <f t="shared" si="2147"/>
        <v>93983.088158215949</v>
      </c>
      <c r="AD220" s="24">
        <f t="shared" si="2147"/>
        <v>132702.86596646055</v>
      </c>
      <c r="AE220" s="24">
        <f t="shared" ref="AE220" si="2148">AE219+AE215+AE211+AE209</f>
        <v>174945.20972765231</v>
      </c>
      <c r="AI220" s="23">
        <f t="shared" ref="AI220" si="2149">AI219+AI215+AI211+AI209</f>
        <v>0</v>
      </c>
      <c r="AJ220" s="23">
        <f t="shared" ref="AJ220:AL220" si="2150">AJ219+AJ215+AJ211+AJ209</f>
        <v>22505</v>
      </c>
      <c r="AK220" s="23">
        <f t="shared" si="2150"/>
        <v>24490.350983972407</v>
      </c>
      <c r="AL220" s="23">
        <f t="shared" si="2150"/>
        <v>23571</v>
      </c>
      <c r="AM220" s="23">
        <f t="shared" ref="AM220" si="2151">AM219+AM215+AM211+AM209</f>
        <v>25408.858618710543</v>
      </c>
      <c r="AN220" s="23">
        <f t="shared" ref="AN220:CD220" si="2152">AN219+AN215+AN211+AN209</f>
        <v>25881</v>
      </c>
      <c r="AO220" s="23">
        <f t="shared" si="2152"/>
        <v>28717.216891631317</v>
      </c>
      <c r="AP220" s="23">
        <f t="shared" si="2152"/>
        <v>29006</v>
      </c>
      <c r="AQ220" s="23">
        <f t="shared" si="2152"/>
        <v>31958.69436893204</v>
      </c>
      <c r="AR220" s="23">
        <f t="shared" si="2152"/>
        <v>32306</v>
      </c>
      <c r="AS220" s="23">
        <f t="shared" si="2152"/>
        <v>35252.981711887274</v>
      </c>
      <c r="AT220" s="23">
        <f t="shared" si="2152"/>
        <v>31241</v>
      </c>
      <c r="AU220" s="23">
        <f t="shared" si="2152"/>
        <v>33595.870554022818</v>
      </c>
      <c r="AV220" s="23">
        <f t="shared" si="2152"/>
        <v>30528</v>
      </c>
      <c r="AW220" s="23">
        <f t="shared" si="2152"/>
        <v>33817.328173968657</v>
      </c>
      <c r="AX220" s="23">
        <f t="shared" si="2152"/>
        <v>32772</v>
      </c>
      <c r="AY220" s="23">
        <f t="shared" si="2152"/>
        <v>36054.585619335347</v>
      </c>
      <c r="AZ220" s="23">
        <f t="shared" si="2152"/>
        <v>33886</v>
      </c>
      <c r="BA220" s="23">
        <f t="shared" si="2152"/>
        <v>37618.076718659737</v>
      </c>
      <c r="BB220" s="23">
        <f t="shared" si="2152"/>
        <v>32595</v>
      </c>
      <c r="BC220" s="23">
        <f t="shared" si="2152"/>
        <v>36107.328855140186</v>
      </c>
      <c r="BD220" s="23">
        <f t="shared" si="2152"/>
        <v>35461</v>
      </c>
      <c r="BE220" s="23">
        <f t="shared" si="2152"/>
        <v>40423.500597711616</v>
      </c>
      <c r="BF220" s="23">
        <f t="shared" si="2152"/>
        <v>26225</v>
      </c>
      <c r="BG220" s="23">
        <f t="shared" si="2152"/>
        <v>29117.641486479013</v>
      </c>
      <c r="BH220" s="23">
        <f t="shared" si="2152"/>
        <v>25431</v>
      </c>
      <c r="BI220" s="23">
        <f t="shared" si="2152"/>
        <v>28518.47503517881</v>
      </c>
      <c r="BJ220" s="23">
        <f t="shared" si="2152"/>
        <v>26195</v>
      </c>
      <c r="BK220" s="23">
        <f t="shared" si="2152"/>
        <v>29831.552950461948</v>
      </c>
      <c r="BL220" s="23">
        <f t="shared" si="2152"/>
        <v>19991</v>
      </c>
      <c r="BM220" s="23">
        <f t="shared" si="2152"/>
        <v>24163.169782137968</v>
      </c>
      <c r="BN220" s="23">
        <f t="shared" si="2152"/>
        <v>23304</v>
      </c>
      <c r="BO220" s="23">
        <f t="shared" si="2152"/>
        <v>27269.551252847377</v>
      </c>
      <c r="BP220" s="23">
        <f t="shared" si="2152"/>
        <v>26011</v>
      </c>
      <c r="BQ220" s="23">
        <f t="shared" si="2152"/>
        <v>30348.898046398048</v>
      </c>
      <c r="BR220" s="23">
        <f t="shared" si="2152"/>
        <v>27056</v>
      </c>
      <c r="BS220" s="23">
        <f t="shared" si="2152"/>
        <v>31248.048192771086</v>
      </c>
      <c r="BT220" s="23">
        <f t="shared" si="2152"/>
        <v>23039</v>
      </c>
      <c r="BU220" s="23">
        <f t="shared" si="2152"/>
        <v>27551.451624890207</v>
      </c>
      <c r="BV220" s="23">
        <f t="shared" si="2152"/>
        <v>24145</v>
      </c>
      <c r="BW220" s="23">
        <f t="shared" si="2152"/>
        <v>28243.089726112281</v>
      </c>
      <c r="BX220" s="23">
        <f t="shared" si="2152"/>
        <v>26647</v>
      </c>
      <c r="BY220" s="23">
        <f t="shared" si="2152"/>
        <v>32198.50714324812</v>
      </c>
      <c r="BZ220" s="23">
        <f t="shared" si="2152"/>
        <v>19082</v>
      </c>
      <c r="CA220" s="23">
        <f t="shared" si="2152"/>
        <v>24743.700194973419</v>
      </c>
      <c r="CB220" s="23">
        <f t="shared" si="2152"/>
        <v>23292</v>
      </c>
      <c r="CC220" s="23">
        <f t="shared" si="2152"/>
        <v>29509.171821305834</v>
      </c>
      <c r="CD220" s="23">
        <f t="shared" si="2152"/>
        <v>27701</v>
      </c>
      <c r="CE220" s="23">
        <f t="shared" ref="CE220:CF220" si="2153">CE219+CE215+CE211+CE209</f>
        <v>33105.945811249112</v>
      </c>
      <c r="CF220" s="23">
        <f t="shared" si="2153"/>
        <v>29231</v>
      </c>
      <c r="CG220" s="23">
        <f t="shared" ref="CG220:CH220" si="2154">CG219+CG215+CG211+CG209</f>
        <v>35502.236519787257</v>
      </c>
      <c r="CH220" s="23">
        <f t="shared" si="2154"/>
        <v>36937</v>
      </c>
      <c r="CI220" s="23">
        <f t="shared" ref="CI220:CJ220" si="2155">CI219+CI215+CI211+CI209</f>
        <v>44434.034599877828</v>
      </c>
      <c r="CJ220" s="23">
        <f t="shared" si="2155"/>
        <v>44438</v>
      </c>
      <c r="CK220" s="23">
        <f t="shared" ref="CK220:DB220" si="2156">CK219+CK215+CK211+CK209</f>
        <v>49775.752281411558</v>
      </c>
      <c r="CL220" s="23">
        <f t="shared" si="2156"/>
        <v>35151</v>
      </c>
      <c r="CM220" s="24">
        <f t="shared" si="2156"/>
        <v>40212.78402253869</v>
      </c>
      <c r="CN220" s="24">
        <f t="shared" si="2156"/>
        <v>47280.908808620981</v>
      </c>
      <c r="CO220" s="24">
        <f t="shared" si="2156"/>
        <v>54660.343595896484</v>
      </c>
      <c r="CP220" s="24">
        <f t="shared" si="2156"/>
        <v>62254.057499193237</v>
      </c>
      <c r="CQ220" s="24">
        <f t="shared" si="2156"/>
        <v>69888.409948084562</v>
      </c>
      <c r="CR220" s="24">
        <f t="shared" si="2156"/>
        <v>77821.94749793259</v>
      </c>
      <c r="CS220" s="24">
        <f t="shared" si="2156"/>
        <v>85801.896988807828</v>
      </c>
      <c r="CT220" s="24">
        <f t="shared" si="2156"/>
        <v>93983.088158215935</v>
      </c>
      <c r="CU220" s="24">
        <f t="shared" si="2156"/>
        <v>103699.67993461408</v>
      </c>
      <c r="CV220" s="24">
        <f t="shared" si="2156"/>
        <v>113430.68809409064</v>
      </c>
      <c r="CW220" s="24">
        <f t="shared" si="2156"/>
        <v>123105.89950152385</v>
      </c>
      <c r="CX220" s="24">
        <f t="shared" si="2156"/>
        <v>132702.86596646052</v>
      </c>
      <c r="CY220" s="24">
        <f t="shared" si="2156"/>
        <v>142937.12012054754</v>
      </c>
      <c r="CZ220" s="24">
        <f t="shared" si="2156"/>
        <v>153352.721308087</v>
      </c>
      <c r="DA220" s="24">
        <f t="shared" si="2156"/>
        <v>163995.42088191333</v>
      </c>
      <c r="DB220" s="24">
        <f t="shared" si="2156"/>
        <v>174945.20972765234</v>
      </c>
      <c r="DE220" s="123"/>
      <c r="DF220" s="23">
        <v>35151</v>
      </c>
      <c r="DG220" s="23">
        <v>56477.621528945856</v>
      </c>
    </row>
    <row r="221" spans="1:111" s="28" customFormat="1" x14ac:dyDescent="0.2">
      <c r="A221" s="28" t="s">
        <v>444</v>
      </c>
      <c r="C221" s="28">
        <f t="shared" ref="C221:W221" si="2157">C220-C171</f>
        <v>0</v>
      </c>
      <c r="D221" s="28">
        <f t="shared" si="2157"/>
        <v>0</v>
      </c>
      <c r="E221" s="28">
        <f t="shared" si="2157"/>
        <v>0</v>
      </c>
      <c r="F221" s="28">
        <f t="shared" si="2157"/>
        <v>0</v>
      </c>
      <c r="G221" s="28">
        <f t="shared" si="2157"/>
        <v>0</v>
      </c>
      <c r="H221" s="28">
        <f t="shared" si="2157"/>
        <v>0</v>
      </c>
      <c r="I221" s="28">
        <f t="shared" si="2157"/>
        <v>0</v>
      </c>
      <c r="J221" s="28">
        <f>J220-J171</f>
        <v>0</v>
      </c>
      <c r="K221" s="28">
        <f t="shared" si="2157"/>
        <v>0</v>
      </c>
      <c r="L221" s="28">
        <f t="shared" si="2157"/>
        <v>0</v>
      </c>
      <c r="M221" s="28">
        <f t="shared" si="2157"/>
        <v>0</v>
      </c>
      <c r="N221" s="28">
        <f t="shared" si="2157"/>
        <v>0</v>
      </c>
      <c r="O221" s="28">
        <f t="shared" si="2157"/>
        <v>0</v>
      </c>
      <c r="P221" s="28">
        <f t="shared" si="2157"/>
        <v>0</v>
      </c>
      <c r="Q221" s="28">
        <f t="shared" si="2157"/>
        <v>0</v>
      </c>
      <c r="R221" s="28">
        <f t="shared" si="2157"/>
        <v>0</v>
      </c>
      <c r="S221" s="28">
        <f t="shared" si="2157"/>
        <v>0</v>
      </c>
      <c r="T221" s="28">
        <f t="shared" si="2157"/>
        <v>0</v>
      </c>
      <c r="U221" s="28">
        <f t="shared" si="2157"/>
        <v>0</v>
      </c>
      <c r="V221" s="28">
        <f t="shared" si="2157"/>
        <v>0</v>
      </c>
      <c r="W221" s="28">
        <f t="shared" si="2157"/>
        <v>0</v>
      </c>
      <c r="X221" s="28">
        <f t="shared" ref="X221:Y221" si="2158">X220-X171</f>
        <v>0</v>
      </c>
      <c r="Y221" s="28">
        <f t="shared" si="2158"/>
        <v>0</v>
      </c>
      <c r="Z221" s="28">
        <f t="shared" ref="Z221:AA221" si="2159">Z220-Z171</f>
        <v>0</v>
      </c>
      <c r="AA221" s="28">
        <f t="shared" ref="AA221" si="2160">AA220-AA171</f>
        <v>0</v>
      </c>
      <c r="AB221" s="30">
        <f t="shared" ref="AB221:AD221" si="2161">AB220-AB171</f>
        <v>0</v>
      </c>
      <c r="AC221" s="30">
        <f t="shared" si="2161"/>
        <v>0</v>
      </c>
      <c r="AD221" s="30">
        <f t="shared" si="2161"/>
        <v>0</v>
      </c>
      <c r="AE221" s="30">
        <f t="shared" ref="AE221" si="2162">AE220-AE171</f>
        <v>0</v>
      </c>
      <c r="AI221" s="28">
        <f t="shared" ref="AI221" si="2163">AI220-AI171</f>
        <v>0</v>
      </c>
      <c r="AJ221" s="28">
        <f t="shared" ref="AJ221:AL221" si="2164">AJ220-AJ171</f>
        <v>0</v>
      </c>
      <c r="AK221" s="28">
        <f t="shared" si="2164"/>
        <v>0</v>
      </c>
      <c r="AL221" s="28">
        <f t="shared" si="2164"/>
        <v>0</v>
      </c>
      <c r="AM221" s="28">
        <f t="shared" ref="AM221" si="2165">AM220-AM171</f>
        <v>0</v>
      </c>
      <c r="AN221" s="28">
        <f t="shared" ref="AN221:CD221" si="2166">AN220-AN171</f>
        <v>0</v>
      </c>
      <c r="AO221" s="28">
        <f t="shared" si="2166"/>
        <v>0</v>
      </c>
      <c r="AP221" s="28">
        <f t="shared" si="2166"/>
        <v>0</v>
      </c>
      <c r="AQ221" s="28">
        <f t="shared" si="2166"/>
        <v>0</v>
      </c>
      <c r="AR221" s="28">
        <f t="shared" si="2166"/>
        <v>0</v>
      </c>
      <c r="AS221" s="28">
        <f t="shared" si="2166"/>
        <v>0</v>
      </c>
      <c r="AT221" s="28">
        <f t="shared" si="2166"/>
        <v>0</v>
      </c>
      <c r="AU221" s="28">
        <f t="shared" si="2166"/>
        <v>0</v>
      </c>
      <c r="AV221" s="28">
        <f t="shared" si="2166"/>
        <v>0</v>
      </c>
      <c r="AW221" s="28">
        <f t="shared" si="2166"/>
        <v>0</v>
      </c>
      <c r="AX221" s="28">
        <f t="shared" si="2166"/>
        <v>0</v>
      </c>
      <c r="AY221" s="28">
        <f t="shared" si="2166"/>
        <v>0</v>
      </c>
      <c r="AZ221" s="28">
        <f t="shared" si="2166"/>
        <v>0</v>
      </c>
      <c r="BA221" s="28">
        <f t="shared" si="2166"/>
        <v>0</v>
      </c>
      <c r="BB221" s="28">
        <f t="shared" si="2166"/>
        <v>0</v>
      </c>
      <c r="BC221" s="28">
        <f t="shared" si="2166"/>
        <v>0</v>
      </c>
      <c r="BD221" s="28">
        <f t="shared" si="2166"/>
        <v>0</v>
      </c>
      <c r="BE221" s="28">
        <f t="shared" si="2166"/>
        <v>0</v>
      </c>
      <c r="BF221" s="28">
        <f t="shared" si="2166"/>
        <v>0</v>
      </c>
      <c r="BG221" s="28">
        <f t="shared" si="2166"/>
        <v>0</v>
      </c>
      <c r="BH221" s="28">
        <f t="shared" si="2166"/>
        <v>0</v>
      </c>
      <c r="BI221" s="28">
        <f t="shared" si="2166"/>
        <v>0</v>
      </c>
      <c r="BJ221" s="28">
        <f t="shared" si="2166"/>
        <v>0</v>
      </c>
      <c r="BK221" s="28">
        <f t="shared" si="2166"/>
        <v>0</v>
      </c>
      <c r="BL221" s="28">
        <f t="shared" si="2166"/>
        <v>0</v>
      </c>
      <c r="BM221" s="28">
        <f t="shared" si="2166"/>
        <v>0</v>
      </c>
      <c r="BN221" s="28">
        <f t="shared" si="2166"/>
        <v>0</v>
      </c>
      <c r="BO221" s="28">
        <f t="shared" si="2166"/>
        <v>0</v>
      </c>
      <c r="BP221" s="28">
        <f t="shared" si="2166"/>
        <v>0</v>
      </c>
      <c r="BQ221" s="28">
        <f t="shared" si="2166"/>
        <v>0</v>
      </c>
      <c r="BR221" s="28">
        <f t="shared" si="2166"/>
        <v>0</v>
      </c>
      <c r="BS221" s="28">
        <f t="shared" si="2166"/>
        <v>0</v>
      </c>
      <c r="BT221" s="28">
        <f t="shared" si="2166"/>
        <v>0</v>
      </c>
      <c r="BU221" s="28">
        <f t="shared" si="2166"/>
        <v>0</v>
      </c>
      <c r="BV221" s="28">
        <f t="shared" si="2166"/>
        <v>0</v>
      </c>
      <c r="BW221" s="28">
        <f t="shared" si="2166"/>
        <v>0</v>
      </c>
      <c r="BX221" s="28">
        <f t="shared" si="2166"/>
        <v>0</v>
      </c>
      <c r="BY221" s="28">
        <f t="shared" si="2166"/>
        <v>0</v>
      </c>
      <c r="BZ221" s="28">
        <f t="shared" si="2166"/>
        <v>0</v>
      </c>
      <c r="CA221" s="28">
        <f t="shared" si="2166"/>
        <v>0</v>
      </c>
      <c r="CB221" s="28">
        <f t="shared" si="2166"/>
        <v>0</v>
      </c>
      <c r="CC221" s="28">
        <f t="shared" si="2166"/>
        <v>0</v>
      </c>
      <c r="CD221" s="28">
        <f t="shared" si="2166"/>
        <v>0</v>
      </c>
      <c r="CE221" s="28">
        <f t="shared" ref="CE221:CF221" si="2167">CE220-CE171</f>
        <v>0</v>
      </c>
      <c r="CF221" s="28">
        <f t="shared" si="2167"/>
        <v>0</v>
      </c>
      <c r="CG221" s="28">
        <f t="shared" ref="CG221:CH221" si="2168">CG220-CG171</f>
        <v>0</v>
      </c>
      <c r="CH221" s="28">
        <f t="shared" si="2168"/>
        <v>0</v>
      </c>
      <c r="CI221" s="28">
        <f t="shared" ref="CI221:CJ221" si="2169">CI220-CI171</f>
        <v>0</v>
      </c>
      <c r="CJ221" s="28">
        <f t="shared" si="2169"/>
        <v>0</v>
      </c>
      <c r="CK221" s="28">
        <f t="shared" ref="CK221:DB221" si="2170">CK220-CK171</f>
        <v>0</v>
      </c>
      <c r="CL221" s="28">
        <f t="shared" si="2170"/>
        <v>0</v>
      </c>
      <c r="CM221" s="30">
        <f t="shared" si="2170"/>
        <v>0</v>
      </c>
      <c r="CN221" s="30">
        <f t="shared" si="2170"/>
        <v>0</v>
      </c>
      <c r="CO221" s="30">
        <f t="shared" si="2170"/>
        <v>0</v>
      </c>
      <c r="CP221" s="30">
        <f t="shared" si="2170"/>
        <v>0</v>
      </c>
      <c r="CQ221" s="30">
        <f t="shared" si="2170"/>
        <v>0</v>
      </c>
      <c r="CR221" s="30">
        <f t="shared" si="2170"/>
        <v>0</v>
      </c>
      <c r="CS221" s="30">
        <f t="shared" si="2170"/>
        <v>0</v>
      </c>
      <c r="CT221" s="30">
        <f t="shared" si="2170"/>
        <v>0</v>
      </c>
      <c r="CU221" s="30">
        <f t="shared" si="2170"/>
        <v>0</v>
      </c>
      <c r="CV221" s="30">
        <f t="shared" si="2170"/>
        <v>0</v>
      </c>
      <c r="CW221" s="30">
        <f t="shared" si="2170"/>
        <v>0</v>
      </c>
      <c r="CX221" s="30">
        <f t="shared" si="2170"/>
        <v>0</v>
      </c>
      <c r="CY221" s="30">
        <f t="shared" si="2170"/>
        <v>0</v>
      </c>
      <c r="CZ221" s="30">
        <f t="shared" si="2170"/>
        <v>0</v>
      </c>
      <c r="DA221" s="30">
        <f t="shared" si="2170"/>
        <v>0</v>
      </c>
      <c r="DB221" s="30">
        <f t="shared" si="2170"/>
        <v>0</v>
      </c>
      <c r="DE221" s="139"/>
      <c r="DF221" s="28">
        <v>0</v>
      </c>
      <c r="DG221" s="28">
        <v>0</v>
      </c>
    </row>
    <row r="222" spans="1:111" s="23" customFormat="1" x14ac:dyDescent="0.2">
      <c r="AB222" s="24"/>
      <c r="AC222" s="24"/>
      <c r="AD222" s="24"/>
      <c r="AE222" s="24"/>
      <c r="CM222" s="24"/>
      <c r="CN222" s="24"/>
      <c r="CO222" s="24"/>
      <c r="CP222" s="24"/>
      <c r="CQ222" s="24"/>
      <c r="CR222" s="24"/>
      <c r="CS222" s="24"/>
      <c r="CT222" s="24"/>
      <c r="CU222" s="24"/>
      <c r="CV222" s="24"/>
      <c r="CW222" s="24"/>
      <c r="CX222" s="24"/>
      <c r="CY222" s="24"/>
      <c r="CZ222" s="24"/>
      <c r="DA222" s="24"/>
      <c r="DB222" s="24"/>
      <c r="DE222" s="123"/>
    </row>
    <row r="223" spans="1:111" s="22" customFormat="1" x14ac:dyDescent="0.2">
      <c r="A223" s="22" t="s">
        <v>96</v>
      </c>
      <c r="C223" s="22">
        <f t="shared" ref="C223:W223" si="2171">C209+C211</f>
        <v>504.44817029999962</v>
      </c>
      <c r="D223" s="22">
        <f t="shared" si="2171"/>
        <v>702.91000000000031</v>
      </c>
      <c r="E223" s="22">
        <f t="shared" si="2171"/>
        <v>2125.3599999999997</v>
      </c>
      <c r="F223" s="22">
        <f t="shared" si="2171"/>
        <v>35.220000000000141</v>
      </c>
      <c r="G223" s="22">
        <f t="shared" si="2171"/>
        <v>2140</v>
      </c>
      <c r="H223" s="22">
        <f t="shared" si="2171"/>
        <v>1308</v>
      </c>
      <c r="I223" s="22">
        <f t="shared" si="2171"/>
        <v>3286</v>
      </c>
      <c r="J223" s="22">
        <f>J209+J211</f>
        <v>4202</v>
      </c>
      <c r="K223" s="22">
        <f t="shared" si="2171"/>
        <v>6030</v>
      </c>
      <c r="L223" s="22">
        <f t="shared" si="2171"/>
        <v>6460</v>
      </c>
      <c r="M223" s="22">
        <f t="shared" si="2171"/>
        <v>7129</v>
      </c>
      <c r="N223" s="22">
        <f t="shared" si="2171"/>
        <v>5379</v>
      </c>
      <c r="O223" s="22">
        <f t="shared" si="2171"/>
        <v>9523</v>
      </c>
      <c r="P223" s="22">
        <f t="shared" si="2171"/>
        <v>8431</v>
      </c>
      <c r="Q223" s="22">
        <f t="shared" si="2171"/>
        <v>4014</v>
      </c>
      <c r="R223" s="22">
        <f t="shared" si="2171"/>
        <v>6938</v>
      </c>
      <c r="S223" s="22">
        <f t="shared" si="2171"/>
        <v>13717</v>
      </c>
      <c r="T223" s="22">
        <f t="shared" si="2171"/>
        <v>15292</v>
      </c>
      <c r="U223" s="22">
        <f t="shared" si="2171"/>
        <v>12865</v>
      </c>
      <c r="V223" s="22">
        <f t="shared" si="2171"/>
        <v>12165</v>
      </c>
      <c r="W223" s="22">
        <f t="shared" si="2171"/>
        <v>20245</v>
      </c>
      <c r="X223" s="22">
        <f t="shared" ref="X223:Y223" si="2172">X209+X211</f>
        <v>18973</v>
      </c>
      <c r="Y223" s="22">
        <f t="shared" si="2172"/>
        <v>22186</v>
      </c>
      <c r="Z223" s="22">
        <f t="shared" ref="Z223:AA223" si="2173">Z209+Z211</f>
        <v>28207</v>
      </c>
      <c r="AA223" s="22">
        <f t="shared" ref="AA223" si="2174">AA209+AA211</f>
        <v>30560</v>
      </c>
      <c r="AB223" s="21">
        <f t="shared" ref="AB223:AD223" si="2175">AB209+AB211</f>
        <v>27103.057499193237</v>
      </c>
      <c r="AC223" s="21">
        <f t="shared" si="2175"/>
        <v>31729.030659022712</v>
      </c>
      <c r="AD223" s="21">
        <f t="shared" si="2175"/>
        <v>38719.777808244602</v>
      </c>
      <c r="AE223" s="21">
        <f t="shared" ref="AE223" si="2176">AE209+AE211</f>
        <v>42242.343761191834</v>
      </c>
      <c r="AI223" s="22">
        <f t="shared" ref="AI223" si="2177">AI209+AI211</f>
        <v>2289</v>
      </c>
      <c r="AJ223" s="22">
        <f t="shared" ref="AJ223:AL223" si="2178">AJ209+AJ211</f>
        <v>-11142</v>
      </c>
      <c r="AK223" s="22">
        <f t="shared" si="2178"/>
        <v>1985.3509839724065</v>
      </c>
      <c r="AL223" s="22">
        <f t="shared" si="2178"/>
        <v>62.649016027593461</v>
      </c>
      <c r="AM223" s="22">
        <f t="shared" ref="AM223" si="2179">AM209+AM211</f>
        <v>1837.858618710542</v>
      </c>
      <c r="AN223" s="22">
        <f t="shared" ref="AN223:CD223" si="2180">AN209+AN211</f>
        <v>1851.141381289458</v>
      </c>
      <c r="AO223" s="22">
        <f t="shared" si="2180"/>
        <v>2836.2168916313149</v>
      </c>
      <c r="AP223" s="22">
        <f t="shared" si="2180"/>
        <v>1824.7831083686851</v>
      </c>
      <c r="AQ223" s="22">
        <f t="shared" si="2180"/>
        <v>2952.6943689320378</v>
      </c>
      <c r="AR223" s="22">
        <f t="shared" si="2180"/>
        <v>3277.3056310679622</v>
      </c>
      <c r="AS223" s="22">
        <f t="shared" si="2180"/>
        <v>2946.9817118872725</v>
      </c>
      <c r="AT223" s="22">
        <f t="shared" si="2180"/>
        <v>-1845.9817118872725</v>
      </c>
      <c r="AU223" s="22">
        <f t="shared" si="2180"/>
        <v>2354.8705540228166</v>
      </c>
      <c r="AV223" s="22">
        <f t="shared" si="2180"/>
        <v>776.12944597718342</v>
      </c>
      <c r="AW223" s="22">
        <f t="shared" si="2180"/>
        <v>3289.328173968659</v>
      </c>
      <c r="AX223" s="22">
        <f t="shared" si="2180"/>
        <v>1617.671826031341</v>
      </c>
      <c r="AY223" s="22">
        <f t="shared" si="2180"/>
        <v>3282.5856193353466</v>
      </c>
      <c r="AZ223" s="22">
        <f t="shared" si="2180"/>
        <v>1792.4143806646534</v>
      </c>
      <c r="BA223" s="22">
        <f t="shared" si="2180"/>
        <v>3732.076718659735</v>
      </c>
      <c r="BB223" s="22">
        <f t="shared" si="2180"/>
        <v>-1869.076718659735</v>
      </c>
      <c r="BC223" s="22">
        <f t="shared" si="2180"/>
        <v>3512.3288551401838</v>
      </c>
      <c r="BD223" s="22">
        <f t="shared" si="2180"/>
        <v>3174.6711448598162</v>
      </c>
      <c r="BE223" s="22">
        <f t="shared" si="2180"/>
        <v>4962.5005977116143</v>
      </c>
      <c r="BF223" s="22">
        <f t="shared" si="2180"/>
        <v>2066.4994022883857</v>
      </c>
      <c r="BG223" s="22">
        <f t="shared" si="2180"/>
        <v>2892.6414864790131</v>
      </c>
      <c r="BH223" s="22">
        <f t="shared" si="2180"/>
        <v>3810.3585135209869</v>
      </c>
      <c r="BI223" s="22">
        <f t="shared" si="2180"/>
        <v>3087.475035178808</v>
      </c>
      <c r="BJ223" s="22">
        <f t="shared" si="2180"/>
        <v>5502.524964821192</v>
      </c>
      <c r="BK223" s="22">
        <f t="shared" si="2180"/>
        <v>3636.5529504619481</v>
      </c>
      <c r="BL223" s="22">
        <f t="shared" si="2180"/>
        <v>2101.4470495380519</v>
      </c>
      <c r="BM223" s="22">
        <f t="shared" si="2180"/>
        <v>4172.1697821379676</v>
      </c>
      <c r="BN223" s="22">
        <f t="shared" si="2180"/>
        <v>2955.8302178620324</v>
      </c>
      <c r="BO223" s="22">
        <f t="shared" si="2180"/>
        <v>3965.5512528473773</v>
      </c>
      <c r="BP223" s="22">
        <f t="shared" si="2180"/>
        <v>2229.4487471526227</v>
      </c>
      <c r="BQ223" s="22">
        <f t="shared" si="2180"/>
        <v>4337.8980463980479</v>
      </c>
      <c r="BR223" s="22">
        <f t="shared" si="2180"/>
        <v>1632.1019536019521</v>
      </c>
      <c r="BS223" s="22">
        <f t="shared" si="2180"/>
        <v>4192.0481927710862</v>
      </c>
      <c r="BT223" s="22">
        <f t="shared" si="2180"/>
        <v>8840.9518072289138</v>
      </c>
      <c r="BU223" s="22">
        <f t="shared" si="2180"/>
        <v>4512.4516248902073</v>
      </c>
      <c r="BV223" s="22">
        <f t="shared" si="2180"/>
        <v>2700.5483751097927</v>
      </c>
      <c r="BW223" s="22">
        <f t="shared" si="2180"/>
        <v>4098.0897261122809</v>
      </c>
      <c r="BX223" s="22">
        <f t="shared" si="2180"/>
        <v>5173.9102738877191</v>
      </c>
      <c r="BY223" s="22">
        <f t="shared" si="2180"/>
        <v>5551.50714324812</v>
      </c>
      <c r="BZ223" s="22">
        <f t="shared" si="2180"/>
        <v>4149.49285675188</v>
      </c>
      <c r="CA223" s="22">
        <f t="shared" si="2180"/>
        <v>5661.7001949734185</v>
      </c>
      <c r="CB223" s="22">
        <f t="shared" si="2180"/>
        <v>5346.2998050265815</v>
      </c>
      <c r="CC223" s="22">
        <f t="shared" si="2180"/>
        <v>6217.1718213058339</v>
      </c>
      <c r="CD223" s="22">
        <f t="shared" si="2180"/>
        <v>4959.8281786941661</v>
      </c>
      <c r="CE223" s="22">
        <f t="shared" ref="CE223:CF223" si="2181">CE209+CE211</f>
        <v>5404.945811249112</v>
      </c>
      <c r="CF223" s="22">
        <f t="shared" si="2181"/>
        <v>6630.054188750888</v>
      </c>
      <c r="CG223" s="22">
        <f t="shared" ref="CG223:CH223" si="2182">CG209+CG211</f>
        <v>6271.2365197872568</v>
      </c>
      <c r="CH223" s="22">
        <f t="shared" si="2182"/>
        <v>9900.7634802127432</v>
      </c>
      <c r="CI223" s="22">
        <f t="shared" ref="CI223:CJ223" si="2183">CI209+CI211</f>
        <v>7497.0345998778284</v>
      </c>
      <c r="CJ223" s="22">
        <f t="shared" si="2183"/>
        <v>6747.9654001221716</v>
      </c>
      <c r="CK223" s="22">
        <f t="shared" ref="CK223:DB223" si="2184">CK209+CK211</f>
        <v>5337.7522814115582</v>
      </c>
      <c r="CL223" s="22">
        <f t="shared" si="2184"/>
        <v>10977.247718588442</v>
      </c>
      <c r="CM223" s="21">
        <f t="shared" si="2184"/>
        <v>5061.7840225386863</v>
      </c>
      <c r="CN223" s="21">
        <f t="shared" si="2184"/>
        <v>7068.1247860822878</v>
      </c>
      <c r="CO223" s="21">
        <f t="shared" si="2184"/>
        <v>7379.4347872755025</v>
      </c>
      <c r="CP223" s="21">
        <f t="shared" si="2184"/>
        <v>7593.7139032967534</v>
      </c>
      <c r="CQ223" s="21">
        <f t="shared" si="2184"/>
        <v>7634.3524488913245</v>
      </c>
      <c r="CR223" s="21">
        <f t="shared" si="2184"/>
        <v>7933.5375498480316</v>
      </c>
      <c r="CS223" s="21">
        <f t="shared" si="2184"/>
        <v>7979.9494908752458</v>
      </c>
      <c r="CT223" s="21">
        <f t="shared" si="2184"/>
        <v>8181.1911694081118</v>
      </c>
      <c r="CU223" s="21">
        <f t="shared" si="2184"/>
        <v>9716.5917763981433</v>
      </c>
      <c r="CV223" s="21">
        <f t="shared" si="2184"/>
        <v>9731.0081594765725</v>
      </c>
      <c r="CW223" s="21">
        <f t="shared" si="2184"/>
        <v>9675.211407433213</v>
      </c>
      <c r="CX223" s="21">
        <f t="shared" si="2184"/>
        <v>9596.9664649366787</v>
      </c>
      <c r="CY223" s="21">
        <f t="shared" si="2184"/>
        <v>10234.25415408701</v>
      </c>
      <c r="CZ223" s="21">
        <f t="shared" si="2184"/>
        <v>10415.601187539462</v>
      </c>
      <c r="DA223" s="21">
        <f t="shared" si="2184"/>
        <v>10642.699573826347</v>
      </c>
      <c r="DB223" s="21">
        <f t="shared" si="2184"/>
        <v>10949.788845739004</v>
      </c>
      <c r="DE223" s="126"/>
      <c r="DF223" s="22">
        <v>30560</v>
      </c>
      <c r="DG223" s="22">
        <v>6701.8692475342978</v>
      </c>
    </row>
    <row r="224" spans="1:111" x14ac:dyDescent="0.2">
      <c r="A224" s="152" t="s">
        <v>496</v>
      </c>
      <c r="AA224" s="2"/>
    </row>
    <row r="225" spans="1:111" x14ac:dyDescent="0.2">
      <c r="AA225" s="2"/>
    </row>
    <row r="226" spans="1:111" s="7" customFormat="1" hidden="1" outlineLevel="1" x14ac:dyDescent="0.2">
      <c r="A226" s="61" t="s">
        <v>97</v>
      </c>
      <c r="AB226" s="77"/>
      <c r="AC226" s="77"/>
      <c r="AD226" s="77"/>
      <c r="AE226" s="77"/>
      <c r="CM226" s="50"/>
      <c r="CN226" s="50"/>
      <c r="CO226" s="50"/>
      <c r="CP226" s="50"/>
      <c r="CQ226" s="50"/>
      <c r="CR226" s="50"/>
      <c r="CS226" s="50"/>
      <c r="CT226" s="50"/>
      <c r="CU226" s="50"/>
      <c r="CV226" s="50"/>
      <c r="CW226" s="50"/>
      <c r="CX226" s="50"/>
      <c r="CY226" s="50"/>
      <c r="CZ226" s="50"/>
      <c r="DA226" s="50"/>
      <c r="DB226" s="50"/>
      <c r="DE226" s="138"/>
    </row>
    <row r="227" spans="1:111" s="62" customFormat="1" hidden="1" outlineLevel="1" x14ac:dyDescent="0.2">
      <c r="A227" s="62" t="s">
        <v>98</v>
      </c>
      <c r="AB227" s="63"/>
      <c r="AC227" s="63"/>
      <c r="AD227" s="63"/>
      <c r="AE227" s="63"/>
      <c r="CM227" s="30"/>
      <c r="CN227" s="30"/>
      <c r="CO227" s="30"/>
      <c r="CP227" s="30"/>
      <c r="CQ227" s="30"/>
      <c r="CR227" s="30"/>
      <c r="CS227" s="30"/>
      <c r="CT227" s="30"/>
      <c r="CU227" s="30"/>
      <c r="CV227" s="30"/>
      <c r="CW227" s="30"/>
      <c r="CX227" s="30"/>
      <c r="CY227" s="30"/>
      <c r="CZ227" s="30"/>
      <c r="DA227" s="30"/>
      <c r="DB227" s="30"/>
      <c r="DE227" s="139"/>
    </row>
    <row r="228" spans="1:111" s="62" customFormat="1" hidden="1" outlineLevel="1" x14ac:dyDescent="0.2">
      <c r="A228" s="62" t="s">
        <v>99</v>
      </c>
      <c r="AB228" s="63"/>
      <c r="AC228" s="63"/>
      <c r="AD228" s="63"/>
      <c r="AE228" s="63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E228" s="139"/>
    </row>
    <row r="229" spans="1:111" s="62" customFormat="1" hidden="1" outlineLevel="1" x14ac:dyDescent="0.2">
      <c r="A229" s="62" t="s">
        <v>100</v>
      </c>
      <c r="AB229" s="63"/>
      <c r="AC229" s="63"/>
      <c r="AD229" s="63"/>
      <c r="AE229" s="63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E229" s="139"/>
    </row>
    <row r="230" spans="1:111" s="62" customFormat="1" hidden="1" outlineLevel="1" x14ac:dyDescent="0.2">
      <c r="AB230" s="63"/>
      <c r="AC230" s="63"/>
      <c r="AD230" s="63"/>
      <c r="AE230" s="63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E230" s="139"/>
    </row>
    <row r="231" spans="1:111" s="62" customFormat="1" hidden="1" outlineLevel="1" x14ac:dyDescent="0.2">
      <c r="AB231" s="63"/>
      <c r="AC231" s="63"/>
      <c r="AD231" s="63"/>
      <c r="AE231" s="63"/>
      <c r="CM231" s="30"/>
      <c r="CN231" s="30"/>
      <c r="CO231" s="30"/>
      <c r="CP231" s="30"/>
      <c r="CQ231" s="30"/>
      <c r="CR231" s="30"/>
      <c r="CS231" s="30"/>
      <c r="CT231" s="30"/>
      <c r="CU231" s="30"/>
      <c r="CV231" s="30"/>
      <c r="CW231" s="30"/>
      <c r="CX231" s="30"/>
      <c r="CY231" s="30"/>
      <c r="CZ231" s="30"/>
      <c r="DA231" s="30"/>
      <c r="DB231" s="30"/>
      <c r="DE231" s="139"/>
    </row>
    <row r="232" spans="1:111" s="62" customFormat="1" hidden="1" outlineLevel="1" x14ac:dyDescent="0.2">
      <c r="AB232" s="63"/>
      <c r="AC232" s="63"/>
      <c r="AD232" s="63"/>
      <c r="AE232" s="63"/>
      <c r="CM232" s="30"/>
      <c r="CN232" s="30"/>
      <c r="CO232" s="30"/>
      <c r="CP232" s="30"/>
      <c r="CQ232" s="30"/>
      <c r="CR232" s="30"/>
      <c r="CS232" s="30"/>
      <c r="CT232" s="30"/>
      <c r="CU232" s="30"/>
      <c r="CV232" s="30"/>
      <c r="CW232" s="30"/>
      <c r="CX232" s="30"/>
      <c r="CY232" s="30"/>
      <c r="CZ232" s="30"/>
      <c r="DA232" s="30"/>
      <c r="DB232" s="30"/>
      <c r="DE232" s="139"/>
    </row>
    <row r="233" spans="1:111" s="11" customFormat="1" collapsed="1" x14ac:dyDescent="0.2">
      <c r="AB233" s="63"/>
      <c r="AC233" s="63"/>
      <c r="AD233" s="63"/>
      <c r="AE233" s="63"/>
      <c r="CM233" s="30"/>
      <c r="CN233" s="30"/>
      <c r="CO233" s="30"/>
      <c r="CP233" s="30"/>
      <c r="CQ233" s="30"/>
      <c r="CR233" s="30"/>
      <c r="CS233" s="30"/>
      <c r="CT233" s="30"/>
      <c r="CU233" s="30"/>
      <c r="CV233" s="30"/>
      <c r="CW233" s="30"/>
      <c r="CX233" s="30"/>
      <c r="CY233" s="30"/>
      <c r="CZ233" s="30"/>
      <c r="DA233" s="30"/>
      <c r="DB233" s="30"/>
      <c r="DE233" s="139"/>
    </row>
    <row r="234" spans="1:111" s="83" customFormat="1" x14ac:dyDescent="0.2">
      <c r="A234" s="82" t="s">
        <v>101</v>
      </c>
      <c r="AB234" s="72"/>
      <c r="AC234" s="72"/>
      <c r="AD234" s="72"/>
      <c r="AE234" s="72"/>
      <c r="CM234" s="30"/>
      <c r="CN234" s="30"/>
      <c r="CO234" s="30"/>
      <c r="CP234" s="30"/>
      <c r="CQ234" s="30"/>
      <c r="CR234" s="30"/>
      <c r="CS234" s="30"/>
      <c r="CT234" s="30"/>
      <c r="CU234" s="30"/>
      <c r="CV234" s="30"/>
      <c r="CW234" s="30"/>
      <c r="CX234" s="30"/>
      <c r="CY234" s="30"/>
      <c r="CZ234" s="30"/>
      <c r="DA234" s="30"/>
      <c r="DB234" s="30"/>
      <c r="DE234" s="139"/>
    </row>
    <row r="235" spans="1:111" s="66" customFormat="1" x14ac:dyDescent="0.2">
      <c r="A235" s="66" t="s">
        <v>471</v>
      </c>
      <c r="AB235" s="50"/>
      <c r="AC235" s="50"/>
      <c r="AD235" s="50"/>
      <c r="AE235" s="50"/>
      <c r="AL235" s="66">
        <f t="shared" ref="AL235:BQ235" si="2185">SUM(AI20:AL20)</f>
        <v>40318</v>
      </c>
      <c r="AM235" s="66">
        <f t="shared" si="2185"/>
        <v>42003</v>
      </c>
      <c r="AN235" s="66">
        <f t="shared" si="2185"/>
        <v>45024</v>
      </c>
      <c r="AO235" s="66">
        <f t="shared" si="2185"/>
        <v>47626</v>
      </c>
      <c r="AP235" s="66">
        <f t="shared" si="2185"/>
        <v>50047</v>
      </c>
      <c r="AQ235" s="66">
        <f t="shared" si="2185"/>
        <v>51550</v>
      </c>
      <c r="AR235" s="66">
        <f t="shared" si="2185"/>
        <v>52013</v>
      </c>
      <c r="AS235" s="66">
        <f t="shared" si="2185"/>
        <v>52783</v>
      </c>
      <c r="AT235" s="66">
        <f t="shared" si="2185"/>
        <v>53319</v>
      </c>
      <c r="AU235" s="66">
        <f t="shared" si="2185"/>
        <v>54903</v>
      </c>
      <c r="AV235" s="66">
        <f t="shared" si="2185"/>
        <v>57196</v>
      </c>
      <c r="AW235" s="66">
        <f t="shared" si="2185"/>
        <v>59302</v>
      </c>
      <c r="AX235" s="66">
        <f t="shared" si="2185"/>
        <v>62441</v>
      </c>
      <c r="AY235" s="66">
        <f t="shared" si="2185"/>
        <v>64869</v>
      </c>
      <c r="AZ235" s="66">
        <f t="shared" si="2185"/>
        <v>66544</v>
      </c>
      <c r="BA235" s="66">
        <f t="shared" si="2185"/>
        <v>67915</v>
      </c>
      <c r="BB235" s="66">
        <f t="shared" si="2185"/>
        <v>68485</v>
      </c>
      <c r="BC235" s="66">
        <f t="shared" si="2185"/>
        <v>68781</v>
      </c>
      <c r="BD235" s="66">
        <f t="shared" si="2185"/>
        <v>69038</v>
      </c>
      <c r="BE235" s="66">
        <f t="shared" si="2185"/>
        <v>69559</v>
      </c>
      <c r="BF235" s="66">
        <f t="shared" si="2185"/>
        <v>70522</v>
      </c>
      <c r="BG235" s="66">
        <f t="shared" si="2185"/>
        <v>72572</v>
      </c>
      <c r="BH235" s="66">
        <f t="shared" si="2185"/>
        <v>75614</v>
      </c>
      <c r="BI235" s="66">
        <f t="shared" si="2185"/>
        <v>79220</v>
      </c>
      <c r="BJ235" s="66">
        <f t="shared" si="2185"/>
        <v>82676</v>
      </c>
      <c r="BK235" s="66">
        <f t="shared" si="2185"/>
        <v>85351</v>
      </c>
      <c r="BL235" s="66">
        <f t="shared" si="2185"/>
        <v>87371</v>
      </c>
      <c r="BM235" s="66">
        <f t="shared" si="2185"/>
        <v>89063</v>
      </c>
      <c r="BN235" s="66">
        <f t="shared" si="2185"/>
        <v>90791</v>
      </c>
      <c r="BO235" s="66">
        <f t="shared" si="2185"/>
        <v>92653</v>
      </c>
      <c r="BP235" s="66">
        <f t="shared" si="2185"/>
        <v>94594</v>
      </c>
      <c r="BQ235" s="66">
        <f t="shared" si="2185"/>
        <v>97429</v>
      </c>
      <c r="BR235" s="66">
        <f t="shared" ref="BR235:CW235" si="2186">SUM(BO20:BR20)</f>
        <v>100473</v>
      </c>
      <c r="BS235" s="66">
        <f t="shared" si="2186"/>
        <v>104704</v>
      </c>
      <c r="BT235" s="66">
        <f t="shared" si="2186"/>
        <v>109736</v>
      </c>
      <c r="BU235" s="66">
        <f t="shared" si="2186"/>
        <v>115676</v>
      </c>
      <c r="BV235" s="66">
        <f t="shared" si="2186"/>
        <v>121641</v>
      </c>
      <c r="BW235" s="66">
        <f t="shared" si="2186"/>
        <v>128215</v>
      </c>
      <c r="BX235" s="66">
        <f t="shared" si="2186"/>
        <v>135151</v>
      </c>
      <c r="BY235" s="66">
        <f t="shared" si="2186"/>
        <v>141602</v>
      </c>
      <c r="BZ235" s="66">
        <f t="shared" si="2186"/>
        <v>146767</v>
      </c>
      <c r="CA235" s="66">
        <f t="shared" si="2186"/>
        <v>150230</v>
      </c>
      <c r="CB235" s="66">
        <f t="shared" si="2186"/>
        <v>152686</v>
      </c>
      <c r="CC235" s="66">
        <f t="shared" si="2186"/>
        <v>153189</v>
      </c>
      <c r="CD235" s="66">
        <f t="shared" si="2186"/>
        <v>153671</v>
      </c>
      <c r="CE235" s="66">
        <f t="shared" si="2186"/>
        <v>155053</v>
      </c>
      <c r="CF235" s="66">
        <f t="shared" si="2186"/>
        <v>157045</v>
      </c>
      <c r="CG235" s="66">
        <f t="shared" si="2186"/>
        <v>159988</v>
      </c>
      <c r="CH235" s="66">
        <f t="shared" si="2186"/>
        <v>162990</v>
      </c>
      <c r="CI235" s="66">
        <f t="shared" si="2186"/>
        <v>165954</v>
      </c>
      <c r="CJ235" s="66">
        <f t="shared" si="2186"/>
        <v>169458</v>
      </c>
      <c r="CK235" s="66">
        <f t="shared" si="2186"/>
        <v>173173</v>
      </c>
      <c r="CL235" s="66">
        <f t="shared" si="2186"/>
        <v>178650</v>
      </c>
      <c r="CM235" s="50">
        <f t="shared" si="2186"/>
        <v>183640.72360252394</v>
      </c>
      <c r="CN235" s="50">
        <f t="shared" si="2186"/>
        <v>186998.22254143844</v>
      </c>
      <c r="CO235" s="50">
        <f t="shared" si="2186"/>
        <v>189834.61189535871</v>
      </c>
      <c r="CP235" s="50">
        <f t="shared" si="2186"/>
        <v>192220.65826017852</v>
      </c>
      <c r="CQ235" s="50">
        <f t="shared" si="2186"/>
        <v>194476.71249409346</v>
      </c>
      <c r="CR235" s="50">
        <f t="shared" si="2186"/>
        <v>196859.56525201147</v>
      </c>
      <c r="CS235" s="50">
        <f t="shared" si="2186"/>
        <v>199514.28362899859</v>
      </c>
      <c r="CT235" s="50">
        <f t="shared" si="2186"/>
        <v>202510.05183883719</v>
      </c>
      <c r="CU235" s="50">
        <f t="shared" si="2186"/>
        <v>205804.27265784194</v>
      </c>
      <c r="CV235" s="50">
        <f t="shared" si="2186"/>
        <v>209515.39221150542</v>
      </c>
      <c r="CW235" s="50">
        <f t="shared" si="2186"/>
        <v>213726.51198693051</v>
      </c>
      <c r="CX235" s="50">
        <f t="shared" ref="CX235:DB235" si="2187">SUM(CU20:CX20)</f>
        <v>218506.07021217016</v>
      </c>
      <c r="CY235" s="50">
        <f t="shared" si="2187"/>
        <v>223794.64989358291</v>
      </c>
      <c r="CZ235" s="50">
        <f t="shared" si="2187"/>
        <v>229655.34371305423</v>
      </c>
      <c r="DA235" s="50">
        <f t="shared" si="2187"/>
        <v>236137.53518517566</v>
      </c>
      <c r="DB235" s="50">
        <f t="shared" si="2187"/>
        <v>243282.25157677682</v>
      </c>
      <c r="DE235" s="138"/>
      <c r="DG235" s="66">
        <v>177204.61879843654</v>
      </c>
    </row>
    <row r="236" spans="1:111" s="66" customFormat="1" x14ac:dyDescent="0.2">
      <c r="A236" s="66" t="s">
        <v>472</v>
      </c>
      <c r="AB236" s="50"/>
      <c r="AC236" s="50"/>
      <c r="AD236" s="50"/>
      <c r="AE236" s="50"/>
      <c r="AL236" s="66">
        <f t="shared" ref="AL236:BQ236" si="2188">SUM(AI38:AL38)</f>
        <v>10395</v>
      </c>
      <c r="AM236" s="66">
        <f t="shared" si="2188"/>
        <v>10400</v>
      </c>
      <c r="AN236" s="66">
        <f t="shared" si="2188"/>
        <v>10554</v>
      </c>
      <c r="AO236" s="66">
        <f t="shared" si="2188"/>
        <v>11136</v>
      </c>
      <c r="AP236" s="66">
        <f t="shared" si="2188"/>
        <v>11955</v>
      </c>
      <c r="AQ236" s="66">
        <f t="shared" si="2188"/>
        <v>12502</v>
      </c>
      <c r="AR236" s="66">
        <f t="shared" si="2188"/>
        <v>13234</v>
      </c>
      <c r="AS236" s="66">
        <f t="shared" si="2188"/>
        <v>13664</v>
      </c>
      <c r="AT236" s="66">
        <f t="shared" si="2188"/>
        <v>13832</v>
      </c>
      <c r="AU236" s="66">
        <f t="shared" si="2188"/>
        <v>14381</v>
      </c>
      <c r="AV236" s="66">
        <f t="shared" si="2188"/>
        <v>15249</v>
      </c>
      <c r="AW236" s="66">
        <f t="shared" si="2188"/>
        <v>15888</v>
      </c>
      <c r="AX236" s="66">
        <f t="shared" si="2188"/>
        <v>17078</v>
      </c>
      <c r="AY236" s="66">
        <f t="shared" si="2188"/>
        <v>17765</v>
      </c>
      <c r="AZ236" s="66">
        <f t="shared" si="2188"/>
        <v>18147</v>
      </c>
      <c r="BA236" s="66">
        <f t="shared" si="2188"/>
        <v>18586</v>
      </c>
      <c r="BB236" s="66">
        <f t="shared" si="2188"/>
        <v>18605</v>
      </c>
      <c r="BC236" s="66">
        <f t="shared" si="2188"/>
        <v>18719</v>
      </c>
      <c r="BD236" s="66">
        <f t="shared" si="2188"/>
        <v>18688</v>
      </c>
      <c r="BE236" s="66">
        <f t="shared" si="2188"/>
        <v>18738</v>
      </c>
      <c r="BF236" s="66">
        <f t="shared" si="2188"/>
        <v>18892</v>
      </c>
      <c r="BG236" s="66">
        <f t="shared" si="2188"/>
        <v>19034</v>
      </c>
      <c r="BH236" s="66">
        <f t="shared" si="2188"/>
        <v>19689</v>
      </c>
      <c r="BI236" s="66">
        <f t="shared" si="2188"/>
        <v>19831</v>
      </c>
      <c r="BJ236" s="66">
        <f t="shared" si="2188"/>
        <v>20168</v>
      </c>
      <c r="BK236" s="66">
        <f t="shared" si="2188"/>
        <v>20617</v>
      </c>
      <c r="BL236" s="66">
        <f t="shared" si="2188"/>
        <v>20899</v>
      </c>
      <c r="BM236" s="66">
        <f t="shared" si="2188"/>
        <v>21741</v>
      </c>
      <c r="BN236" s="66">
        <f t="shared" si="2188"/>
        <v>22268</v>
      </c>
      <c r="BO236" s="66">
        <f t="shared" si="2188"/>
        <v>23237</v>
      </c>
      <c r="BP236" s="66">
        <f t="shared" si="2188"/>
        <v>24681</v>
      </c>
      <c r="BQ236" s="66">
        <f t="shared" si="2188"/>
        <v>26295</v>
      </c>
      <c r="BR236" s="66">
        <f t="shared" ref="BR236:CW236" si="2189">SUM(BO38:BR38)</f>
        <v>27890</v>
      </c>
      <c r="BS236" s="66">
        <f t="shared" si="2189"/>
        <v>29201</v>
      </c>
      <c r="BT236" s="66">
        <f t="shared" si="2189"/>
        <v>29949</v>
      </c>
      <c r="BU236" s="66">
        <f t="shared" si="2189"/>
        <v>30917</v>
      </c>
      <c r="BV236" s="66">
        <f t="shared" si="2189"/>
        <v>31492</v>
      </c>
      <c r="BW236" s="66">
        <f t="shared" si="2189"/>
        <v>31924</v>
      </c>
      <c r="BX236" s="66">
        <f t="shared" si="2189"/>
        <v>32995</v>
      </c>
      <c r="BY236" s="66">
        <f t="shared" si="2189"/>
        <v>33979</v>
      </c>
      <c r="BZ236" s="66">
        <f t="shared" si="2189"/>
        <v>35131</v>
      </c>
      <c r="CA236" s="66">
        <f t="shared" si="2189"/>
        <v>36331</v>
      </c>
      <c r="CB236" s="66">
        <f t="shared" si="2189"/>
        <v>36869</v>
      </c>
      <c r="CC236" s="66">
        <f t="shared" si="2189"/>
        <v>36639</v>
      </c>
      <c r="CD236" s="66">
        <f t="shared" si="2189"/>
        <v>36425</v>
      </c>
      <c r="CE236" s="66">
        <f t="shared" si="2189"/>
        <v>36798</v>
      </c>
      <c r="CF236" s="66">
        <f t="shared" si="2189"/>
        <v>37167</v>
      </c>
      <c r="CG236" s="66">
        <f t="shared" si="2189"/>
        <v>38145</v>
      </c>
      <c r="CH236" s="66">
        <f t="shared" si="2189"/>
        <v>39235</v>
      </c>
      <c r="CI236" s="66">
        <f t="shared" si="2189"/>
        <v>39741</v>
      </c>
      <c r="CJ236" s="66">
        <f t="shared" si="2189"/>
        <v>40467</v>
      </c>
      <c r="CK236" s="66">
        <f t="shared" si="2189"/>
        <v>40986</v>
      </c>
      <c r="CL236" s="66">
        <f t="shared" si="2189"/>
        <v>42279</v>
      </c>
      <c r="CM236" s="50">
        <f t="shared" si="2189"/>
        <v>43520.614269689177</v>
      </c>
      <c r="CN236" s="50">
        <f t="shared" si="2189"/>
        <v>44324.124168450377</v>
      </c>
      <c r="CO236" s="50">
        <f t="shared" si="2189"/>
        <v>45141.649545311753</v>
      </c>
      <c r="CP236" s="50">
        <f t="shared" si="2189"/>
        <v>45577.158292552929</v>
      </c>
      <c r="CQ236" s="50">
        <f t="shared" si="2189"/>
        <v>46426.780659480064</v>
      </c>
      <c r="CR236" s="50">
        <f t="shared" si="2189"/>
        <v>47372.981861169792</v>
      </c>
      <c r="CS236" s="50">
        <f t="shared" si="2189"/>
        <v>48184.705468906483</v>
      </c>
      <c r="CT236" s="50">
        <f t="shared" si="2189"/>
        <v>49087.577611092216</v>
      </c>
      <c r="CU236" s="50">
        <f t="shared" si="2189"/>
        <v>48933.149113917381</v>
      </c>
      <c r="CV236" s="50">
        <f t="shared" si="2189"/>
        <v>48529.335257580547</v>
      </c>
      <c r="CW236" s="50">
        <f t="shared" si="2189"/>
        <v>48074.538461173986</v>
      </c>
      <c r="CX236" s="50">
        <f t="shared" ref="CX236:DB236" si="2190">SUM(CU38:CX38)</f>
        <v>47285.91464906343</v>
      </c>
      <c r="CY236" s="50">
        <f t="shared" si="2190"/>
        <v>47991.03610160105</v>
      </c>
      <c r="CZ236" s="50">
        <f t="shared" si="2190"/>
        <v>48937.245017339083</v>
      </c>
      <c r="DA236" s="50">
        <f t="shared" si="2190"/>
        <v>50266.282033223913</v>
      </c>
      <c r="DB236" s="50">
        <f t="shared" si="2190"/>
        <v>52107.624370690544</v>
      </c>
      <c r="DE236" s="138"/>
      <c r="DG236" s="66">
        <v>41227.702733033759</v>
      </c>
    </row>
    <row r="237" spans="1:111" s="66" customFormat="1" x14ac:dyDescent="0.2">
      <c r="A237" s="66" t="s">
        <v>473</v>
      </c>
      <c r="AB237" s="50"/>
      <c r="AC237" s="50"/>
      <c r="AD237" s="50"/>
      <c r="AE237" s="50"/>
      <c r="AL237" s="66">
        <f t="shared" ref="AL237:BQ237" si="2191">SUM(AI51:AL51)</f>
        <v>9421</v>
      </c>
      <c r="AM237" s="66">
        <f t="shared" si="2191"/>
        <v>9506</v>
      </c>
      <c r="AN237" s="66">
        <f t="shared" si="2191"/>
        <v>9544</v>
      </c>
      <c r="AO237" s="66">
        <f t="shared" si="2191"/>
        <v>10050</v>
      </c>
      <c r="AP237" s="66">
        <f t="shared" si="2191"/>
        <v>10648</v>
      </c>
      <c r="AQ237" s="66">
        <f t="shared" si="2191"/>
        <v>11160</v>
      </c>
      <c r="AR237" s="66">
        <f t="shared" si="2191"/>
        <v>11849</v>
      </c>
      <c r="AS237" s="66">
        <f t="shared" si="2191"/>
        <v>12224</v>
      </c>
      <c r="AT237" s="66">
        <f t="shared" si="2191"/>
        <v>12330</v>
      </c>
      <c r="AU237" s="66">
        <f t="shared" si="2191"/>
        <v>12472</v>
      </c>
      <c r="AV237" s="66">
        <f t="shared" si="2191"/>
        <v>12775</v>
      </c>
      <c r="AW237" s="66">
        <f t="shared" si="2191"/>
        <v>12990</v>
      </c>
      <c r="AX237" s="66">
        <f t="shared" si="2191"/>
        <v>13490</v>
      </c>
      <c r="AY237" s="66">
        <f t="shared" si="2191"/>
        <v>13900</v>
      </c>
      <c r="AZ237" s="66">
        <f t="shared" si="2191"/>
        <v>14110</v>
      </c>
      <c r="BA237" s="66">
        <f t="shared" si="2191"/>
        <v>14353</v>
      </c>
      <c r="BB237" s="66">
        <f t="shared" si="2191"/>
        <v>14383</v>
      </c>
      <c r="BC237" s="66">
        <f t="shared" si="2191"/>
        <v>14499</v>
      </c>
      <c r="BD237" s="66">
        <f t="shared" si="2191"/>
        <v>14616</v>
      </c>
      <c r="BE237" s="66">
        <f t="shared" si="2191"/>
        <v>16037</v>
      </c>
      <c r="BF237" s="66">
        <f t="shared" si="2191"/>
        <v>16099</v>
      </c>
      <c r="BG237" s="66">
        <f t="shared" si="2191"/>
        <v>16157</v>
      </c>
      <c r="BH237" s="66">
        <f t="shared" si="2191"/>
        <v>16541</v>
      </c>
      <c r="BI237" s="66">
        <f t="shared" si="2191"/>
        <v>15022</v>
      </c>
      <c r="BJ237" s="66">
        <f t="shared" si="2191"/>
        <v>15410</v>
      </c>
      <c r="BK237" s="66">
        <f t="shared" si="2191"/>
        <v>15600</v>
      </c>
      <c r="BL237" s="66">
        <f t="shared" si="2191"/>
        <v>15527</v>
      </c>
      <c r="BM237" s="66">
        <f t="shared" si="2191"/>
        <v>16383</v>
      </c>
      <c r="BN237" s="66">
        <f t="shared" si="2191"/>
        <v>16640</v>
      </c>
      <c r="BO237" s="66">
        <f t="shared" si="2191"/>
        <v>17110</v>
      </c>
      <c r="BP237" s="66">
        <f t="shared" si="2191"/>
        <v>17931</v>
      </c>
      <c r="BQ237" s="66">
        <f t="shared" si="2191"/>
        <v>18680</v>
      </c>
      <c r="BR237" s="66">
        <f t="shared" ref="BR237:CW237" si="2192">SUM(BO51:BR51)</f>
        <v>19423</v>
      </c>
      <c r="BS237" s="66">
        <f t="shared" si="2192"/>
        <v>20352</v>
      </c>
      <c r="BT237" s="66">
        <f t="shared" si="2192"/>
        <v>20922</v>
      </c>
      <c r="BU237" s="66">
        <f t="shared" si="2192"/>
        <v>21529</v>
      </c>
      <c r="BV237" s="66">
        <f t="shared" si="2192"/>
        <v>22146</v>
      </c>
      <c r="BW237" s="66">
        <f t="shared" si="2192"/>
        <v>22307</v>
      </c>
      <c r="BX237" s="66">
        <f t="shared" si="2192"/>
        <v>22905</v>
      </c>
      <c r="BY237" s="66">
        <f t="shared" si="2192"/>
        <v>23669</v>
      </c>
      <c r="BZ237" s="66">
        <f t="shared" si="2192"/>
        <v>24108</v>
      </c>
      <c r="CA237" s="66">
        <f t="shared" si="2192"/>
        <v>24691</v>
      </c>
      <c r="CB237" s="66">
        <f t="shared" si="2192"/>
        <v>24880</v>
      </c>
      <c r="CC237" s="66">
        <f t="shared" si="2192"/>
        <v>24407</v>
      </c>
      <c r="CD237" s="66">
        <f t="shared" si="2192"/>
        <v>26248</v>
      </c>
      <c r="CE237" s="66">
        <f t="shared" si="2192"/>
        <v>26677</v>
      </c>
      <c r="CF237" s="66">
        <f t="shared" si="2192"/>
        <v>26978</v>
      </c>
      <c r="CG237" s="66">
        <f t="shared" si="2192"/>
        <v>27687</v>
      </c>
      <c r="CH237" s="66">
        <f t="shared" si="2192"/>
        <v>26750</v>
      </c>
      <c r="CI237" s="66">
        <f t="shared" si="2192"/>
        <v>27300</v>
      </c>
      <c r="CJ237" s="66">
        <f t="shared" si="2192"/>
        <v>28159</v>
      </c>
      <c r="CK237" s="66">
        <f t="shared" si="2192"/>
        <v>29292</v>
      </c>
      <c r="CL237" s="66">
        <f t="shared" si="2192"/>
        <v>30763</v>
      </c>
      <c r="CM237" s="50">
        <f t="shared" si="2192"/>
        <v>31508.42552918478</v>
      </c>
      <c r="CN237" s="50">
        <f t="shared" si="2192"/>
        <v>32019.332398641338</v>
      </c>
      <c r="CO237" s="50">
        <f t="shared" si="2192"/>
        <v>32160.430145171609</v>
      </c>
      <c r="CP237" s="50">
        <f t="shared" si="2192"/>
        <v>31919.766442520428</v>
      </c>
      <c r="CQ237" s="50">
        <f t="shared" si="2192"/>
        <v>32645.35159038223</v>
      </c>
      <c r="CR237" s="50">
        <f t="shared" si="2192"/>
        <v>33401.245742770916</v>
      </c>
      <c r="CS237" s="50">
        <f t="shared" si="2192"/>
        <v>33976.86795311686</v>
      </c>
      <c r="CT237" s="50">
        <f t="shared" si="2192"/>
        <v>34586.507127839963</v>
      </c>
      <c r="CU237" s="50">
        <f t="shared" si="2192"/>
        <v>34683.414809265327</v>
      </c>
      <c r="CV237" s="50">
        <f t="shared" si="2192"/>
        <v>34746.086395107413</v>
      </c>
      <c r="CW237" s="50">
        <f t="shared" si="2192"/>
        <v>34922.533461911735</v>
      </c>
      <c r="CX237" s="50">
        <f t="shared" ref="CX237:DB237" si="2193">SUM(CU51:CX51)</f>
        <v>35012.399494922109</v>
      </c>
      <c r="CY237" s="50">
        <f t="shared" si="2193"/>
        <v>36321.512911052094</v>
      </c>
      <c r="CZ237" s="50">
        <f t="shared" si="2193"/>
        <v>37777.543407242549</v>
      </c>
      <c r="DA237" s="50">
        <f t="shared" si="2193"/>
        <v>39494.49165682435</v>
      </c>
      <c r="DB237" s="50">
        <f t="shared" si="2193"/>
        <v>41574.966751637316</v>
      </c>
      <c r="DE237" s="138"/>
      <c r="DG237" s="66">
        <v>29497.855246805942</v>
      </c>
    </row>
    <row r="238" spans="1:111" s="93" customFormat="1" x14ac:dyDescent="0.2">
      <c r="AB238" s="30"/>
      <c r="AC238" s="30"/>
      <c r="AD238" s="30"/>
      <c r="AE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11" s="11" customFormat="1" x14ac:dyDescent="0.2">
      <c r="AB239" s="63"/>
      <c r="AC239" s="63"/>
      <c r="AD239" s="63"/>
      <c r="AE239" s="63"/>
      <c r="CM239" s="30"/>
      <c r="CN239" s="30"/>
      <c r="CO239" s="30"/>
      <c r="CP239" s="30"/>
      <c r="CQ239" s="30"/>
      <c r="CR239" s="30"/>
      <c r="CS239" s="30"/>
      <c r="CT239" s="30"/>
      <c r="CU239" s="30"/>
      <c r="CV239" s="30"/>
      <c r="CW239" s="30"/>
      <c r="CX239" s="30"/>
      <c r="CY239" s="30"/>
      <c r="CZ239" s="30"/>
      <c r="DA239" s="30"/>
      <c r="DB239" s="30"/>
      <c r="DE239" s="139"/>
    </row>
    <row r="240" spans="1:111" s="62" customFormat="1" hidden="1" outlineLevel="1" x14ac:dyDescent="0.2">
      <c r="A240" s="61" t="s">
        <v>339</v>
      </c>
      <c r="AB240" s="63"/>
      <c r="AC240" s="63"/>
      <c r="AD240" s="63"/>
      <c r="AE240" s="63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9"/>
    </row>
    <row r="241" spans="1:111" s="64" customFormat="1" hidden="1" outlineLevel="1" x14ac:dyDescent="0.2">
      <c r="A241" s="64" t="s">
        <v>474</v>
      </c>
      <c r="B241" s="64">
        <f t="shared" ref="B241:Z241" si="2194">B18-B247</f>
        <v>1900.5658807</v>
      </c>
      <c r="C241" s="64">
        <f t="shared" si="2194"/>
        <v>2603.59</v>
      </c>
      <c r="D241" s="64">
        <f t="shared" si="2194"/>
        <v>3639.98</v>
      </c>
      <c r="E241" s="64">
        <f t="shared" si="2194"/>
        <v>4852.95</v>
      </c>
      <c r="F241" s="64">
        <f t="shared" si="2194"/>
        <v>7130</v>
      </c>
      <c r="G241" s="64">
        <f t="shared" si="2194"/>
        <v>9521</v>
      </c>
      <c r="H241" s="64">
        <f t="shared" si="2194"/>
        <v>13893</v>
      </c>
      <c r="I241" s="64">
        <f t="shared" si="2194"/>
        <v>16692</v>
      </c>
      <c r="J241" s="64">
        <f t="shared" si="2194"/>
        <v>21693</v>
      </c>
      <c r="K241" s="64">
        <f t="shared" si="2194"/>
        <v>22742</v>
      </c>
      <c r="L241" s="64">
        <f t="shared" si="2194"/>
        <v>27501</v>
      </c>
      <c r="M241" s="64">
        <f t="shared" si="2194"/>
        <v>33734</v>
      </c>
      <c r="N241" s="64">
        <f t="shared" si="2194"/>
        <v>40352</v>
      </c>
      <c r="O241" s="64">
        <f t="shared" si="2194"/>
        <v>50133</v>
      </c>
      <c r="P241" s="64">
        <f t="shared" si="2194"/>
        <v>53319</v>
      </c>
      <c r="Q241" s="64">
        <f t="shared" si="2194"/>
        <v>62441</v>
      </c>
      <c r="R241" s="64">
        <f t="shared" si="2194"/>
        <v>68484</v>
      </c>
      <c r="S241" s="64">
        <f t="shared" si="2194"/>
        <v>70522</v>
      </c>
      <c r="T241" s="64">
        <f t="shared" si="2194"/>
        <v>82675</v>
      </c>
      <c r="U241" s="64">
        <f t="shared" si="2194"/>
        <v>90791</v>
      </c>
      <c r="V241" s="64">
        <f t="shared" si="2194"/>
        <v>100472</v>
      </c>
      <c r="W241" s="64">
        <f t="shared" si="2194"/>
        <v>121641</v>
      </c>
      <c r="X241" s="64">
        <f t="shared" si="2194"/>
        <v>146767</v>
      </c>
      <c r="Y241" s="64">
        <f t="shared" si="2194"/>
        <v>153670</v>
      </c>
      <c r="Z241" s="64">
        <f t="shared" si="2194"/>
        <v>162990</v>
      </c>
      <c r="AA241" s="64">
        <f t="shared" ref="AA241" si="2195">AA18-AA247</f>
        <v>178650</v>
      </c>
      <c r="AB241" s="30"/>
      <c r="AC241" s="30"/>
      <c r="AD241" s="30"/>
      <c r="AE241" s="30"/>
      <c r="AI241" s="64">
        <f t="shared" ref="AI241:BN241" si="2196">AI18-AI247</f>
        <v>9616</v>
      </c>
      <c r="AJ241" s="64">
        <f t="shared" si="2196"/>
        <v>9858</v>
      </c>
      <c r="AK241" s="64">
        <f t="shared" si="2196"/>
        <v>10424</v>
      </c>
      <c r="AL241" s="64">
        <f t="shared" si="2196"/>
        <v>10454</v>
      </c>
      <c r="AM241" s="64">
        <f t="shared" si="2196"/>
        <v>11267</v>
      </c>
      <c r="AN241" s="64">
        <f t="shared" si="2196"/>
        <v>12965</v>
      </c>
      <c r="AO241" s="64">
        <f t="shared" si="2196"/>
        <v>13026</v>
      </c>
      <c r="AP241" s="64">
        <f t="shared" si="2196"/>
        <v>12875</v>
      </c>
      <c r="AQ241" s="64">
        <f t="shared" si="2196"/>
        <v>12770</v>
      </c>
      <c r="AR241" s="64">
        <f t="shared" si="2196"/>
        <v>13342</v>
      </c>
      <c r="AS241" s="64">
        <f t="shared" si="2196"/>
        <v>13796</v>
      </c>
      <c r="AT241" s="64">
        <f t="shared" si="2196"/>
        <v>13411</v>
      </c>
      <c r="AU241" s="64">
        <f t="shared" si="2196"/>
        <v>14354</v>
      </c>
      <c r="AV241" s="64">
        <f t="shared" si="2196"/>
        <v>15635</v>
      </c>
      <c r="AW241" s="64">
        <f t="shared" si="2196"/>
        <v>15902</v>
      </c>
      <c r="AX241" s="64">
        <f t="shared" si="2196"/>
        <v>16550</v>
      </c>
      <c r="AY241" s="64">
        <f t="shared" si="2196"/>
        <v>16782</v>
      </c>
      <c r="AZ241" s="64">
        <f t="shared" si="2196"/>
        <v>17310</v>
      </c>
      <c r="BA241" s="64">
        <f t="shared" si="2196"/>
        <v>17273</v>
      </c>
      <c r="BB241" s="64">
        <f t="shared" si="2196"/>
        <v>17120</v>
      </c>
      <c r="BC241" s="64">
        <f t="shared" si="2196"/>
        <v>17078</v>
      </c>
      <c r="BD241" s="64">
        <f t="shared" si="2196"/>
        <v>17567</v>
      </c>
      <c r="BE241" s="64">
        <f t="shared" si="2196"/>
        <v>17794</v>
      </c>
      <c r="BF241" s="64">
        <f t="shared" si="2196"/>
        <v>18083</v>
      </c>
      <c r="BG241" s="64">
        <f t="shared" si="2196"/>
        <v>19128</v>
      </c>
      <c r="BH241" s="64">
        <f t="shared" si="2196"/>
        <v>20609</v>
      </c>
      <c r="BI241" s="64">
        <f t="shared" si="2196"/>
        <v>21400</v>
      </c>
      <c r="BJ241" s="64">
        <f t="shared" si="2196"/>
        <v>21539</v>
      </c>
      <c r="BK241" s="64">
        <f t="shared" si="2196"/>
        <v>21803</v>
      </c>
      <c r="BL241" s="64">
        <f t="shared" si="2196"/>
        <v>22629</v>
      </c>
      <c r="BM241" s="64">
        <f t="shared" si="2196"/>
        <v>23092</v>
      </c>
      <c r="BN241" s="64">
        <f t="shared" si="2196"/>
        <v>23267</v>
      </c>
      <c r="BO241" s="64">
        <f t="shared" ref="BO241:CT241" si="2197">BO18-BO247</f>
        <v>23665</v>
      </c>
      <c r="BP241" s="64">
        <f t="shared" si="2197"/>
        <v>24570</v>
      </c>
      <c r="BQ241" s="64">
        <f t="shared" si="2197"/>
        <v>25927</v>
      </c>
      <c r="BR241" s="64">
        <f t="shared" si="2197"/>
        <v>26311</v>
      </c>
      <c r="BS241" s="64">
        <f t="shared" si="2197"/>
        <v>27896</v>
      </c>
      <c r="BT241" s="64">
        <f t="shared" si="2197"/>
        <v>29602</v>
      </c>
      <c r="BU241" s="64">
        <f t="shared" si="2197"/>
        <v>31867</v>
      </c>
      <c r="BV241" s="64">
        <f t="shared" si="2197"/>
        <v>32276</v>
      </c>
      <c r="BW241" s="64">
        <f t="shared" si="2197"/>
        <v>34470</v>
      </c>
      <c r="BX241" s="64">
        <f t="shared" si="2197"/>
        <v>36538</v>
      </c>
      <c r="BY241" s="64">
        <f t="shared" si="2197"/>
        <v>38318</v>
      </c>
      <c r="BZ241" s="64">
        <f t="shared" si="2197"/>
        <v>37441</v>
      </c>
      <c r="CA241" s="64">
        <f t="shared" si="2197"/>
        <v>37933</v>
      </c>
      <c r="CB241" s="64">
        <f t="shared" si="2197"/>
        <v>38994</v>
      </c>
      <c r="CC241" s="64">
        <f t="shared" si="2197"/>
        <v>38821</v>
      </c>
      <c r="CD241" s="64">
        <f t="shared" si="2197"/>
        <v>37923</v>
      </c>
      <c r="CE241" s="64">
        <f t="shared" si="2197"/>
        <v>39315</v>
      </c>
      <c r="CF241" s="64">
        <f t="shared" si="2197"/>
        <v>40986</v>
      </c>
      <c r="CG241" s="64">
        <f t="shared" si="2197"/>
        <v>41764</v>
      </c>
      <c r="CH241" s="64">
        <f t="shared" si="2197"/>
        <v>40925</v>
      </c>
      <c r="CI241" s="64">
        <f t="shared" si="2197"/>
        <v>42279</v>
      </c>
      <c r="CJ241" s="64">
        <f t="shared" si="2197"/>
        <v>44490</v>
      </c>
      <c r="CK241" s="64">
        <f t="shared" si="2197"/>
        <v>45479</v>
      </c>
      <c r="CL241" s="64">
        <f t="shared" si="2197"/>
        <v>46402</v>
      </c>
      <c r="CM241" s="30">
        <f t="shared" si="2197"/>
        <v>47269.72360252394</v>
      </c>
      <c r="CN241" s="30">
        <f t="shared" si="2197"/>
        <v>47847.498938914505</v>
      </c>
      <c r="CO241" s="30">
        <f t="shared" si="2197"/>
        <v>48315.389353920262</v>
      </c>
      <c r="CP241" s="30">
        <f t="shared" si="2197"/>
        <v>48788.04636481982</v>
      </c>
      <c r="CQ241" s="30">
        <f t="shared" si="2197"/>
        <v>49525.777836438843</v>
      </c>
      <c r="CR241" s="30">
        <f t="shared" si="2197"/>
        <v>50230.351696832549</v>
      </c>
      <c r="CS241" s="30">
        <f t="shared" si="2197"/>
        <v>50970.107730907395</v>
      </c>
      <c r="CT241" s="30">
        <f t="shared" si="2197"/>
        <v>51783.814574658405</v>
      </c>
      <c r="CU241" s="30">
        <f t="shared" ref="CU241:DB241" si="2198">CU18-CU247</f>
        <v>52819.998655443567</v>
      </c>
      <c r="CV241" s="30">
        <f t="shared" si="2198"/>
        <v>53941.471250496048</v>
      </c>
      <c r="CW241" s="30">
        <f t="shared" si="2198"/>
        <v>55181.227506332492</v>
      </c>
      <c r="CX241" s="30">
        <f t="shared" si="2198"/>
        <v>56563.372799898054</v>
      </c>
      <c r="CY241" s="30">
        <f t="shared" si="2198"/>
        <v>58108.578336856313</v>
      </c>
      <c r="CZ241" s="30">
        <f t="shared" si="2198"/>
        <v>59802.165069967356</v>
      </c>
      <c r="DA241" s="30">
        <f t="shared" si="2198"/>
        <v>61663.418978453949</v>
      </c>
      <c r="DB241" s="30">
        <f t="shared" si="2198"/>
        <v>63708.089191499188</v>
      </c>
      <c r="DE241" s="139"/>
      <c r="DF241" s="64">
        <v>178650</v>
      </c>
      <c r="DG241" s="64">
        <v>44956.618798436539</v>
      </c>
    </row>
    <row r="242" spans="1:111" s="64" customFormat="1" hidden="1" outlineLevel="1" x14ac:dyDescent="0.2">
      <c r="A242" s="64" t="s">
        <v>475</v>
      </c>
      <c r="B242" s="64">
        <f t="shared" ref="B242:Z242" si="2199">B38-B248</f>
        <v>750.1462061000002</v>
      </c>
      <c r="C242" s="64">
        <f t="shared" si="2199"/>
        <v>1038.3399999999999</v>
      </c>
      <c r="D242" s="64">
        <f t="shared" si="2199"/>
        <v>1240.3600000000001</v>
      </c>
      <c r="E242" s="64">
        <f t="shared" si="2199"/>
        <v>1585.27</v>
      </c>
      <c r="F242" s="64">
        <f t="shared" si="2199"/>
        <v>2336</v>
      </c>
      <c r="G242" s="64">
        <f t="shared" si="2199"/>
        <v>2998</v>
      </c>
      <c r="H242" s="64">
        <f t="shared" si="2199"/>
        <v>4390</v>
      </c>
      <c r="I242" s="64">
        <f t="shared" si="2199"/>
        <v>5237</v>
      </c>
      <c r="J242" s="64">
        <f t="shared" si="2199"/>
        <v>6757</v>
      </c>
      <c r="K242" s="64">
        <f t="shared" si="2199"/>
        <v>7861</v>
      </c>
      <c r="L242" s="64">
        <f t="shared" si="2199"/>
        <v>8970</v>
      </c>
      <c r="M242" s="64">
        <f t="shared" si="2199"/>
        <v>10727</v>
      </c>
      <c r="N242" s="64">
        <f t="shared" si="2199"/>
        <v>11538</v>
      </c>
      <c r="O242" s="64">
        <f t="shared" si="2199"/>
        <v>13390</v>
      </c>
      <c r="P242" s="64">
        <f t="shared" si="2199"/>
        <v>14883</v>
      </c>
      <c r="Q242" s="64">
        <f t="shared" si="2199"/>
        <v>17033</v>
      </c>
      <c r="R242" s="64">
        <f t="shared" si="2199"/>
        <v>18245</v>
      </c>
      <c r="S242" s="64">
        <f t="shared" si="2199"/>
        <v>18893</v>
      </c>
      <c r="T242" s="64">
        <f t="shared" si="2199"/>
        <v>20170</v>
      </c>
      <c r="U242" s="64">
        <f t="shared" si="2199"/>
        <v>21756</v>
      </c>
      <c r="V242" s="64">
        <f t="shared" si="2199"/>
        <v>27543</v>
      </c>
      <c r="W242" s="64">
        <f t="shared" si="2199"/>
        <v>31491</v>
      </c>
      <c r="X242" s="64">
        <f t="shared" si="2199"/>
        <v>34483</v>
      </c>
      <c r="Y242" s="64">
        <f t="shared" si="2199"/>
        <v>36425</v>
      </c>
      <c r="Z242" s="64">
        <f t="shared" si="2199"/>
        <v>38921</v>
      </c>
      <c r="AA242" s="64">
        <f t="shared" ref="AA242" si="2200">AA38-AA248</f>
        <v>39662</v>
      </c>
      <c r="AB242" s="30"/>
      <c r="AC242" s="30"/>
      <c r="AD242" s="30"/>
      <c r="AE242" s="30"/>
      <c r="AI242" s="64">
        <f t="shared" ref="AI242:BN242" si="2201">AI38-AI248</f>
        <v>2659</v>
      </c>
      <c r="AJ242" s="64">
        <f t="shared" si="2201"/>
        <v>2597</v>
      </c>
      <c r="AK242" s="64">
        <f t="shared" si="2201"/>
        <v>2677</v>
      </c>
      <c r="AL242" s="64">
        <f t="shared" si="2201"/>
        <v>2462</v>
      </c>
      <c r="AM242" s="64">
        <f t="shared" si="2201"/>
        <v>2664</v>
      </c>
      <c r="AN242" s="64">
        <f t="shared" si="2201"/>
        <v>2751</v>
      </c>
      <c r="AO242" s="64">
        <f t="shared" si="2201"/>
        <v>3259</v>
      </c>
      <c r="AP242" s="64">
        <f t="shared" si="2201"/>
        <v>3281</v>
      </c>
      <c r="AQ242" s="64">
        <f t="shared" si="2201"/>
        <v>3211</v>
      </c>
      <c r="AR242" s="64">
        <f t="shared" si="2201"/>
        <v>3483</v>
      </c>
      <c r="AS242" s="64">
        <f t="shared" si="2201"/>
        <v>3689</v>
      </c>
      <c r="AT242" s="64">
        <f t="shared" si="2201"/>
        <v>3449</v>
      </c>
      <c r="AU242" s="64">
        <f t="shared" si="2201"/>
        <v>3760</v>
      </c>
      <c r="AV242" s="64">
        <f t="shared" si="2201"/>
        <v>4351</v>
      </c>
      <c r="AW242" s="64">
        <f t="shared" si="2201"/>
        <v>4328</v>
      </c>
      <c r="AX242" s="64">
        <f t="shared" si="2201"/>
        <v>4639</v>
      </c>
      <c r="AY242" s="64">
        <f t="shared" si="2201"/>
        <v>4447</v>
      </c>
      <c r="AZ242" s="64">
        <f t="shared" si="2201"/>
        <v>4733</v>
      </c>
      <c r="BA242" s="64">
        <f t="shared" si="2201"/>
        <v>4767</v>
      </c>
      <c r="BB242" s="64">
        <f t="shared" si="2201"/>
        <v>4658</v>
      </c>
      <c r="BC242" s="64">
        <f t="shared" si="2201"/>
        <v>4561</v>
      </c>
      <c r="BD242" s="64">
        <f t="shared" si="2201"/>
        <v>4702</v>
      </c>
      <c r="BE242" s="64">
        <f t="shared" si="2201"/>
        <v>4817</v>
      </c>
      <c r="BF242" s="64">
        <f t="shared" si="2201"/>
        <v>4812</v>
      </c>
      <c r="BG242" s="64">
        <f t="shared" si="2201"/>
        <v>4703</v>
      </c>
      <c r="BH242" s="64">
        <f t="shared" si="2201"/>
        <v>5357</v>
      </c>
      <c r="BI242" s="64">
        <f t="shared" si="2201"/>
        <v>4959</v>
      </c>
      <c r="BJ242" s="64">
        <f t="shared" si="2201"/>
        <v>5149</v>
      </c>
      <c r="BK242" s="64">
        <f t="shared" si="2201"/>
        <v>5152</v>
      </c>
      <c r="BL242" s="64">
        <f t="shared" si="2201"/>
        <v>5639</v>
      </c>
      <c r="BM242" s="64">
        <f t="shared" si="2201"/>
        <v>5801</v>
      </c>
      <c r="BN242" s="64">
        <f t="shared" si="2201"/>
        <v>5676</v>
      </c>
      <c r="BO242" s="64">
        <f t="shared" ref="BO242:CT242" si="2202">BO38-BO248</f>
        <v>6121</v>
      </c>
      <c r="BP242" s="64">
        <f t="shared" si="2202"/>
        <v>7083</v>
      </c>
      <c r="BQ242" s="64">
        <f t="shared" si="2202"/>
        <v>7415</v>
      </c>
      <c r="BR242" s="64">
        <f t="shared" si="2202"/>
        <v>7271</v>
      </c>
      <c r="BS242" s="64">
        <f t="shared" si="2202"/>
        <v>7432</v>
      </c>
      <c r="BT242" s="64">
        <f t="shared" si="2202"/>
        <v>7831</v>
      </c>
      <c r="BU242" s="64">
        <f t="shared" si="2202"/>
        <v>8383</v>
      </c>
      <c r="BV242" s="64">
        <f t="shared" si="2202"/>
        <v>7846</v>
      </c>
      <c r="BW242" s="64">
        <f t="shared" si="2202"/>
        <v>7864</v>
      </c>
      <c r="BX242" s="64">
        <f t="shared" si="2202"/>
        <v>8902</v>
      </c>
      <c r="BY242" s="64">
        <f t="shared" si="2202"/>
        <v>9367</v>
      </c>
      <c r="BZ242" s="64">
        <f t="shared" si="2202"/>
        <v>8998</v>
      </c>
      <c r="CA242" s="64">
        <f t="shared" si="2202"/>
        <v>9064</v>
      </c>
      <c r="CB242" s="64">
        <f t="shared" si="2202"/>
        <v>9440</v>
      </c>
      <c r="CC242" s="64">
        <f t="shared" si="2202"/>
        <v>9137</v>
      </c>
      <c r="CD242" s="64">
        <f t="shared" si="2202"/>
        <v>8784</v>
      </c>
      <c r="CE242" s="64">
        <f t="shared" si="2202"/>
        <v>9437</v>
      </c>
      <c r="CF242" s="64">
        <f t="shared" si="2202"/>
        <v>9809</v>
      </c>
      <c r="CG242" s="64">
        <f t="shared" si="2202"/>
        <v>10115</v>
      </c>
      <c r="CH242" s="64">
        <f t="shared" si="2202"/>
        <v>9874</v>
      </c>
      <c r="CI242" s="64">
        <f t="shared" si="2202"/>
        <v>9943</v>
      </c>
      <c r="CJ242" s="64">
        <f t="shared" si="2202"/>
        <v>10535</v>
      </c>
      <c r="CK242" s="64">
        <f t="shared" si="2202"/>
        <v>10634</v>
      </c>
      <c r="CL242" s="64">
        <f t="shared" si="2202"/>
        <v>11167</v>
      </c>
      <c r="CM242" s="30">
        <f t="shared" si="2202"/>
        <v>11184.614269689177</v>
      </c>
      <c r="CN242" s="30">
        <f t="shared" si="2202"/>
        <v>11338.509898761204</v>
      </c>
      <c r="CO242" s="30">
        <f t="shared" si="2202"/>
        <v>11451.525376861377</v>
      </c>
      <c r="CP242" s="30">
        <f t="shared" si="2202"/>
        <v>11602.508747241176</v>
      </c>
      <c r="CQ242" s="30">
        <f t="shared" si="2202"/>
        <v>12034.236636616308</v>
      </c>
      <c r="CR242" s="30">
        <f t="shared" si="2202"/>
        <v>12284.711100450928</v>
      </c>
      <c r="CS242" s="30">
        <f t="shared" si="2202"/>
        <v>12263.248984598074</v>
      </c>
      <c r="CT242" s="30">
        <f t="shared" si="2202"/>
        <v>12505.380889426906</v>
      </c>
      <c r="CU242" s="30">
        <f t="shared" ref="CU242:DB242" si="2203">CU38-CU248</f>
        <v>11879.808139441469</v>
      </c>
      <c r="CV242" s="30">
        <f t="shared" si="2203"/>
        <v>11880.897244114094</v>
      </c>
      <c r="CW242" s="30">
        <f t="shared" si="2203"/>
        <v>11808.452188191513</v>
      </c>
      <c r="CX242" s="30">
        <f t="shared" si="2203"/>
        <v>11716.757077316353</v>
      </c>
      <c r="CY242" s="30">
        <f t="shared" si="2203"/>
        <v>12584.929591979089</v>
      </c>
      <c r="CZ242" s="30">
        <f t="shared" si="2203"/>
        <v>12827.106159852126</v>
      </c>
      <c r="DA242" s="30">
        <f t="shared" si="2203"/>
        <v>13137.489204076344</v>
      </c>
      <c r="DB242" s="30">
        <f t="shared" si="2203"/>
        <v>13558.099414782984</v>
      </c>
      <c r="DE242" s="139"/>
      <c r="DF242" s="64">
        <v>39662</v>
      </c>
      <c r="DG242" s="64">
        <v>10115.702733033759</v>
      </c>
    </row>
    <row r="243" spans="1:111" s="89" customFormat="1" hidden="1" outlineLevel="1" x14ac:dyDescent="0.2">
      <c r="A243" s="86" t="s">
        <v>476</v>
      </c>
      <c r="B243" s="86">
        <f>+B242/B241</f>
        <v>0.39469623953457106</v>
      </c>
      <c r="C243" s="86">
        <f t="shared" ref="C243" si="2204">+C242/C241</f>
        <v>0.3988108726796461</v>
      </c>
      <c r="D243" s="86">
        <f t="shared" ref="D243" si="2205">+D242/D241</f>
        <v>0.34076011406656082</v>
      </c>
      <c r="E243" s="86">
        <f t="shared" ref="E243" si="2206">+E242/E241</f>
        <v>0.32666110304041873</v>
      </c>
      <c r="F243" s="86">
        <f t="shared" ref="F243" si="2207">+F242/F241</f>
        <v>0.32762973352033659</v>
      </c>
      <c r="G243" s="86">
        <f t="shared" ref="G243" si="2208">+G242/G241</f>
        <v>0.31488289045268353</v>
      </c>
      <c r="H243" s="86">
        <f t="shared" ref="H243" si="2209">+H242/H241</f>
        <v>0.31598646800547037</v>
      </c>
      <c r="I243" s="86">
        <f t="shared" ref="I243" si="2210">+I242/I241</f>
        <v>0.31374311047208242</v>
      </c>
      <c r="J243" s="86">
        <f t="shared" ref="J243" si="2211">+J242/J241</f>
        <v>0.31148296685566773</v>
      </c>
      <c r="K243" s="86">
        <f t="shared" ref="K243" si="2212">+K242/K241</f>
        <v>0.34566001231202181</v>
      </c>
      <c r="L243" s="86">
        <f t="shared" ref="L243" si="2213">+L242/L241</f>
        <v>0.32616995745609251</v>
      </c>
      <c r="M243" s="86">
        <f t="shared" ref="M243" si="2214">+M242/M241</f>
        <v>0.31798778680263234</v>
      </c>
      <c r="N243" s="86">
        <f t="shared" ref="N243" si="2215">+N242/N241</f>
        <v>0.28593378271213321</v>
      </c>
      <c r="O243" s="86">
        <f t="shared" ref="O243" si="2216">+O242/O241</f>
        <v>0.2670895418187621</v>
      </c>
      <c r="P243" s="86">
        <f t="shared" ref="P243" si="2217">+P242/P241</f>
        <v>0.27913126652787934</v>
      </c>
      <c r="Q243" s="86">
        <f t="shared" ref="Q243" si="2218">+Q242/Q241</f>
        <v>0.27278550952098779</v>
      </c>
      <c r="R243" s="86">
        <f t="shared" ref="R243" si="2219">+R242/R241</f>
        <v>0.26641259272238771</v>
      </c>
      <c r="S243" s="86">
        <f t="shared" ref="S243" si="2220">+S242/S241</f>
        <v>0.26790221491165878</v>
      </c>
      <c r="T243" s="86">
        <f t="shared" ref="T243" si="2221">+T242/T241</f>
        <v>0.24396734200181433</v>
      </c>
      <c r="U243" s="86">
        <f t="shared" ref="U243" si="2222">+U242/U241</f>
        <v>0.23962727583130486</v>
      </c>
      <c r="V243" s="86">
        <f t="shared" ref="V243" si="2223">+V242/V241</f>
        <v>0.2741360777131937</v>
      </c>
      <c r="W243" s="86">
        <f t="shared" ref="W243" si="2224">+W242/W241</f>
        <v>0.25888475102966929</v>
      </c>
      <c r="X243" s="86">
        <f t="shared" ref="X243:Y243" si="2225">+X242/X241</f>
        <v>0.23495063604216207</v>
      </c>
      <c r="Y243" s="86">
        <f t="shared" si="2225"/>
        <v>0.23703390381987374</v>
      </c>
      <c r="Z243" s="86">
        <f t="shared" ref="Z243:AA243" si="2226">+Z242/Z241</f>
        <v>0.23879379103012455</v>
      </c>
      <c r="AA243" s="86">
        <f t="shared" ref="AA243" si="2227">+AA242/AA241</f>
        <v>0.22200951581304226</v>
      </c>
      <c r="AB243" s="87"/>
      <c r="AC243" s="87"/>
      <c r="AD243" s="87"/>
      <c r="AE243" s="87"/>
      <c r="AF243" s="86"/>
      <c r="AG243" s="86"/>
      <c r="AH243" s="86"/>
      <c r="AI243" s="86">
        <f t="shared" ref="AI243" si="2228">+AI242/AI241</f>
        <v>0.27651830282861894</v>
      </c>
      <c r="AJ243" s="86">
        <f t="shared" ref="AJ243" si="2229">+AJ242/AJ241</f>
        <v>0.26344086021505375</v>
      </c>
      <c r="AK243" s="86">
        <f t="shared" ref="AK243" si="2230">+AK242/AK241</f>
        <v>0.25681120491174214</v>
      </c>
      <c r="AL243" s="86">
        <f t="shared" ref="AL243" si="2231">+AL242/AL241</f>
        <v>0.23550793954467189</v>
      </c>
      <c r="AM243" s="86">
        <f t="shared" ref="AM243" si="2232">+AM242/AM241</f>
        <v>0.23644270879559776</v>
      </c>
      <c r="AN243" s="86">
        <f t="shared" ref="AN243" si="2233">+AN242/AN241</f>
        <v>0.21218665638256845</v>
      </c>
      <c r="AO243" s="86">
        <f t="shared" ref="AO243" si="2234">+AO242/AO241</f>
        <v>0.25019192384461847</v>
      </c>
      <c r="AP243" s="86">
        <f t="shared" ref="AP243" si="2235">+AP242/AP241</f>
        <v>0.25483495145631069</v>
      </c>
      <c r="AQ243" s="86">
        <f t="shared" ref="AQ243" si="2236">+AQ242/AQ241</f>
        <v>0.25144870790916207</v>
      </c>
      <c r="AR243" s="86">
        <f t="shared" ref="AR243" si="2237">+AR242/AR241</f>
        <v>0.26105531404587018</v>
      </c>
      <c r="AS243" s="86">
        <f t="shared" ref="AS243" si="2238">+AS242/AS241</f>
        <v>0.26739634676717888</v>
      </c>
      <c r="AT243" s="86">
        <f t="shared" ref="AT243" si="2239">+AT242/AT241</f>
        <v>0.25717694429945565</v>
      </c>
      <c r="AU243" s="86">
        <f t="shared" ref="AU243" si="2240">+AU242/AU241</f>
        <v>0.2619478890901491</v>
      </c>
      <c r="AV243" s="86">
        <f t="shared" ref="AV243" si="2241">+AV242/AV241</f>
        <v>0.27828589702590339</v>
      </c>
      <c r="AW243" s="86">
        <f t="shared" ref="AW243" si="2242">+AW242/AW241</f>
        <v>0.27216702301597284</v>
      </c>
      <c r="AX243" s="86">
        <f t="shared" ref="AX243" si="2243">+AX242/AX241</f>
        <v>0.28030211480362538</v>
      </c>
      <c r="AY243" s="86">
        <f t="shared" ref="AY243" si="2244">+AY242/AY241</f>
        <v>0.2649862948397092</v>
      </c>
      <c r="AZ243" s="86">
        <f t="shared" ref="AZ243" si="2245">+AZ242/AZ241</f>
        <v>0.27342576545349506</v>
      </c>
      <c r="BA243" s="86">
        <f t="shared" ref="BA243" si="2246">+BA242/BA241</f>
        <v>0.27597985294969024</v>
      </c>
      <c r="BB243" s="86">
        <f t="shared" ref="BB243" si="2247">+BB242/BB241</f>
        <v>0.27207943925233646</v>
      </c>
      <c r="BC243" s="86">
        <f t="shared" ref="BC243" si="2248">+BC242/BC241</f>
        <v>0.26706874341257758</v>
      </c>
      <c r="BD243" s="86">
        <f t="shared" ref="BD243" si="2249">+BD242/BD241</f>
        <v>0.26766095520009109</v>
      </c>
      <c r="BE243" s="86">
        <f t="shared" ref="BE243" si="2250">+BE242/BE241</f>
        <v>0.27070922782960549</v>
      </c>
      <c r="BF243" s="86">
        <f t="shared" ref="BF243" si="2251">+BF242/BF241</f>
        <v>0.26610628767350553</v>
      </c>
      <c r="BG243" s="86">
        <f t="shared" ref="BG243" si="2252">+BG242/BG241</f>
        <v>0.24586992890004183</v>
      </c>
      <c r="BH243" s="86">
        <f t="shared" ref="BH243" si="2253">+BH242/BH241</f>
        <v>0.2599349798631666</v>
      </c>
      <c r="BI243" s="86">
        <f t="shared" ref="BI243" si="2254">+BI242/BI241</f>
        <v>0.23172897196261683</v>
      </c>
      <c r="BJ243" s="86">
        <f t="shared" ref="BJ243" si="2255">+BJ242/BJ241</f>
        <v>0.23905473791726636</v>
      </c>
      <c r="BK243" s="86">
        <f t="shared" ref="BK243" si="2256">+BK242/BK241</f>
        <v>0.23629775718937762</v>
      </c>
      <c r="BL243" s="86">
        <f t="shared" ref="BL243" si="2257">+BL242/BL241</f>
        <v>0.24919351274912724</v>
      </c>
      <c r="BM243" s="86">
        <f t="shared" ref="BM243" si="2258">+BM242/BM241</f>
        <v>0.25121254113978869</v>
      </c>
      <c r="BN243" s="86">
        <f t="shared" ref="BN243" si="2259">+BN242/BN241</f>
        <v>0.24395065973266858</v>
      </c>
      <c r="BO243" s="86">
        <f t="shared" ref="BO243" si="2260">+BO242/BO241</f>
        <v>0.25865201774772872</v>
      </c>
      <c r="BP243" s="86">
        <f t="shared" ref="BP243" si="2261">+BP242/BP241</f>
        <v>0.28827838827838825</v>
      </c>
      <c r="BQ243" s="86">
        <f t="shared" ref="BQ243" si="2262">+BQ242/BQ241</f>
        <v>0.28599529448065725</v>
      </c>
      <c r="BR243" s="86">
        <f t="shared" ref="BR243" si="2263">+BR242/BR241</f>
        <v>0.27634829538976091</v>
      </c>
      <c r="BS243" s="86">
        <f t="shared" ref="BS243" si="2264">+BS242/BS241</f>
        <v>0.26641812446228852</v>
      </c>
      <c r="BT243" s="86">
        <f t="shared" ref="BT243" si="2265">+BT242/BT241</f>
        <v>0.26454293628808867</v>
      </c>
      <c r="BU243" s="86">
        <f t="shared" ref="BU243" si="2266">+BU242/BU241</f>
        <v>0.26306210186085921</v>
      </c>
      <c r="BV243" s="86">
        <f t="shared" ref="BV243" si="2267">+BV242/BV241</f>
        <v>0.24309084149213037</v>
      </c>
      <c r="BW243" s="86">
        <f t="shared" ref="BW243" si="2268">+BW242/BW241</f>
        <v>0.22814041195242241</v>
      </c>
      <c r="BX243" s="86">
        <f t="shared" ref="BX243" si="2269">+BX242/BX241</f>
        <v>0.24363676172751655</v>
      </c>
      <c r="BY243" s="86">
        <f t="shared" ref="BY243" si="2270">+BY242/BY241</f>
        <v>0.24445430346051464</v>
      </c>
      <c r="BZ243" s="86">
        <f t="shared" ref="BZ243" si="2271">+BZ242/BZ241</f>
        <v>0.2403247776501696</v>
      </c>
      <c r="CA243" s="86">
        <f t="shared" ref="CA243" si="2272">+CA242/CA241</f>
        <v>0.23894761816887669</v>
      </c>
      <c r="CB243" s="86">
        <f t="shared" ref="CB243:CC243" si="2273">+CB242/CB241</f>
        <v>0.24208852643996512</v>
      </c>
      <c r="CC243" s="86">
        <f t="shared" si="2273"/>
        <v>0.23536230390767884</v>
      </c>
      <c r="CD243" s="86">
        <f t="shared" ref="CD243" si="2274">+CD242/CD241</f>
        <v>0.2316272446800095</v>
      </c>
      <c r="CE243" s="86">
        <f t="shared" ref="CE243:CF243" si="2275">+CE242/CE241</f>
        <v>0.24003560981813557</v>
      </c>
      <c r="CF243" s="86">
        <f t="shared" si="2275"/>
        <v>0.23932562338359439</v>
      </c>
      <c r="CG243" s="86">
        <f t="shared" ref="CG243:CH243" si="2276">+CG242/CG241</f>
        <v>0.2421942342687482</v>
      </c>
      <c r="CH243" s="86">
        <f t="shared" si="2276"/>
        <v>0.24127061698228466</v>
      </c>
      <c r="CI243" s="86">
        <f t="shared" ref="CI243:CJ243" si="2277">+CI242/CI241</f>
        <v>0.23517585562572435</v>
      </c>
      <c r="CJ243" s="86">
        <f t="shared" si="2277"/>
        <v>0.23679478534502135</v>
      </c>
      <c r="CK243" s="86">
        <f t="shared" ref="CK243:DB243" si="2278">+CK242/CK241</f>
        <v>0.2338222036544339</v>
      </c>
      <c r="CL243" s="86">
        <f t="shared" si="2278"/>
        <v>0.24065773027024698</v>
      </c>
      <c r="CM243" s="47">
        <f t="shared" si="2278"/>
        <v>0.23661264372385668</v>
      </c>
      <c r="CN243" s="47">
        <f t="shared" si="2278"/>
        <v>0.23697184074838992</v>
      </c>
      <c r="CO243" s="47">
        <f t="shared" si="2278"/>
        <v>0.23701610459923184</v>
      </c>
      <c r="CP243" s="47">
        <f t="shared" si="2278"/>
        <v>0.2378145798354315</v>
      </c>
      <c r="CQ243" s="47">
        <f t="shared" si="2278"/>
        <v>0.24298935145168093</v>
      </c>
      <c r="CR243" s="47">
        <f t="shared" si="2278"/>
        <v>0.24456749127690428</v>
      </c>
      <c r="CS243" s="47">
        <f t="shared" si="2278"/>
        <v>0.2405968817908119</v>
      </c>
      <c r="CT243" s="47">
        <f t="shared" si="2278"/>
        <v>0.24149207608870707</v>
      </c>
      <c r="CU243" s="47">
        <f t="shared" si="2278"/>
        <v>0.22491117837650967</v>
      </c>
      <c r="CV243" s="47">
        <f t="shared" si="2278"/>
        <v>0.22025534285004947</v>
      </c>
      <c r="CW243" s="47">
        <f t="shared" si="2278"/>
        <v>0.21399401067756962</v>
      </c>
      <c r="CX243" s="47">
        <f t="shared" si="2278"/>
        <v>0.20714389007116404</v>
      </c>
      <c r="CY243" s="47">
        <f t="shared" si="2278"/>
        <v>0.21657610549382331</v>
      </c>
      <c r="CZ243" s="47">
        <f t="shared" si="2278"/>
        <v>0.21449233727315165</v>
      </c>
      <c r="DA243" s="47">
        <f t="shared" si="2278"/>
        <v>0.21305158587892709</v>
      </c>
      <c r="DB243" s="47">
        <f t="shared" si="2278"/>
        <v>0.21281597967926644</v>
      </c>
      <c r="DE243" s="130"/>
      <c r="DF243" s="89">
        <v>0.22200951581304226</v>
      </c>
      <c r="DG243" s="89">
        <v>0.22501031001436331</v>
      </c>
    </row>
    <row r="244" spans="1:111" s="64" customFormat="1" hidden="1" outlineLevel="1" x14ac:dyDescent="0.2">
      <c r="A244" s="64" t="s">
        <v>477</v>
      </c>
      <c r="B244" s="64">
        <f t="shared" ref="B244:Z244" si="2279">B51-B250</f>
        <v>623.31923410000024</v>
      </c>
      <c r="C244" s="64">
        <f t="shared" si="2279"/>
        <v>807.95999999999981</v>
      </c>
      <c r="D244" s="64">
        <f t="shared" si="2279"/>
        <v>954.77000000000021</v>
      </c>
      <c r="E244" s="64">
        <f t="shared" si="2279"/>
        <v>1243.6300000000001</v>
      </c>
      <c r="F244" s="64">
        <f t="shared" si="2279"/>
        <v>1846</v>
      </c>
      <c r="G244" s="64">
        <f t="shared" si="2279"/>
        <v>2479</v>
      </c>
      <c r="H244" s="64">
        <f t="shared" si="2279"/>
        <v>3861</v>
      </c>
      <c r="I244" s="64">
        <f t="shared" si="2279"/>
        <v>4659</v>
      </c>
      <c r="J244" s="64">
        <f t="shared" si="2279"/>
        <v>5988</v>
      </c>
      <c r="K244" s="64">
        <f t="shared" si="2279"/>
        <v>6218</v>
      </c>
      <c r="L244" s="64">
        <f t="shared" si="2279"/>
        <v>6835</v>
      </c>
      <c r="M244" s="64">
        <f t="shared" si="2279"/>
        <v>8332</v>
      </c>
      <c r="N244" s="64">
        <f t="shared" si="2279"/>
        <v>9429</v>
      </c>
      <c r="O244" s="64">
        <f t="shared" si="2279"/>
        <v>10656</v>
      </c>
      <c r="P244" s="64">
        <f t="shared" si="2279"/>
        <v>12373</v>
      </c>
      <c r="Q244" s="64">
        <f t="shared" si="2279"/>
        <v>13492</v>
      </c>
      <c r="R244" s="64">
        <f t="shared" si="2279"/>
        <v>14383</v>
      </c>
      <c r="S244" s="64">
        <f t="shared" si="2279"/>
        <v>16100</v>
      </c>
      <c r="T244" s="64">
        <f t="shared" si="2279"/>
        <v>15410</v>
      </c>
      <c r="U244" s="64">
        <f t="shared" si="2279"/>
        <v>16639</v>
      </c>
      <c r="V244" s="64">
        <f t="shared" si="2279"/>
        <v>19423</v>
      </c>
      <c r="W244" s="64">
        <f t="shared" si="2279"/>
        <v>22146</v>
      </c>
      <c r="X244" s="64">
        <f t="shared" si="2279"/>
        <v>24108</v>
      </c>
      <c r="Y244" s="64">
        <f t="shared" si="2279"/>
        <v>26248</v>
      </c>
      <c r="Z244" s="64">
        <f t="shared" si="2279"/>
        <v>26750</v>
      </c>
      <c r="AA244" s="64">
        <f t="shared" ref="AA244" si="2280">AA51-AA250</f>
        <v>30763</v>
      </c>
      <c r="AB244" s="30"/>
      <c r="AC244" s="30"/>
      <c r="AD244" s="30"/>
      <c r="AE244" s="30"/>
      <c r="AI244" s="64">
        <f t="shared" ref="AI244:BN244" si="2281">AI51-AI250</f>
        <v>2289</v>
      </c>
      <c r="AJ244" s="64">
        <f t="shared" si="2281"/>
        <v>2369</v>
      </c>
      <c r="AK244" s="64">
        <f t="shared" si="2281"/>
        <v>2369</v>
      </c>
      <c r="AL244" s="64">
        <f t="shared" si="2281"/>
        <v>2394</v>
      </c>
      <c r="AM244" s="64">
        <f t="shared" si="2281"/>
        <v>2374</v>
      </c>
      <c r="AN244" s="64">
        <f t="shared" si="2281"/>
        <v>2407</v>
      </c>
      <c r="AO244" s="64">
        <f t="shared" si="2281"/>
        <v>2875</v>
      </c>
      <c r="AP244" s="64">
        <f t="shared" si="2281"/>
        <v>2992</v>
      </c>
      <c r="AQ244" s="64">
        <f t="shared" si="2281"/>
        <v>2886</v>
      </c>
      <c r="AR244" s="64">
        <f t="shared" si="2281"/>
        <v>3096</v>
      </c>
      <c r="AS244" s="64">
        <f t="shared" si="2281"/>
        <v>3250</v>
      </c>
      <c r="AT244" s="64">
        <f t="shared" si="2281"/>
        <v>3098</v>
      </c>
      <c r="AU244" s="64">
        <f t="shared" si="2281"/>
        <v>3028</v>
      </c>
      <c r="AV244" s="64">
        <f t="shared" si="2281"/>
        <v>3399</v>
      </c>
      <c r="AW244" s="64">
        <f t="shared" si="2281"/>
        <v>3465</v>
      </c>
      <c r="AX244" s="64">
        <f t="shared" si="2281"/>
        <v>3598</v>
      </c>
      <c r="AY244" s="64">
        <f t="shared" si="2281"/>
        <v>3438</v>
      </c>
      <c r="AZ244" s="64">
        <f t="shared" si="2281"/>
        <v>3609</v>
      </c>
      <c r="BA244" s="64">
        <f t="shared" si="2281"/>
        <v>3708</v>
      </c>
      <c r="BB244" s="64">
        <f t="shared" si="2281"/>
        <v>3628</v>
      </c>
      <c r="BC244" s="64">
        <f t="shared" si="2281"/>
        <v>3554</v>
      </c>
      <c r="BD244" s="64">
        <f t="shared" si="2281"/>
        <v>3726</v>
      </c>
      <c r="BE244" s="64">
        <f t="shared" si="2281"/>
        <v>5129</v>
      </c>
      <c r="BF244" s="64">
        <f t="shared" si="2281"/>
        <v>3690</v>
      </c>
      <c r="BG244" s="64">
        <f t="shared" si="2281"/>
        <v>3612</v>
      </c>
      <c r="BH244" s="64">
        <f t="shared" si="2281"/>
        <v>4110</v>
      </c>
      <c r="BI244" s="64">
        <f t="shared" si="2281"/>
        <v>3610</v>
      </c>
      <c r="BJ244" s="64">
        <f t="shared" si="2281"/>
        <v>4078</v>
      </c>
      <c r="BK244" s="64">
        <f t="shared" si="2281"/>
        <v>3802</v>
      </c>
      <c r="BL244" s="64">
        <f t="shared" si="2281"/>
        <v>4037</v>
      </c>
      <c r="BM244" s="64">
        <f t="shared" si="2281"/>
        <v>4466</v>
      </c>
      <c r="BN244" s="64">
        <f t="shared" si="2281"/>
        <v>4335</v>
      </c>
      <c r="BO244" s="64">
        <f t="shared" ref="BO244:CT244" si="2282">BO51-BO250</f>
        <v>4272</v>
      </c>
      <c r="BP244" s="64">
        <f t="shared" si="2282"/>
        <v>4858</v>
      </c>
      <c r="BQ244" s="64">
        <f t="shared" si="2282"/>
        <v>5215</v>
      </c>
      <c r="BR244" s="64">
        <f t="shared" si="2282"/>
        <v>5078</v>
      </c>
      <c r="BS244" s="64">
        <f t="shared" si="2282"/>
        <v>5201</v>
      </c>
      <c r="BT244" s="64">
        <f t="shared" si="2282"/>
        <v>5428</v>
      </c>
      <c r="BU244" s="64">
        <f t="shared" si="2282"/>
        <v>5822</v>
      </c>
      <c r="BV244" s="64">
        <f t="shared" si="2282"/>
        <v>5695</v>
      </c>
      <c r="BW244" s="64">
        <f t="shared" si="2282"/>
        <v>5362</v>
      </c>
      <c r="BX244" s="64">
        <f t="shared" si="2282"/>
        <v>6026</v>
      </c>
      <c r="BY244" s="64">
        <f t="shared" si="2282"/>
        <v>6586</v>
      </c>
      <c r="BZ244" s="64">
        <f t="shared" si="2282"/>
        <v>6134</v>
      </c>
      <c r="CA244" s="64">
        <f t="shared" si="2282"/>
        <v>5945</v>
      </c>
      <c r="CB244" s="64">
        <f t="shared" si="2282"/>
        <v>6215</v>
      </c>
      <c r="CC244" s="64">
        <f t="shared" si="2282"/>
        <v>6113</v>
      </c>
      <c r="CD244" s="64">
        <f t="shared" si="2282"/>
        <v>7975</v>
      </c>
      <c r="CE244" s="64">
        <f t="shared" si="2282"/>
        <v>6374</v>
      </c>
      <c r="CF244" s="64">
        <f t="shared" si="2282"/>
        <v>6516</v>
      </c>
      <c r="CG244" s="64">
        <f t="shared" si="2282"/>
        <v>6822</v>
      </c>
      <c r="CH244" s="64">
        <f t="shared" si="2282"/>
        <v>7038</v>
      </c>
      <c r="CI244" s="64">
        <f t="shared" si="2282"/>
        <v>6924</v>
      </c>
      <c r="CJ244" s="64">
        <f t="shared" si="2282"/>
        <v>7375</v>
      </c>
      <c r="CK244" s="64">
        <f t="shared" si="2282"/>
        <v>7955</v>
      </c>
      <c r="CL244" s="64">
        <f t="shared" si="2282"/>
        <v>8509</v>
      </c>
      <c r="CM244" s="30">
        <f t="shared" si="2282"/>
        <v>7669.4255291847821</v>
      </c>
      <c r="CN244" s="30">
        <f t="shared" si="2282"/>
        <v>7885.9068694565585</v>
      </c>
      <c r="CO244" s="30">
        <f t="shared" si="2282"/>
        <v>8096.0977465302658</v>
      </c>
      <c r="CP244" s="30">
        <f t="shared" si="2282"/>
        <v>8268.3362973488183</v>
      </c>
      <c r="CQ244" s="30">
        <f t="shared" si="2282"/>
        <v>8395.0106770465864</v>
      </c>
      <c r="CR244" s="30">
        <f t="shared" si="2282"/>
        <v>8641.8010218452509</v>
      </c>
      <c r="CS244" s="30">
        <f t="shared" si="2282"/>
        <v>8671.719956876208</v>
      </c>
      <c r="CT244" s="30">
        <f t="shared" si="2282"/>
        <v>8877.9754720719175</v>
      </c>
      <c r="CU244" s="30">
        <f t="shared" ref="CU244:DB244" si="2283">CU51-CU250</f>
        <v>8491.9183584719522</v>
      </c>
      <c r="CV244" s="30">
        <f t="shared" si="2283"/>
        <v>8704.4726076873376</v>
      </c>
      <c r="CW244" s="30">
        <f t="shared" si="2283"/>
        <v>8848.1670236805221</v>
      </c>
      <c r="CX244" s="30">
        <f t="shared" si="2283"/>
        <v>8967.8415050822987</v>
      </c>
      <c r="CY244" s="30">
        <f t="shared" si="2283"/>
        <v>9801.0317746019355</v>
      </c>
      <c r="CZ244" s="30">
        <f t="shared" si="2283"/>
        <v>10160.503103877794</v>
      </c>
      <c r="DA244" s="30">
        <f t="shared" si="2283"/>
        <v>10565.115273262323</v>
      </c>
      <c r="DB244" s="30">
        <f t="shared" si="2283"/>
        <v>11048.316599895265</v>
      </c>
      <c r="DE244" s="139"/>
      <c r="DF244" s="64">
        <v>30763</v>
      </c>
      <c r="DG244" s="64">
        <v>7243.8552468059434</v>
      </c>
    </row>
    <row r="245" spans="1:111" s="64" customFormat="1" hidden="1" outlineLevel="1" x14ac:dyDescent="0.2">
      <c r="AB245" s="30"/>
      <c r="AC245" s="30"/>
      <c r="AD245" s="30"/>
      <c r="AE245" s="30"/>
      <c r="CM245" s="30"/>
      <c r="CN245" s="30"/>
      <c r="CO245" s="30"/>
      <c r="CP245" s="30"/>
      <c r="CQ245" s="30"/>
      <c r="CR245" s="30"/>
      <c r="CS245" s="30"/>
      <c r="CT245" s="30"/>
      <c r="CU245" s="30"/>
      <c r="CV245" s="30"/>
      <c r="CW245" s="30"/>
      <c r="CX245" s="30"/>
      <c r="CY245" s="30"/>
      <c r="CZ245" s="30"/>
      <c r="DA245" s="30"/>
      <c r="DB245" s="30"/>
      <c r="DE245" s="139"/>
    </row>
    <row r="246" spans="1:111" s="64" customFormat="1" hidden="1" outlineLevel="1" x14ac:dyDescent="0.2">
      <c r="A246" s="65" t="s">
        <v>352</v>
      </c>
      <c r="AB246" s="30"/>
      <c r="AC246" s="30"/>
      <c r="AD246" s="30"/>
      <c r="AE246" s="30"/>
      <c r="CM246" s="30"/>
      <c r="CN246" s="30"/>
      <c r="CO246" s="30"/>
      <c r="CP246" s="30"/>
      <c r="CQ246" s="30"/>
      <c r="CR246" s="30"/>
      <c r="CS246" s="30"/>
      <c r="CT246" s="30"/>
      <c r="CU246" s="30"/>
      <c r="CV246" s="30"/>
      <c r="CW246" s="30"/>
      <c r="CX246" s="30"/>
      <c r="CY246" s="30"/>
      <c r="CZ246" s="30"/>
      <c r="DA246" s="30"/>
      <c r="DB246" s="30"/>
      <c r="DE246" s="139"/>
    </row>
    <row r="247" spans="1:111" s="64" customFormat="1" hidden="1" outlineLevel="1" x14ac:dyDescent="0.2">
      <c r="A247" s="64" t="s">
        <v>478</v>
      </c>
      <c r="AB247" s="30"/>
      <c r="AC247" s="30"/>
      <c r="AD247" s="30"/>
      <c r="AE247" s="30"/>
      <c r="CM247" s="30"/>
      <c r="CN247" s="30"/>
      <c r="CO247" s="30"/>
      <c r="CP247" s="30"/>
      <c r="CQ247" s="30"/>
      <c r="CR247" s="30"/>
      <c r="CS247" s="30"/>
      <c r="CT247" s="30"/>
      <c r="CU247" s="30"/>
      <c r="CV247" s="30"/>
      <c r="CW247" s="30"/>
      <c r="CX247" s="30"/>
      <c r="CY247" s="30"/>
      <c r="CZ247" s="30"/>
      <c r="DA247" s="30"/>
      <c r="DB247" s="30"/>
      <c r="DE247" s="139"/>
    </row>
    <row r="248" spans="1:111" s="64" customFormat="1" hidden="1" outlineLevel="1" x14ac:dyDescent="0.2">
      <c r="A248" s="64" t="s">
        <v>479</v>
      </c>
      <c r="AB248" s="30"/>
      <c r="AC248" s="30"/>
      <c r="AD248" s="30"/>
      <c r="AE248" s="30"/>
      <c r="CM248" s="30"/>
      <c r="CN248" s="30"/>
      <c r="CO248" s="30"/>
      <c r="CP248" s="30"/>
      <c r="CQ248" s="30"/>
      <c r="CR248" s="30"/>
      <c r="CS248" s="30"/>
      <c r="CT248" s="30"/>
      <c r="CU248" s="30"/>
      <c r="CV248" s="30"/>
      <c r="CW248" s="30"/>
      <c r="CX248" s="30"/>
      <c r="CY248" s="30"/>
      <c r="CZ248" s="30"/>
      <c r="DA248" s="30"/>
      <c r="DB248" s="30"/>
      <c r="DE248" s="139"/>
    </row>
    <row r="249" spans="1:111" s="89" customFormat="1" hidden="1" outlineLevel="1" x14ac:dyDescent="0.2">
      <c r="A249" s="86" t="s">
        <v>480</v>
      </c>
      <c r="B249" s="86" t="e">
        <f>+B248/B247</f>
        <v>#DIV/0!</v>
      </c>
      <c r="C249" s="86" t="e">
        <f t="shared" ref="C249:X249" si="2284">+C248/C247</f>
        <v>#DIV/0!</v>
      </c>
      <c r="D249" s="86" t="e">
        <f t="shared" si="2284"/>
        <v>#DIV/0!</v>
      </c>
      <c r="E249" s="86" t="e">
        <f t="shared" si="2284"/>
        <v>#DIV/0!</v>
      </c>
      <c r="F249" s="86" t="e">
        <f t="shared" si="2284"/>
        <v>#DIV/0!</v>
      </c>
      <c r="G249" s="86" t="e">
        <f t="shared" si="2284"/>
        <v>#DIV/0!</v>
      </c>
      <c r="H249" s="86" t="e">
        <f t="shared" si="2284"/>
        <v>#DIV/0!</v>
      </c>
      <c r="I249" s="86" t="e">
        <f t="shared" si="2284"/>
        <v>#DIV/0!</v>
      </c>
      <c r="J249" s="86" t="e">
        <f t="shared" si="2284"/>
        <v>#DIV/0!</v>
      </c>
      <c r="K249" s="86" t="e">
        <f t="shared" si="2284"/>
        <v>#DIV/0!</v>
      </c>
      <c r="L249" s="86" t="e">
        <f t="shared" si="2284"/>
        <v>#DIV/0!</v>
      </c>
      <c r="M249" s="86" t="e">
        <f t="shared" si="2284"/>
        <v>#DIV/0!</v>
      </c>
      <c r="N249" s="86" t="e">
        <f t="shared" si="2284"/>
        <v>#DIV/0!</v>
      </c>
      <c r="O249" s="86" t="e">
        <f t="shared" si="2284"/>
        <v>#DIV/0!</v>
      </c>
      <c r="P249" s="86" t="e">
        <f t="shared" si="2284"/>
        <v>#DIV/0!</v>
      </c>
      <c r="Q249" s="86" t="e">
        <f t="shared" si="2284"/>
        <v>#DIV/0!</v>
      </c>
      <c r="R249" s="86" t="e">
        <f t="shared" si="2284"/>
        <v>#DIV/0!</v>
      </c>
      <c r="S249" s="86" t="e">
        <f t="shared" si="2284"/>
        <v>#DIV/0!</v>
      </c>
      <c r="T249" s="86" t="e">
        <f t="shared" si="2284"/>
        <v>#DIV/0!</v>
      </c>
      <c r="U249" s="86" t="e">
        <f t="shared" si="2284"/>
        <v>#DIV/0!</v>
      </c>
      <c r="V249" s="86" t="e">
        <f t="shared" si="2284"/>
        <v>#DIV/0!</v>
      </c>
      <c r="W249" s="86" t="e">
        <f t="shared" si="2284"/>
        <v>#DIV/0!</v>
      </c>
      <c r="X249" s="86" t="e">
        <f t="shared" si="2284"/>
        <v>#DIV/0!</v>
      </c>
      <c r="Y249" s="86" t="e">
        <f t="shared" ref="Y249:Z249" si="2285">+Y248/Y247</f>
        <v>#DIV/0!</v>
      </c>
      <c r="Z249" s="86" t="e">
        <f t="shared" si="2285"/>
        <v>#DIV/0!</v>
      </c>
      <c r="AA249" s="86" t="e">
        <f t="shared" ref="AA249" si="2286">+AA248/AA247</f>
        <v>#DIV/0!</v>
      </c>
      <c r="AB249" s="87"/>
      <c r="AC249" s="87"/>
      <c r="AD249" s="87"/>
      <c r="AE249" s="87"/>
      <c r="AF249" s="86"/>
      <c r="AG249" s="86"/>
      <c r="AH249" s="86"/>
      <c r="AI249" s="86" t="e">
        <f t="shared" ref="AI249" si="2287">+AI248/AI247</f>
        <v>#DIV/0!</v>
      </c>
      <c r="AJ249" s="86" t="e">
        <f t="shared" ref="AJ249" si="2288">+AJ248/AJ247</f>
        <v>#DIV/0!</v>
      </c>
      <c r="AK249" s="86" t="e">
        <f t="shared" ref="AK249" si="2289">+AK248/AK247</f>
        <v>#DIV/0!</v>
      </c>
      <c r="AL249" s="86" t="e">
        <f t="shared" ref="AL249" si="2290">+AL248/AL247</f>
        <v>#DIV/0!</v>
      </c>
      <c r="AM249" s="86" t="e">
        <f t="shared" ref="AM249" si="2291">+AM248/AM247</f>
        <v>#DIV/0!</v>
      </c>
      <c r="AN249" s="86" t="e">
        <f t="shared" ref="AN249" si="2292">+AN248/AN247</f>
        <v>#DIV/0!</v>
      </c>
      <c r="AO249" s="86" t="e">
        <f t="shared" ref="AO249" si="2293">+AO248/AO247</f>
        <v>#DIV/0!</v>
      </c>
      <c r="AP249" s="86" t="e">
        <f t="shared" ref="AP249" si="2294">+AP248/AP247</f>
        <v>#DIV/0!</v>
      </c>
      <c r="AQ249" s="86" t="e">
        <f t="shared" ref="AQ249" si="2295">+AQ248/AQ247</f>
        <v>#DIV/0!</v>
      </c>
      <c r="AR249" s="86" t="e">
        <f t="shared" ref="AR249" si="2296">+AR248/AR247</f>
        <v>#DIV/0!</v>
      </c>
      <c r="AS249" s="86" t="e">
        <f t="shared" ref="AS249" si="2297">+AS248/AS247</f>
        <v>#DIV/0!</v>
      </c>
      <c r="AT249" s="86" t="e">
        <f t="shared" ref="AT249" si="2298">+AT248/AT247</f>
        <v>#DIV/0!</v>
      </c>
      <c r="AU249" s="86" t="e">
        <f t="shared" ref="AU249" si="2299">+AU248/AU247</f>
        <v>#DIV/0!</v>
      </c>
      <c r="AV249" s="86" t="e">
        <f t="shared" ref="AV249" si="2300">+AV248/AV247</f>
        <v>#DIV/0!</v>
      </c>
      <c r="AW249" s="86" t="e">
        <f t="shared" ref="AW249" si="2301">+AW248/AW247</f>
        <v>#DIV/0!</v>
      </c>
      <c r="AX249" s="86" t="e">
        <f t="shared" ref="AX249" si="2302">+AX248/AX247</f>
        <v>#DIV/0!</v>
      </c>
      <c r="AY249" s="86" t="e">
        <f t="shared" ref="AY249" si="2303">+AY248/AY247</f>
        <v>#DIV/0!</v>
      </c>
      <c r="AZ249" s="86" t="e">
        <f t="shared" ref="AZ249" si="2304">+AZ248/AZ247</f>
        <v>#DIV/0!</v>
      </c>
      <c r="BA249" s="86" t="e">
        <f t="shared" ref="BA249" si="2305">+BA248/BA247</f>
        <v>#DIV/0!</v>
      </c>
      <c r="BB249" s="86" t="e">
        <f t="shared" ref="BB249" si="2306">+BB248/BB247</f>
        <v>#DIV/0!</v>
      </c>
      <c r="BC249" s="86" t="e">
        <f t="shared" ref="BC249" si="2307">+BC248/BC247</f>
        <v>#DIV/0!</v>
      </c>
      <c r="BD249" s="86" t="e">
        <f t="shared" ref="BD249" si="2308">+BD248/BD247</f>
        <v>#DIV/0!</v>
      </c>
      <c r="BE249" s="86" t="e">
        <f t="shared" ref="BE249" si="2309">+BE248/BE247</f>
        <v>#DIV/0!</v>
      </c>
      <c r="BF249" s="86" t="e">
        <f t="shared" ref="BF249" si="2310">+BF248/BF247</f>
        <v>#DIV/0!</v>
      </c>
      <c r="BG249" s="86" t="e">
        <f t="shared" ref="BG249" si="2311">+BG248/BG247</f>
        <v>#DIV/0!</v>
      </c>
      <c r="BH249" s="86" t="e">
        <f t="shared" ref="BH249" si="2312">+BH248/BH247</f>
        <v>#DIV/0!</v>
      </c>
      <c r="BI249" s="86" t="e">
        <f t="shared" ref="BI249" si="2313">+BI248/BI247</f>
        <v>#DIV/0!</v>
      </c>
      <c r="BJ249" s="86" t="e">
        <f t="shared" ref="BJ249" si="2314">+BJ248/BJ247</f>
        <v>#DIV/0!</v>
      </c>
      <c r="BK249" s="86" t="e">
        <f t="shared" ref="BK249" si="2315">+BK248/BK247</f>
        <v>#DIV/0!</v>
      </c>
      <c r="BL249" s="86" t="e">
        <f t="shared" ref="BL249" si="2316">+BL248/BL247</f>
        <v>#DIV/0!</v>
      </c>
      <c r="BM249" s="86" t="e">
        <f t="shared" ref="BM249" si="2317">+BM248/BM247</f>
        <v>#DIV/0!</v>
      </c>
      <c r="BN249" s="86" t="e">
        <f t="shared" ref="BN249" si="2318">+BN248/BN247</f>
        <v>#DIV/0!</v>
      </c>
      <c r="BO249" s="86" t="e">
        <f t="shared" ref="BO249" si="2319">+BO248/BO247</f>
        <v>#DIV/0!</v>
      </c>
      <c r="BP249" s="86" t="e">
        <f t="shared" ref="BP249" si="2320">+BP248/BP247</f>
        <v>#DIV/0!</v>
      </c>
      <c r="BQ249" s="86" t="e">
        <f t="shared" ref="BQ249" si="2321">+BQ248/BQ247</f>
        <v>#DIV/0!</v>
      </c>
      <c r="BR249" s="86" t="e">
        <f t="shared" ref="BR249" si="2322">+BR248/BR247</f>
        <v>#DIV/0!</v>
      </c>
      <c r="BS249" s="86" t="e">
        <f t="shared" ref="BS249" si="2323">+BS248/BS247</f>
        <v>#DIV/0!</v>
      </c>
      <c r="BT249" s="86" t="e">
        <f t="shared" ref="BT249" si="2324">+BT248/BT247</f>
        <v>#DIV/0!</v>
      </c>
      <c r="BU249" s="86" t="e">
        <f t="shared" ref="BU249" si="2325">+BU248/BU247</f>
        <v>#DIV/0!</v>
      </c>
      <c r="BV249" s="86" t="e">
        <f t="shared" ref="BV249" si="2326">+BV248/BV247</f>
        <v>#DIV/0!</v>
      </c>
      <c r="BW249" s="86" t="e">
        <f t="shared" ref="BW249" si="2327">+BW248/BW247</f>
        <v>#DIV/0!</v>
      </c>
      <c r="BX249" s="86" t="e">
        <f t="shared" ref="BX249" si="2328">+BX248/BX247</f>
        <v>#DIV/0!</v>
      </c>
      <c r="BY249" s="86" t="e">
        <f t="shared" ref="BY249" si="2329">+BY248/BY247</f>
        <v>#DIV/0!</v>
      </c>
      <c r="BZ249" s="86" t="e">
        <f t="shared" ref="BZ249" si="2330">+BZ248/BZ247</f>
        <v>#DIV/0!</v>
      </c>
      <c r="CA249" s="86" t="e">
        <f t="shared" ref="CA249" si="2331">+CA248/CA247</f>
        <v>#DIV/0!</v>
      </c>
      <c r="CB249" s="86" t="e">
        <f t="shared" ref="CB249:CC249" si="2332">+CB248/CB247</f>
        <v>#DIV/0!</v>
      </c>
      <c r="CC249" s="86" t="e">
        <f t="shared" si="2332"/>
        <v>#DIV/0!</v>
      </c>
      <c r="CD249" s="86" t="e">
        <f t="shared" ref="CD249" si="2333">+CD248/CD247</f>
        <v>#DIV/0!</v>
      </c>
      <c r="CE249" s="86" t="e">
        <f t="shared" ref="CE249:CF249" si="2334">+CE248/CE247</f>
        <v>#DIV/0!</v>
      </c>
      <c r="CF249" s="86" t="e">
        <f t="shared" si="2334"/>
        <v>#DIV/0!</v>
      </c>
      <c r="CG249" s="86" t="e">
        <f t="shared" ref="CG249:CH249" si="2335">+CG248/CG247</f>
        <v>#DIV/0!</v>
      </c>
      <c r="CH249" s="86" t="e">
        <f t="shared" si="2335"/>
        <v>#DIV/0!</v>
      </c>
      <c r="CI249" s="86" t="e">
        <f t="shared" ref="CI249:CJ249" si="2336">+CI248/CI247</f>
        <v>#DIV/0!</v>
      </c>
      <c r="CJ249" s="86" t="e">
        <f t="shared" si="2336"/>
        <v>#DIV/0!</v>
      </c>
      <c r="CK249" s="86" t="e">
        <f t="shared" ref="CK249:DB249" si="2337">+CK248/CK247</f>
        <v>#DIV/0!</v>
      </c>
      <c r="CL249" s="86" t="e">
        <f t="shared" si="2337"/>
        <v>#DIV/0!</v>
      </c>
      <c r="CM249" s="47" t="e">
        <f t="shared" si="2337"/>
        <v>#DIV/0!</v>
      </c>
      <c r="CN249" s="47" t="e">
        <f t="shared" si="2337"/>
        <v>#DIV/0!</v>
      </c>
      <c r="CO249" s="47" t="e">
        <f t="shared" si="2337"/>
        <v>#DIV/0!</v>
      </c>
      <c r="CP249" s="47" t="e">
        <f t="shared" si="2337"/>
        <v>#DIV/0!</v>
      </c>
      <c r="CQ249" s="47" t="e">
        <f t="shared" si="2337"/>
        <v>#DIV/0!</v>
      </c>
      <c r="CR249" s="47" t="e">
        <f t="shared" si="2337"/>
        <v>#DIV/0!</v>
      </c>
      <c r="CS249" s="47" t="e">
        <f t="shared" si="2337"/>
        <v>#DIV/0!</v>
      </c>
      <c r="CT249" s="47" t="e">
        <f t="shared" si="2337"/>
        <v>#DIV/0!</v>
      </c>
      <c r="CU249" s="47" t="e">
        <f t="shared" si="2337"/>
        <v>#DIV/0!</v>
      </c>
      <c r="CV249" s="47" t="e">
        <f t="shared" si="2337"/>
        <v>#DIV/0!</v>
      </c>
      <c r="CW249" s="47" t="e">
        <f t="shared" si="2337"/>
        <v>#DIV/0!</v>
      </c>
      <c r="CX249" s="47" t="e">
        <f t="shared" si="2337"/>
        <v>#DIV/0!</v>
      </c>
      <c r="CY249" s="47" t="e">
        <f t="shared" si="2337"/>
        <v>#DIV/0!</v>
      </c>
      <c r="CZ249" s="47" t="e">
        <f t="shared" si="2337"/>
        <v>#DIV/0!</v>
      </c>
      <c r="DA249" s="47" t="e">
        <f t="shared" si="2337"/>
        <v>#DIV/0!</v>
      </c>
      <c r="DB249" s="47" t="e">
        <f t="shared" si="2337"/>
        <v>#DIV/0!</v>
      </c>
      <c r="DE249" s="130"/>
      <c r="DG249" s="89" t="e">
        <v>#DIV/0!</v>
      </c>
    </row>
    <row r="250" spans="1:111" s="64" customFormat="1" hidden="1" outlineLevel="1" x14ac:dyDescent="0.2">
      <c r="A250" s="64" t="s">
        <v>481</v>
      </c>
      <c r="AB250" s="30"/>
      <c r="AC250" s="30"/>
      <c r="AD250" s="30"/>
      <c r="AE250" s="30"/>
      <c r="CM250" s="30"/>
      <c r="CN250" s="30"/>
      <c r="CO250" s="30"/>
      <c r="CP250" s="30"/>
      <c r="CQ250" s="30"/>
      <c r="CR250" s="30"/>
      <c r="CS250" s="30"/>
      <c r="CT250" s="30"/>
      <c r="CU250" s="30"/>
      <c r="CV250" s="30"/>
      <c r="CW250" s="30"/>
      <c r="CX250" s="30"/>
      <c r="CY250" s="30"/>
      <c r="CZ250" s="30"/>
      <c r="DA250" s="30"/>
      <c r="DB250" s="30"/>
      <c r="DE250" s="139"/>
    </row>
    <row r="251" spans="1:111" s="62" customFormat="1" hidden="1" outlineLevel="1" x14ac:dyDescent="0.2">
      <c r="AB251" s="63"/>
      <c r="AC251" s="63"/>
      <c r="AD251" s="63"/>
      <c r="AE251" s="63"/>
      <c r="CM251" s="30"/>
      <c r="CN251" s="30"/>
      <c r="CO251" s="30"/>
      <c r="CP251" s="30"/>
      <c r="CQ251" s="30"/>
      <c r="CR251" s="30"/>
      <c r="CS251" s="30"/>
      <c r="CT251" s="30"/>
      <c r="CU251" s="30"/>
      <c r="CV251" s="30"/>
      <c r="CW251" s="30"/>
      <c r="CX251" s="30"/>
      <c r="CY251" s="30"/>
      <c r="CZ251" s="30"/>
      <c r="DA251" s="30"/>
      <c r="DB251" s="30"/>
      <c r="DE251" s="139"/>
    </row>
    <row r="252" spans="1:111" s="11" customFormat="1" collapsed="1" x14ac:dyDescent="0.2">
      <c r="AB252" s="63"/>
      <c r="AC252" s="63"/>
      <c r="AD252" s="63"/>
      <c r="AE252" s="63"/>
      <c r="CM252" s="30"/>
      <c r="CN252" s="30"/>
      <c r="CO252" s="30"/>
      <c r="CP252" s="30"/>
      <c r="CQ252" s="30"/>
      <c r="CR252" s="30"/>
      <c r="CS252" s="30"/>
      <c r="CT252" s="30"/>
      <c r="CU252" s="30"/>
      <c r="CV252" s="30"/>
      <c r="CW252" s="30"/>
      <c r="CX252" s="30"/>
      <c r="CY252" s="30"/>
      <c r="CZ252" s="30"/>
      <c r="DA252" s="30"/>
      <c r="DB252" s="30"/>
      <c r="DE252" s="139"/>
    </row>
    <row r="253" spans="1:111" s="62" customFormat="1" x14ac:dyDescent="0.2">
      <c r="A253" s="154" t="s">
        <v>497</v>
      </c>
      <c r="G253" s="180"/>
      <c r="H253" s="180"/>
      <c r="I253" s="180"/>
      <c r="J253" s="180"/>
      <c r="K253" s="180"/>
      <c r="L253" s="180"/>
      <c r="M253" s="180"/>
      <c r="N253" s="180"/>
      <c r="O253" s="180"/>
      <c r="P253" s="180"/>
      <c r="Q253" s="180"/>
      <c r="R253" s="180"/>
      <c r="S253" s="180"/>
      <c r="T253" s="180"/>
      <c r="U253" s="180"/>
      <c r="V253" s="180"/>
      <c r="W253" s="180"/>
      <c r="X253" s="180"/>
      <c r="Y253" s="180"/>
      <c r="Z253" s="180"/>
      <c r="AA253" s="180"/>
      <c r="AB253" s="63"/>
      <c r="AC253" s="63"/>
      <c r="AD253" s="63"/>
      <c r="AE253" s="63"/>
      <c r="AL253" s="180"/>
      <c r="CF253" s="180"/>
      <c r="CG253" s="180"/>
      <c r="CH253" s="180"/>
      <c r="CI253" s="180"/>
      <c r="CJ253" s="180"/>
      <c r="CK253" s="180"/>
      <c r="CL253" s="180"/>
      <c r="CM253" s="30"/>
      <c r="CN253" s="30"/>
      <c r="CO253" s="30"/>
      <c r="CP253" s="30"/>
      <c r="CQ253" s="30"/>
      <c r="CR253" s="30"/>
      <c r="CS253" s="30"/>
      <c r="CT253" s="30"/>
      <c r="CU253" s="30"/>
      <c r="CV253" s="30"/>
      <c r="CW253" s="30"/>
      <c r="CX253" s="30"/>
      <c r="CY253" s="30"/>
      <c r="CZ253" s="30"/>
      <c r="DA253" s="30"/>
      <c r="DB253" s="30"/>
      <c r="DE253" s="139"/>
    </row>
    <row r="254" spans="1:111" s="84" customFormat="1" x14ac:dyDescent="0.2">
      <c r="A254" s="84" t="s">
        <v>512</v>
      </c>
      <c r="B254" s="84">
        <f>B18/B175</f>
        <v>1.3676685878904411</v>
      </c>
      <c r="C254" s="84">
        <f>C18/C175</f>
        <v>1.2515394340266592</v>
      </c>
      <c r="D254" s="84">
        <f>D18/D175</f>
        <v>1.2523628156298494</v>
      </c>
      <c r="E254" s="84">
        <f t="shared" ref="E254:Y254" si="2338">E20/(E171+E158+E148)</f>
        <v>0.95732530063440946</v>
      </c>
      <c r="F254" s="84">
        <f t="shared" si="2338"/>
        <v>1.0633855331841908</v>
      </c>
      <c r="G254" s="84">
        <f t="shared" si="2338"/>
        <v>1.022334371308923</v>
      </c>
      <c r="H254" s="84">
        <f t="shared" si="2338"/>
        <v>1.0432529849065104</v>
      </c>
      <c r="I254" s="84">
        <f t="shared" si="2338"/>
        <v>0.93423630156153803</v>
      </c>
      <c r="J254" s="84">
        <f t="shared" si="2338"/>
        <v>0.98604545454545456</v>
      </c>
      <c r="K254" s="84">
        <f t="shared" si="2338"/>
        <v>0.83304029304029303</v>
      </c>
      <c r="L254" s="84">
        <f t="shared" si="2338"/>
        <v>0.88804572461896147</v>
      </c>
      <c r="M254" s="84">
        <f t="shared" si="2338"/>
        <v>0.88568578029825662</v>
      </c>
      <c r="N254" s="84">
        <f t="shared" si="2338"/>
        <v>0.88714960976145985</v>
      </c>
      <c r="O254" s="84">
        <f t="shared" si="2338"/>
        <v>0.91101217517717603</v>
      </c>
      <c r="P254" s="84">
        <f t="shared" si="2338"/>
        <v>0.82851371299821308</v>
      </c>
      <c r="Q254" s="84">
        <f t="shared" si="2338"/>
        <v>0.85539131745140207</v>
      </c>
      <c r="R254" s="84">
        <f t="shared" si="2338"/>
        <v>0.89683350357507663</v>
      </c>
      <c r="S254" s="84">
        <f t="shared" si="2338"/>
        <v>0.968017350244331</v>
      </c>
      <c r="T254" s="84">
        <f t="shared" si="2338"/>
        <v>1.0500812884214805</v>
      </c>
      <c r="U254" s="84">
        <f t="shared" si="2338"/>
        <v>1.0449319230724965</v>
      </c>
      <c r="V254" s="84">
        <f t="shared" si="2338"/>
        <v>1.0528897039559864</v>
      </c>
      <c r="W254" s="84">
        <f t="shared" si="2338"/>
        <v>1.1807283881112771</v>
      </c>
      <c r="X254" s="84">
        <f t="shared" si="2338"/>
        <v>1.3103962429242335</v>
      </c>
      <c r="Y254" s="84">
        <f t="shared" si="2338"/>
        <v>1.2229809314614968</v>
      </c>
      <c r="Z254" s="84">
        <f>Z20/(Z171+Z158+Z148)</f>
        <v>1.1920050315937281</v>
      </c>
      <c r="AA254" s="84">
        <f>AA20/(AA171+AA158+AA148)</f>
        <v>1.2340008150691082</v>
      </c>
      <c r="AB254" s="50">
        <f t="shared" ref="AB254:AE254" si="2339">AB20/(AB171+AB158+AB148)</f>
        <v>1.0926214276222239</v>
      </c>
      <c r="AC254" s="50">
        <f t="shared" si="2339"/>
        <v>0.94551070512592827</v>
      </c>
      <c r="AD254" s="50">
        <f t="shared" si="2339"/>
        <v>0.85667133424037856</v>
      </c>
      <c r="AE254" s="50">
        <f t="shared" si="2339"/>
        <v>0.79652060025979521</v>
      </c>
      <c r="AL254" s="84">
        <f>SUM(AI20:AL20)/(AL171+AL158+AL148)</f>
        <v>0.88700664407972896</v>
      </c>
      <c r="AM254" s="84">
        <f t="shared" ref="AM254:CJ254" si="2340">SUM(AJ20:AM20)/(AM171+AM158+AM148)</f>
        <v>0.87793961065918924</v>
      </c>
      <c r="AN254" s="84">
        <f t="shared" si="2340"/>
        <v>0.88301398340818604</v>
      </c>
      <c r="AO254" s="84">
        <f t="shared" si="2340"/>
        <v>0.88418208812089627</v>
      </c>
      <c r="AP254" s="84">
        <f t="shared" si="2340"/>
        <v>0.9075199013545614</v>
      </c>
      <c r="AQ254" s="84">
        <f t="shared" si="2340"/>
        <v>0.88830929457891106</v>
      </c>
      <c r="AR254" s="84">
        <f t="shared" si="2340"/>
        <v>0.87126871922007443</v>
      </c>
      <c r="AS254" s="84">
        <f t="shared" si="2340"/>
        <v>0.83845631838190726</v>
      </c>
      <c r="AT254" s="84">
        <f t="shared" si="2340"/>
        <v>0.82823057924414001</v>
      </c>
      <c r="AU254" s="84">
        <f t="shared" si="2340"/>
        <v>0.8144052053506553</v>
      </c>
      <c r="AV254" s="84">
        <f t="shared" si="2340"/>
        <v>0.8326685107002475</v>
      </c>
      <c r="AW254" s="84">
        <f t="shared" si="2340"/>
        <v>0.82184819037406409</v>
      </c>
      <c r="AX254" s="84">
        <f t="shared" si="2340"/>
        <v>0.85539131745140207</v>
      </c>
      <c r="AY254" s="84">
        <f t="shared" si="2340"/>
        <v>0.84864401488623142</v>
      </c>
      <c r="AZ254" s="84">
        <f t="shared" si="2340"/>
        <v>0.87044788614483048</v>
      </c>
      <c r="BA254" s="84">
        <f t="shared" si="2340"/>
        <v>0.84729223017458721</v>
      </c>
      <c r="BB254" s="84">
        <f t="shared" si="2340"/>
        <v>0.89684659909379005</v>
      </c>
      <c r="BC254" s="84">
        <f t="shared" si="2340"/>
        <v>0.86144123738519152</v>
      </c>
      <c r="BD254" s="84">
        <f t="shared" si="2340"/>
        <v>0.84620947478090336</v>
      </c>
      <c r="BE254" s="84">
        <f t="shared" si="2340"/>
        <v>0.80210143438159609</v>
      </c>
      <c r="BF254" s="84">
        <f t="shared" si="2340"/>
        <v>0.968017350244331</v>
      </c>
      <c r="BG254" s="84">
        <f t="shared" si="2340"/>
        <v>0.94860268488872002</v>
      </c>
      <c r="BH254" s="84">
        <f t="shared" si="2340"/>
        <v>1.0041699867197875</v>
      </c>
      <c r="BI254" s="84">
        <f t="shared" si="2340"/>
        <v>1.0033590251474471</v>
      </c>
      <c r="BJ254" s="84">
        <f t="shared" si="2340"/>
        <v>1.0500939897373367</v>
      </c>
      <c r="BK254" s="84">
        <f t="shared" si="2340"/>
        <v>1.0339273805477043</v>
      </c>
      <c r="BL254" s="84">
        <f t="shared" si="2340"/>
        <v>1.0934359551967963</v>
      </c>
      <c r="BM254" s="84">
        <f t="shared" si="2340"/>
        <v>1.0551780201560015</v>
      </c>
      <c r="BN254" s="84">
        <f t="shared" si="2340"/>
        <v>1.0449319230724965</v>
      </c>
      <c r="BO254" s="84">
        <f t="shared" si="2340"/>
        <v>1.0162798520033434</v>
      </c>
      <c r="BP254" s="84">
        <f t="shared" si="2340"/>
        <v>1.0566918754677779</v>
      </c>
      <c r="BQ254" s="84">
        <f t="shared" si="2340"/>
        <v>1.027220936852381</v>
      </c>
      <c r="BR254" s="84">
        <f t="shared" si="2340"/>
        <v>1.0529001833900968</v>
      </c>
      <c r="BS254" s="84">
        <f t="shared" si="2340"/>
        <v>1.0389431281632242</v>
      </c>
      <c r="BT254" s="84">
        <f t="shared" si="2340"/>
        <v>1.1546539279025232</v>
      </c>
      <c r="BU254" s="84">
        <f t="shared" si="2340"/>
        <v>1.1442871334045803</v>
      </c>
      <c r="BV254" s="84">
        <f t="shared" si="2340"/>
        <v>1.1807283881112771</v>
      </c>
      <c r="BW254" s="84">
        <f t="shared" si="2340"/>
        <v>1.17993230367896</v>
      </c>
      <c r="BX254" s="84">
        <f t="shared" si="2340"/>
        <v>1.194082202431439</v>
      </c>
      <c r="BY254" s="84">
        <f t="shared" si="2340"/>
        <v>1.1802846141230148</v>
      </c>
      <c r="BZ254" s="84">
        <f t="shared" si="2340"/>
        <v>1.3103962429242335</v>
      </c>
      <c r="CA254" s="84">
        <f t="shared" si="2340"/>
        <v>1.2731594519310392</v>
      </c>
      <c r="CB254" s="84">
        <f t="shared" si="2340"/>
        <v>1.2973905359130575</v>
      </c>
      <c r="CC254" s="84">
        <f t="shared" si="2340"/>
        <v>1.237602988788209</v>
      </c>
      <c r="CD254" s="84">
        <f t="shared" si="2340"/>
        <v>1.2229888899500208</v>
      </c>
      <c r="CE254" s="84">
        <f t="shared" si="2340"/>
        <v>1.1731756144352978</v>
      </c>
      <c r="CF254" s="84">
        <f t="shared" si="2340"/>
        <v>1.1956041780863633</v>
      </c>
      <c r="CG254" s="84">
        <f t="shared" si="2340"/>
        <v>1.1573967049279543</v>
      </c>
      <c r="CH254" s="84">
        <f t="shared" si="2340"/>
        <v>1.1920050315937281</v>
      </c>
      <c r="CI254" s="84">
        <f t="shared" si="2340"/>
        <v>1.1418046409660105</v>
      </c>
      <c r="CJ254" s="84">
        <f t="shared" si="2340"/>
        <v>1.1451799290420679</v>
      </c>
      <c r="CK254" s="84">
        <f t="shared" ref="CK254" si="2341">SUM(CH20:CK20)/(CK171+CK158+CK148)</f>
        <v>1.1111483379979801</v>
      </c>
      <c r="CL254" s="84">
        <f t="shared" ref="CL254:DB254" si="2342">SUM(CI20:CL20)/(CL171+CL158+CL148)</f>
        <v>1.2340008150691082</v>
      </c>
      <c r="CM254" s="50">
        <f t="shared" si="2342"/>
        <v>1.2257050569688375</v>
      </c>
      <c r="CN254" s="50">
        <f t="shared" si="2342"/>
        <v>1.1804246622123715</v>
      </c>
      <c r="CO254" s="50">
        <f t="shared" si="2342"/>
        <v>1.1361761088449105</v>
      </c>
      <c r="CP254" s="50">
        <f t="shared" si="2342"/>
        <v>1.0926214276222239</v>
      </c>
      <c r="CQ254" s="50">
        <f t="shared" si="2342"/>
        <v>1.0499525596286226</v>
      </c>
      <c r="CR254" s="50">
        <f t="shared" si="2342"/>
        <v>1.0109449179111258</v>
      </c>
      <c r="CS254" s="50">
        <f t="shared" si="2342"/>
        <v>0.97654806552755014</v>
      </c>
      <c r="CT254" s="50">
        <f t="shared" si="2342"/>
        <v>0.94551070512592827</v>
      </c>
      <c r="CU254" s="50">
        <f t="shared" si="2342"/>
        <v>0.91899770014129045</v>
      </c>
      <c r="CV254" s="50">
        <f t="shared" si="2342"/>
        <v>0.89526607365212529</v>
      </c>
      <c r="CW254" s="50">
        <f t="shared" si="2342"/>
        <v>0.87450481173746375</v>
      </c>
      <c r="CX254" s="50">
        <f t="shared" si="2342"/>
        <v>0.85667133424037856</v>
      </c>
      <c r="CY254" s="50">
        <f t="shared" si="2342"/>
        <v>0.83891894518242205</v>
      </c>
      <c r="CZ254" s="50">
        <f t="shared" si="2342"/>
        <v>0.82310877817463501</v>
      </c>
      <c r="DA254" s="50">
        <f t="shared" si="2342"/>
        <v>0.80906259115446133</v>
      </c>
      <c r="DB254" s="50">
        <f t="shared" si="2342"/>
        <v>0.79652060025979521</v>
      </c>
      <c r="DE254" s="138"/>
      <c r="DF254" s="84">
        <v>1.2340008150691082</v>
      </c>
      <c r="DG254" s="84">
        <v>1.0909118301685616</v>
      </c>
    </row>
    <row r="255" spans="1:111" s="84" customFormat="1" x14ac:dyDescent="0.2">
      <c r="A255" s="84" t="s">
        <v>513</v>
      </c>
      <c r="E255" s="181">
        <f>+E52</f>
        <v>0.25626268558299592</v>
      </c>
      <c r="F255" s="181">
        <f t="shared" ref="F255:AE255" si="2343">+F52</f>
        <v>0.25890603085553998</v>
      </c>
      <c r="G255" s="181">
        <f t="shared" si="2343"/>
        <v>0.26037180968385676</v>
      </c>
      <c r="H255" s="181">
        <f t="shared" si="2343"/>
        <v>0.27790973871733965</v>
      </c>
      <c r="I255" s="181">
        <f t="shared" si="2343"/>
        <v>0.27911574406901507</v>
      </c>
      <c r="J255" s="181">
        <f t="shared" si="2343"/>
        <v>0.27603374360392752</v>
      </c>
      <c r="K255" s="181">
        <f t="shared" si="2343"/>
        <v>0.27341482719197957</v>
      </c>
      <c r="L255" s="181">
        <f t="shared" si="2343"/>
        <v>0.2485364168575688</v>
      </c>
      <c r="M255" s="181">
        <f t="shared" si="2343"/>
        <v>0.24699116618248651</v>
      </c>
      <c r="N255" s="181">
        <f t="shared" si="2343"/>
        <v>0.23366871530531325</v>
      </c>
      <c r="O255" s="181">
        <f t="shared" si="2343"/>
        <v>0.21255460475136137</v>
      </c>
      <c r="P255" s="181">
        <f t="shared" si="2343"/>
        <v>0.23205611508092799</v>
      </c>
      <c r="Q255" s="181">
        <f t="shared" si="2343"/>
        <v>0.2160759757210807</v>
      </c>
      <c r="R255" s="181">
        <f t="shared" si="2343"/>
        <v>0.21001985865311606</v>
      </c>
      <c r="S255" s="181">
        <f t="shared" si="2343"/>
        <v>0.22829755253679704</v>
      </c>
      <c r="T255" s="181">
        <f t="shared" si="2343"/>
        <v>0.18639250075597219</v>
      </c>
      <c r="U255" s="181">
        <f t="shared" si="2343"/>
        <v>0.18326706391602693</v>
      </c>
      <c r="V255" s="181">
        <f t="shared" si="2343"/>
        <v>0.19331754120550998</v>
      </c>
      <c r="W255" s="181">
        <f t="shared" si="2343"/>
        <v>0.1820603250548746</v>
      </c>
      <c r="X255" s="181">
        <f t="shared" si="2343"/>
        <v>0.16426035825492105</v>
      </c>
      <c r="Y255" s="181">
        <f t="shared" si="2343"/>
        <v>0.17080757467300059</v>
      </c>
      <c r="Z255" s="181">
        <f t="shared" si="2343"/>
        <v>0.16412049819007302</v>
      </c>
      <c r="AA255" s="181">
        <f t="shared" ref="AA255" si="2344">+AA52</f>
        <v>0.17219703330534564</v>
      </c>
      <c r="AB255" s="182">
        <f t="shared" si="2343"/>
        <v>0.16605793951301384</v>
      </c>
      <c r="AC255" s="182">
        <f t="shared" si="2343"/>
        <v>0.17078908831332881</v>
      </c>
      <c r="AD255" s="182">
        <f t="shared" si="2343"/>
        <v>0.16023536307675548</v>
      </c>
      <c r="AE255" s="182">
        <f t="shared" si="2343"/>
        <v>0.17089190223363579</v>
      </c>
      <c r="AL255" s="181">
        <f t="shared" ref="AL255:CW255" si="2345">+AL52</f>
        <v>0.22900325234360053</v>
      </c>
      <c r="AM255" s="181">
        <f t="shared" si="2345"/>
        <v>0.21070382533061152</v>
      </c>
      <c r="AN255" s="181">
        <f t="shared" si="2345"/>
        <v>0.18689339234412611</v>
      </c>
      <c r="AO255" s="181">
        <f t="shared" si="2345"/>
        <v>0.22071242131122371</v>
      </c>
      <c r="AP255" s="181">
        <f t="shared" si="2345"/>
        <v>0.23238834951456311</v>
      </c>
      <c r="AQ255" s="181">
        <f t="shared" si="2345"/>
        <v>0.22599843382928739</v>
      </c>
      <c r="AR255" s="181">
        <f t="shared" si="2345"/>
        <v>0.2320491680407735</v>
      </c>
      <c r="AS255" s="181">
        <f t="shared" si="2345"/>
        <v>0.23557552913888083</v>
      </c>
      <c r="AT255" s="181">
        <f t="shared" si="2345"/>
        <v>0.2310043993736485</v>
      </c>
      <c r="AU255" s="181">
        <f t="shared" si="2345"/>
        <v>0.21095165110770517</v>
      </c>
      <c r="AV255" s="181">
        <f t="shared" si="2345"/>
        <v>0.21739686600575631</v>
      </c>
      <c r="AW255" s="181">
        <f t="shared" si="2345"/>
        <v>0.21789711985913721</v>
      </c>
      <c r="AX255" s="181">
        <f t="shared" si="2345"/>
        <v>0.21740181268882175</v>
      </c>
      <c r="AY255" s="181">
        <f t="shared" si="2345"/>
        <v>0.20486235252055773</v>
      </c>
      <c r="AZ255" s="181">
        <f t="shared" si="2345"/>
        <v>0.20849220103986135</v>
      </c>
      <c r="BA255" s="181">
        <f t="shared" si="2345"/>
        <v>0.2146702946795577</v>
      </c>
      <c r="BB255" s="181">
        <f t="shared" si="2345"/>
        <v>0.21191588785046728</v>
      </c>
      <c r="BC255" s="181">
        <f t="shared" si="2345"/>
        <v>0.20810399344185501</v>
      </c>
      <c r="BD255" s="181">
        <f t="shared" si="2345"/>
        <v>0.21210223714920021</v>
      </c>
      <c r="BE255" s="181">
        <f t="shared" si="2345"/>
        <v>0.28824322805440034</v>
      </c>
      <c r="BF255" s="181">
        <f t="shared" si="2345"/>
        <v>0.20405906099651608</v>
      </c>
      <c r="BG255" s="181">
        <f t="shared" si="2345"/>
        <v>0.18883312421580928</v>
      </c>
      <c r="BH255" s="181">
        <f t="shared" si="2345"/>
        <v>0.19942743461594448</v>
      </c>
      <c r="BI255" s="181">
        <f t="shared" si="2345"/>
        <v>0.16869158878504673</v>
      </c>
      <c r="BJ255" s="181">
        <f t="shared" si="2345"/>
        <v>0.189330981011189</v>
      </c>
      <c r="BK255" s="181">
        <f t="shared" si="2345"/>
        <v>0.17437967252212999</v>
      </c>
      <c r="BL255" s="181">
        <f t="shared" si="2345"/>
        <v>0.17839939900128154</v>
      </c>
      <c r="BM255" s="181">
        <f t="shared" si="2345"/>
        <v>0.19340031179629308</v>
      </c>
      <c r="BN255" s="181">
        <f t="shared" si="2345"/>
        <v>0.18631538230111316</v>
      </c>
      <c r="BO255" s="181">
        <f t="shared" si="2345"/>
        <v>0.18051975491231778</v>
      </c>
      <c r="BP255" s="181">
        <f t="shared" si="2345"/>
        <v>0.19772079772079773</v>
      </c>
      <c r="BQ255" s="181">
        <f t="shared" si="2345"/>
        <v>0.20114166698808192</v>
      </c>
      <c r="BR255" s="181">
        <f t="shared" si="2345"/>
        <v>0.19299912584090304</v>
      </c>
      <c r="BS255" s="181">
        <f t="shared" si="2345"/>
        <v>0.18644250071694868</v>
      </c>
      <c r="BT255" s="181">
        <f t="shared" si="2345"/>
        <v>0.18336598878454158</v>
      </c>
      <c r="BU255" s="181">
        <f t="shared" si="2345"/>
        <v>0.18269683371512851</v>
      </c>
      <c r="BV255" s="181">
        <f t="shared" si="2345"/>
        <v>0.1764468955260875</v>
      </c>
      <c r="BW255" s="181">
        <f t="shared" si="2345"/>
        <v>0.15555555555555556</v>
      </c>
      <c r="BX255" s="181">
        <f t="shared" si="2345"/>
        <v>0.16492418851606547</v>
      </c>
      <c r="BY255" s="181">
        <f t="shared" si="2345"/>
        <v>0.17187744663082624</v>
      </c>
      <c r="BZ255" s="181">
        <f t="shared" si="2345"/>
        <v>0.16383109425496115</v>
      </c>
      <c r="CA255" s="181">
        <f t="shared" si="2345"/>
        <v>0.1567236970447895</v>
      </c>
      <c r="CB255" s="181">
        <f t="shared" si="2345"/>
        <v>0.15938349489665077</v>
      </c>
      <c r="CC255" s="181">
        <f t="shared" si="2345"/>
        <v>0.15746631977537931</v>
      </c>
      <c r="CD255" s="181">
        <f t="shared" si="2345"/>
        <v>0.21029454420800042</v>
      </c>
      <c r="CE255" s="181">
        <f t="shared" si="2345"/>
        <v>0.16212641485438128</v>
      </c>
      <c r="CF255" s="181">
        <f t="shared" si="2345"/>
        <v>0.15898111550285463</v>
      </c>
      <c r="CG255" s="181">
        <f t="shared" si="2345"/>
        <v>0.16334642275644096</v>
      </c>
      <c r="CH255" s="181">
        <f t="shared" si="2345"/>
        <v>0.17197312156383629</v>
      </c>
      <c r="CI255" s="181">
        <f t="shared" si="2345"/>
        <v>0.16376924714397217</v>
      </c>
      <c r="CJ255" s="181">
        <f t="shared" si="2345"/>
        <v>0.16576758822207238</v>
      </c>
      <c r="CK255" s="181">
        <f t="shared" si="2345"/>
        <v>0.17491589524835638</v>
      </c>
      <c r="CL255" s="181">
        <f t="shared" si="2345"/>
        <v>0.18337571656394122</v>
      </c>
      <c r="CM255" s="182">
        <f t="shared" si="2345"/>
        <v>0.1622481568471722</v>
      </c>
      <c r="CN255" s="182">
        <f t="shared" si="2345"/>
        <v>0.16481335585636908</v>
      </c>
      <c r="CO255" s="182">
        <f t="shared" si="2345"/>
        <v>0.16756768091476337</v>
      </c>
      <c r="CP255" s="182">
        <f t="shared" si="2345"/>
        <v>0.16947463391997936</v>
      </c>
      <c r="CQ255" s="182">
        <f t="shared" si="2345"/>
        <v>0.16950790161785029</v>
      </c>
      <c r="CR255" s="182">
        <f t="shared" si="2345"/>
        <v>0.17204341060566752</v>
      </c>
      <c r="CS255" s="182">
        <f t="shared" si="2345"/>
        <v>0.17013344375605127</v>
      </c>
      <c r="CT255" s="182">
        <f t="shared" si="2345"/>
        <v>0.17144305696661749</v>
      </c>
      <c r="CU255" s="182">
        <f t="shared" si="2345"/>
        <v>0.16077089312074008</v>
      </c>
      <c r="CV255" s="182">
        <f t="shared" si="2345"/>
        <v>0.16136883933449053</v>
      </c>
      <c r="CW255" s="182">
        <f t="shared" si="2345"/>
        <v>0.16034741203727523</v>
      </c>
      <c r="CX255" s="182">
        <f t="shared" ref="CX255:DB255" si="2346">+CX52</f>
        <v>0.15854502765963882</v>
      </c>
      <c r="CY255" s="182">
        <f t="shared" si="2346"/>
        <v>0.16866755400184127</v>
      </c>
      <c r="CZ255" s="182">
        <f t="shared" si="2346"/>
        <v>0.1699019273297247</v>
      </c>
      <c r="DA255" s="182">
        <f t="shared" si="2346"/>
        <v>0.17133521702638513</v>
      </c>
      <c r="DB255" s="182">
        <f t="shared" si="2346"/>
        <v>0.17342093822160159</v>
      </c>
      <c r="DE255" s="138"/>
      <c r="DF255" s="84">
        <v>0.17219703330534564</v>
      </c>
      <c r="DG255" s="84">
        <v>0.1611298945608842</v>
      </c>
    </row>
    <row r="256" spans="1:111" s="84" customFormat="1" x14ac:dyDescent="0.2">
      <c r="A256" s="84" t="s">
        <v>514</v>
      </c>
      <c r="E256" s="84">
        <f>(E171+E158+E148+E150)/E130</f>
        <v>1.5169331825768588</v>
      </c>
      <c r="F256" s="84">
        <f t="shared" ref="F256:AE256" si="2347">(F171+F158+F148+F150)/F130</f>
        <v>1.2609513066365858</v>
      </c>
      <c r="G256" s="84">
        <f t="shared" si="2347"/>
        <v>1.3372093023255813</v>
      </c>
      <c r="H256" s="84">
        <f t="shared" si="2347"/>
        <v>1.1832074633496223</v>
      </c>
      <c r="I256" s="84">
        <f t="shared" si="2347"/>
        <v>1.2951794128307357</v>
      </c>
      <c r="J256" s="84">
        <f t="shared" si="2347"/>
        <v>1.2052152952777473</v>
      </c>
      <c r="K256" s="84">
        <f t="shared" si="2347"/>
        <v>1.1846067074493472</v>
      </c>
      <c r="L256" s="84">
        <f t="shared" si="2347"/>
        <v>1.192331382814906</v>
      </c>
      <c r="M256" s="84">
        <f t="shared" si="2347"/>
        <v>1.2157538618664625</v>
      </c>
      <c r="N256" s="84">
        <f t="shared" si="2347"/>
        <v>1.2070853292625152</v>
      </c>
      <c r="O256" s="84">
        <f t="shared" si="2347"/>
        <v>1.2651470918481922</v>
      </c>
      <c r="P256" s="84">
        <f t="shared" si="2347"/>
        <v>1.295983128350678</v>
      </c>
      <c r="Q256" s="84">
        <f t="shared" si="2347"/>
        <v>1.2116804871728426</v>
      </c>
      <c r="R256" s="84">
        <f t="shared" si="2347"/>
        <v>1.2005305731930069</v>
      </c>
      <c r="S256" s="84">
        <f t="shared" si="2347"/>
        <v>1.2107881644409531</v>
      </c>
      <c r="T256" s="84">
        <f t="shared" si="2347"/>
        <v>1.2835807107224242</v>
      </c>
      <c r="U256" s="84">
        <f t="shared" si="2347"/>
        <v>1.3907410236822002</v>
      </c>
      <c r="V256" s="84">
        <f t="shared" si="2347"/>
        <v>1.4051944309832223</v>
      </c>
      <c r="W256" s="84">
        <f t="shared" si="2347"/>
        <v>1.5484140676841407</v>
      </c>
      <c r="X256" s="84">
        <f t="shared" si="2347"/>
        <v>1.6519819114936278</v>
      </c>
      <c r="Y256" s="84">
        <f t="shared" si="2347"/>
        <v>1.5588542375958963</v>
      </c>
      <c r="Z256" s="84">
        <f t="shared" si="2347"/>
        <v>1.5424554885303388</v>
      </c>
      <c r="AA256" s="84">
        <f t="shared" ref="AA256" si="2348">(AA171+AA158+AA148+AA150)/AA130</f>
        <v>1.6553547581096799</v>
      </c>
      <c r="AB256" s="50">
        <f t="shared" si="2347"/>
        <v>1.4819342243859639</v>
      </c>
      <c r="AC256" s="50">
        <f t="shared" si="2347"/>
        <v>1.4006190982656834</v>
      </c>
      <c r="AD256" s="50">
        <f t="shared" si="2347"/>
        <v>1.3588701899229518</v>
      </c>
      <c r="AE256" s="50">
        <f t="shared" si="2347"/>
        <v>1.3330691092938327</v>
      </c>
      <c r="AL256" s="84">
        <f t="shared" ref="AL256:CW256" si="2349">(AL171+AL158+AL148+AL150)/AL130</f>
        <v>1.1520466366811568</v>
      </c>
      <c r="AM256" s="84">
        <f t="shared" si="2349"/>
        <v>1.1438357732318332</v>
      </c>
      <c r="AN256" s="84">
        <f t="shared" si="2349"/>
        <v>1.2041945415403135</v>
      </c>
      <c r="AO256" s="84">
        <f t="shared" si="2349"/>
        <v>1.191463091928056</v>
      </c>
      <c r="AP256" s="84">
        <f t="shared" si="2349"/>
        <v>1.1865979381443299</v>
      </c>
      <c r="AQ256" s="84">
        <f t="shared" si="2349"/>
        <v>1.1758883911102347</v>
      </c>
      <c r="AR256" s="84">
        <f t="shared" si="2349"/>
        <v>1.2062393736902455</v>
      </c>
      <c r="AS256" s="84">
        <f t="shared" si="2349"/>
        <v>1.1938734166305054</v>
      </c>
      <c r="AT256" s="84">
        <f t="shared" si="2349"/>
        <v>1.2018150941329</v>
      </c>
      <c r="AU256" s="84">
        <f t="shared" si="2349"/>
        <v>1.1914111913235785</v>
      </c>
      <c r="AV256" s="84">
        <f t="shared" si="2349"/>
        <v>1.2275699712267854</v>
      </c>
      <c r="AW256" s="84">
        <f t="shared" si="2349"/>
        <v>1.2146337523067625</v>
      </c>
      <c r="AX256" s="84">
        <f t="shared" si="2349"/>
        <v>1.2116804871728426</v>
      </c>
      <c r="AY256" s="84">
        <f t="shared" si="2349"/>
        <v>1.2006046486188839</v>
      </c>
      <c r="AZ256" s="84">
        <f t="shared" si="2349"/>
        <v>1.2106131893559584</v>
      </c>
      <c r="BA256" s="84">
        <f t="shared" si="2349"/>
        <v>1.1992083199293322</v>
      </c>
      <c r="BB256" s="84">
        <f t="shared" si="2349"/>
        <v>1.2005305731930069</v>
      </c>
      <c r="BC256" s="84">
        <f t="shared" si="2349"/>
        <v>1.190879730208138</v>
      </c>
      <c r="BD256" s="84">
        <f t="shared" si="2349"/>
        <v>1.2125742711068122</v>
      </c>
      <c r="BE256" s="84">
        <f t="shared" si="2349"/>
        <v>1.198595491713387</v>
      </c>
      <c r="BF256" s="84">
        <f t="shared" si="2349"/>
        <v>1.2107881644409531</v>
      </c>
      <c r="BG256" s="84">
        <f t="shared" si="2349"/>
        <v>1.2002641806969696</v>
      </c>
      <c r="BH256" s="84">
        <f t="shared" si="2349"/>
        <v>1.2351108245840241</v>
      </c>
      <c r="BI256" s="84">
        <f t="shared" si="2349"/>
        <v>1.2234359974787332</v>
      </c>
      <c r="BJ256" s="84">
        <f t="shared" si="2349"/>
        <v>1.2835807107224242</v>
      </c>
      <c r="BK256" s="84">
        <f t="shared" si="2349"/>
        <v>1.2682088421770279</v>
      </c>
      <c r="BL256" s="84">
        <f t="shared" si="2349"/>
        <v>1.3854364600717106</v>
      </c>
      <c r="BM256" s="84">
        <f t="shared" si="2349"/>
        <v>1.3596703906749696</v>
      </c>
      <c r="BN256" s="84">
        <f t="shared" si="2349"/>
        <v>1.3907410236822002</v>
      </c>
      <c r="BO256" s="84">
        <f t="shared" si="2349"/>
        <v>1.3677049734095337</v>
      </c>
      <c r="BP256" s="84">
        <f t="shared" si="2349"/>
        <v>1.3700422535211267</v>
      </c>
      <c r="BQ256" s="84">
        <f t="shared" si="2349"/>
        <v>1.3465250750511326</v>
      </c>
      <c r="BR256" s="84">
        <f t="shared" si="2349"/>
        <v>1.4051944309832223</v>
      </c>
      <c r="BS256" s="84">
        <f t="shared" si="2349"/>
        <v>1.38133491954722</v>
      </c>
      <c r="BT256" s="84">
        <f t="shared" si="2349"/>
        <v>1.5032242382647736</v>
      </c>
      <c r="BU256" s="84">
        <f t="shared" si="2349"/>
        <v>1.4678408929430671</v>
      </c>
      <c r="BV256" s="84">
        <f t="shared" si="2349"/>
        <v>1.5484140676841407</v>
      </c>
      <c r="BW256" s="84">
        <f t="shared" si="2349"/>
        <v>1.5154753268792018</v>
      </c>
      <c r="BX256" s="84">
        <f t="shared" si="2349"/>
        <v>1.5735487178204823</v>
      </c>
      <c r="BY256" s="84">
        <f t="shared" si="2349"/>
        <v>1.5322554515801525</v>
      </c>
      <c r="BZ256" s="84">
        <f t="shared" si="2349"/>
        <v>1.6519819114936278</v>
      </c>
      <c r="CA256" s="84">
        <f t="shared" si="2349"/>
        <v>1.6049610176463587</v>
      </c>
      <c r="CB256" s="84">
        <f t="shared" si="2349"/>
        <v>1.6025034667194928</v>
      </c>
      <c r="CC256" s="84">
        <f t="shared" si="2349"/>
        <v>1.559992513689973</v>
      </c>
      <c r="CD256" s="84">
        <f t="shared" si="2349"/>
        <v>1.5588542375958963</v>
      </c>
      <c r="CE256" s="84">
        <f t="shared" si="2349"/>
        <v>1.5227256336007082</v>
      </c>
      <c r="CF256" s="84">
        <f t="shared" si="2349"/>
        <v>1.5621193195007903</v>
      </c>
      <c r="CG256" s="84">
        <f t="shared" si="2349"/>
        <v>1.5235368947274421</v>
      </c>
      <c r="CH256" s="84">
        <f t="shared" si="2349"/>
        <v>1.5424554885303388</v>
      </c>
      <c r="CI256" s="84">
        <f t="shared" si="2349"/>
        <v>1.5223294232427687</v>
      </c>
      <c r="CJ256" s="84">
        <f t="shared" si="2349"/>
        <v>1.5373463660118067</v>
      </c>
      <c r="CK256" s="84">
        <f t="shared" si="2349"/>
        <v>1.5159430313017024</v>
      </c>
      <c r="CL256" s="84">
        <f t="shared" si="2349"/>
        <v>1.6553547581096799</v>
      </c>
      <c r="CM256" s="50">
        <f t="shared" si="2349"/>
        <v>1.5794363927977304</v>
      </c>
      <c r="CN256" s="50">
        <f t="shared" si="2349"/>
        <v>1.5439062788886033</v>
      </c>
      <c r="CO256" s="50">
        <f t="shared" si="2349"/>
        <v>1.5110996922787865</v>
      </c>
      <c r="CP256" s="50">
        <f t="shared" si="2349"/>
        <v>1.4819342243859639</v>
      </c>
      <c r="CQ256" s="50">
        <f t="shared" si="2349"/>
        <v>1.4584164774137884</v>
      </c>
      <c r="CR256" s="50">
        <f t="shared" si="2349"/>
        <v>1.4366355081239788</v>
      </c>
      <c r="CS256" s="50">
        <f t="shared" si="2349"/>
        <v>1.4175611849493106</v>
      </c>
      <c r="CT256" s="50">
        <f t="shared" si="2349"/>
        <v>1.4006190982656834</v>
      </c>
      <c r="CU256" s="50">
        <f t="shared" si="2349"/>
        <v>1.3879889347078807</v>
      </c>
      <c r="CV256" s="50">
        <f t="shared" si="2349"/>
        <v>1.3767179420568187</v>
      </c>
      <c r="CW256" s="50">
        <f t="shared" si="2349"/>
        <v>1.3670097545387005</v>
      </c>
      <c r="CX256" s="50">
        <f t="shared" ref="CX256:DB256" si="2350">(CX171+CX158+CX148+CX150)/CX130</f>
        <v>1.3588701899229518</v>
      </c>
      <c r="CY256" s="50">
        <f t="shared" si="2350"/>
        <v>1.3510002560147718</v>
      </c>
      <c r="CZ256" s="50">
        <f t="shared" si="2350"/>
        <v>1.3441295546120398</v>
      </c>
      <c r="DA256" s="50">
        <f t="shared" si="2350"/>
        <v>1.3381936908416046</v>
      </c>
      <c r="DB256" s="50">
        <f t="shared" si="2350"/>
        <v>1.3330691092938327</v>
      </c>
      <c r="DE256" s="138"/>
      <c r="DF256" s="84">
        <v>1.6553547581096799</v>
      </c>
      <c r="DG256" s="84">
        <v>1.4786067890665302</v>
      </c>
    </row>
    <row r="257" spans="1:111" s="84" customFormat="1" x14ac:dyDescent="0.2">
      <c r="A257" s="154" t="s">
        <v>498</v>
      </c>
      <c r="AB257" s="50"/>
      <c r="AC257" s="50"/>
      <c r="AD257" s="50"/>
      <c r="AE257" s="50"/>
      <c r="CM257" s="50"/>
      <c r="CN257" s="50"/>
      <c r="CO257" s="50"/>
      <c r="CP257" s="50"/>
      <c r="CQ257" s="50"/>
      <c r="CR257" s="50"/>
      <c r="CS257" s="50"/>
      <c r="CT257" s="50"/>
      <c r="CU257" s="50"/>
      <c r="CV257" s="50"/>
      <c r="CW257" s="50"/>
      <c r="CX257" s="50"/>
      <c r="CY257" s="50"/>
      <c r="CZ257" s="50"/>
      <c r="DA257" s="50"/>
      <c r="DB257" s="50"/>
      <c r="DE257" s="138"/>
    </row>
    <row r="258" spans="1:111" s="88" customFormat="1" x14ac:dyDescent="0.2">
      <c r="A258" s="88" t="s">
        <v>102</v>
      </c>
      <c r="B258" s="88">
        <f t="shared" ref="B258:AE258" si="2351">B171/B130</f>
        <v>0.27709424779648784</v>
      </c>
      <c r="C258" s="88">
        <f t="shared" si="2351"/>
        <v>0.37120429166806873</v>
      </c>
      <c r="D258" s="88">
        <f t="shared" si="2351"/>
        <v>0.46328733283100926</v>
      </c>
      <c r="F258" s="88">
        <f t="shared" si="2351"/>
        <v>0.5235946606504982</v>
      </c>
      <c r="G258" s="88">
        <f t="shared" si="2351"/>
        <v>0.6003445305770887</v>
      </c>
      <c r="H258" s="88">
        <f t="shared" si="2351"/>
        <v>0.5205686361617059</v>
      </c>
      <c r="I258" s="88">
        <f t="shared" si="2351"/>
        <v>0.50902500906125403</v>
      </c>
      <c r="J258" s="88">
        <f t="shared" si="2351"/>
        <v>0.53111646762353459</v>
      </c>
      <c r="K258" s="88">
        <f t="shared" si="2351"/>
        <v>0.61842162349776564</v>
      </c>
      <c r="L258" s="88">
        <f t="shared" si="2351"/>
        <v>0.64698182938096704</v>
      </c>
      <c r="M258" s="88">
        <f t="shared" si="2351"/>
        <v>0.6689327205412996</v>
      </c>
      <c r="N258" s="88">
        <f t="shared" si="2351"/>
        <v>0.62038742959414639</v>
      </c>
      <c r="O258" s="88">
        <f t="shared" si="2351"/>
        <v>0.65066247473613292</v>
      </c>
      <c r="P258" s="88">
        <f t="shared" si="2351"/>
        <v>0.61571665089877015</v>
      </c>
      <c r="Q258" s="88">
        <f t="shared" si="2351"/>
        <v>0.53077222078258612</v>
      </c>
      <c r="R258" s="88">
        <f t="shared" si="2351"/>
        <v>0.4725145690180047</v>
      </c>
      <c r="S258" s="88">
        <f t="shared" si="2351"/>
        <v>0.40394005206167305</v>
      </c>
      <c r="T258" s="88">
        <f t="shared" si="2351"/>
        <v>0.4033226581265012</v>
      </c>
      <c r="U258" s="88">
        <f t="shared" si="2351"/>
        <v>0.35605805958747133</v>
      </c>
      <c r="V258" s="88">
        <f t="shared" si="2351"/>
        <v>0.35436340061033911</v>
      </c>
      <c r="W258" s="88">
        <f t="shared" si="2351"/>
        <v>0.32043795620437954</v>
      </c>
      <c r="X258" s="88">
        <f t="shared" si="2351"/>
        <v>0.25305343005291286</v>
      </c>
      <c r="Y258" s="88">
        <f t="shared" si="2351"/>
        <v>0.31436969449362206</v>
      </c>
      <c r="Z258" s="88">
        <f t="shared" si="2351"/>
        <v>0.38549124381640193</v>
      </c>
      <c r="AA258" s="88">
        <f t="shared" ref="AA258" si="2352">AA171/AA130</f>
        <v>0.37857019773402834</v>
      </c>
      <c r="AB258" s="42">
        <f t="shared" si="2351"/>
        <v>0.49907146112767214</v>
      </c>
      <c r="AC258" s="42">
        <f t="shared" si="2351"/>
        <v>0.58999665243272881</v>
      </c>
      <c r="AD258" s="42">
        <f t="shared" si="2351"/>
        <v>0.68306827582135798</v>
      </c>
      <c r="AE258" s="42">
        <f t="shared" si="2351"/>
        <v>0.74186651118836322</v>
      </c>
      <c r="AL258" s="88">
        <f t="shared" ref="AL258:CW258" si="2353">AL171/AL130</f>
        <v>0.59228082518782821</v>
      </c>
      <c r="AM258" s="88">
        <f t="shared" si="2353"/>
        <v>0.60251970829979229</v>
      </c>
      <c r="AN258" s="88">
        <f t="shared" si="2353"/>
        <v>0.59911109053450307</v>
      </c>
      <c r="AO258" s="88">
        <f t="shared" si="2353"/>
        <v>0.62328464842712417</v>
      </c>
      <c r="AP258" s="88">
        <f t="shared" si="2353"/>
        <v>0.61026719966337051</v>
      </c>
      <c r="AQ258" s="88">
        <f t="shared" si="2353"/>
        <v>0.63389984070398364</v>
      </c>
      <c r="AR258" s="88">
        <f t="shared" si="2353"/>
        <v>0.63868569846981138</v>
      </c>
      <c r="AS258" s="88">
        <f t="shared" si="2353"/>
        <v>0.65487036914636787</v>
      </c>
      <c r="AT258" s="88">
        <f t="shared" si="2353"/>
        <v>0.57047641655862535</v>
      </c>
      <c r="AU258" s="88">
        <f t="shared" si="2353"/>
        <v>0.58133395431854129</v>
      </c>
      <c r="AV258" s="88">
        <f t="shared" si="2353"/>
        <v>0.53235678786293483</v>
      </c>
      <c r="AW258" s="88">
        <f t="shared" si="2353"/>
        <v>0.55611458927756385</v>
      </c>
      <c r="AX258" s="88">
        <f t="shared" si="2353"/>
        <v>0.53077222078258612</v>
      </c>
      <c r="AY258" s="88">
        <f t="shared" si="2353"/>
        <v>0.55315412119262575</v>
      </c>
      <c r="AZ258" s="88">
        <f t="shared" si="2353"/>
        <v>0.52273042807558812</v>
      </c>
      <c r="BA258" s="88">
        <f t="shared" si="2353"/>
        <v>0.54890456741511007</v>
      </c>
      <c r="BB258" s="88">
        <f t="shared" si="2353"/>
        <v>0.4725145690180047</v>
      </c>
      <c r="BC258" s="88">
        <f t="shared" si="2353"/>
        <v>0.49827266756558597</v>
      </c>
      <c r="BD258" s="88">
        <f t="shared" si="2353"/>
        <v>0.48999585463589884</v>
      </c>
      <c r="BE258" s="88">
        <f t="shared" si="2353"/>
        <v>0.52160028642578116</v>
      </c>
      <c r="BF258" s="88">
        <f t="shared" si="2353"/>
        <v>0.40394005206167305</v>
      </c>
      <c r="BG258" s="88">
        <f t="shared" si="2353"/>
        <v>0.4248579774783543</v>
      </c>
      <c r="BH258" s="88">
        <f t="shared" si="2353"/>
        <v>0.39035734020998342</v>
      </c>
      <c r="BI258" s="88">
        <f t="shared" si="2353"/>
        <v>0.4147719510039532</v>
      </c>
      <c r="BJ258" s="88">
        <f t="shared" si="2353"/>
        <v>0.4033226581265012</v>
      </c>
      <c r="BK258" s="88">
        <f t="shared" si="2353"/>
        <v>0.43393874480641709</v>
      </c>
      <c r="BL258" s="88">
        <f t="shared" si="2353"/>
        <v>0.3303150972389749</v>
      </c>
      <c r="BM258" s="88">
        <f t="shared" si="2353"/>
        <v>0.37186693622669159</v>
      </c>
      <c r="BN258" s="88">
        <f t="shared" si="2353"/>
        <v>0.35605805958747133</v>
      </c>
      <c r="BO258" s="88">
        <f t="shared" si="2353"/>
        <v>0.39133721643510438</v>
      </c>
      <c r="BP258" s="88">
        <f t="shared" si="2353"/>
        <v>0.36635211267605633</v>
      </c>
      <c r="BQ258" s="88">
        <f t="shared" si="2353"/>
        <v>0.39829518283394422</v>
      </c>
      <c r="BR258" s="88">
        <f t="shared" si="2353"/>
        <v>0.35436340061033911</v>
      </c>
      <c r="BS258" s="88">
        <f t="shared" si="2353"/>
        <v>0.38319535222783563</v>
      </c>
      <c r="BT258" s="88">
        <f t="shared" si="2353"/>
        <v>0.32941563362358628</v>
      </c>
      <c r="BU258" s="88">
        <f t="shared" si="2353"/>
        <v>0.36372513630577979</v>
      </c>
      <c r="BV258" s="88">
        <f t="shared" si="2353"/>
        <v>0.32043795620437954</v>
      </c>
      <c r="BW258" s="88">
        <f t="shared" si="2353"/>
        <v>0.34993296649872729</v>
      </c>
      <c r="BX258" s="88">
        <f t="shared" si="2353"/>
        <v>0.33316662707393008</v>
      </c>
      <c r="BY258" s="88">
        <f t="shared" si="2353"/>
        <v>0.37194897759247891</v>
      </c>
      <c r="BZ258" s="88">
        <f t="shared" si="2353"/>
        <v>0.25305343005291286</v>
      </c>
      <c r="CA258" s="88">
        <f t="shared" si="2353"/>
        <v>0.30415601577064383</v>
      </c>
      <c r="CB258" s="88">
        <f t="shared" si="2353"/>
        <v>0.28838153724247229</v>
      </c>
      <c r="CC258" s="88">
        <f t="shared" si="2353"/>
        <v>0.33967783020588249</v>
      </c>
      <c r="CD258" s="88">
        <f t="shared" si="2353"/>
        <v>0.31436969449362206</v>
      </c>
      <c r="CE258" s="88">
        <f t="shared" si="2353"/>
        <v>0.35038679365023828</v>
      </c>
      <c r="CF258" s="88">
        <f t="shared" si="2353"/>
        <v>0.32312658213855389</v>
      </c>
      <c r="CG258" s="88">
        <f t="shared" si="2353"/>
        <v>0.36499024889520049</v>
      </c>
      <c r="CH258" s="88">
        <f t="shared" si="2353"/>
        <v>0.38549124381640193</v>
      </c>
      <c r="CI258" s="88">
        <f t="shared" si="2353"/>
        <v>0.43249432639871743</v>
      </c>
      <c r="CJ258" s="88">
        <f t="shared" si="2353"/>
        <v>0.43005903416239233</v>
      </c>
      <c r="CK258" s="88">
        <f t="shared" si="2353"/>
        <v>0.45257266767358489</v>
      </c>
      <c r="CL258" s="88">
        <f t="shared" si="2353"/>
        <v>0.37857019773402834</v>
      </c>
      <c r="CM258" s="42">
        <f t="shared" si="2353"/>
        <v>0.40007375940901174</v>
      </c>
      <c r="CN258" s="42">
        <f t="shared" si="2353"/>
        <v>0.43620562421662451</v>
      </c>
      <c r="CO258" s="42">
        <f t="shared" si="2353"/>
        <v>0.46927035552776786</v>
      </c>
      <c r="CP258" s="42">
        <f t="shared" si="2353"/>
        <v>0.49907146112767214</v>
      </c>
      <c r="CQ258" s="42">
        <f t="shared" si="2353"/>
        <v>0.52497635306918544</v>
      </c>
      <c r="CR258" s="42">
        <f t="shared" si="2353"/>
        <v>0.54896748107433546</v>
      </c>
      <c r="CS258" s="42">
        <f t="shared" si="2353"/>
        <v>0.570399184663266</v>
      </c>
      <c r="CT258" s="42">
        <f t="shared" si="2353"/>
        <v>0.58999665243272881</v>
      </c>
      <c r="CU258" s="42">
        <f t="shared" si="2353"/>
        <v>0.61807603683440049</v>
      </c>
      <c r="CV258" s="42">
        <f t="shared" si="2353"/>
        <v>0.64275905208261375</v>
      </c>
      <c r="CW258" s="42">
        <f t="shared" si="2353"/>
        <v>0.6643067824904908</v>
      </c>
      <c r="CX258" s="42">
        <f t="shared" ref="CX258:DB258" si="2354">CX171/CX130</f>
        <v>0.68306827582135798</v>
      </c>
      <c r="CY258" s="42">
        <f t="shared" si="2354"/>
        <v>0.70043969099715631</v>
      </c>
      <c r="CZ258" s="42">
        <f t="shared" si="2354"/>
        <v>0.71586486998624166</v>
      </c>
      <c r="DA258" s="42">
        <f t="shared" si="2354"/>
        <v>0.7295905945261848</v>
      </c>
      <c r="DB258" s="42">
        <f t="shared" si="2354"/>
        <v>0.74186651118836322</v>
      </c>
      <c r="DE258" s="125"/>
      <c r="DF258" s="88">
        <v>0.37857019773402834</v>
      </c>
      <c r="DG258" s="88">
        <v>0.48182578551364391</v>
      </c>
    </row>
    <row r="259" spans="1:111" s="89" customFormat="1" x14ac:dyDescent="0.2">
      <c r="A259" s="89" t="s">
        <v>103</v>
      </c>
      <c r="C259" s="89" t="e">
        <f t="shared" ref="C259:AE259" si="2355">C138/B138-1</f>
        <v>#DIV/0!</v>
      </c>
      <c r="D259" s="89" t="e">
        <f t="shared" si="2355"/>
        <v>#DIV/0!</v>
      </c>
      <c r="F259" s="89" t="e">
        <f t="shared" si="2355"/>
        <v>#DIV/0!</v>
      </c>
      <c r="G259" s="89" t="e">
        <f t="shared" si="2355"/>
        <v>#DIV/0!</v>
      </c>
      <c r="H259" s="89" t="e">
        <f t="shared" si="2355"/>
        <v>#DIV/0!</v>
      </c>
      <c r="I259" s="89" t="e">
        <f t="shared" si="2355"/>
        <v>#DIV/0!</v>
      </c>
      <c r="J259" s="89" t="e">
        <f t="shared" si="2355"/>
        <v>#DIV/0!</v>
      </c>
      <c r="K259" s="89" t="e">
        <f>K138/J138-1</f>
        <v>#DIV/0!</v>
      </c>
      <c r="L259" s="89" t="e">
        <f t="shared" si="2355"/>
        <v>#DIV/0!</v>
      </c>
      <c r="M259" s="89" t="e">
        <f t="shared" si="2355"/>
        <v>#DIV/0!</v>
      </c>
      <c r="N259" s="89" t="e">
        <f t="shared" si="2355"/>
        <v>#DIV/0!</v>
      </c>
      <c r="O259" s="89" t="e">
        <f t="shared" si="2355"/>
        <v>#DIV/0!</v>
      </c>
      <c r="P259" s="89" t="e">
        <f t="shared" si="2355"/>
        <v>#DIV/0!</v>
      </c>
      <c r="Q259" s="89" t="e">
        <f t="shared" si="2355"/>
        <v>#DIV/0!</v>
      </c>
      <c r="R259" s="89" t="e">
        <f t="shared" si="2355"/>
        <v>#DIV/0!</v>
      </c>
      <c r="S259" s="89" t="e">
        <f t="shared" si="2355"/>
        <v>#DIV/0!</v>
      </c>
      <c r="T259" s="89" t="e">
        <f t="shared" si="2355"/>
        <v>#DIV/0!</v>
      </c>
      <c r="U259" s="89" t="e">
        <f t="shared" si="2355"/>
        <v>#DIV/0!</v>
      </c>
      <c r="V259" s="89" t="e">
        <f t="shared" si="2355"/>
        <v>#DIV/0!</v>
      </c>
      <c r="W259" s="89" t="e">
        <f t="shared" si="2355"/>
        <v>#DIV/0!</v>
      </c>
      <c r="X259" s="89" t="e">
        <f t="shared" si="2355"/>
        <v>#DIV/0!</v>
      </c>
      <c r="Y259" s="89" t="e">
        <f t="shared" si="2355"/>
        <v>#DIV/0!</v>
      </c>
      <c r="Z259" s="89" t="e">
        <f t="shared" si="2355"/>
        <v>#DIV/0!</v>
      </c>
      <c r="AA259" s="89" t="e">
        <f t="shared" si="2355"/>
        <v>#DIV/0!</v>
      </c>
      <c r="AB259" s="47" t="e">
        <f t="shared" si="2355"/>
        <v>#DIV/0!</v>
      </c>
      <c r="AC259" s="47" t="e">
        <f t="shared" si="2355"/>
        <v>#DIV/0!</v>
      </c>
      <c r="AD259" s="47" t="e">
        <f t="shared" si="2355"/>
        <v>#DIV/0!</v>
      </c>
      <c r="AE259" s="47" t="e">
        <f t="shared" si="2355"/>
        <v>#DIV/0!</v>
      </c>
      <c r="AL259" s="89" t="e">
        <f t="shared" ref="AL259:CW259" si="2356">AL138/AK138-1</f>
        <v>#DIV/0!</v>
      </c>
      <c r="AM259" s="89" t="e">
        <f t="shared" si="2356"/>
        <v>#DIV/0!</v>
      </c>
      <c r="AN259" s="89" t="e">
        <f t="shared" si="2356"/>
        <v>#DIV/0!</v>
      </c>
      <c r="AO259" s="89" t="e">
        <f t="shared" si="2356"/>
        <v>#DIV/0!</v>
      </c>
      <c r="AP259" s="89" t="e">
        <f t="shared" si="2356"/>
        <v>#DIV/0!</v>
      </c>
      <c r="AQ259" s="89" t="e">
        <f t="shared" si="2356"/>
        <v>#DIV/0!</v>
      </c>
      <c r="AR259" s="89" t="e">
        <f t="shared" si="2356"/>
        <v>#DIV/0!</v>
      </c>
      <c r="AS259" s="89" t="e">
        <f t="shared" si="2356"/>
        <v>#DIV/0!</v>
      </c>
      <c r="AT259" s="89" t="e">
        <f t="shared" si="2356"/>
        <v>#DIV/0!</v>
      </c>
      <c r="AU259" s="89" t="e">
        <f t="shared" si="2356"/>
        <v>#DIV/0!</v>
      </c>
      <c r="AV259" s="89" t="e">
        <f t="shared" si="2356"/>
        <v>#DIV/0!</v>
      </c>
      <c r="AW259" s="89" t="e">
        <f t="shared" si="2356"/>
        <v>#DIV/0!</v>
      </c>
      <c r="AX259" s="89" t="e">
        <f t="shared" si="2356"/>
        <v>#DIV/0!</v>
      </c>
      <c r="AY259" s="89" t="e">
        <f t="shared" si="2356"/>
        <v>#DIV/0!</v>
      </c>
      <c r="AZ259" s="89" t="e">
        <f t="shared" si="2356"/>
        <v>#DIV/0!</v>
      </c>
      <c r="BA259" s="89" t="e">
        <f t="shared" si="2356"/>
        <v>#DIV/0!</v>
      </c>
      <c r="BB259" s="89" t="e">
        <f t="shared" si="2356"/>
        <v>#DIV/0!</v>
      </c>
      <c r="BC259" s="89" t="e">
        <f t="shared" si="2356"/>
        <v>#DIV/0!</v>
      </c>
      <c r="BD259" s="89" t="e">
        <f t="shared" si="2356"/>
        <v>#DIV/0!</v>
      </c>
      <c r="BE259" s="89" t="e">
        <f t="shared" si="2356"/>
        <v>#DIV/0!</v>
      </c>
      <c r="BF259" s="89" t="e">
        <f t="shared" si="2356"/>
        <v>#DIV/0!</v>
      </c>
      <c r="BG259" s="89" t="e">
        <f t="shared" si="2356"/>
        <v>#DIV/0!</v>
      </c>
      <c r="BH259" s="89" t="e">
        <f t="shared" si="2356"/>
        <v>#DIV/0!</v>
      </c>
      <c r="BI259" s="89" t="e">
        <f t="shared" si="2356"/>
        <v>#DIV/0!</v>
      </c>
      <c r="BJ259" s="89" t="e">
        <f t="shared" si="2356"/>
        <v>#DIV/0!</v>
      </c>
      <c r="BK259" s="89" t="e">
        <f t="shared" si="2356"/>
        <v>#DIV/0!</v>
      </c>
      <c r="BL259" s="89" t="e">
        <f t="shared" si="2356"/>
        <v>#DIV/0!</v>
      </c>
      <c r="BM259" s="89" t="e">
        <f t="shared" si="2356"/>
        <v>#DIV/0!</v>
      </c>
      <c r="BN259" s="89" t="e">
        <f t="shared" si="2356"/>
        <v>#DIV/0!</v>
      </c>
      <c r="BO259" s="89" t="e">
        <f t="shared" si="2356"/>
        <v>#DIV/0!</v>
      </c>
      <c r="BP259" s="89" t="e">
        <f t="shared" si="2356"/>
        <v>#DIV/0!</v>
      </c>
      <c r="BQ259" s="89" t="e">
        <f t="shared" si="2356"/>
        <v>#DIV/0!</v>
      </c>
      <c r="BR259" s="89" t="e">
        <f t="shared" si="2356"/>
        <v>#DIV/0!</v>
      </c>
      <c r="BS259" s="89" t="e">
        <f t="shared" si="2356"/>
        <v>#DIV/0!</v>
      </c>
      <c r="BT259" s="89" t="e">
        <f t="shared" si="2356"/>
        <v>#DIV/0!</v>
      </c>
      <c r="BU259" s="89" t="e">
        <f t="shared" si="2356"/>
        <v>#DIV/0!</v>
      </c>
      <c r="BV259" s="89" t="e">
        <f t="shared" si="2356"/>
        <v>#DIV/0!</v>
      </c>
      <c r="BW259" s="89" t="e">
        <f t="shared" si="2356"/>
        <v>#DIV/0!</v>
      </c>
      <c r="BX259" s="89" t="e">
        <f t="shared" si="2356"/>
        <v>#DIV/0!</v>
      </c>
      <c r="BY259" s="89" t="e">
        <f t="shared" si="2356"/>
        <v>#DIV/0!</v>
      </c>
      <c r="BZ259" s="89" t="e">
        <f t="shared" si="2356"/>
        <v>#DIV/0!</v>
      </c>
      <c r="CA259" s="89" t="e">
        <f t="shared" si="2356"/>
        <v>#DIV/0!</v>
      </c>
      <c r="CB259" s="89" t="e">
        <f t="shared" si="2356"/>
        <v>#DIV/0!</v>
      </c>
      <c r="CC259" s="89" t="e">
        <f t="shared" si="2356"/>
        <v>#DIV/0!</v>
      </c>
      <c r="CD259" s="89" t="e">
        <f t="shared" si="2356"/>
        <v>#DIV/0!</v>
      </c>
      <c r="CE259" s="89" t="e">
        <f t="shared" si="2356"/>
        <v>#DIV/0!</v>
      </c>
      <c r="CF259" s="89" t="e">
        <f t="shared" si="2356"/>
        <v>#DIV/0!</v>
      </c>
      <c r="CG259" s="89" t="e">
        <f t="shared" si="2356"/>
        <v>#DIV/0!</v>
      </c>
      <c r="CH259" s="89" t="e">
        <f t="shared" si="2356"/>
        <v>#DIV/0!</v>
      </c>
      <c r="CI259" s="89" t="e">
        <f t="shared" si="2356"/>
        <v>#DIV/0!</v>
      </c>
      <c r="CJ259" s="89" t="e">
        <f t="shared" si="2356"/>
        <v>#DIV/0!</v>
      </c>
      <c r="CK259" s="89" t="e">
        <f t="shared" si="2356"/>
        <v>#DIV/0!</v>
      </c>
      <c r="CL259" s="89" t="e">
        <f t="shared" si="2356"/>
        <v>#DIV/0!</v>
      </c>
      <c r="CM259" s="47" t="e">
        <f t="shared" si="2356"/>
        <v>#DIV/0!</v>
      </c>
      <c r="CN259" s="47" t="e">
        <f t="shared" si="2356"/>
        <v>#DIV/0!</v>
      </c>
      <c r="CO259" s="47" t="e">
        <f t="shared" si="2356"/>
        <v>#DIV/0!</v>
      </c>
      <c r="CP259" s="47" t="e">
        <f t="shared" si="2356"/>
        <v>#DIV/0!</v>
      </c>
      <c r="CQ259" s="47" t="e">
        <f t="shared" si="2356"/>
        <v>#DIV/0!</v>
      </c>
      <c r="CR259" s="47" t="e">
        <f t="shared" si="2356"/>
        <v>#DIV/0!</v>
      </c>
      <c r="CS259" s="47" t="e">
        <f t="shared" si="2356"/>
        <v>#DIV/0!</v>
      </c>
      <c r="CT259" s="47" t="e">
        <f t="shared" si="2356"/>
        <v>#DIV/0!</v>
      </c>
      <c r="CU259" s="47" t="e">
        <f t="shared" si="2356"/>
        <v>#DIV/0!</v>
      </c>
      <c r="CV259" s="47" t="e">
        <f t="shared" si="2356"/>
        <v>#DIV/0!</v>
      </c>
      <c r="CW259" s="47" t="e">
        <f t="shared" si="2356"/>
        <v>#DIV/0!</v>
      </c>
      <c r="CX259" s="47" t="e">
        <f t="shared" ref="CX259:DB259" si="2357">CX138/CW138-1</f>
        <v>#DIV/0!</v>
      </c>
      <c r="CY259" s="47" t="e">
        <f t="shared" si="2357"/>
        <v>#DIV/0!</v>
      </c>
      <c r="CZ259" s="47" t="e">
        <f t="shared" si="2357"/>
        <v>#DIV/0!</v>
      </c>
      <c r="DA259" s="47" t="e">
        <f t="shared" si="2357"/>
        <v>#DIV/0!</v>
      </c>
      <c r="DB259" s="47" t="e">
        <f t="shared" si="2357"/>
        <v>#DIV/0!</v>
      </c>
      <c r="DE259" s="130"/>
      <c r="DG259" s="89" t="e">
        <v>#DIV/0!</v>
      </c>
    </row>
    <row r="260" spans="1:111" s="89" customFormat="1" x14ac:dyDescent="0.2">
      <c r="A260" s="89" t="s">
        <v>104</v>
      </c>
      <c r="C260" s="89">
        <f>C38/B38-1</f>
        <v>0.38418349857198542</v>
      </c>
      <c r="D260" s="89">
        <f>D38/C38-1</f>
        <v>0.19456054856790672</v>
      </c>
      <c r="F260" s="89">
        <f t="shared" ref="F260:AE260" si="2358">F38/E38-1</f>
        <v>0.47356601714534441</v>
      </c>
      <c r="G260" s="89">
        <f t="shared" si="2358"/>
        <v>0.28339041095890405</v>
      </c>
      <c r="H260" s="89">
        <f t="shared" si="2358"/>
        <v>0.46430953969312871</v>
      </c>
      <c r="I260" s="89">
        <f t="shared" si="2358"/>
        <v>0.19293849658314355</v>
      </c>
      <c r="J260" s="89">
        <f t="shared" si="2358"/>
        <v>0.29024250525109796</v>
      </c>
      <c r="K260" s="89">
        <f t="shared" si="2358"/>
        <v>0.16338611809974846</v>
      </c>
      <c r="L260" s="89">
        <f t="shared" si="2358"/>
        <v>0.14107619895687562</v>
      </c>
      <c r="M260" s="89">
        <f t="shared" si="2358"/>
        <v>0.19587513935340017</v>
      </c>
      <c r="N260" s="89">
        <f t="shared" si="2358"/>
        <v>7.5603617041111182E-2</v>
      </c>
      <c r="O260" s="89">
        <f t="shared" si="2358"/>
        <v>0.16051308719015434</v>
      </c>
      <c r="P260" s="89">
        <f t="shared" si="2358"/>
        <v>0.1115011202389844</v>
      </c>
      <c r="Q260" s="89">
        <f t="shared" si="2358"/>
        <v>0.14446012228717331</v>
      </c>
      <c r="R260" s="89">
        <f t="shared" si="2358"/>
        <v>7.115599131098449E-2</v>
      </c>
      <c r="S260" s="89">
        <f t="shared" si="2358"/>
        <v>3.5516579884899979E-2</v>
      </c>
      <c r="T260" s="89">
        <f t="shared" si="2358"/>
        <v>6.759117133329795E-2</v>
      </c>
      <c r="U260" s="89">
        <f t="shared" si="2358"/>
        <v>7.8631631135349433E-2</v>
      </c>
      <c r="V260" s="89">
        <f t="shared" si="2358"/>
        <v>0.26599558742415885</v>
      </c>
      <c r="W260" s="89">
        <f t="shared" si="2358"/>
        <v>0.14333950550049024</v>
      </c>
      <c r="X260" s="89">
        <f t="shared" si="2358"/>
        <v>9.501127306214463E-2</v>
      </c>
      <c r="Y260" s="89">
        <f t="shared" si="2358"/>
        <v>5.6317605776759594E-2</v>
      </c>
      <c r="Z260" s="89">
        <f t="shared" si="2358"/>
        <v>6.8524365133836751E-2</v>
      </c>
      <c r="AA260" s="89">
        <f t="shared" si="2358"/>
        <v>1.9038565298938881E-2</v>
      </c>
      <c r="AB260" s="47">
        <f t="shared" si="2358"/>
        <v>0.14913918341366883</v>
      </c>
      <c r="AC260" s="47">
        <f t="shared" si="2358"/>
        <v>7.7021460969690647E-2</v>
      </c>
      <c r="AD260" s="47">
        <f t="shared" si="2358"/>
        <v>-3.6703032614542108E-2</v>
      </c>
      <c r="AE260" s="47">
        <f t="shared" si="2358"/>
        <v>0.1019692599246913</v>
      </c>
      <c r="AL260" s="89">
        <f t="shared" ref="AL260:CW260" si="2359">AL38/AK38-1</f>
        <v>-8.0313784086664231E-2</v>
      </c>
      <c r="AM260" s="89">
        <f t="shared" si="2359"/>
        <v>8.2047116165719025E-2</v>
      </c>
      <c r="AN260" s="89">
        <f t="shared" si="2359"/>
        <v>3.2657657657657602E-2</v>
      </c>
      <c r="AO260" s="89">
        <f t="shared" si="2359"/>
        <v>0.18466012359142137</v>
      </c>
      <c r="AP260" s="89">
        <f t="shared" si="2359"/>
        <v>6.7505369745319843E-3</v>
      </c>
      <c r="AQ260" s="89">
        <f t="shared" si="2359"/>
        <v>-2.1334958854007935E-2</v>
      </c>
      <c r="AR260" s="89">
        <f t="shared" si="2359"/>
        <v>8.4708813453752807E-2</v>
      </c>
      <c r="AS260" s="89">
        <f t="shared" si="2359"/>
        <v>5.9144415733562994E-2</v>
      </c>
      <c r="AT260" s="89">
        <f t="shared" si="2359"/>
        <v>-6.5058281377066929E-2</v>
      </c>
      <c r="AU260" s="89">
        <f t="shared" si="2359"/>
        <v>9.017106407654385E-2</v>
      </c>
      <c r="AV260" s="89">
        <f t="shared" si="2359"/>
        <v>0.15718085106382973</v>
      </c>
      <c r="AW260" s="89">
        <f t="shared" si="2359"/>
        <v>-5.2861411169845551E-3</v>
      </c>
      <c r="AX260" s="89">
        <f t="shared" si="2359"/>
        <v>7.1857670979667221E-2</v>
      </c>
      <c r="AY260" s="89">
        <f t="shared" si="2359"/>
        <v>-4.1388230222030642E-2</v>
      </c>
      <c r="AZ260" s="89">
        <f t="shared" si="2359"/>
        <v>6.4313020013492261E-2</v>
      </c>
      <c r="BA260" s="89">
        <f t="shared" si="2359"/>
        <v>7.1836044791886433E-3</v>
      </c>
      <c r="BB260" s="89">
        <f t="shared" si="2359"/>
        <v>-2.2865533878749789E-2</v>
      </c>
      <c r="BC260" s="89">
        <f t="shared" si="2359"/>
        <v>-2.0824388149420336E-2</v>
      </c>
      <c r="BD260" s="89">
        <f t="shared" si="2359"/>
        <v>3.0914273185704833E-2</v>
      </c>
      <c r="BE260" s="89">
        <f t="shared" si="2359"/>
        <v>2.4457677584006854E-2</v>
      </c>
      <c r="BF260" s="89">
        <f t="shared" si="2359"/>
        <v>-1.0379904504878024E-3</v>
      </c>
      <c r="BG260" s="89">
        <f t="shared" si="2359"/>
        <v>-2.2651704073150425E-2</v>
      </c>
      <c r="BH260" s="89">
        <f t="shared" si="2359"/>
        <v>0.13906017435679363</v>
      </c>
      <c r="BI260" s="89">
        <f t="shared" si="2359"/>
        <v>-7.4295314541721114E-2</v>
      </c>
      <c r="BJ260" s="89">
        <f t="shared" si="2359"/>
        <v>3.8314176245210829E-2</v>
      </c>
      <c r="BK260" s="89">
        <f t="shared" si="2359"/>
        <v>5.8263740532149555E-4</v>
      </c>
      <c r="BL260" s="89">
        <f t="shared" si="2359"/>
        <v>9.4526397515527938E-2</v>
      </c>
      <c r="BM260" s="89">
        <f t="shared" si="2359"/>
        <v>2.8728497960631261E-2</v>
      </c>
      <c r="BN260" s="89">
        <f t="shared" si="2359"/>
        <v>-2.1548008963971688E-2</v>
      </c>
      <c r="BO260" s="89">
        <f t="shared" si="2359"/>
        <v>7.8400281888654E-2</v>
      </c>
      <c r="BP260" s="89">
        <f t="shared" si="2359"/>
        <v>0.15716386211403366</v>
      </c>
      <c r="BQ260" s="89">
        <f t="shared" si="2359"/>
        <v>4.6872794013836039E-2</v>
      </c>
      <c r="BR260" s="89">
        <f t="shared" si="2359"/>
        <v>-1.9420094403236665E-2</v>
      </c>
      <c r="BS260" s="89">
        <f t="shared" si="2359"/>
        <v>2.214275890524009E-2</v>
      </c>
      <c r="BT260" s="89">
        <f t="shared" si="2359"/>
        <v>5.3686759956943053E-2</v>
      </c>
      <c r="BU260" s="89">
        <f t="shared" si="2359"/>
        <v>7.0489081854169244E-2</v>
      </c>
      <c r="BV260" s="89">
        <f t="shared" si="2359"/>
        <v>-6.4058213050220636E-2</v>
      </c>
      <c r="BW260" s="89">
        <f t="shared" si="2359"/>
        <v>2.2941626306398621E-3</v>
      </c>
      <c r="BX260" s="89">
        <f t="shared" si="2359"/>
        <v>0.1319938962360121</v>
      </c>
      <c r="BY260" s="89">
        <f t="shared" si="2359"/>
        <v>5.2235452707256824E-2</v>
      </c>
      <c r="BZ260" s="89">
        <f t="shared" si="2359"/>
        <v>-3.9393615885555677E-2</v>
      </c>
      <c r="CA260" s="89">
        <f t="shared" si="2359"/>
        <v>7.3349633251833524E-3</v>
      </c>
      <c r="CB260" s="89">
        <f t="shared" si="2359"/>
        <v>4.1482789055604652E-2</v>
      </c>
      <c r="CC260" s="89">
        <f t="shared" si="2359"/>
        <v>-3.2097457627118686E-2</v>
      </c>
      <c r="CD260" s="89">
        <f t="shared" si="2359"/>
        <v>-3.8634124986319351E-2</v>
      </c>
      <c r="CE260" s="89">
        <f t="shared" si="2359"/>
        <v>7.4339708561020013E-2</v>
      </c>
      <c r="CF260" s="89">
        <f t="shared" si="2359"/>
        <v>3.9419306983151436E-2</v>
      </c>
      <c r="CG260" s="89">
        <f t="shared" si="2359"/>
        <v>3.119584055459268E-2</v>
      </c>
      <c r="CH260" s="89">
        <f t="shared" si="2359"/>
        <v>-2.3826000988630747E-2</v>
      </c>
      <c r="CI260" s="89">
        <f t="shared" si="2359"/>
        <v>6.9880494227263501E-3</v>
      </c>
      <c r="CJ260" s="89">
        <f t="shared" si="2359"/>
        <v>5.9539374434275372E-2</v>
      </c>
      <c r="CK260" s="89">
        <f t="shared" si="2359"/>
        <v>9.3972472710013299E-3</v>
      </c>
      <c r="CL260" s="89">
        <f t="shared" si="2359"/>
        <v>5.0122249388752982E-2</v>
      </c>
      <c r="CM260" s="47">
        <f t="shared" si="2359"/>
        <v>1.5773502005171913E-3</v>
      </c>
      <c r="CN260" s="47">
        <f t="shared" si="2359"/>
        <v>1.3759583063055691E-2</v>
      </c>
      <c r="CO260" s="47">
        <f t="shared" si="2359"/>
        <v>9.9674012819375157E-3</v>
      </c>
      <c r="CP260" s="47">
        <f t="shared" si="2359"/>
        <v>1.3184564100505947E-2</v>
      </c>
      <c r="CQ260" s="47">
        <f t="shared" si="2359"/>
        <v>3.720987406950127E-2</v>
      </c>
      <c r="CR260" s="47">
        <f t="shared" si="2359"/>
        <v>2.0813489995078482E-2</v>
      </c>
      <c r="CS260" s="47">
        <f t="shared" si="2359"/>
        <v>-1.7470590620617399E-3</v>
      </c>
      <c r="CT260" s="47">
        <f t="shared" si="2359"/>
        <v>1.974451510630959E-2</v>
      </c>
      <c r="CU260" s="47">
        <f t="shared" si="2359"/>
        <v>-5.0024285986710604E-2</v>
      </c>
      <c r="CV260" s="47">
        <f t="shared" si="2359"/>
        <v>9.1676958065445291E-5</v>
      </c>
      <c r="CW260" s="47">
        <f t="shared" si="2359"/>
        <v>-6.0976081548446137E-3</v>
      </c>
      <c r="CX260" s="47">
        <f t="shared" ref="CX260:DB260" si="2360">CX38/CW38-1</f>
        <v>-7.7652099880504144E-3</v>
      </c>
      <c r="CY260" s="47">
        <f t="shared" si="2360"/>
        <v>7.409665566451995E-2</v>
      </c>
      <c r="CZ260" s="47">
        <f t="shared" si="2360"/>
        <v>1.9243378844756132E-2</v>
      </c>
      <c r="DA260" s="47">
        <f t="shared" si="2360"/>
        <v>2.4197433182216344E-2</v>
      </c>
      <c r="DB260" s="47">
        <f t="shared" si="2360"/>
        <v>3.2016027124584179E-2</v>
      </c>
      <c r="DE260" s="130"/>
      <c r="DF260" s="89">
        <v>8.6277331003828284E-2</v>
      </c>
      <c r="DG260" s="89">
        <v>-4.8739633906925039E-2</v>
      </c>
    </row>
    <row r="261" spans="1:111" s="103" customFormat="1" x14ac:dyDescent="0.2">
      <c r="A261" s="147" t="s">
        <v>105</v>
      </c>
      <c r="C261" s="103" t="e">
        <f>IF(C259&gt;C260,"RF",0)</f>
        <v>#DIV/0!</v>
      </c>
      <c r="D261" s="103" t="e">
        <f t="shared" ref="D261:U261" si="2361">IF(D259&gt;D260,"RF",0)</f>
        <v>#DIV/0!</v>
      </c>
      <c r="F261" s="103" t="e">
        <f t="shared" si="2361"/>
        <v>#DIV/0!</v>
      </c>
      <c r="G261" s="103" t="e">
        <f t="shared" si="2361"/>
        <v>#DIV/0!</v>
      </c>
      <c r="H261" s="103" t="e">
        <f t="shared" si="2361"/>
        <v>#DIV/0!</v>
      </c>
      <c r="I261" s="103" t="e">
        <f t="shared" si="2361"/>
        <v>#DIV/0!</v>
      </c>
      <c r="J261" s="103" t="e">
        <f t="shared" si="2361"/>
        <v>#DIV/0!</v>
      </c>
      <c r="K261" s="103" t="e">
        <f t="shared" si="2361"/>
        <v>#DIV/0!</v>
      </c>
      <c r="L261" s="103" t="e">
        <f t="shared" si="2361"/>
        <v>#DIV/0!</v>
      </c>
      <c r="M261" s="103" t="e">
        <f t="shared" si="2361"/>
        <v>#DIV/0!</v>
      </c>
      <c r="N261" s="103" t="e">
        <f t="shared" si="2361"/>
        <v>#DIV/0!</v>
      </c>
      <c r="O261" s="103" t="e">
        <f t="shared" si="2361"/>
        <v>#DIV/0!</v>
      </c>
      <c r="P261" s="103" t="e">
        <f t="shared" si="2361"/>
        <v>#DIV/0!</v>
      </c>
      <c r="Q261" s="103" t="e">
        <f t="shared" si="2361"/>
        <v>#DIV/0!</v>
      </c>
      <c r="R261" s="103" t="e">
        <f t="shared" si="2361"/>
        <v>#DIV/0!</v>
      </c>
      <c r="S261" s="103" t="e">
        <f t="shared" si="2361"/>
        <v>#DIV/0!</v>
      </c>
      <c r="T261" s="103" t="e">
        <f t="shared" si="2361"/>
        <v>#DIV/0!</v>
      </c>
      <c r="U261" s="103" t="e">
        <f t="shared" si="2361"/>
        <v>#DIV/0!</v>
      </c>
      <c r="V261" s="103" t="e">
        <f>IF(V259&gt;V260,"RF",0)</f>
        <v>#DIV/0!</v>
      </c>
      <c r="W261" s="103" t="e">
        <f t="shared" ref="W261:AE261" si="2362">IF(W259&gt;W260,"RF",0)</f>
        <v>#DIV/0!</v>
      </c>
      <c r="X261" s="103" t="e">
        <f t="shared" si="2362"/>
        <v>#DIV/0!</v>
      </c>
      <c r="Y261" s="103" t="e">
        <f t="shared" si="2362"/>
        <v>#DIV/0!</v>
      </c>
      <c r="Z261" s="103" t="e">
        <f t="shared" si="2362"/>
        <v>#DIV/0!</v>
      </c>
      <c r="AA261" s="103" t="e">
        <f t="shared" ref="AA261" si="2363">IF(AA259&gt;AA260,"RF",0)</f>
        <v>#DIV/0!</v>
      </c>
      <c r="AB261" s="73" t="e">
        <f t="shared" si="2362"/>
        <v>#DIV/0!</v>
      </c>
      <c r="AC261" s="73" t="e">
        <f t="shared" si="2362"/>
        <v>#DIV/0!</v>
      </c>
      <c r="AD261" s="73" t="e">
        <f t="shared" si="2362"/>
        <v>#DIV/0!</v>
      </c>
      <c r="AE261" s="73" t="e">
        <f t="shared" si="2362"/>
        <v>#DIV/0!</v>
      </c>
      <c r="AL261" s="103" t="e">
        <f t="shared" ref="AL261:CW261" si="2364">IF(AL259&gt;AL260,"RF",0)</f>
        <v>#DIV/0!</v>
      </c>
      <c r="AM261" s="103" t="e">
        <f t="shared" si="2364"/>
        <v>#DIV/0!</v>
      </c>
      <c r="AN261" s="103" t="e">
        <f t="shared" si="2364"/>
        <v>#DIV/0!</v>
      </c>
      <c r="AO261" s="103" t="e">
        <f t="shared" si="2364"/>
        <v>#DIV/0!</v>
      </c>
      <c r="AP261" s="103" t="e">
        <f t="shared" si="2364"/>
        <v>#DIV/0!</v>
      </c>
      <c r="AQ261" s="103" t="e">
        <f t="shared" si="2364"/>
        <v>#DIV/0!</v>
      </c>
      <c r="AR261" s="103" t="e">
        <f t="shared" si="2364"/>
        <v>#DIV/0!</v>
      </c>
      <c r="AS261" s="103" t="e">
        <f t="shared" si="2364"/>
        <v>#DIV/0!</v>
      </c>
      <c r="AT261" s="103" t="e">
        <f t="shared" si="2364"/>
        <v>#DIV/0!</v>
      </c>
      <c r="AU261" s="103" t="e">
        <f t="shared" si="2364"/>
        <v>#DIV/0!</v>
      </c>
      <c r="AV261" s="103" t="e">
        <f t="shared" si="2364"/>
        <v>#DIV/0!</v>
      </c>
      <c r="AW261" s="103" t="e">
        <f t="shared" si="2364"/>
        <v>#DIV/0!</v>
      </c>
      <c r="AX261" s="103" t="e">
        <f t="shared" si="2364"/>
        <v>#DIV/0!</v>
      </c>
      <c r="AY261" s="103" t="e">
        <f t="shared" si="2364"/>
        <v>#DIV/0!</v>
      </c>
      <c r="AZ261" s="103" t="e">
        <f t="shared" si="2364"/>
        <v>#DIV/0!</v>
      </c>
      <c r="BA261" s="103" t="e">
        <f t="shared" si="2364"/>
        <v>#DIV/0!</v>
      </c>
      <c r="BB261" s="103" t="e">
        <f t="shared" si="2364"/>
        <v>#DIV/0!</v>
      </c>
      <c r="BC261" s="103" t="e">
        <f t="shared" si="2364"/>
        <v>#DIV/0!</v>
      </c>
      <c r="BD261" s="103" t="e">
        <f t="shared" si="2364"/>
        <v>#DIV/0!</v>
      </c>
      <c r="BE261" s="103" t="e">
        <f t="shared" si="2364"/>
        <v>#DIV/0!</v>
      </c>
      <c r="BF261" s="103" t="e">
        <f t="shared" si="2364"/>
        <v>#DIV/0!</v>
      </c>
      <c r="BG261" s="103" t="e">
        <f t="shared" si="2364"/>
        <v>#DIV/0!</v>
      </c>
      <c r="BH261" s="103" t="e">
        <f t="shared" si="2364"/>
        <v>#DIV/0!</v>
      </c>
      <c r="BI261" s="103" t="e">
        <f t="shared" si="2364"/>
        <v>#DIV/0!</v>
      </c>
      <c r="BJ261" s="103" t="e">
        <f t="shared" si="2364"/>
        <v>#DIV/0!</v>
      </c>
      <c r="BK261" s="103" t="e">
        <f t="shared" si="2364"/>
        <v>#DIV/0!</v>
      </c>
      <c r="BL261" s="103" t="e">
        <f t="shared" si="2364"/>
        <v>#DIV/0!</v>
      </c>
      <c r="BM261" s="103" t="e">
        <f t="shared" si="2364"/>
        <v>#DIV/0!</v>
      </c>
      <c r="BN261" s="103" t="e">
        <f t="shared" si="2364"/>
        <v>#DIV/0!</v>
      </c>
      <c r="BO261" s="103" t="e">
        <f t="shared" si="2364"/>
        <v>#DIV/0!</v>
      </c>
      <c r="BP261" s="103" t="e">
        <f t="shared" si="2364"/>
        <v>#DIV/0!</v>
      </c>
      <c r="BQ261" s="103" t="e">
        <f t="shared" si="2364"/>
        <v>#DIV/0!</v>
      </c>
      <c r="BR261" s="103" t="e">
        <f t="shared" si="2364"/>
        <v>#DIV/0!</v>
      </c>
      <c r="BS261" s="103" t="e">
        <f t="shared" si="2364"/>
        <v>#DIV/0!</v>
      </c>
      <c r="BT261" s="103" t="e">
        <f t="shared" si="2364"/>
        <v>#DIV/0!</v>
      </c>
      <c r="BU261" s="103" t="e">
        <f t="shared" si="2364"/>
        <v>#DIV/0!</v>
      </c>
      <c r="BV261" s="103" t="e">
        <f t="shared" si="2364"/>
        <v>#DIV/0!</v>
      </c>
      <c r="BW261" s="103" t="e">
        <f t="shared" si="2364"/>
        <v>#DIV/0!</v>
      </c>
      <c r="BX261" s="103" t="e">
        <f t="shared" si="2364"/>
        <v>#DIV/0!</v>
      </c>
      <c r="BY261" s="103" t="e">
        <f t="shared" si="2364"/>
        <v>#DIV/0!</v>
      </c>
      <c r="BZ261" s="103" t="e">
        <f t="shared" si="2364"/>
        <v>#DIV/0!</v>
      </c>
      <c r="CA261" s="103" t="e">
        <f t="shared" si="2364"/>
        <v>#DIV/0!</v>
      </c>
      <c r="CB261" s="103" t="e">
        <f t="shared" si="2364"/>
        <v>#DIV/0!</v>
      </c>
      <c r="CC261" s="103" t="e">
        <f t="shared" si="2364"/>
        <v>#DIV/0!</v>
      </c>
      <c r="CD261" s="103" t="e">
        <f t="shared" si="2364"/>
        <v>#DIV/0!</v>
      </c>
      <c r="CE261" s="103" t="e">
        <f t="shared" si="2364"/>
        <v>#DIV/0!</v>
      </c>
      <c r="CF261" s="103" t="e">
        <f t="shared" si="2364"/>
        <v>#DIV/0!</v>
      </c>
      <c r="CG261" s="103" t="e">
        <f t="shared" si="2364"/>
        <v>#DIV/0!</v>
      </c>
      <c r="CH261" s="103" t="e">
        <f t="shared" si="2364"/>
        <v>#DIV/0!</v>
      </c>
      <c r="CI261" s="103" t="e">
        <f t="shared" si="2364"/>
        <v>#DIV/0!</v>
      </c>
      <c r="CJ261" s="103" t="e">
        <f t="shared" si="2364"/>
        <v>#DIV/0!</v>
      </c>
      <c r="CK261" s="103" t="e">
        <f t="shared" si="2364"/>
        <v>#DIV/0!</v>
      </c>
      <c r="CL261" s="103" t="e">
        <f t="shared" si="2364"/>
        <v>#DIV/0!</v>
      </c>
      <c r="CM261" s="73" t="e">
        <f t="shared" si="2364"/>
        <v>#DIV/0!</v>
      </c>
      <c r="CN261" s="73" t="e">
        <f t="shared" si="2364"/>
        <v>#DIV/0!</v>
      </c>
      <c r="CO261" s="73" t="e">
        <f t="shared" si="2364"/>
        <v>#DIV/0!</v>
      </c>
      <c r="CP261" s="73" t="e">
        <f t="shared" si="2364"/>
        <v>#DIV/0!</v>
      </c>
      <c r="CQ261" s="73" t="e">
        <f t="shared" si="2364"/>
        <v>#DIV/0!</v>
      </c>
      <c r="CR261" s="73" t="e">
        <f t="shared" si="2364"/>
        <v>#DIV/0!</v>
      </c>
      <c r="CS261" s="73" t="e">
        <f t="shared" si="2364"/>
        <v>#DIV/0!</v>
      </c>
      <c r="CT261" s="73" t="e">
        <f t="shared" si="2364"/>
        <v>#DIV/0!</v>
      </c>
      <c r="CU261" s="73" t="e">
        <f t="shared" si="2364"/>
        <v>#DIV/0!</v>
      </c>
      <c r="CV261" s="73" t="e">
        <f t="shared" si="2364"/>
        <v>#DIV/0!</v>
      </c>
      <c r="CW261" s="73" t="e">
        <f t="shared" si="2364"/>
        <v>#DIV/0!</v>
      </c>
      <c r="CX261" s="73" t="e">
        <f t="shared" ref="CX261:DB261" si="2365">IF(CX259&gt;CX260,"RF",0)</f>
        <v>#DIV/0!</v>
      </c>
      <c r="CY261" s="73" t="e">
        <f t="shared" si="2365"/>
        <v>#DIV/0!</v>
      </c>
      <c r="CZ261" s="73" t="e">
        <f t="shared" si="2365"/>
        <v>#DIV/0!</v>
      </c>
      <c r="DA261" s="73" t="e">
        <f t="shared" si="2365"/>
        <v>#DIV/0!</v>
      </c>
      <c r="DB261" s="73" t="e">
        <f t="shared" si="2365"/>
        <v>#DIV/0!</v>
      </c>
      <c r="DE261" s="142"/>
      <c r="DG261" s="103" t="e">
        <v>#DIV/0!</v>
      </c>
    </row>
    <row r="262" spans="1:111" s="86" customFormat="1" x14ac:dyDescent="0.2">
      <c r="A262" s="86" t="s">
        <v>432</v>
      </c>
      <c r="B262" s="86">
        <f>B46/B18</f>
        <v>3.1251129257421064E-4</v>
      </c>
      <c r="C262" s="86">
        <f>C46/C18</f>
        <v>2.7270038677364714E-4</v>
      </c>
      <c r="D262" s="86">
        <f>D46/D18</f>
        <v>2.0879235600195607E-4</v>
      </c>
      <c r="F262" s="86">
        <f t="shared" ref="F262:AE262" si="2366">F46/F18</f>
        <v>1.4025245441795232E-4</v>
      </c>
      <c r="G262" s="86">
        <f t="shared" si="2366"/>
        <v>1.0503098414032139E-4</v>
      </c>
      <c r="H262" s="86">
        <f t="shared" si="2366"/>
        <v>7.1978694306485278E-5</v>
      </c>
      <c r="I262" s="86">
        <f t="shared" si="2366"/>
        <v>5.9908938413611313E-5</v>
      </c>
      <c r="J262" s="86">
        <f t="shared" si="2366"/>
        <v>1.3829345871940258E-4</v>
      </c>
      <c r="K262" s="86">
        <f t="shared" si="2366"/>
        <v>8.7943012927622902E-5</v>
      </c>
      <c r="L262" s="86">
        <f t="shared" si="2366"/>
        <v>7.2724628195338349E-5</v>
      </c>
      <c r="M262" s="86">
        <f t="shared" si="2366"/>
        <v>1.1857473172466947E-4</v>
      </c>
      <c r="N262" s="86">
        <f t="shared" si="2366"/>
        <v>1.2390959555908009E-4</v>
      </c>
      <c r="O262" s="86">
        <f t="shared" si="2366"/>
        <v>1.7952247022919035E-4</v>
      </c>
      <c r="P262" s="86">
        <f t="shared" si="2366"/>
        <v>2.2506048500534517E-4</v>
      </c>
      <c r="Q262" s="86">
        <f t="shared" si="2366"/>
        <v>0</v>
      </c>
      <c r="R262" s="86">
        <f t="shared" si="2366"/>
        <v>0</v>
      </c>
      <c r="S262" s="86">
        <f t="shared" si="2366"/>
        <v>0</v>
      </c>
      <c r="T262" s="86">
        <f t="shared" si="2366"/>
        <v>0</v>
      </c>
      <c r="U262" s="86">
        <f t="shared" si="2366"/>
        <v>1.8724322895441179E-3</v>
      </c>
      <c r="V262" s="86">
        <f t="shared" si="2366"/>
        <v>1.9408392387928975E-3</v>
      </c>
      <c r="W262" s="86">
        <f t="shared" si="2366"/>
        <v>1.6441824713706726E-3</v>
      </c>
      <c r="X262" s="86">
        <f t="shared" si="2366"/>
        <v>1.9350398931639945E-3</v>
      </c>
      <c r="Y262" s="86">
        <f t="shared" si="2366"/>
        <v>3.0585019847725646E-3</v>
      </c>
      <c r="Z262" s="86">
        <f t="shared" si="2366"/>
        <v>2.5523038223203877E-3</v>
      </c>
      <c r="AA262" s="86">
        <f t="shared" ref="AA262" si="2367">AA46/AA18</f>
        <v>2.3285754268122026E-3</v>
      </c>
      <c r="AB262" s="87">
        <f t="shared" si="2366"/>
        <v>-1.4758458370239607E-2</v>
      </c>
      <c r="AC262" s="87">
        <f t="shared" si="2366"/>
        <v>-1.8986524472385986E-2</v>
      </c>
      <c r="AD262" s="87">
        <f t="shared" si="2366"/>
        <v>-2.5833843510473679E-2</v>
      </c>
      <c r="AE262" s="87">
        <f t="shared" si="2366"/>
        <v>-3.1686839535716368E-2</v>
      </c>
      <c r="AL262" s="86">
        <f t="shared" ref="AL262:CW262" si="2368">AL46/AL18</f>
        <v>0</v>
      </c>
      <c r="AM262" s="86">
        <f t="shared" si="2368"/>
        <v>0</v>
      </c>
      <c r="AN262" s="86">
        <f t="shared" si="2368"/>
        <v>0</v>
      </c>
      <c r="AO262" s="86">
        <f t="shared" si="2368"/>
        <v>0</v>
      </c>
      <c r="AP262" s="86">
        <f t="shared" si="2368"/>
        <v>0</v>
      </c>
      <c r="AQ262" s="86">
        <f t="shared" si="2368"/>
        <v>0</v>
      </c>
      <c r="AR262" s="86">
        <f t="shared" si="2368"/>
        <v>0</v>
      </c>
      <c r="AS262" s="86">
        <f t="shared" si="2368"/>
        <v>0</v>
      </c>
      <c r="AT262" s="86">
        <f t="shared" si="2368"/>
        <v>0</v>
      </c>
      <c r="AU262" s="86">
        <f t="shared" si="2368"/>
        <v>0</v>
      </c>
      <c r="AV262" s="86">
        <f t="shared" si="2368"/>
        <v>0</v>
      </c>
      <c r="AW262" s="86">
        <f t="shared" si="2368"/>
        <v>0</v>
      </c>
      <c r="AX262" s="86">
        <f t="shared" si="2368"/>
        <v>0</v>
      </c>
      <c r="AY262" s="86">
        <f t="shared" si="2368"/>
        <v>0</v>
      </c>
      <c r="AZ262" s="86">
        <f t="shared" si="2368"/>
        <v>0</v>
      </c>
      <c r="BA262" s="86">
        <f t="shared" si="2368"/>
        <v>0</v>
      </c>
      <c r="BB262" s="86">
        <f t="shared" si="2368"/>
        <v>0</v>
      </c>
      <c r="BC262" s="86">
        <f t="shared" si="2368"/>
        <v>0</v>
      </c>
      <c r="BD262" s="86">
        <f t="shared" si="2368"/>
        <v>0</v>
      </c>
      <c r="BE262" s="86">
        <f t="shared" si="2368"/>
        <v>0</v>
      </c>
      <c r="BF262" s="86">
        <f t="shared" si="2368"/>
        <v>0</v>
      </c>
      <c r="BG262" s="86">
        <f t="shared" si="2368"/>
        <v>0</v>
      </c>
      <c r="BH262" s="86">
        <f t="shared" si="2368"/>
        <v>0</v>
      </c>
      <c r="BI262" s="86">
        <f t="shared" si="2368"/>
        <v>0</v>
      </c>
      <c r="BJ262" s="86">
        <f t="shared" si="2368"/>
        <v>0</v>
      </c>
      <c r="BK262" s="86">
        <f t="shared" si="2368"/>
        <v>1.8346099160665963E-3</v>
      </c>
      <c r="BL262" s="86">
        <f t="shared" si="2368"/>
        <v>1.8560254540633701E-3</v>
      </c>
      <c r="BM262" s="86">
        <f t="shared" si="2368"/>
        <v>1.8188117096830071E-3</v>
      </c>
      <c r="BN262" s="86">
        <f t="shared" si="2368"/>
        <v>1.9340697124683027E-3</v>
      </c>
      <c r="BO262" s="86">
        <f t="shared" si="2368"/>
        <v>2.0283118529473908E-3</v>
      </c>
      <c r="BP262" s="86">
        <f t="shared" si="2368"/>
        <v>1.9536019536019536E-3</v>
      </c>
      <c r="BQ262" s="86">
        <f t="shared" si="2368"/>
        <v>1.8899217032437227E-3</v>
      </c>
      <c r="BR262" s="86">
        <f t="shared" si="2368"/>
        <v>1.9003458629470564E-3</v>
      </c>
      <c r="BS262" s="86">
        <f t="shared" si="2368"/>
        <v>1.756524232864927E-3</v>
      </c>
      <c r="BT262" s="86">
        <f t="shared" si="2368"/>
        <v>1.6215120599959462E-3</v>
      </c>
      <c r="BU262" s="86">
        <f t="shared" si="2368"/>
        <v>1.6631625192205103E-3</v>
      </c>
      <c r="BV262" s="86">
        <f t="shared" si="2368"/>
        <v>1.5491386788945346E-3</v>
      </c>
      <c r="BW262" s="86">
        <f t="shared" si="2368"/>
        <v>1.624601102407891E-3</v>
      </c>
      <c r="BX262" s="86">
        <f t="shared" si="2368"/>
        <v>1.8063386063823963E-3</v>
      </c>
      <c r="BY262" s="86">
        <f t="shared" si="2368"/>
        <v>2.0877916383944882E-3</v>
      </c>
      <c r="BZ262" s="86">
        <f t="shared" si="2368"/>
        <v>2.1901124435778959E-3</v>
      </c>
      <c r="CA262" s="86">
        <f t="shared" si="2368"/>
        <v>2.3726043286847864E-3</v>
      </c>
      <c r="CB262" s="86">
        <f t="shared" si="2368"/>
        <v>3.5390060009232189E-3</v>
      </c>
      <c r="CC262" s="86">
        <f t="shared" si="2368"/>
        <v>3.3744622755724992E-3</v>
      </c>
      <c r="CD262" s="86">
        <f t="shared" si="2368"/>
        <v>2.9006144028689714E-3</v>
      </c>
      <c r="CE262" s="86">
        <f t="shared" si="2368"/>
        <v>2.6707363601678751E-3</v>
      </c>
      <c r="CF262" s="86">
        <f t="shared" si="2368"/>
        <v>2.635046113306983E-3</v>
      </c>
      <c r="CG262" s="86">
        <f t="shared" si="2368"/>
        <v>2.41835073268844E-3</v>
      </c>
      <c r="CH262" s="86">
        <f t="shared" si="2368"/>
        <v>2.4923640806353083E-3</v>
      </c>
      <c r="CI262" s="86">
        <f t="shared" si="2368"/>
        <v>2.4835024480238418E-3</v>
      </c>
      <c r="CJ262" s="86">
        <f t="shared" si="2368"/>
        <v>2.3825578781748709E-3</v>
      </c>
      <c r="CK262" s="86">
        <f t="shared" si="2368"/>
        <v>2.1988170364343981E-3</v>
      </c>
      <c r="CL262" s="86">
        <f t="shared" si="2368"/>
        <v>2.2628334985560967E-3</v>
      </c>
      <c r="CM262" s="87">
        <f t="shared" si="2368"/>
        <v>-1.1898017528707745E-2</v>
      </c>
      <c r="CN262" s="87">
        <f t="shared" si="2368"/>
        <v>-1.3446983826302703E-2</v>
      </c>
      <c r="CO262" s="87">
        <f t="shared" si="2368"/>
        <v>-1.5657424084828463E-2</v>
      </c>
      <c r="CP262" s="87">
        <f t="shared" si="2368"/>
        <v>-1.7925815085823506E-2</v>
      </c>
      <c r="CQ262" s="87">
        <f t="shared" si="2368"/>
        <v>-1.6341040622567738E-2</v>
      </c>
      <c r="CR262" s="87">
        <f t="shared" si="2368"/>
        <v>-1.8087656140826722E-2</v>
      </c>
      <c r="CS262" s="87">
        <f t="shared" si="2368"/>
        <v>-1.9848600729161399E-2</v>
      </c>
      <c r="CT262" s="87">
        <f t="shared" si="2368"/>
        <v>-2.1540025006198758E-2</v>
      </c>
      <c r="CU262" s="87">
        <f t="shared" si="2368"/>
        <v>-2.313101433467931E-2</v>
      </c>
      <c r="CV262" s="87">
        <f t="shared" si="2368"/>
        <v>-2.4991825545314282E-2</v>
      </c>
      <c r="CW262" s="87">
        <f t="shared" si="2368"/>
        <v>-2.6722836947654999E-2</v>
      </c>
      <c r="CX262" s="87">
        <f t="shared" ref="CX262:DB262" si="2369">CX46/CX18</f>
        <v>-2.8293516003393179E-2</v>
      </c>
      <c r="CY262" s="87">
        <f t="shared" si="2369"/>
        <v>-2.9688168372720113E-2</v>
      </c>
      <c r="CZ262" s="87">
        <f t="shared" si="2369"/>
        <v>-3.1072162009403523E-2</v>
      </c>
      <c r="DA262" s="87">
        <f t="shared" si="2369"/>
        <v>-3.2330114191393068E-2</v>
      </c>
      <c r="DB262" s="87">
        <f t="shared" si="2369"/>
        <v>-3.346420365954636E-2</v>
      </c>
      <c r="DE262" s="141"/>
      <c r="DF262" s="86">
        <v>2.3285754268122026E-3</v>
      </c>
      <c r="DG262" s="86">
        <v>-2.4358294272547414E-2</v>
      </c>
    </row>
    <row r="263" spans="1:111" s="86" customFormat="1" x14ac:dyDescent="0.2">
      <c r="A263" s="86" t="s">
        <v>433</v>
      </c>
      <c r="B263" s="86">
        <f>B42/B18</f>
        <v>5.940047453573126E-2</v>
      </c>
      <c r="C263" s="86">
        <f>C42/C18</f>
        <v>6.1703263570685091E-2</v>
      </c>
      <c r="D263" s="86">
        <f>D42/D18</f>
        <v>5.2291496107121471E-2</v>
      </c>
      <c r="F263" s="86">
        <f t="shared" ref="F263:AE263" si="2370">F42/F18</f>
        <v>4.0252454417952312E-2</v>
      </c>
      <c r="G263" s="86">
        <f t="shared" si="2370"/>
        <v>4.5898540069320447E-2</v>
      </c>
      <c r="H263" s="86">
        <f t="shared" si="2370"/>
        <v>3.6997048873533431E-2</v>
      </c>
      <c r="I263" s="86">
        <f t="shared" si="2370"/>
        <v>3.5825545171339561E-2</v>
      </c>
      <c r="J263" s="86">
        <f t="shared" si="2370"/>
        <v>3.5080440695155118E-2</v>
      </c>
      <c r="K263" s="86">
        <f t="shared" si="2370"/>
        <v>3.9794213349749363E-2</v>
      </c>
      <c r="L263" s="86">
        <f t="shared" si="2370"/>
        <v>3.1053416239409475E-2</v>
      </c>
      <c r="M263" s="86">
        <f t="shared" si="2370"/>
        <v>2.7509337760123317E-2</v>
      </c>
      <c r="N263" s="86">
        <f t="shared" si="2370"/>
        <v>2.7235329103885805E-2</v>
      </c>
      <c r="O263" s="86">
        <f t="shared" si="2370"/>
        <v>2.6270121476871522E-2</v>
      </c>
      <c r="P263" s="86">
        <f t="shared" si="2370"/>
        <v>1.9073876104203004E-2</v>
      </c>
      <c r="Q263" s="86">
        <f t="shared" si="2370"/>
        <v>2.3366057558335068E-2</v>
      </c>
      <c r="R263" s="86">
        <f t="shared" si="2370"/>
        <v>2.4867122247532271E-2</v>
      </c>
      <c r="S263" s="86">
        <f t="shared" si="2370"/>
        <v>2.6417288222115084E-2</v>
      </c>
      <c r="T263" s="86">
        <f t="shared" si="2370"/>
        <v>2.4324160870879952E-2</v>
      </c>
      <c r="U263" s="86">
        <f t="shared" si="2370"/>
        <v>3.1864391845006661E-2</v>
      </c>
      <c r="V263" s="86">
        <f t="shared" si="2370"/>
        <v>3.2516522016084085E-2</v>
      </c>
      <c r="W263" s="86">
        <f t="shared" si="2370"/>
        <v>2.8575891352422292E-2</v>
      </c>
      <c r="X263" s="86">
        <f t="shared" si="2370"/>
        <v>2.8787125171189708E-2</v>
      </c>
      <c r="Y263" s="86">
        <f t="shared" si="2370"/>
        <v>3.0441855925034164E-2</v>
      </c>
      <c r="Z263" s="86">
        <f t="shared" si="2370"/>
        <v>2.9523283637032948E-2</v>
      </c>
      <c r="AA263" s="86">
        <f t="shared" ref="AA263" si="2371">AA42/AA18</f>
        <v>2.7439126784214944E-2</v>
      </c>
      <c r="AB263" s="87">
        <f t="shared" si="2370"/>
        <v>3.095537882848326E-2</v>
      </c>
      <c r="AC263" s="87">
        <f t="shared" si="2370"/>
        <v>3.2600724583185442E-2</v>
      </c>
      <c r="AD263" s="87">
        <f t="shared" si="2370"/>
        <v>2.7536011691958295E-2</v>
      </c>
      <c r="AE263" s="87">
        <f t="shared" si="2370"/>
        <v>1.6868293747987494E-2</v>
      </c>
      <c r="AL263" s="86">
        <f t="shared" ref="AL263:CW263" si="2372">AL42/AL18</f>
        <v>0</v>
      </c>
      <c r="AM263" s="86">
        <f t="shared" si="2372"/>
        <v>0</v>
      </c>
      <c r="AN263" s="86">
        <f t="shared" si="2372"/>
        <v>0</v>
      </c>
      <c r="AO263" s="86">
        <f t="shared" si="2372"/>
        <v>0</v>
      </c>
      <c r="AP263" s="86">
        <f t="shared" si="2372"/>
        <v>0</v>
      </c>
      <c r="AQ263" s="86">
        <f t="shared" si="2372"/>
        <v>0</v>
      </c>
      <c r="AR263" s="86">
        <f t="shared" si="2372"/>
        <v>0</v>
      </c>
      <c r="AS263" s="86">
        <f t="shared" si="2372"/>
        <v>0</v>
      </c>
      <c r="AT263" s="86">
        <f t="shared" si="2372"/>
        <v>0</v>
      </c>
      <c r="AU263" s="86">
        <f t="shared" si="2372"/>
        <v>2.1805768426919326E-2</v>
      </c>
      <c r="AV263" s="86">
        <f t="shared" si="2372"/>
        <v>2.2897345698752798E-2</v>
      </c>
      <c r="AW263" s="86">
        <f t="shared" si="2372"/>
        <v>2.3204628348635393E-2</v>
      </c>
      <c r="AX263" s="86">
        <f t="shared" si="2372"/>
        <v>2.5317220543806647E-2</v>
      </c>
      <c r="AY263" s="86">
        <f t="shared" si="2372"/>
        <v>2.3835061375283042E-2</v>
      </c>
      <c r="AZ263" s="86">
        <f t="shared" si="2372"/>
        <v>2.4494511842865396E-2</v>
      </c>
      <c r="BA263" s="86">
        <f t="shared" si="2372"/>
        <v>2.5068025241706711E-2</v>
      </c>
      <c r="BB263" s="86">
        <f t="shared" si="2372"/>
        <v>2.6051401869158879E-2</v>
      </c>
      <c r="BC263" s="86">
        <f t="shared" si="2372"/>
        <v>2.6349689659210682E-2</v>
      </c>
      <c r="BD263" s="86">
        <f t="shared" si="2372"/>
        <v>2.5957761712301474E-2</v>
      </c>
      <c r="BE263" s="86">
        <f t="shared" si="2372"/>
        <v>2.7986961897268743E-2</v>
      </c>
      <c r="BF263" s="86">
        <f t="shared" si="2372"/>
        <v>2.5327655809323675E-2</v>
      </c>
      <c r="BG263" s="86">
        <f t="shared" si="2372"/>
        <v>2.2793810121288165E-2</v>
      </c>
      <c r="BH263" s="86">
        <f t="shared" si="2372"/>
        <v>2.2465912950652627E-2</v>
      </c>
      <c r="BI263" s="86">
        <f t="shared" si="2372"/>
        <v>2.7102803738317756E-2</v>
      </c>
      <c r="BJ263" s="86">
        <f t="shared" si="2372"/>
        <v>2.465295510469381E-2</v>
      </c>
      <c r="BK263" s="86">
        <f t="shared" si="2372"/>
        <v>3.1234233821033804E-2</v>
      </c>
      <c r="BL263" s="86">
        <f t="shared" si="2372"/>
        <v>3.2126916788192142E-2</v>
      </c>
      <c r="BM263" s="86">
        <f t="shared" si="2372"/>
        <v>3.1915815000866099E-2</v>
      </c>
      <c r="BN263" s="86">
        <f t="shared" si="2372"/>
        <v>3.2191515880861304E-2</v>
      </c>
      <c r="BO263" s="86">
        <f t="shared" si="2372"/>
        <v>3.1945911683921406E-2</v>
      </c>
      <c r="BP263" s="86">
        <f t="shared" si="2372"/>
        <v>3.47985347985348E-2</v>
      </c>
      <c r="BQ263" s="86">
        <f t="shared" si="2372"/>
        <v>3.1858680140394183E-2</v>
      </c>
      <c r="BR263" s="86">
        <f t="shared" si="2372"/>
        <v>3.1583748242180076E-2</v>
      </c>
      <c r="BS263" s="86">
        <f t="shared" si="2372"/>
        <v>2.971752222540866E-2</v>
      </c>
      <c r="BT263" s="86">
        <f t="shared" si="2372"/>
        <v>2.9018309573677455E-2</v>
      </c>
      <c r="BU263" s="86">
        <f t="shared" si="2372"/>
        <v>2.8211001976966767E-2</v>
      </c>
      <c r="BV263" s="86">
        <f t="shared" si="2372"/>
        <v>2.7574668484322717E-2</v>
      </c>
      <c r="BW263" s="86">
        <f t="shared" si="2372"/>
        <v>2.7560197272991006E-2</v>
      </c>
      <c r="BX263" s="86">
        <f t="shared" si="2372"/>
        <v>2.8162460999507363E-2</v>
      </c>
      <c r="BY263" s="86">
        <f t="shared" si="2372"/>
        <v>2.935956991492249E-2</v>
      </c>
      <c r="BZ263" s="86">
        <f t="shared" si="2372"/>
        <v>2.9940439625010015E-2</v>
      </c>
      <c r="CA263" s="86">
        <f t="shared" si="2372"/>
        <v>3.0922943083858383E-2</v>
      </c>
      <c r="CB263" s="86">
        <f t="shared" si="2372"/>
        <v>2.9902036210699083E-2</v>
      </c>
      <c r="CC263" s="86">
        <f t="shared" si="2372"/>
        <v>3.0292882718116483E-2</v>
      </c>
      <c r="CD263" s="86">
        <f t="shared" si="2372"/>
        <v>3.0667405004878304E-2</v>
      </c>
      <c r="CE263" s="86">
        <f t="shared" si="2372"/>
        <v>2.9225486455551317E-2</v>
      </c>
      <c r="CF263" s="86">
        <f t="shared" si="2372"/>
        <v>2.8302347142926853E-2</v>
      </c>
      <c r="CG263" s="86">
        <f t="shared" si="2372"/>
        <v>2.8804712192318744E-2</v>
      </c>
      <c r="CH263" s="86">
        <f t="shared" si="2372"/>
        <v>3.1740989615149665E-2</v>
      </c>
      <c r="CI263" s="86">
        <f t="shared" si="2372"/>
        <v>2.6963740864258852E-2</v>
      </c>
      <c r="CJ263" s="86">
        <f t="shared" si="2372"/>
        <v>2.6567768037761296E-2</v>
      </c>
      <c r="CK263" s="86">
        <f t="shared" si="2372"/>
        <v>2.5396336770817301E-2</v>
      </c>
      <c r="CL263" s="86">
        <f t="shared" si="2372"/>
        <v>3.0688332399465539E-2</v>
      </c>
      <c r="CM263" s="87">
        <f t="shared" si="2372"/>
        <v>2.9868304269238252E-2</v>
      </c>
      <c r="CN263" s="87">
        <f t="shared" si="2372"/>
        <v>3.0629010886638958E-2</v>
      </c>
      <c r="CO263" s="87">
        <f t="shared" si="2372"/>
        <v>3.1341602398710831E-2</v>
      </c>
      <c r="CP263" s="87">
        <f t="shared" si="2372"/>
        <v>3.1946217058964027E-2</v>
      </c>
      <c r="CQ263" s="87">
        <f t="shared" si="2372"/>
        <v>3.2283446028856667E-2</v>
      </c>
      <c r="CR263" s="87">
        <f t="shared" si="2372"/>
        <v>3.2559164657293957E-2</v>
      </c>
      <c r="CS263" s="87">
        <f t="shared" si="2372"/>
        <v>3.2739095407130735E-2</v>
      </c>
      <c r="CT263" s="87">
        <f t="shared" si="2372"/>
        <v>3.2808284825182943E-2</v>
      </c>
      <c r="CU263" s="87">
        <f t="shared" si="2372"/>
        <v>3.2684662638888584E-2</v>
      </c>
      <c r="CV263" s="87">
        <f t="shared" si="2372"/>
        <v>2.9085321208749886E-2</v>
      </c>
      <c r="CW263" s="87">
        <f t="shared" si="2372"/>
        <v>2.5838039295299223E-2</v>
      </c>
      <c r="CX263" s="87">
        <f t="shared" ref="CX263:DB263" si="2373">CX42/CX18</f>
        <v>2.2907087411592624E-2</v>
      </c>
      <c r="CY263" s="87">
        <f t="shared" si="2373"/>
        <v>2.0263720207199128E-2</v>
      </c>
      <c r="CZ263" s="87">
        <f t="shared" si="2373"/>
        <v>1.789356118454552E-2</v>
      </c>
      <c r="DA263" s="87">
        <f t="shared" si="2373"/>
        <v>1.5770314295445943E-2</v>
      </c>
      <c r="DB263" s="87">
        <f t="shared" si="2373"/>
        <v>1.3871634261177622E-2</v>
      </c>
      <c r="DE263" s="141"/>
      <c r="DF263" s="86">
        <v>2.7433529247131262E-2</v>
      </c>
      <c r="DG263" s="86">
        <v>2.7161852591851891E-2</v>
      </c>
    </row>
    <row r="264" spans="1:111" s="85" customFormat="1" x14ac:dyDescent="0.2">
      <c r="AB264" s="58"/>
      <c r="AC264" s="58"/>
      <c r="AD264" s="58"/>
      <c r="AE264" s="58"/>
      <c r="CM264" s="72"/>
      <c r="CN264" s="72"/>
      <c r="CO264" s="72"/>
      <c r="CP264" s="72"/>
      <c r="CQ264" s="72"/>
      <c r="CR264" s="72"/>
      <c r="CS264" s="72"/>
      <c r="CT264" s="72"/>
      <c r="CU264" s="72"/>
      <c r="CV264" s="72"/>
      <c r="CW264" s="72"/>
      <c r="CX264" s="72"/>
      <c r="CY264" s="72"/>
      <c r="CZ264" s="72"/>
      <c r="DA264" s="72"/>
      <c r="DB264" s="72"/>
      <c r="DE264" s="143"/>
    </row>
  </sheetData>
  <sortState xmlns:xlrd2="http://schemas.microsoft.com/office/spreadsheetml/2017/richdata2" ref="A30:DE35">
    <sortCondition ref="A30:A3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100209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Infosys Ltd.</v>
      </c>
    </row>
    <row r="5" spans="1:74" x14ac:dyDescent="0.25">
      <c r="A5" t="s">
        <v>252</v>
      </c>
      <c r="B5" t="s">
        <v>275</v>
      </c>
      <c r="C5">
        <f>_xll.EQNXTDZ($A$1,$B5,C$1,$B$1)</f>
        <v>201206</v>
      </c>
      <c r="D5">
        <f>_xll.EQNXTDZ($A$1,$B5,D$1,$B$1)</f>
        <v>201209</v>
      </c>
      <c r="E5">
        <f>_xll.EQNXTDZ($A$1,$B5,E$1,$B$1)</f>
        <v>201212</v>
      </c>
      <c r="F5">
        <f>_xll.EQNXTDZ($A$1,$B5,F$1,$B$1)</f>
        <v>201303</v>
      </c>
      <c r="G5">
        <f>_xll.EQNXTDZ($A$1,$B5,G$1,$B$1)</f>
        <v>201306</v>
      </c>
      <c r="H5">
        <f>_xll.EQNXTDZ($A$1,$B5,H$1,$B$1)</f>
        <v>201309</v>
      </c>
      <c r="I5">
        <f>_xll.EQNXTDZ($A$1,$B5,I$1,$B$1)</f>
        <v>201312</v>
      </c>
      <c r="J5">
        <f>_xll.EQNXTDZ($A$1,$B5,J$1,$B$1)</f>
        <v>201403</v>
      </c>
      <c r="K5">
        <f>_xll.EQNXTDZ($A$1,$B5,K$1,$B$1)</f>
        <v>201406</v>
      </c>
      <c r="L5">
        <f>_xll.EQNXTDZ($A$1,$B5,L$1,$B$1)</f>
        <v>201409</v>
      </c>
      <c r="M5">
        <f>_xll.EQNXTDZ($A$1,$B5,M$1,$B$1)</f>
        <v>201412</v>
      </c>
      <c r="N5">
        <f>_xll.EQNXTDZ($A$1,$B5,N$1,$B$1)</f>
        <v>201503</v>
      </c>
      <c r="O5">
        <f>_xll.EQNXTDZ($A$1,$B5,O$1,$B$1)</f>
        <v>201506</v>
      </c>
      <c r="P5">
        <f>_xll.EQNXTDZ($A$1,$B5,P$1,$B$1)</f>
        <v>201509</v>
      </c>
      <c r="Q5">
        <f>_xll.EQNXTDZ($A$1,$B5,Q$1,$B$1)</f>
        <v>201512</v>
      </c>
      <c r="R5">
        <f>_xll.EQNXTDZ($A$1,$B5,R$1,$B$1)</f>
        <v>201603</v>
      </c>
      <c r="S5">
        <f>_xll.EQNXTDZ($A$1,$B5,S$1,$B$1)</f>
        <v>201606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9616</v>
      </c>
      <c r="D6">
        <f>_xll.EQNXTDZ($A$1,$B6,D$1,$B$1)</f>
        <v>9858</v>
      </c>
      <c r="E6">
        <f>_xll.EQNXTDZ($A$1,$B6,E$1,$B$1)</f>
        <v>10424</v>
      </c>
      <c r="F6">
        <f>_xll.EQNXTDZ($A$1,$B6,F$1,$B$1)</f>
        <v>10454</v>
      </c>
      <c r="G6">
        <f>_xll.EQNXTDZ($A$1,$B6,G$1,$B$1)</f>
        <v>11267</v>
      </c>
      <c r="H6">
        <f>_xll.EQNXTDZ($A$1,$B6,H$1,$B$1)</f>
        <v>12965</v>
      </c>
      <c r="I6">
        <f>_xll.EQNXTDZ($A$1,$B6,I$1,$B$1)</f>
        <v>13026</v>
      </c>
      <c r="J6">
        <f>_xll.EQNXTDZ($A$1,$B6,J$1,$B$1)</f>
        <v>12875</v>
      </c>
      <c r="K6">
        <f>_xll.EQNXTDZ($A$1,$B6,K$1,$B$1)</f>
        <v>12770</v>
      </c>
      <c r="L6">
        <f>_xll.EQNXTDZ($A$1,$B6,L$1,$B$1)</f>
        <v>13342</v>
      </c>
      <c r="M6">
        <f>_xll.EQNXTDZ($A$1,$B6,M$1,$B$1)</f>
        <v>13796</v>
      </c>
      <c r="N6">
        <f>_xll.EQNXTDZ($A$1,$B6,N$1,$B$1)</f>
        <v>13411</v>
      </c>
      <c r="O6">
        <f>_xll.EQNXTDZ($A$1,$B6,O$1,$B$1)</f>
        <v>14354</v>
      </c>
      <c r="P6">
        <f>_xll.EQNXTDZ($A$1,$B6,P$1,$B$1)</f>
        <v>15635</v>
      </c>
      <c r="Q6">
        <f>_xll.EQNXTDZ($A$1,$B6,Q$1,$B$1)</f>
        <v>15902</v>
      </c>
      <c r="R6">
        <f>_xll.EQNXTDZ($A$1,$B6,R$1,$B$1)</f>
        <v>16550</v>
      </c>
      <c r="S6">
        <f>_xll.EQNXTDZ($A$1,$B6,S$1,$B$1)</f>
        <v>16782</v>
      </c>
      <c r="T6">
        <f>_xll.EQNXTDZ($A$1,$B6,T$1,$B$1)</f>
        <v>17310</v>
      </c>
      <c r="U6">
        <f>_xll.EQNXTDZ($A$1,$B6,U$1,$B$1)</f>
        <v>17273</v>
      </c>
      <c r="V6">
        <f>_xll.EQNXTDZ($A$1,$B6,V$1,$B$1)</f>
        <v>17120</v>
      </c>
      <c r="W6">
        <f>_xll.EQNXTDZ($A$1,$B6,W$1,$B$1)</f>
        <v>17078</v>
      </c>
      <c r="X6">
        <f>_xll.EQNXTDZ($A$1,$B6,X$1,$B$1)</f>
        <v>17567</v>
      </c>
      <c r="Y6">
        <f>_xll.EQNXTDZ($A$1,$B6,Y$1,$B$1)</f>
        <v>17794</v>
      </c>
      <c r="Z6">
        <f>_xll.EQNXTDZ($A$1,$B6,Z$1,$B$1)</f>
        <v>18083</v>
      </c>
      <c r="AA6">
        <f>_xll.EQNXTDZ($A$1,$B6,AA$1,$B$1)</f>
        <v>19128</v>
      </c>
      <c r="AB6">
        <f>_xll.EQNXTDZ($A$1,$B6,AB$1,$B$1)</f>
        <v>20609</v>
      </c>
      <c r="AC6">
        <f>_xll.EQNXTDZ($A$1,$B6,AC$1,$B$1)</f>
        <v>21400</v>
      </c>
      <c r="AD6">
        <f>_xll.EQNXTDZ($A$1,$B6,AD$1,$B$1)</f>
        <v>21539</v>
      </c>
      <c r="AE6">
        <f>_xll.EQNXTDZ($A$1,$B6,AE$1,$B$1)</f>
        <v>21803</v>
      </c>
      <c r="AF6">
        <f>_xll.EQNXTDZ($A$1,$B6,AF$1,$B$1)</f>
        <v>22629</v>
      </c>
      <c r="AG6">
        <f>_xll.EQNXTDZ($A$1,$B6,AG$1,$B$1)</f>
        <v>23092</v>
      </c>
      <c r="AH6">
        <f>_xll.EQNXTDZ($A$1,$B6,AH$1,$B$1)</f>
        <v>23267</v>
      </c>
      <c r="AI6">
        <f>_xll.EQNXTDZ($A$1,$B6,AI$1,$B$1)</f>
        <v>23665</v>
      </c>
      <c r="AJ6">
        <f>_xll.EQNXTDZ($A$1,$B6,AJ$1,$B$1)</f>
        <v>24570</v>
      </c>
      <c r="AK6">
        <f>_xll.EQNXTDZ($A$1,$B6,AK$1,$B$1)</f>
        <v>25927</v>
      </c>
      <c r="AL6">
        <f>_xll.EQNXTDZ($A$1,$B6,AL$1,$B$1)</f>
        <v>26311</v>
      </c>
      <c r="AM6">
        <f>_xll.EQNXTDZ($A$1,$B6,AM$1,$B$1)</f>
        <v>27896</v>
      </c>
      <c r="AN6">
        <f>_xll.EQNXTDZ($A$1,$B6,AN$1,$B$1)</f>
        <v>29602</v>
      </c>
      <c r="AO6">
        <f>_xll.EQNXTDZ($A$1,$B6,AO$1,$B$1)</f>
        <v>31867</v>
      </c>
      <c r="AP6">
        <f>_xll.EQNXTDZ($A$1,$B6,AP$1,$B$1)</f>
        <v>32276</v>
      </c>
      <c r="AQ6">
        <f>_xll.EQNXTDZ($A$1,$B6,AQ$1,$B$1)</f>
        <v>34470</v>
      </c>
      <c r="AR6">
        <f>_xll.EQNXTDZ($A$1,$B6,AR$1,$B$1)</f>
        <v>36538</v>
      </c>
      <c r="AS6">
        <f>_xll.EQNXTDZ($A$1,$B6,AS$1,$B$1)</f>
        <v>38318</v>
      </c>
      <c r="AT6">
        <f>_xll.EQNXTDZ($A$1,$B6,AT$1,$B$1)</f>
        <v>37441</v>
      </c>
      <c r="AU6">
        <f>_xll.EQNXTDZ($A$1,$B6,AU$1,$B$1)</f>
        <v>37933</v>
      </c>
      <c r="AV6">
        <f>_xll.EQNXTDZ($A$1,$B6,AV$1,$B$1)</f>
        <v>38994</v>
      </c>
      <c r="AW6">
        <f>_xll.EQNXTDZ($A$1,$B6,AW$1,$B$1)</f>
        <v>38821</v>
      </c>
      <c r="AX6">
        <f>_xll.EQNXTDZ($A$1,$B6,AX$1,$B$1)</f>
        <v>37923</v>
      </c>
      <c r="AY6">
        <f>_xll.EQNXTDZ($A$1,$B6,AY$1,$B$1)</f>
        <v>39315</v>
      </c>
      <c r="AZ6">
        <f>_xll.EQNXTDZ($A$1,$B6,AZ$1,$B$1)</f>
        <v>40986</v>
      </c>
      <c r="BA6">
        <f>_xll.EQNXTDZ($A$1,$B6,BA$1,$B$1)</f>
        <v>41764</v>
      </c>
      <c r="BB6">
        <f>_xll.EQNXTDZ($A$1,$B6,BB$1,$B$1)</f>
        <v>40925</v>
      </c>
      <c r="BC6">
        <f>_xll.EQNXTDZ($A$1,$B6,BC$1,$B$1)</f>
        <v>42279</v>
      </c>
      <c r="BD6">
        <f>_xll.EQNXTDZ($A$1,$B6,BD$1,$B$1)</f>
        <v>44490</v>
      </c>
      <c r="BE6">
        <f>_xll.EQNXTDZ($A$1,$B6,BE$1,$B$1)</f>
        <v>45479</v>
      </c>
      <c r="BF6">
        <f>_xll.EQNXTDZ($A$1,$B6,BF$1,$B$1)</f>
        <v>46402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0</v>
      </c>
      <c r="D8">
        <f>_xll.EQNXTDZ($A$1,$B8,D$1,$B$1)</f>
        <v>0</v>
      </c>
      <c r="E8">
        <f>_xll.EQNXTDZ($A$1,$B8,E$1,$B$1)</f>
        <v>0</v>
      </c>
      <c r="F8">
        <f>_xll.EQNXTDZ($A$1,$B8,F$1,$B$1)</f>
        <v>0</v>
      </c>
      <c r="G8">
        <f>_xll.EQNXTDZ($A$1,$B8,G$1,$B$1)</f>
        <v>0</v>
      </c>
      <c r="H8">
        <f>_xll.EQNXTDZ($A$1,$B8,H$1,$B$1)</f>
        <v>0</v>
      </c>
      <c r="I8">
        <f>_xll.EQNXTDZ($A$1,$B8,I$1,$B$1)</f>
        <v>0</v>
      </c>
      <c r="J8">
        <f>_xll.EQNXTDZ($A$1,$B8,J$1,$B$1)</f>
        <v>0</v>
      </c>
      <c r="K8">
        <f>_xll.EQNXTDZ($A$1,$B8,K$1,$B$1)</f>
        <v>0</v>
      </c>
      <c r="L8">
        <f>_xll.EQNXTDZ($A$1,$B8,L$1,$B$1)</f>
        <v>0</v>
      </c>
      <c r="M8">
        <f>_xll.EQNXTDZ($A$1,$B8,M$1,$B$1)</f>
        <v>0</v>
      </c>
      <c r="N8">
        <f>_xll.EQNXTDZ($A$1,$B8,N$1,$B$1)</f>
        <v>0</v>
      </c>
      <c r="O8">
        <f>_xll.EQNXTDZ($A$1,$B8,O$1,$B$1)</f>
        <v>0</v>
      </c>
      <c r="P8">
        <f>_xll.EQNXTDZ($A$1,$B8,P$1,$B$1)</f>
        <v>0</v>
      </c>
      <c r="Q8">
        <f>_xll.EQNXTDZ($A$1,$B8,Q$1,$B$1)</f>
        <v>0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9616</v>
      </c>
      <c r="D9">
        <f>_xll.EQNXTDZ($A$1,$B9,D$1,$B$1)</f>
        <v>9858</v>
      </c>
      <c r="E9">
        <f>_xll.EQNXTDZ($A$1,$B9,E$1,$B$1)</f>
        <v>10424</v>
      </c>
      <c r="F9">
        <f>_xll.EQNXTDZ($A$1,$B9,F$1,$B$1)</f>
        <v>10454</v>
      </c>
      <c r="G9">
        <f>_xll.EQNXTDZ($A$1,$B9,G$1,$B$1)</f>
        <v>11267</v>
      </c>
      <c r="H9">
        <f>_xll.EQNXTDZ($A$1,$B9,H$1,$B$1)</f>
        <v>12965</v>
      </c>
      <c r="I9">
        <f>_xll.EQNXTDZ($A$1,$B9,I$1,$B$1)</f>
        <v>13026</v>
      </c>
      <c r="J9">
        <f>_xll.EQNXTDZ($A$1,$B9,J$1,$B$1)</f>
        <v>12875</v>
      </c>
      <c r="K9">
        <f>_xll.EQNXTDZ($A$1,$B9,K$1,$B$1)</f>
        <v>12770</v>
      </c>
      <c r="L9">
        <f>_xll.EQNXTDZ($A$1,$B9,L$1,$B$1)</f>
        <v>13342</v>
      </c>
      <c r="M9">
        <f>_xll.EQNXTDZ($A$1,$B9,M$1,$B$1)</f>
        <v>13796</v>
      </c>
      <c r="N9">
        <f>_xll.EQNXTDZ($A$1,$B9,N$1,$B$1)</f>
        <v>13411</v>
      </c>
      <c r="O9">
        <f>_xll.EQNXTDZ($A$1,$B9,O$1,$B$1)</f>
        <v>14354</v>
      </c>
      <c r="P9">
        <f>_xll.EQNXTDZ($A$1,$B9,P$1,$B$1)</f>
        <v>15635</v>
      </c>
      <c r="Q9">
        <f>_xll.EQNXTDZ($A$1,$B9,Q$1,$B$1)</f>
        <v>15902</v>
      </c>
      <c r="R9">
        <f>_xll.EQNXTDZ($A$1,$B9,R$1,$B$1)</f>
        <v>16550</v>
      </c>
      <c r="S9">
        <f>_xll.EQNXTDZ($A$1,$B9,S$1,$B$1)</f>
        <v>16782</v>
      </c>
      <c r="T9">
        <f>_xll.EQNXTDZ($A$1,$B9,T$1,$B$1)</f>
        <v>17310</v>
      </c>
      <c r="U9">
        <f>_xll.EQNXTDZ($A$1,$B9,U$1,$B$1)</f>
        <v>17273</v>
      </c>
      <c r="V9">
        <f>_xll.EQNXTDZ($A$1,$B9,V$1,$B$1)</f>
        <v>17120</v>
      </c>
      <c r="W9">
        <f>_xll.EQNXTDZ($A$1,$B9,W$1,$B$1)</f>
        <v>17078</v>
      </c>
      <c r="X9">
        <f>_xll.EQNXTDZ($A$1,$B9,X$1,$B$1)</f>
        <v>17567</v>
      </c>
      <c r="Y9">
        <f>_xll.EQNXTDZ($A$1,$B9,Y$1,$B$1)</f>
        <v>17794</v>
      </c>
      <c r="Z9">
        <f>_xll.EQNXTDZ($A$1,$B9,Z$1,$B$1)</f>
        <v>18083</v>
      </c>
      <c r="AA9">
        <f>_xll.EQNXTDZ($A$1,$B9,AA$1,$B$1)</f>
        <v>19128</v>
      </c>
      <c r="AB9">
        <f>_xll.EQNXTDZ($A$1,$B9,AB$1,$B$1)</f>
        <v>20609</v>
      </c>
      <c r="AC9">
        <f>_xll.EQNXTDZ($A$1,$B9,AC$1,$B$1)</f>
        <v>21400</v>
      </c>
      <c r="AD9">
        <f>_xll.EQNXTDZ($A$1,$B9,AD$1,$B$1)</f>
        <v>21539</v>
      </c>
      <c r="AE9">
        <f>_xll.EQNXTDZ($A$1,$B9,AE$1,$B$1)</f>
        <v>21803</v>
      </c>
      <c r="AF9">
        <f>_xll.EQNXTDZ($A$1,$B9,AF$1,$B$1)</f>
        <v>22629</v>
      </c>
      <c r="AG9">
        <f>_xll.EQNXTDZ($A$1,$B9,AG$1,$B$1)</f>
        <v>23092</v>
      </c>
      <c r="AH9">
        <f>_xll.EQNXTDZ($A$1,$B9,AH$1,$B$1)</f>
        <v>23267</v>
      </c>
      <c r="AI9">
        <f>_xll.EQNXTDZ($A$1,$B9,AI$1,$B$1)</f>
        <v>23665</v>
      </c>
      <c r="AJ9">
        <f>_xll.EQNXTDZ($A$1,$B9,AJ$1,$B$1)</f>
        <v>24570</v>
      </c>
      <c r="AK9">
        <f>_xll.EQNXTDZ($A$1,$B9,AK$1,$B$1)</f>
        <v>25927</v>
      </c>
      <c r="AL9">
        <f>_xll.EQNXTDZ($A$1,$B9,AL$1,$B$1)</f>
        <v>26311</v>
      </c>
      <c r="AM9">
        <f>_xll.EQNXTDZ($A$1,$B9,AM$1,$B$1)</f>
        <v>27896</v>
      </c>
      <c r="AN9">
        <f>_xll.EQNXTDZ($A$1,$B9,AN$1,$B$1)</f>
        <v>29602</v>
      </c>
      <c r="AO9">
        <f>_xll.EQNXTDZ($A$1,$B9,AO$1,$B$1)</f>
        <v>31867</v>
      </c>
      <c r="AP9">
        <f>_xll.EQNXTDZ($A$1,$B9,AP$1,$B$1)</f>
        <v>32276</v>
      </c>
      <c r="AQ9">
        <f>_xll.EQNXTDZ($A$1,$B9,AQ$1,$B$1)</f>
        <v>34470</v>
      </c>
      <c r="AR9">
        <f>_xll.EQNXTDZ($A$1,$B9,AR$1,$B$1)</f>
        <v>36538</v>
      </c>
      <c r="AS9">
        <f>_xll.EQNXTDZ($A$1,$B9,AS$1,$B$1)</f>
        <v>38318</v>
      </c>
      <c r="AT9">
        <f>_xll.EQNXTDZ($A$1,$B9,AT$1,$B$1)</f>
        <v>37441</v>
      </c>
      <c r="AU9">
        <f>_xll.EQNXTDZ($A$1,$B9,AU$1,$B$1)</f>
        <v>37933</v>
      </c>
      <c r="AV9">
        <f>_xll.EQNXTDZ($A$1,$B9,AV$1,$B$1)</f>
        <v>38994</v>
      </c>
      <c r="AW9">
        <f>_xll.EQNXTDZ($A$1,$B9,AW$1,$B$1)</f>
        <v>38821</v>
      </c>
      <c r="AX9">
        <f>_xll.EQNXTDZ($A$1,$B9,AX$1,$B$1)</f>
        <v>37923</v>
      </c>
      <c r="AY9">
        <f>_xll.EQNXTDZ($A$1,$B9,AY$1,$B$1)</f>
        <v>39315</v>
      </c>
      <c r="AZ9">
        <f>_xll.EQNXTDZ($A$1,$B9,AZ$1,$B$1)</f>
        <v>40986</v>
      </c>
      <c r="BA9">
        <f>_xll.EQNXTDZ($A$1,$B9,BA$1,$B$1)</f>
        <v>41764</v>
      </c>
      <c r="BB9">
        <f>_xll.EQNXTDZ($A$1,$B9,BB$1,$B$1)</f>
        <v>40925</v>
      </c>
      <c r="BC9">
        <f>_xll.EQNXTDZ($A$1,$B9,BC$1,$B$1)</f>
        <v>42279</v>
      </c>
      <c r="BD9">
        <f>_xll.EQNXTDZ($A$1,$B9,BD$1,$B$1)</f>
        <v>44490</v>
      </c>
      <c r="BE9">
        <f>_xll.EQNXTDZ($A$1,$B9,BE$1,$B$1)</f>
        <v>45479</v>
      </c>
      <c r="BF9">
        <f>_xll.EQNXTDZ($A$1,$B9,BF$1,$B$1)</f>
        <v>46402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0</v>
      </c>
      <c r="D10">
        <f>_xll.EQNXTDZ($A$1,$B10,D$1,$B$1)</f>
        <v>0</v>
      </c>
      <c r="E10">
        <f>_xll.EQNXTDZ($A$1,$B10,E$1,$B$1)</f>
        <v>0</v>
      </c>
      <c r="F10">
        <f>_xll.EQNXTDZ($A$1,$B10,F$1,$B$1)</f>
        <v>0</v>
      </c>
      <c r="G10">
        <f>_xll.EQNXTDZ($A$1,$B10,G$1,$B$1)</f>
        <v>0</v>
      </c>
      <c r="H10">
        <f>_xll.EQNXTDZ($A$1,$B10,H$1,$B$1)</f>
        <v>0</v>
      </c>
      <c r="I10">
        <f>_xll.EQNXTDZ($A$1,$B10,I$1,$B$1)</f>
        <v>0</v>
      </c>
      <c r="J10">
        <f>_xll.EQNXTDZ($A$1,$B10,J$1,$B$1)</f>
        <v>0</v>
      </c>
      <c r="K10">
        <f>_xll.EQNXTDZ($A$1,$B10,K$1,$B$1)</f>
        <v>0</v>
      </c>
      <c r="L10">
        <f>_xll.EQNXTDZ($A$1,$B10,L$1,$B$1)</f>
        <v>0</v>
      </c>
      <c r="M10">
        <f>_xll.EQNXTDZ($A$1,$B10,M$1,$B$1)</f>
        <v>0</v>
      </c>
      <c r="N10">
        <f>_xll.EQNXTDZ($A$1,$B10,N$1,$B$1)</f>
        <v>0</v>
      </c>
      <c r="O10">
        <f>_xll.EQNXTDZ($A$1,$B10,O$1,$B$1)</f>
        <v>0</v>
      </c>
      <c r="P10">
        <f>_xll.EQNXTDZ($A$1,$B10,P$1,$B$1)</f>
        <v>0</v>
      </c>
      <c r="Q10">
        <f>_xll.EQNXTDZ($A$1,$B10,Q$1,$B$1)</f>
        <v>0</v>
      </c>
      <c r="R10">
        <f>_xll.EQNXTDZ($A$1,$B10,R$1,$B$1)</f>
        <v>0</v>
      </c>
      <c r="S10">
        <f>_xll.EQNXTDZ($A$1,$B10,S$1,$B$1)</f>
        <v>0</v>
      </c>
      <c r="T10">
        <f>_xll.EQNXTDZ($A$1,$B10,T$1,$B$1)</f>
        <v>0</v>
      </c>
      <c r="U10">
        <f>_xll.EQNXTDZ($A$1,$B10,U$1,$B$1)</f>
        <v>0</v>
      </c>
      <c r="V10">
        <f>_xll.EQNXTDZ($A$1,$B10,V$1,$B$1)</f>
        <v>0</v>
      </c>
      <c r="W10">
        <f>_xll.EQNXTDZ($A$1,$B10,W$1,$B$1)</f>
        <v>0</v>
      </c>
      <c r="X10">
        <f>_xll.EQNXTDZ($A$1,$B10,X$1,$B$1)</f>
        <v>0</v>
      </c>
      <c r="Y10">
        <f>_xll.EQNXTDZ($A$1,$B10,Y$1,$B$1)</f>
        <v>0</v>
      </c>
      <c r="Z10">
        <f>_xll.EQNXTDZ($A$1,$B10,Z$1,$B$1)</f>
        <v>0</v>
      </c>
      <c r="AA10">
        <f>_xll.EQNXTDZ($A$1,$B10,AA$1,$B$1)</f>
        <v>0</v>
      </c>
      <c r="AB10">
        <f>_xll.EQNXTDZ($A$1,$B10,AB$1,$B$1)</f>
        <v>0</v>
      </c>
      <c r="AC10">
        <f>_xll.EQNXTDZ($A$1,$B10,AC$1,$B$1)</f>
        <v>0</v>
      </c>
      <c r="AD10">
        <f>_xll.EQNXTDZ($A$1,$B10,AD$1,$B$1)</f>
        <v>0</v>
      </c>
      <c r="AE10">
        <f>_xll.EQNXTDZ($A$1,$B10,AE$1,$B$1)</f>
        <v>0</v>
      </c>
      <c r="AF10">
        <f>_xll.EQNXTDZ($A$1,$B10,AF$1,$B$1)</f>
        <v>0</v>
      </c>
      <c r="AG10">
        <f>_xll.EQNXTDZ($A$1,$B10,AG$1,$B$1)</f>
        <v>0</v>
      </c>
      <c r="AH10">
        <f>_xll.EQNXTDZ($A$1,$B10,AH$1,$B$1)</f>
        <v>0</v>
      </c>
      <c r="AI10">
        <f>_xll.EQNXTDZ($A$1,$B10,AI$1,$B$1)</f>
        <v>0</v>
      </c>
      <c r="AJ10">
        <f>_xll.EQNXTDZ($A$1,$B10,AJ$1,$B$1)</f>
        <v>0</v>
      </c>
      <c r="AK10">
        <f>_xll.EQNXTDZ($A$1,$B10,AK$1,$B$1)</f>
        <v>0</v>
      </c>
      <c r="AL10">
        <f>_xll.EQNXTDZ($A$1,$B10,AL$1,$B$1)</f>
        <v>0</v>
      </c>
      <c r="AM10">
        <f>_xll.EQNXTDZ($A$1,$B10,AM$1,$B$1)</f>
        <v>0</v>
      </c>
      <c r="AN10">
        <f>_xll.EQNXTDZ($A$1,$B10,AN$1,$B$1)</f>
        <v>0</v>
      </c>
      <c r="AO10">
        <f>_xll.EQNXTDZ($A$1,$B10,AO$1,$B$1)</f>
        <v>0</v>
      </c>
      <c r="AP10">
        <f>_xll.EQNXTDZ($A$1,$B10,AP$1,$B$1)</f>
        <v>0</v>
      </c>
      <c r="AQ10">
        <f>_xll.EQNXTDZ($A$1,$B10,AQ$1,$B$1)</f>
        <v>0</v>
      </c>
      <c r="AR10">
        <f>_xll.EQNXTDZ($A$1,$B10,AR$1,$B$1)</f>
        <v>0</v>
      </c>
      <c r="AS10">
        <f>_xll.EQNXTDZ($A$1,$B10,AS$1,$B$1)</f>
        <v>0</v>
      </c>
      <c r="AT10">
        <f>_xll.EQNXTDZ($A$1,$B10,AT$1,$B$1)</f>
        <v>0</v>
      </c>
      <c r="AU10">
        <f>_xll.EQNXTDZ($A$1,$B10,AU$1,$B$1)</f>
        <v>0</v>
      </c>
      <c r="AV10">
        <f>_xll.EQNXTDZ($A$1,$B10,AV$1,$B$1)</f>
        <v>0</v>
      </c>
      <c r="AW10">
        <f>_xll.EQNXTDZ($A$1,$B10,AW$1,$B$1)</f>
        <v>0</v>
      </c>
      <c r="AX10">
        <f>_xll.EQNXTDZ($A$1,$B10,AX$1,$B$1)</f>
        <v>0</v>
      </c>
      <c r="AY10">
        <f>_xll.EQNXTDZ($A$1,$B10,AY$1,$B$1)</f>
        <v>0</v>
      </c>
      <c r="AZ10">
        <f>_xll.EQNXTDZ($A$1,$B10,AZ$1,$B$1)</f>
        <v>0</v>
      </c>
      <c r="BA10">
        <f>_xll.EQNXTDZ($A$1,$B10,BA$1,$B$1)</f>
        <v>0</v>
      </c>
      <c r="BB10">
        <f>_xll.EQNXTDZ($A$1,$B10,BB$1,$B$1)</f>
        <v>0</v>
      </c>
      <c r="BC10">
        <f>_xll.EQNXTDZ($A$1,$B10,BC$1,$B$1)</f>
        <v>0</v>
      </c>
      <c r="BD10">
        <f>_xll.EQNXTDZ($A$1,$B10,BD$1,$B$1)</f>
        <v>0</v>
      </c>
      <c r="BE10">
        <f>_xll.EQNXTDZ($A$1,$B10,BE$1,$B$1)</f>
        <v>0</v>
      </c>
      <c r="BF10">
        <f>_xll.EQNXTDZ($A$1,$B10,BF$1,$B$1)</f>
        <v>0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550</v>
      </c>
      <c r="D11">
        <f>_xll.EQNXTDZ($A$1,$B11,D$1,$B$1)</f>
        <v>670</v>
      </c>
      <c r="E11">
        <f>_xll.EQNXTDZ($A$1,$B11,E$1,$B$1)</f>
        <v>779</v>
      </c>
      <c r="F11">
        <f>_xll.EQNXTDZ($A$1,$B11,F$1,$B$1)</f>
        <v>737</v>
      </c>
      <c r="G11">
        <f>_xll.EQNXTDZ($A$1,$B11,G$1,$B$1)</f>
        <v>806</v>
      </c>
      <c r="H11">
        <f>_xll.EQNXTDZ($A$1,$B11,H$1,$B$1)</f>
        <v>680</v>
      </c>
      <c r="I11">
        <f>_xll.EQNXTDZ($A$1,$B11,I$1,$B$1)</f>
        <v>975</v>
      </c>
      <c r="J11">
        <f>_xll.EQNXTDZ($A$1,$B11,J$1,$B$1)</f>
        <v>846</v>
      </c>
      <c r="K11">
        <f>_xll.EQNXTDZ($A$1,$B11,K$1,$B$1)</f>
        <v>691</v>
      </c>
      <c r="L11">
        <f>_xll.EQNXTDZ($A$1,$B11,L$1,$B$1)</f>
        <v>679</v>
      </c>
      <c r="M11">
        <f>_xll.EQNXTDZ($A$1,$B11,M$1,$B$1)</f>
        <v>916</v>
      </c>
      <c r="N11">
        <f>_xll.EQNXTDZ($A$1,$B11,N$1,$B$1)</f>
        <v>855</v>
      </c>
      <c r="O11">
        <f>_xll.EQNXTDZ($A$1,$B11,O$1,$B$1)</f>
        <v>1062</v>
      </c>
      <c r="P11">
        <f>_xll.EQNXTDZ($A$1,$B11,P$1,$B$1)</f>
        <v>1212</v>
      </c>
      <c r="Q11">
        <f>_xll.EQNXTDZ($A$1,$B11,Q$1,$B$1)</f>
        <v>1276</v>
      </c>
      <c r="R11">
        <f>_xll.EQNXTDZ($A$1,$B11,R$1,$B$1)</f>
        <v>1255</v>
      </c>
      <c r="S11">
        <f>_xll.EQNXTDZ($A$1,$B11,S$1,$B$1)</f>
        <v>1193</v>
      </c>
      <c r="T11">
        <f>_xll.EQNXTDZ($A$1,$B11,T$1,$B$1)</f>
        <v>1321</v>
      </c>
      <c r="U11">
        <f>_xll.EQNXTDZ($A$1,$B11,U$1,$B$1)</f>
        <v>1436</v>
      </c>
      <c r="V11">
        <f>_xll.EQNXTDZ($A$1,$B11,V$1,$B$1)</f>
        <v>1478</v>
      </c>
      <c r="W11">
        <f>_xll.EQNXTDZ($A$1,$B11,W$1,$B$1)</f>
        <v>1501</v>
      </c>
      <c r="X11">
        <f>_xll.EQNXTDZ($A$1,$B11,X$1,$B$1)</f>
        <v>1581</v>
      </c>
      <c r="Y11">
        <f>_xll.EQNXTDZ($A$1,$B11,Y$1,$B$1)</f>
        <v>1513</v>
      </c>
      <c r="Z11">
        <f>_xll.EQNXTDZ($A$1,$B11,Z$1,$B$1)</f>
        <v>1573</v>
      </c>
      <c r="AA11">
        <f>_xll.EQNXTDZ($A$1,$B11,AA$1,$B$1)</f>
        <v>1836</v>
      </c>
      <c r="AB11">
        <f>_xll.EQNXTDZ($A$1,$B11,AB$1,$B$1)</f>
        <v>2129</v>
      </c>
      <c r="AC11">
        <f>_xll.EQNXTDZ($A$1,$B11,AC$1,$B$1)</f>
        <v>2330</v>
      </c>
      <c r="AD11">
        <f>_xll.EQNXTDZ($A$1,$B11,AD$1,$B$1)</f>
        <v>2290</v>
      </c>
      <c r="AE11">
        <f>_xll.EQNXTDZ($A$1,$B11,AE$1,$B$1)</f>
        <v>2257</v>
      </c>
      <c r="AF11">
        <f>_xll.EQNXTDZ($A$1,$B11,AF$1,$B$1)</f>
        <v>2331</v>
      </c>
      <c r="AG11">
        <f>_xll.EQNXTDZ($A$1,$B11,AG$1,$B$1)</f>
        <v>2372</v>
      </c>
      <c r="AH11">
        <f>_xll.EQNXTDZ($A$1,$B11,AH$1,$B$1)</f>
        <v>2459</v>
      </c>
      <c r="AI11">
        <f>_xll.EQNXTDZ($A$1,$B11,AI$1,$B$1)</f>
        <v>2519</v>
      </c>
      <c r="AJ11">
        <f>_xll.EQNXTDZ($A$1,$B11,AJ$1,$B$1)</f>
        <v>2742</v>
      </c>
      <c r="AK11">
        <f>_xll.EQNXTDZ($A$1,$B11,AK$1,$B$1)</f>
        <v>2989</v>
      </c>
      <c r="AL11">
        <f>_xll.EQNXTDZ($A$1,$B11,AL$1,$B$1)</f>
        <v>3057</v>
      </c>
      <c r="AM11">
        <f>_xll.EQNXTDZ($A$1,$B11,AM$1,$B$1)</f>
        <v>3743</v>
      </c>
      <c r="AN11">
        <f>_xll.EQNXTDZ($A$1,$B11,AN$1,$B$1)</f>
        <v>4447</v>
      </c>
      <c r="AO11">
        <f>_xll.EQNXTDZ($A$1,$B11,AO$1,$B$1)</f>
        <v>5372</v>
      </c>
      <c r="AP11">
        <f>_xll.EQNXTDZ($A$1,$B11,AP$1,$B$1)</f>
        <v>5856</v>
      </c>
      <c r="AQ11">
        <f>_xll.EQNXTDZ($A$1,$B11,AQ$1,$B$1)</f>
        <v>6329</v>
      </c>
      <c r="AR11">
        <f>_xll.EQNXTDZ($A$1,$B11,AR$1,$B$1)</f>
        <v>6206</v>
      </c>
      <c r="AS11">
        <f>_xll.EQNXTDZ($A$1,$B11,AS$1,$B$1)</f>
        <v>6428</v>
      </c>
      <c r="AT11">
        <f>_xll.EQNXTDZ($A$1,$B11,AT$1,$B$1)</f>
        <v>6002</v>
      </c>
      <c r="AU11">
        <f>_xll.EQNXTDZ($A$1,$B11,AU$1,$B$1)</f>
        <v>5844</v>
      </c>
      <c r="AV11">
        <f>_xll.EQNXTDZ($A$1,$B11,AV$1,$B$1)</f>
        <v>6461</v>
      </c>
      <c r="AW11">
        <f>_xll.EQNXTDZ($A$1,$B11,AW$1,$B$1)</f>
        <v>6788</v>
      </c>
      <c r="AX11">
        <f>_xll.EQNXTDZ($A$1,$B11,AX$1,$B$1)</f>
        <v>6654</v>
      </c>
      <c r="AY11">
        <f>_xll.EQNXTDZ($A$1,$B11,AY$1,$B$1)</f>
        <v>6624</v>
      </c>
      <c r="AZ11">
        <f>_xll.EQNXTDZ($A$1,$B11,AZ$1,$B$1)</f>
        <v>7139</v>
      </c>
      <c r="BA11">
        <f>_xll.EQNXTDZ($A$1,$B11,BA$1,$B$1)</f>
        <v>7909</v>
      </c>
      <c r="BB11">
        <f>_xll.EQNXTDZ($A$1,$B11,BB$1,$B$1)</f>
        <v>7175</v>
      </c>
      <c r="BC11">
        <f>_xll.EQNXTDZ($A$1,$B11,BC$1,$B$1)</f>
        <v>7243</v>
      </c>
      <c r="BD11">
        <f>_xll.EQNXTDZ($A$1,$B11,BD$1,$B$1)</f>
        <v>7904</v>
      </c>
      <c r="BE11">
        <f>_xll.EQNXTDZ($A$1,$B11,BE$1,$B$1)</f>
        <v>8074</v>
      </c>
      <c r="BF11">
        <f>_xll.EQNXTDZ($A$1,$B11,BF$1,$B$1)</f>
        <v>7921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</v>
      </c>
      <c r="J12">
        <f>_xll.EQNXTDZ($A$1,$B12,J$1,$B$1)</f>
        <v>0</v>
      </c>
      <c r="K12">
        <f>_xll.EQNXTDZ($A$1,$B12,K$1,$B$1)</f>
        <v>0</v>
      </c>
      <c r="L12">
        <f>_xll.EQNXTDZ($A$1,$B12,L$1,$B$1)</f>
        <v>0</v>
      </c>
      <c r="M12">
        <f>_xll.EQNXTDZ($A$1,$B12,M$1,$B$1)</f>
        <v>0</v>
      </c>
      <c r="N12">
        <f>_xll.EQNXTDZ($A$1,$B12,N$1,$B$1)</f>
        <v>0</v>
      </c>
      <c r="O12">
        <f>_xll.EQNXTDZ($A$1,$B12,O$1,$B$1)</f>
        <v>0</v>
      </c>
      <c r="P12">
        <f>_xll.EQNXTDZ($A$1,$B12,P$1,$B$1)</f>
        <v>0</v>
      </c>
      <c r="Q12">
        <f>_xll.EQNXTDZ($A$1,$B12,Q$1,$B$1)</f>
        <v>0</v>
      </c>
      <c r="R12">
        <f>_xll.EQNXTDZ($A$1,$B12,R$1,$B$1)</f>
        <v>0</v>
      </c>
      <c r="S12">
        <f>_xll.EQNXTDZ($A$1,$B12,S$1,$B$1)</f>
        <v>0</v>
      </c>
      <c r="T12">
        <f>_xll.EQNXTDZ($A$1,$B12,T$1,$B$1)</f>
        <v>0</v>
      </c>
      <c r="U12">
        <f>_xll.EQNXTDZ($A$1,$B12,U$1,$B$1)</f>
        <v>0</v>
      </c>
      <c r="V12">
        <f>_xll.EQNXTDZ($A$1,$B12,V$1,$B$1)</f>
        <v>0</v>
      </c>
      <c r="W12">
        <f>_xll.EQNXTDZ($A$1,$B12,W$1,$B$1)</f>
        <v>0</v>
      </c>
      <c r="X12">
        <f>_xll.EQNXTDZ($A$1,$B12,X$1,$B$1)</f>
        <v>0</v>
      </c>
      <c r="Y12">
        <f>_xll.EQNXTDZ($A$1,$B12,Y$1,$B$1)</f>
        <v>0</v>
      </c>
      <c r="Z12">
        <f>_xll.EQNXTDZ($A$1,$B12,Z$1,$B$1)</f>
        <v>0</v>
      </c>
      <c r="AA12">
        <f>_xll.EQNXTDZ($A$1,$B12,AA$1,$B$1)</f>
        <v>0</v>
      </c>
      <c r="AB12">
        <f>_xll.EQNXTDZ($A$1,$B12,AB$1,$B$1)</f>
        <v>0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  <c r="AH12">
        <f>_xll.EQNXTDZ($A$1,$B12,AH$1,$B$1)</f>
        <v>0</v>
      </c>
      <c r="AI12">
        <f>_xll.EQNXTDZ($A$1,$B12,AI$1,$B$1)</f>
        <v>0</v>
      </c>
      <c r="AJ12">
        <f>_xll.EQNXTDZ($A$1,$B12,AJ$1,$B$1)</f>
        <v>0</v>
      </c>
      <c r="AK12">
        <f>_xll.EQNXTDZ($A$1,$B12,AK$1,$B$1)</f>
        <v>0</v>
      </c>
      <c r="AL12">
        <f>_xll.EQNXTDZ($A$1,$B12,AL$1,$B$1)</f>
        <v>0</v>
      </c>
      <c r="AM12">
        <f>_xll.EQNXTDZ($A$1,$B12,AM$1,$B$1)</f>
        <v>0</v>
      </c>
      <c r="AN12">
        <f>_xll.EQNXTDZ($A$1,$B12,AN$1,$B$1)</f>
        <v>0</v>
      </c>
      <c r="AO12">
        <f>_xll.EQNXTDZ($A$1,$B12,AO$1,$B$1)</f>
        <v>0</v>
      </c>
      <c r="AP12">
        <f>_xll.EQNXTDZ($A$1,$B12,AP$1,$B$1)</f>
        <v>0</v>
      </c>
      <c r="AQ12">
        <f>_xll.EQNXTDZ($A$1,$B12,AQ$1,$B$1)</f>
        <v>0</v>
      </c>
      <c r="AR12">
        <f>_xll.EQNXTDZ($A$1,$B12,AR$1,$B$1)</f>
        <v>0</v>
      </c>
      <c r="AS12">
        <f>_xll.EQNXTDZ($A$1,$B12,AS$1,$B$1)</f>
        <v>0</v>
      </c>
      <c r="AT12">
        <f>_xll.EQNXTDZ($A$1,$B12,AT$1,$B$1)</f>
        <v>0</v>
      </c>
      <c r="AU12">
        <f>_xll.EQNXTDZ($A$1,$B12,AU$1,$B$1)</f>
        <v>0</v>
      </c>
      <c r="AV12">
        <f>_xll.EQNXTDZ($A$1,$B12,AV$1,$B$1)</f>
        <v>0</v>
      </c>
      <c r="AW12">
        <f>_xll.EQNXTDZ($A$1,$B12,AW$1,$B$1)</f>
        <v>0</v>
      </c>
      <c r="AX12">
        <f>_xll.EQNXTDZ($A$1,$B12,AX$1,$B$1)</f>
        <v>0</v>
      </c>
      <c r="AY12">
        <f>_xll.EQNXTDZ($A$1,$B12,AY$1,$B$1)</f>
        <v>0</v>
      </c>
      <c r="AZ12">
        <f>_xll.EQNXTDZ($A$1,$B12,AZ$1,$B$1)</f>
        <v>0</v>
      </c>
      <c r="BA12">
        <f>_xll.EQNXTDZ($A$1,$B12,BA$1,$B$1)</f>
        <v>0</v>
      </c>
      <c r="BB12">
        <f>_xll.EQNXTDZ($A$1,$B12,BB$1,$B$1)</f>
        <v>0</v>
      </c>
      <c r="BC12">
        <f>_xll.EQNXTDZ($A$1,$B12,BC$1,$B$1)</f>
        <v>0</v>
      </c>
      <c r="BD12">
        <f>_xll.EQNXTDZ($A$1,$B12,BD$1,$B$1)</f>
        <v>0</v>
      </c>
      <c r="BE12">
        <f>_xll.EQNXTDZ($A$1,$B12,BE$1,$B$1)</f>
        <v>0</v>
      </c>
      <c r="BF12">
        <f>_xll.EQNXTDZ($A$1,$B12,BF$1,$B$1)</f>
        <v>0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</v>
      </c>
      <c r="S13">
        <f>_xll.EQNXTDZ($A$1,$B13,S$1,$B$1)</f>
        <v>0</v>
      </c>
      <c r="T13">
        <f>_xll.EQNXTDZ($A$1,$B13,T$1,$B$1)</f>
        <v>0</v>
      </c>
      <c r="U13">
        <f>_xll.EQNXTDZ($A$1,$B13,U$1,$B$1)</f>
        <v>0</v>
      </c>
      <c r="V13">
        <f>_xll.EQNXTDZ($A$1,$B13,V$1,$B$1)</f>
        <v>0</v>
      </c>
      <c r="W13">
        <f>_xll.EQNXTDZ($A$1,$B13,W$1,$B$1)</f>
        <v>0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0</v>
      </c>
      <c r="D14">
        <f>_xll.EQNXTDZ($A$1,$B14,D$1,$B$1)</f>
        <v>0</v>
      </c>
      <c r="E14">
        <f>_xll.EQNXTDZ($A$1,$B14,E$1,$B$1)</f>
        <v>0</v>
      </c>
      <c r="F14">
        <f>_xll.EQNXTDZ($A$1,$B14,F$1,$B$1)</f>
        <v>0</v>
      </c>
      <c r="G14">
        <f>_xll.EQNXTDZ($A$1,$B14,G$1,$B$1)</f>
        <v>0</v>
      </c>
      <c r="H14">
        <f>_xll.EQNXTDZ($A$1,$B14,H$1,$B$1)</f>
        <v>0</v>
      </c>
      <c r="I14">
        <f>_xll.EQNXTDZ($A$1,$B14,I$1,$B$1)</f>
        <v>0</v>
      </c>
      <c r="J14">
        <f>_xll.EQNXTDZ($A$1,$B14,J$1,$B$1)</f>
        <v>0</v>
      </c>
      <c r="K14">
        <f>_xll.EQNXTDZ($A$1,$B14,K$1,$B$1)</f>
        <v>0</v>
      </c>
      <c r="L14">
        <f>_xll.EQNXTDZ($A$1,$B14,L$1,$B$1)</f>
        <v>0</v>
      </c>
      <c r="M14">
        <f>_xll.EQNXTDZ($A$1,$B14,M$1,$B$1)</f>
        <v>0</v>
      </c>
      <c r="N14">
        <f>_xll.EQNXTDZ($A$1,$B14,N$1,$B$1)</f>
        <v>0</v>
      </c>
      <c r="O14">
        <f>_xll.EQNXTDZ($A$1,$B14,O$1,$B$1)</f>
        <v>582</v>
      </c>
      <c r="P14">
        <f>_xll.EQNXTDZ($A$1,$B14,P$1,$B$1)</f>
        <v>573</v>
      </c>
      <c r="Q14">
        <f>_xll.EQNXTDZ($A$1,$B14,Q$1,$B$1)</f>
        <v>649</v>
      </c>
      <c r="R14">
        <f>_xll.EQNXTDZ($A$1,$B14,R$1,$B$1)</f>
        <v>707</v>
      </c>
      <c r="S14">
        <f>_xll.EQNXTDZ($A$1,$B14,S$1,$B$1)</f>
        <v>825</v>
      </c>
      <c r="T14">
        <f>_xll.EQNXTDZ($A$1,$B14,T$1,$B$1)</f>
        <v>787</v>
      </c>
      <c r="U14">
        <f>_xll.EQNXTDZ($A$1,$B14,U$1,$B$1)</f>
        <v>838</v>
      </c>
      <c r="V14">
        <f>_xll.EQNXTDZ($A$1,$B14,V$1,$B$1)</f>
        <v>823</v>
      </c>
      <c r="W14">
        <f>_xll.EQNXTDZ($A$1,$B14,W$1,$B$1)</f>
        <v>752</v>
      </c>
      <c r="X14">
        <f>_xll.EQNXTDZ($A$1,$B14,X$1,$B$1)</f>
        <v>800</v>
      </c>
      <c r="Y14">
        <f>_xll.EQNXTDZ($A$1,$B14,Y$1,$B$1)</f>
        <v>741</v>
      </c>
      <c r="Z14">
        <f>_xll.EQNXTDZ($A$1,$B14,Z$1,$B$1)</f>
        <v>752</v>
      </c>
      <c r="AA14">
        <f>_xll.EQNXTDZ($A$1,$B14,AA$1,$B$1)</f>
        <v>827</v>
      </c>
      <c r="AB14">
        <f>_xll.EQNXTDZ($A$1,$B14,AB$1,$B$1)</f>
        <v>953</v>
      </c>
      <c r="AC14">
        <f>_xll.EQNXTDZ($A$1,$B14,AC$1,$B$1)</f>
        <v>946</v>
      </c>
      <c r="AD14">
        <f>_xll.EQNXTDZ($A$1,$B14,AD$1,$B$1)</f>
        <v>932</v>
      </c>
      <c r="AE14">
        <f>_xll.EQNXTDZ($A$1,$B14,AE$1,$B$1)</f>
        <v>847</v>
      </c>
      <c r="AF14">
        <f>_xll.EQNXTDZ($A$1,$B14,AF$1,$B$1)</f>
        <v>915</v>
      </c>
      <c r="AG14">
        <f>_xll.EQNXTDZ($A$1,$B14,AG$1,$B$1)</f>
        <v>814</v>
      </c>
      <c r="AH14">
        <f>_xll.EQNXTDZ($A$1,$B14,AH$1,$B$1)</f>
        <v>1071</v>
      </c>
      <c r="AI14">
        <f>_xll.EQNXTDZ($A$1,$B14,AI$1,$B$1)</f>
        <v>880</v>
      </c>
      <c r="AJ14">
        <f>_xll.EQNXTDZ($A$1,$B14,AJ$1,$B$1)</f>
        <v>746</v>
      </c>
      <c r="AK14">
        <f>_xll.EQNXTDZ($A$1,$B14,AK$1,$B$1)</f>
        <v>818</v>
      </c>
      <c r="AL14">
        <f>_xll.EQNXTDZ($A$1,$B14,AL$1,$B$1)</f>
        <v>841</v>
      </c>
      <c r="AM14">
        <f>_xll.EQNXTDZ($A$1,$B14,AM$1,$B$1)</f>
        <v>815</v>
      </c>
      <c r="AN14">
        <f>_xll.EQNXTDZ($A$1,$B14,AN$1,$B$1)</f>
        <v>823</v>
      </c>
      <c r="AO14">
        <f>_xll.EQNXTDZ($A$1,$B14,AO$1,$B$1)</f>
        <v>869</v>
      </c>
      <c r="AP14">
        <f>_xll.EQNXTDZ($A$1,$B14,AP$1,$B$1)</f>
        <v>916</v>
      </c>
      <c r="AQ14">
        <f>_xll.EQNXTDZ($A$1,$B14,AQ$1,$B$1)</f>
        <v>938</v>
      </c>
      <c r="AR14">
        <f>_xll.EQNXTDZ($A$1,$B14,AR$1,$B$1)</f>
        <v>1001</v>
      </c>
      <c r="AS14">
        <f>_xll.EQNXTDZ($A$1,$B14,AS$1,$B$1)</f>
        <v>1307</v>
      </c>
      <c r="AT14">
        <f>_xll.EQNXTDZ($A$1,$B14,AT$1,$B$1)</f>
        <v>1146</v>
      </c>
      <c r="AU14">
        <f>_xll.EQNXTDZ($A$1,$B14,AU$1,$B$1)</f>
        <v>1254</v>
      </c>
      <c r="AV14">
        <f>_xll.EQNXTDZ($A$1,$B14,AV$1,$B$1)</f>
        <v>1292</v>
      </c>
      <c r="AW14">
        <f>_xll.EQNXTDZ($A$1,$B14,AW$1,$B$1)</f>
        <v>1185</v>
      </c>
      <c r="AX14">
        <f>_xll.EQNXTDZ($A$1,$B14,AX$1,$B$1)</f>
        <v>985</v>
      </c>
      <c r="AY14">
        <f>_xll.EQNXTDZ($A$1,$B14,AY$1,$B$1)</f>
        <v>1250</v>
      </c>
      <c r="AZ14">
        <f>_xll.EQNXTDZ($A$1,$B14,AZ$1,$B$1)</f>
        <v>1396</v>
      </c>
      <c r="BA14">
        <f>_xll.EQNXTDZ($A$1,$B14,BA$1,$B$1)</f>
        <v>1249</v>
      </c>
      <c r="BB14">
        <f>_xll.EQNXTDZ($A$1,$B14,BB$1,$B$1)</f>
        <v>893</v>
      </c>
      <c r="BC14">
        <f>_xll.EQNXTDZ($A$1,$B14,BC$1,$B$1)</f>
        <v>1122</v>
      </c>
      <c r="BD14">
        <f>_xll.EQNXTDZ($A$1,$B14,BD$1,$B$1)</f>
        <v>1434</v>
      </c>
      <c r="BE14">
        <f>_xll.EQNXTDZ($A$1,$B14,BE$1,$B$1)</f>
        <v>1494</v>
      </c>
      <c r="BF14">
        <f>_xll.EQNXTDZ($A$1,$B14,BF$1,$B$1)</f>
        <v>1292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5260</v>
      </c>
      <c r="D16">
        <f>_xll.EQNXTDZ($A$1,$B16,D$1,$B$1)</f>
        <v>5432</v>
      </c>
      <c r="E16">
        <f>_xll.EQNXTDZ($A$1,$B16,E$1,$B$1)</f>
        <v>5787</v>
      </c>
      <c r="F16">
        <f>_xll.EQNXTDZ($A$1,$B16,F$1,$B$1)</f>
        <v>6065</v>
      </c>
      <c r="G16">
        <f>_xll.EQNXTDZ($A$1,$B16,G$1,$B$1)</f>
        <v>6513</v>
      </c>
      <c r="H16">
        <f>_xll.EQNXTDZ($A$1,$B16,H$1,$B$1)</f>
        <v>7704</v>
      </c>
      <c r="I16">
        <f>_xll.EQNXTDZ($A$1,$B16,I$1,$B$1)</f>
        <v>7346</v>
      </c>
      <c r="J16">
        <f>_xll.EQNXTDZ($A$1,$B16,J$1,$B$1)</f>
        <v>7271</v>
      </c>
      <c r="K16">
        <f>_xll.EQNXTDZ($A$1,$B16,K$1,$B$1)</f>
        <v>7355</v>
      </c>
      <c r="L16">
        <f>_xll.EQNXTDZ($A$1,$B16,L$1,$B$1)</f>
        <v>7522</v>
      </c>
      <c r="M16">
        <f>_xll.EQNXTDZ($A$1,$B16,M$1,$B$1)</f>
        <v>7546</v>
      </c>
      <c r="N16">
        <f>_xll.EQNXTDZ($A$1,$B16,N$1,$B$1)</f>
        <v>7319</v>
      </c>
      <c r="O16">
        <f>_xll.EQNXTDZ($A$1,$B16,O$1,$B$1)</f>
        <v>8053</v>
      </c>
      <c r="P16">
        <f>_xll.EQNXTDZ($A$1,$B16,P$1,$B$1)</f>
        <v>8558</v>
      </c>
      <c r="Q16">
        <f>_xll.EQNXTDZ($A$1,$B16,Q$1,$B$1)</f>
        <v>8772</v>
      </c>
      <c r="R16">
        <f>_xll.EQNXTDZ($A$1,$B16,R$1,$B$1)</f>
        <v>9024</v>
      </c>
      <c r="S16">
        <f>_xll.EQNXTDZ($A$1,$B16,S$1,$B$1)</f>
        <v>9282</v>
      </c>
      <c r="T16">
        <f>_xll.EQNXTDZ($A$1,$B16,T$1,$B$1)</f>
        <v>9648</v>
      </c>
      <c r="U16">
        <f>_xll.EQNXTDZ($A$1,$B16,U$1,$B$1)</f>
        <v>9420</v>
      </c>
      <c r="V16">
        <f>_xll.EQNXTDZ($A$1,$B16,V$1,$B$1)</f>
        <v>9309</v>
      </c>
      <c r="W16">
        <f>_xll.EQNXTDZ($A$1,$B16,W$1,$B$1)</f>
        <v>9366</v>
      </c>
      <c r="X16">
        <f>_xll.EQNXTDZ($A$1,$B16,X$1,$B$1)</f>
        <v>9604</v>
      </c>
      <c r="Y16">
        <f>_xll.EQNXTDZ($A$1,$B16,Y$1,$B$1)</f>
        <v>9869</v>
      </c>
      <c r="Z16">
        <f>_xll.EQNXTDZ($A$1,$B16,Z$1,$B$1)</f>
        <v>10054</v>
      </c>
      <c r="AA16">
        <f>_xll.EQNXTDZ($A$1,$B16,AA$1,$B$1)</f>
        <v>10462</v>
      </c>
      <c r="AB16">
        <f>_xll.EQNXTDZ($A$1,$B16,AB$1,$B$1)</f>
        <v>11158</v>
      </c>
      <c r="AC16">
        <f>_xll.EQNXTDZ($A$1,$B16,AC$1,$B$1)</f>
        <v>11622</v>
      </c>
      <c r="AD16">
        <f>_xll.EQNXTDZ($A$1,$B16,AD$1,$B$1)</f>
        <v>12074</v>
      </c>
      <c r="AE16">
        <f>_xll.EQNXTDZ($A$1,$B16,AE$1,$B$1)</f>
        <v>12302</v>
      </c>
      <c r="AF16">
        <f>_xll.EQNXTDZ($A$1,$B16,AF$1,$B$1)</f>
        <v>12675</v>
      </c>
      <c r="AG16">
        <f>_xll.EQNXTDZ($A$1,$B16,AG$1,$B$1)</f>
        <v>12994</v>
      </c>
      <c r="AH16">
        <f>_xll.EQNXTDZ($A$1,$B16,AH$1,$B$1)</f>
        <v>12916</v>
      </c>
      <c r="AI16">
        <f>_xll.EQNXTDZ($A$1,$B16,AI$1,$B$1)</f>
        <v>13604</v>
      </c>
      <c r="AJ16">
        <f>_xll.EQNXTDZ($A$1,$B16,AJ$1,$B$1)</f>
        <v>13400</v>
      </c>
      <c r="AK16">
        <f>_xll.EQNXTDZ($A$1,$B16,AK$1,$B$1)</f>
        <v>14097</v>
      </c>
      <c r="AL16">
        <f>_xll.EQNXTDZ($A$1,$B16,AL$1,$B$1)</f>
        <v>14440</v>
      </c>
      <c r="AM16">
        <f>_xll.EQNXTDZ($A$1,$B16,AM$1,$B$1)</f>
        <v>15230</v>
      </c>
      <c r="AN16">
        <f>_xll.EQNXTDZ($A$1,$B16,AN$1,$B$1)</f>
        <v>15743</v>
      </c>
      <c r="AO16">
        <f>_xll.EQNXTDZ($A$1,$B16,AO$1,$B$1)</f>
        <v>16355</v>
      </c>
      <c r="AP16">
        <f>_xll.EQNXTDZ($A$1,$B16,AP$1,$B$1)</f>
        <v>16658</v>
      </c>
      <c r="AQ16">
        <f>_xll.EQNXTDZ($A$1,$B16,AQ$1,$B$1)</f>
        <v>18337</v>
      </c>
      <c r="AR16">
        <f>_xll.EQNXTDZ($A$1,$B16,AR$1,$B$1)</f>
        <v>19438</v>
      </c>
      <c r="AS16">
        <f>_xll.EQNXTDZ($A$1,$B16,AS$1,$B$1)</f>
        <v>20272</v>
      </c>
      <c r="AT16">
        <f>_xll.EQNXTDZ($A$1,$B16,AT$1,$B$1)</f>
        <v>20311</v>
      </c>
      <c r="AU16">
        <f>_xll.EQNXTDZ($A$1,$B16,AU$1,$B$1)</f>
        <v>20781</v>
      </c>
      <c r="AV16">
        <f>_xll.EQNXTDZ($A$1,$B16,AV$1,$B$1)</f>
        <v>20796</v>
      </c>
      <c r="AW16">
        <f>_xll.EQNXTDZ($A$1,$B16,AW$1,$B$1)</f>
        <v>20651</v>
      </c>
      <c r="AX16">
        <f>_xll.EQNXTDZ($A$1,$B16,AX$1,$B$1)</f>
        <v>20393</v>
      </c>
      <c r="AY16">
        <f>_xll.EQNXTDZ($A$1,$B16,AY$1,$B$1)</f>
        <v>20934</v>
      </c>
      <c r="AZ16">
        <f>_xll.EQNXTDZ($A$1,$B16,AZ$1,$B$1)</f>
        <v>21564</v>
      </c>
      <c r="BA16">
        <f>_xll.EQNXTDZ($A$1,$B16,BA$1,$B$1)</f>
        <v>21436</v>
      </c>
      <c r="BB16">
        <f>_xll.EQNXTDZ($A$1,$B16,BB$1,$B$1)</f>
        <v>22015</v>
      </c>
      <c r="BC16">
        <f>_xll.EQNXTDZ($A$1,$B16,BC$1,$B$1)</f>
        <v>22847</v>
      </c>
      <c r="BD16">
        <f>_xll.EQNXTDZ($A$1,$B16,BD$1,$B$1)</f>
        <v>23438</v>
      </c>
      <c r="BE16">
        <f>_xll.EQNXTDZ($A$1,$B16,BE$1,$B$1)</f>
        <v>24122</v>
      </c>
      <c r="BF16">
        <f>_xll.EQNXTDZ($A$1,$B16,BF$1,$B$1)</f>
        <v>24688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644</v>
      </c>
      <c r="D17">
        <f>_xll.EQNXTDZ($A$1,$B17,D$1,$B$1)</f>
        <v>653</v>
      </c>
      <c r="E17">
        <f>_xll.EQNXTDZ($A$1,$B17,E$1,$B$1)</f>
        <v>640</v>
      </c>
      <c r="F17">
        <f>_xll.EQNXTDZ($A$1,$B17,F$1,$B$1)</f>
        <v>672</v>
      </c>
      <c r="G17">
        <f>_xll.EQNXTDZ($A$1,$B17,G$1,$B$1)</f>
        <v>700</v>
      </c>
      <c r="H17">
        <f>_xll.EQNXTDZ($A$1,$B17,H$1,$B$1)</f>
        <v>987</v>
      </c>
      <c r="I17">
        <f>_xll.EQNXTDZ($A$1,$B17,I$1,$B$1)</f>
        <v>802</v>
      </c>
      <c r="J17">
        <f>_xll.EQNXTDZ($A$1,$B17,J$1,$B$1)</f>
        <v>837</v>
      </c>
      <c r="K17">
        <f>_xll.EQNXTDZ($A$1,$B17,K$1,$B$1)</f>
        <v>847</v>
      </c>
      <c r="L17">
        <f>_xll.EQNXTDZ($A$1,$B17,L$1,$B$1)</f>
        <v>889</v>
      </c>
      <c r="M17">
        <f>_xll.EQNXTDZ($A$1,$B17,M$1,$B$1)</f>
        <v>875</v>
      </c>
      <c r="N17">
        <f>_xll.EQNXTDZ($A$1,$B17,N$1,$B$1)</f>
        <v>1052</v>
      </c>
      <c r="O17">
        <f>_xll.EQNXTDZ($A$1,$B17,O$1,$B$1)</f>
        <v>281</v>
      </c>
      <c r="P17">
        <f>_xll.EQNXTDZ($A$1,$B17,P$1,$B$1)</f>
        <v>295</v>
      </c>
      <c r="Q17">
        <f>_xll.EQNXTDZ($A$1,$B17,Q$1,$B$1)</f>
        <v>322</v>
      </c>
      <c r="R17">
        <f>_xll.EQNXTDZ($A$1,$B17,R$1,$B$1)</f>
        <v>330</v>
      </c>
      <c r="S17">
        <f>_xll.EQNXTDZ($A$1,$B17,S$1,$B$1)</f>
        <v>295</v>
      </c>
      <c r="T17">
        <f>_xll.EQNXTDZ($A$1,$B17,T$1,$B$1)</f>
        <v>301</v>
      </c>
      <c r="U17">
        <f>_xll.EQNXTDZ($A$1,$B17,U$1,$B$1)</f>
        <v>310</v>
      </c>
      <c r="V17">
        <f>_xll.EQNXTDZ($A$1,$B17,V$1,$B$1)</f>
        <v>378</v>
      </c>
      <c r="W17">
        <f>_xll.EQNXTDZ($A$1,$B17,W$1,$B$1)</f>
        <v>371</v>
      </c>
      <c r="X17">
        <f>_xll.EQNXTDZ($A$1,$B17,X$1,$B$1)</f>
        <v>400</v>
      </c>
      <c r="Y17">
        <f>_xll.EQNXTDZ($A$1,$B17,Y$1,$B$1)</f>
        <v>358</v>
      </c>
      <c r="Z17">
        <f>_xll.EQNXTDZ($A$1,$B17,Z$1,$B$1)</f>
        <v>282</v>
      </c>
      <c r="AA17">
        <f>_xll.EQNXTDZ($A$1,$B17,AA$1,$B$1)</f>
        <v>427</v>
      </c>
      <c r="AB17">
        <f>_xll.EQNXTDZ($A$1,$B17,AB$1,$B$1)</f>
        <v>410</v>
      </c>
      <c r="AC17">
        <f>_xll.EQNXTDZ($A$1,$B17,AC$1,$B$1)</f>
        <v>467</v>
      </c>
      <c r="AD17">
        <f>_xll.EQNXTDZ($A$1,$B17,AD$1,$B$1)</f>
        <v>491</v>
      </c>
      <c r="AE17">
        <f>_xll.EQNXTDZ($A$1,$B17,AE$1,$B$1)</f>
        <v>418</v>
      </c>
      <c r="AF17">
        <f>_xll.EQNXTDZ($A$1,$B17,AF$1,$B$1)</f>
        <v>470</v>
      </c>
      <c r="AG17">
        <f>_xll.EQNXTDZ($A$1,$B17,AG$1,$B$1)</f>
        <v>494</v>
      </c>
      <c r="AH17">
        <f>_xll.EQNXTDZ($A$1,$B17,AH$1,$B$1)</f>
        <v>478</v>
      </c>
      <c r="AI17">
        <f>_xll.EQNXTDZ($A$1,$B17,AI$1,$B$1)</f>
        <v>425</v>
      </c>
      <c r="AJ17">
        <f>_xll.EQNXTDZ($A$1,$B17,AJ$1,$B$1)</f>
        <v>448</v>
      </c>
      <c r="AK17">
        <f>_xll.EQNXTDZ($A$1,$B17,AK$1,$B$1)</f>
        <v>482</v>
      </c>
      <c r="AL17">
        <f>_xll.EQNXTDZ($A$1,$B17,AL$1,$B$1)</f>
        <v>541</v>
      </c>
      <c r="AM17">
        <f>_xll.EQNXTDZ($A$1,$B17,AM$1,$B$1)</f>
        <v>543</v>
      </c>
      <c r="AN17">
        <f>_xll.EQNXTDZ($A$1,$B17,AN$1,$B$1)</f>
        <v>595</v>
      </c>
      <c r="AO17">
        <f>_xll.EQNXTDZ($A$1,$B17,AO$1,$B$1)</f>
        <v>667</v>
      </c>
      <c r="AP17">
        <f>_xll.EQNXTDZ($A$1,$B17,AP$1,$B$1)</f>
        <v>691</v>
      </c>
      <c r="AQ17">
        <f>_xll.EQNXTDZ($A$1,$B17,AQ$1,$B$1)</f>
        <v>626</v>
      </c>
      <c r="AR17">
        <f>_xll.EQNXTDZ($A$1,$B17,AR$1,$B$1)</f>
        <v>628</v>
      </c>
      <c r="AS17">
        <f>_xll.EQNXTDZ($A$1,$B17,AS$1,$B$1)</f>
        <v>584</v>
      </c>
      <c r="AT17">
        <f>_xll.EQNXTDZ($A$1,$B17,AT$1,$B$1)</f>
        <v>558</v>
      </c>
      <c r="AU17">
        <f>_xll.EQNXTDZ($A$1,$B17,AU$1,$B$1)</f>
        <v>528</v>
      </c>
      <c r="AV17">
        <f>_xll.EQNXTDZ($A$1,$B17,AV$1,$B$1)</f>
        <v>566</v>
      </c>
      <c r="AW17">
        <f>_xll.EQNXTDZ($A$1,$B17,AW$1,$B$1)</f>
        <v>673</v>
      </c>
      <c r="AX17">
        <f>_xll.EQNXTDZ($A$1,$B17,AX$1,$B$1)</f>
        <v>636</v>
      </c>
      <c r="AY17">
        <f>_xll.EQNXTDZ($A$1,$B17,AY$1,$B$1)</f>
        <v>592</v>
      </c>
      <c r="AZ17">
        <f>_xll.EQNXTDZ($A$1,$B17,AZ$1,$B$1)</f>
        <v>620</v>
      </c>
      <c r="BA17">
        <f>_xll.EQNXTDZ($A$1,$B17,BA$1,$B$1)</f>
        <v>616</v>
      </c>
      <c r="BB17">
        <f>_xll.EQNXTDZ($A$1,$B17,BB$1,$B$1)</f>
        <v>448</v>
      </c>
      <c r="BC17">
        <f>_xll.EQNXTDZ($A$1,$B17,BC$1,$B$1)</f>
        <v>608</v>
      </c>
      <c r="BD17">
        <f>_xll.EQNXTDZ($A$1,$B17,BD$1,$B$1)</f>
        <v>640</v>
      </c>
      <c r="BE17">
        <f>_xll.EQNXTDZ($A$1,$B17,BE$1,$B$1)</f>
        <v>645</v>
      </c>
      <c r="BF17">
        <f>_xll.EQNXTDZ($A$1,$B17,BF$1,$B$1)</f>
        <v>802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469</v>
      </c>
      <c r="D18">
        <f>_xll.EQNXTDZ($A$1,$B18,D$1,$B$1)</f>
        <v>506</v>
      </c>
      <c r="E18">
        <f>_xll.EQNXTDZ($A$1,$B18,E$1,$B$1)</f>
        <v>541</v>
      </c>
      <c r="F18">
        <f>_xll.EQNXTDZ($A$1,$B18,F$1,$B$1)</f>
        <v>518</v>
      </c>
      <c r="G18">
        <f>_xll.EQNXTDZ($A$1,$B18,G$1,$B$1)</f>
        <v>584</v>
      </c>
      <c r="H18">
        <f>_xll.EQNXTDZ($A$1,$B18,H$1,$B$1)</f>
        <v>757</v>
      </c>
      <c r="I18">
        <f>_xll.EQNXTDZ($A$1,$B18,I$1,$B$1)</f>
        <v>644</v>
      </c>
      <c r="J18">
        <f>_xll.EQNXTDZ($A$1,$B18,J$1,$B$1)</f>
        <v>640</v>
      </c>
      <c r="K18">
        <f>_xll.EQNXTDZ($A$1,$B18,K$1,$B$1)</f>
        <v>666</v>
      </c>
      <c r="L18">
        <f>_xll.EQNXTDZ($A$1,$B18,L$1,$B$1)</f>
        <v>769</v>
      </c>
      <c r="M18">
        <f>_xll.EQNXTDZ($A$1,$B18,M$1,$B$1)</f>
        <v>770</v>
      </c>
      <c r="N18">
        <f>_xll.EQNXTDZ($A$1,$B18,N$1,$B$1)</f>
        <v>736</v>
      </c>
      <c r="O18">
        <f>_xll.EQNXTDZ($A$1,$B18,O$1,$B$1)</f>
        <v>556</v>
      </c>
      <c r="P18">
        <f>_xll.EQNXTDZ($A$1,$B18,P$1,$B$1)</f>
        <v>582</v>
      </c>
      <c r="Q18">
        <f>_xll.EQNXTDZ($A$1,$B18,Q$1,$B$1)</f>
        <v>530</v>
      </c>
      <c r="R18">
        <f>_xll.EQNXTDZ($A$1,$B18,R$1,$B$1)</f>
        <v>595</v>
      </c>
      <c r="S18">
        <f>_xll.EQNXTDZ($A$1,$B18,S$1,$B$1)</f>
        <v>740</v>
      </c>
      <c r="T18">
        <f>_xll.EQNXTDZ($A$1,$B18,T$1,$B$1)</f>
        <v>520</v>
      </c>
      <c r="U18">
        <f>_xll.EQNXTDZ($A$1,$B18,U$1,$B$1)</f>
        <v>502</v>
      </c>
      <c r="V18">
        <f>_xll.EQNXTDZ($A$1,$B18,V$1,$B$1)</f>
        <v>474</v>
      </c>
      <c r="W18">
        <f>_xll.EQNXTDZ($A$1,$B18,W$1,$B$1)</f>
        <v>527</v>
      </c>
      <c r="X18">
        <f>_xll.EQNXTDZ($A$1,$B18,X$1,$B$1)</f>
        <v>480</v>
      </c>
      <c r="Y18">
        <f>_xll.EQNXTDZ($A$1,$B18,Y$1,$B$1)</f>
        <v>496</v>
      </c>
      <c r="Z18">
        <f>_xll.EQNXTDZ($A$1,$B18,Z$1,$B$1)</f>
        <v>492</v>
      </c>
      <c r="AA18">
        <f>_xll.EQNXTDZ($A$1,$B18,AA$1,$B$1)</f>
        <v>603</v>
      </c>
      <c r="AB18">
        <f>_xll.EQNXTDZ($A$1,$B18,AB$1,$B$1)</f>
        <v>602</v>
      </c>
      <c r="AC18">
        <f>_xll.EQNXTDZ($A$1,$B18,AC$1,$B$1)</f>
        <v>625</v>
      </c>
      <c r="AD18">
        <f>_xll.EQNXTDZ($A$1,$B18,AD$1,$B$1)</f>
        <v>603</v>
      </c>
      <c r="AE18">
        <f>_xll.EQNXTDZ($A$1,$B18,AE$1,$B$1)</f>
        <v>827</v>
      </c>
      <c r="AF18">
        <f>_xll.EQNXTDZ($A$1,$B18,AF$1,$B$1)</f>
        <v>599</v>
      </c>
      <c r="AG18">
        <f>_xll.EQNXTDZ($A$1,$B18,AG$1,$B$1)</f>
        <v>617</v>
      </c>
      <c r="AH18">
        <f>_xll.EQNXTDZ($A$1,$B18,AH$1,$B$1)</f>
        <v>667</v>
      </c>
      <c r="AI18">
        <f>_xll.EQNXTDZ($A$1,$B18,AI$1,$B$1)</f>
        <v>116</v>
      </c>
      <c r="AJ18">
        <f>_xll.EQNXTDZ($A$1,$B18,AJ$1,$B$1)</f>
        <v>151</v>
      </c>
      <c r="AK18">
        <f>_xll.EQNXTDZ($A$1,$B18,AK$1,$B$1)</f>
        <v>126</v>
      </c>
      <c r="AL18">
        <f>_xll.EQNXTDZ($A$1,$B18,AL$1,$B$1)</f>
        <v>161</v>
      </c>
      <c r="AM18">
        <f>_xll.EQNXTDZ($A$1,$B18,AM$1,$B$1)</f>
        <v>133</v>
      </c>
      <c r="AN18">
        <f>_xll.EQNXTDZ($A$1,$B18,AN$1,$B$1)</f>
        <v>163</v>
      </c>
      <c r="AO18">
        <f>_xll.EQNXTDZ($A$1,$B18,AO$1,$B$1)</f>
        <v>221</v>
      </c>
      <c r="AP18">
        <f>_xll.EQNXTDZ($A$1,$B18,AP$1,$B$1)</f>
        <v>309</v>
      </c>
      <c r="AQ18">
        <f>_xll.EQNXTDZ($A$1,$B18,AQ$1,$B$1)</f>
        <v>376</v>
      </c>
      <c r="AR18">
        <f>_xll.EQNXTDZ($A$1,$B18,AR$1,$B$1)</f>
        <v>363</v>
      </c>
      <c r="AS18">
        <f>_xll.EQNXTDZ($A$1,$B18,AS$1,$B$1)</f>
        <v>360</v>
      </c>
      <c r="AT18">
        <f>_xll.EQNXTDZ($A$1,$B18,AT$1,$B$1)</f>
        <v>426</v>
      </c>
      <c r="AU18">
        <f>_xll.EQNXTDZ($A$1,$B18,AU$1,$B$1)</f>
        <v>462</v>
      </c>
      <c r="AV18">
        <f>_xll.EQNXTDZ($A$1,$B18,AV$1,$B$1)</f>
        <v>439</v>
      </c>
      <c r="AW18">
        <f>_xll.EQNXTDZ($A$1,$B18,AW$1,$B$1)</f>
        <v>387</v>
      </c>
      <c r="AX18">
        <f>_xll.EQNXTDZ($A$1,$B18,AX$1,$B$1)</f>
        <v>471</v>
      </c>
      <c r="AY18">
        <f>_xll.EQNXTDZ($A$1,$B18,AY$1,$B$1)</f>
        <v>478</v>
      </c>
      <c r="AZ18">
        <f>_xll.EQNXTDZ($A$1,$B18,AZ$1,$B$1)</f>
        <v>458</v>
      </c>
      <c r="BA18">
        <f>_xll.EQNXTDZ($A$1,$B18,BA$1,$B$1)</f>
        <v>439</v>
      </c>
      <c r="BB18">
        <f>_xll.EQNXTDZ($A$1,$B18,BB$1,$B$1)</f>
        <v>520</v>
      </c>
      <c r="BC18">
        <f>_xll.EQNXTDZ($A$1,$B18,BC$1,$B$1)</f>
        <v>516</v>
      </c>
      <c r="BD18">
        <f>_xll.EQNXTDZ($A$1,$B18,BD$1,$B$1)</f>
        <v>539</v>
      </c>
      <c r="BE18">
        <f>_xll.EQNXTDZ($A$1,$B18,BE$1,$B$1)</f>
        <v>510</v>
      </c>
      <c r="BF18">
        <f>_xll.EQNXTDZ($A$1,$B18,BF$1,$B$1)</f>
        <v>532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34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86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60</v>
      </c>
      <c r="P21">
        <f>_xll.EQNXTDZ($A$1,$B21,P$1,$B$1)</f>
        <v>64</v>
      </c>
      <c r="Q21">
        <f>_xll.EQNXTDZ($A$1,$B21,Q$1,$B$1)</f>
        <v>25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118</v>
      </c>
      <c r="AA21">
        <f>_xll.EQNXTDZ($A$1,$B21,AA$1,$B$1)</f>
        <v>270</v>
      </c>
      <c r="AB21">
        <f>_xll.EQNXTDZ($A$1,$B21,AB$1,$B$1)</f>
        <v>0</v>
      </c>
      <c r="AC21">
        <f>_xll.EQNXTDZ($A$1,$B21,AC$1,$B$1)</f>
        <v>451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2659</v>
      </c>
      <c r="D22">
        <f>_xll.EQNXTDZ($A$1,$B22,D$1,$B$1)</f>
        <v>2597</v>
      </c>
      <c r="E22">
        <f>_xll.EQNXTDZ($A$1,$B22,E$1,$B$1)</f>
        <v>2677</v>
      </c>
      <c r="F22">
        <f>_xll.EQNXTDZ($A$1,$B22,F$1,$B$1)</f>
        <v>2462</v>
      </c>
      <c r="G22">
        <f>_xll.EQNXTDZ($A$1,$B22,G$1,$B$1)</f>
        <v>2664</v>
      </c>
      <c r="H22">
        <f>_xll.EQNXTDZ($A$1,$B22,H$1,$B$1)</f>
        <v>2751</v>
      </c>
      <c r="I22">
        <f>_xll.EQNXTDZ($A$1,$B22,I$1,$B$1)</f>
        <v>3259</v>
      </c>
      <c r="J22">
        <f>_xll.EQNXTDZ($A$1,$B22,J$1,$B$1)</f>
        <v>3281</v>
      </c>
      <c r="K22">
        <f>_xll.EQNXTDZ($A$1,$B22,K$1,$B$1)</f>
        <v>3211</v>
      </c>
      <c r="L22">
        <f>_xll.EQNXTDZ($A$1,$B22,L$1,$B$1)</f>
        <v>3483</v>
      </c>
      <c r="M22">
        <f>_xll.EQNXTDZ($A$1,$B22,M$1,$B$1)</f>
        <v>3689</v>
      </c>
      <c r="N22">
        <f>_xll.EQNXTDZ($A$1,$B22,N$1,$B$1)</f>
        <v>3449</v>
      </c>
      <c r="O22">
        <f>_xll.EQNXTDZ($A$1,$B22,O$1,$B$1)</f>
        <v>3760</v>
      </c>
      <c r="P22">
        <f>_xll.EQNXTDZ($A$1,$B22,P$1,$B$1)</f>
        <v>4351</v>
      </c>
      <c r="Q22">
        <f>_xll.EQNXTDZ($A$1,$B22,Q$1,$B$1)</f>
        <v>4328</v>
      </c>
      <c r="R22">
        <f>_xll.EQNXTDZ($A$1,$B22,R$1,$B$1)</f>
        <v>4639</v>
      </c>
      <c r="S22">
        <f>_xll.EQNXTDZ($A$1,$B22,S$1,$B$1)</f>
        <v>4447</v>
      </c>
      <c r="T22">
        <f>_xll.EQNXTDZ($A$1,$B22,T$1,$B$1)</f>
        <v>4733</v>
      </c>
      <c r="U22">
        <f>_xll.EQNXTDZ($A$1,$B22,U$1,$B$1)</f>
        <v>4767</v>
      </c>
      <c r="V22">
        <f>_xll.EQNXTDZ($A$1,$B22,V$1,$B$1)</f>
        <v>4658</v>
      </c>
      <c r="W22">
        <f>_xll.EQNXTDZ($A$1,$B22,W$1,$B$1)</f>
        <v>4561</v>
      </c>
      <c r="X22">
        <f>_xll.EQNXTDZ($A$1,$B22,X$1,$B$1)</f>
        <v>4702</v>
      </c>
      <c r="Y22">
        <f>_xll.EQNXTDZ($A$1,$B22,Y$1,$B$1)</f>
        <v>4817</v>
      </c>
      <c r="Z22">
        <f>_xll.EQNXTDZ($A$1,$B22,Z$1,$B$1)</f>
        <v>4812</v>
      </c>
      <c r="AA22">
        <f>_xll.EQNXTDZ($A$1,$B22,AA$1,$B$1)</f>
        <v>4703</v>
      </c>
      <c r="AB22">
        <f>_xll.EQNXTDZ($A$1,$B22,AB$1,$B$1)</f>
        <v>5357</v>
      </c>
      <c r="AC22">
        <f>_xll.EQNXTDZ($A$1,$B22,AC$1,$B$1)</f>
        <v>4959</v>
      </c>
      <c r="AD22">
        <f>_xll.EQNXTDZ($A$1,$B22,AD$1,$B$1)</f>
        <v>5149</v>
      </c>
      <c r="AE22">
        <f>_xll.EQNXTDZ($A$1,$B22,AE$1,$B$1)</f>
        <v>5152</v>
      </c>
      <c r="AF22">
        <f>_xll.EQNXTDZ($A$1,$B22,AF$1,$B$1)</f>
        <v>5639</v>
      </c>
      <c r="AG22">
        <f>_xll.EQNXTDZ($A$1,$B22,AG$1,$B$1)</f>
        <v>5801</v>
      </c>
      <c r="AH22">
        <f>_xll.EQNXTDZ($A$1,$B22,AH$1,$B$1)</f>
        <v>5676</v>
      </c>
      <c r="AI22">
        <f>_xll.EQNXTDZ($A$1,$B22,AI$1,$B$1)</f>
        <v>6121</v>
      </c>
      <c r="AJ22">
        <f>_xll.EQNXTDZ($A$1,$B22,AJ$1,$B$1)</f>
        <v>7083</v>
      </c>
      <c r="AK22">
        <f>_xll.EQNXTDZ($A$1,$B22,AK$1,$B$1)</f>
        <v>7415</v>
      </c>
      <c r="AL22">
        <f>_xll.EQNXTDZ($A$1,$B22,AL$1,$B$1)</f>
        <v>7271</v>
      </c>
      <c r="AM22">
        <f>_xll.EQNXTDZ($A$1,$B22,AM$1,$B$1)</f>
        <v>7432</v>
      </c>
      <c r="AN22">
        <f>_xll.EQNXTDZ($A$1,$B22,AN$1,$B$1)</f>
        <v>7831</v>
      </c>
      <c r="AO22">
        <f>_xll.EQNXTDZ($A$1,$B22,AO$1,$B$1)</f>
        <v>8383</v>
      </c>
      <c r="AP22">
        <f>_xll.EQNXTDZ($A$1,$B22,AP$1,$B$1)</f>
        <v>7846</v>
      </c>
      <c r="AQ22">
        <f>_xll.EQNXTDZ($A$1,$B22,AQ$1,$B$1)</f>
        <v>7864</v>
      </c>
      <c r="AR22">
        <f>_xll.EQNXTDZ($A$1,$B22,AR$1,$B$1)</f>
        <v>8902</v>
      </c>
      <c r="AS22">
        <f>_xll.EQNXTDZ($A$1,$B22,AS$1,$B$1)</f>
        <v>9367</v>
      </c>
      <c r="AT22">
        <f>_xll.EQNXTDZ($A$1,$B22,AT$1,$B$1)</f>
        <v>8998</v>
      </c>
      <c r="AU22">
        <f>_xll.EQNXTDZ($A$1,$B22,AU$1,$B$1)</f>
        <v>9064</v>
      </c>
      <c r="AV22">
        <f>_xll.EQNXTDZ($A$1,$B22,AV$1,$B$1)</f>
        <v>9440</v>
      </c>
      <c r="AW22">
        <f>_xll.EQNXTDZ($A$1,$B22,AW$1,$B$1)</f>
        <v>9137</v>
      </c>
      <c r="AX22">
        <f>_xll.EQNXTDZ($A$1,$B22,AX$1,$B$1)</f>
        <v>8784</v>
      </c>
      <c r="AY22">
        <f>_xll.EQNXTDZ($A$1,$B22,AY$1,$B$1)</f>
        <v>9437</v>
      </c>
      <c r="AZ22">
        <f>_xll.EQNXTDZ($A$1,$B22,AZ$1,$B$1)</f>
        <v>9809</v>
      </c>
      <c r="BA22">
        <f>_xll.EQNXTDZ($A$1,$B22,BA$1,$B$1)</f>
        <v>10115</v>
      </c>
      <c r="BB22">
        <f>_xll.EQNXTDZ($A$1,$B22,BB$1,$B$1)</f>
        <v>9874</v>
      </c>
      <c r="BC22">
        <f>_xll.EQNXTDZ($A$1,$B22,BC$1,$B$1)</f>
        <v>9943</v>
      </c>
      <c r="BD22">
        <f>_xll.EQNXTDZ($A$1,$B22,BD$1,$B$1)</f>
        <v>10535</v>
      </c>
      <c r="BE22">
        <f>_xll.EQNXTDZ($A$1,$B22,BE$1,$B$1)</f>
        <v>10634</v>
      </c>
      <c r="BF22">
        <f>_xll.EQNXTDZ($A$1,$B22,BF$1,$B$1)</f>
        <v>11167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510</v>
      </c>
      <c r="D23">
        <f>_xll.EQNXTDZ($A$1,$B23,D$1,$B$1)</f>
        <v>706</v>
      </c>
      <c r="E23">
        <f>_xll.EQNXTDZ($A$1,$B23,E$1,$B$1)</f>
        <v>503</v>
      </c>
      <c r="F23">
        <f>_xll.EQNXTDZ($A$1,$B23,F$1,$B$1)</f>
        <v>674</v>
      </c>
      <c r="G23">
        <f>_xll.EQNXTDZ($A$1,$B23,G$1,$B$1)</f>
        <v>577</v>
      </c>
      <c r="H23">
        <f>_xll.EQNXTDZ($A$1,$B23,H$1,$B$1)</f>
        <v>596</v>
      </c>
      <c r="I23">
        <f>_xll.EQNXTDZ($A$1,$B23,I$1,$B$1)</f>
        <v>731</v>
      </c>
      <c r="J23">
        <f>_xll.EQNXTDZ($A$1,$B23,J$1,$B$1)</f>
        <v>851</v>
      </c>
      <c r="K23">
        <f>_xll.EQNXTDZ($A$1,$B23,K$1,$B$1)</f>
        <v>829</v>
      </c>
      <c r="L23">
        <f>_xll.EQNXTDZ($A$1,$B23,L$1,$B$1)</f>
        <v>877</v>
      </c>
      <c r="M23">
        <f>_xll.EQNXTDZ($A$1,$B23,M$1,$B$1)</f>
        <v>840</v>
      </c>
      <c r="N23">
        <f>_xll.EQNXTDZ($A$1,$B23,N$1,$B$1)</f>
        <v>881</v>
      </c>
      <c r="O23">
        <f>_xll.EQNXTDZ($A$1,$B23,O$1,$B$1)</f>
        <v>756</v>
      </c>
      <c r="P23">
        <f>_xll.EQNXTDZ($A$1,$B23,P$1,$B$1)</f>
        <v>793</v>
      </c>
      <c r="Q23">
        <f>_xll.EQNXTDZ($A$1,$B23,Q$1,$B$1)</f>
        <v>802</v>
      </c>
      <c r="R23">
        <f>_xll.EQNXTDZ($A$1,$B23,R$1,$B$1)</f>
        <v>772</v>
      </c>
      <c r="S23">
        <f>_xll.EQNXTDZ($A$1,$B23,S$1,$B$1)</f>
        <v>753</v>
      </c>
      <c r="T23">
        <f>_xll.EQNXTDZ($A$1,$B23,T$1,$B$1)</f>
        <v>760</v>
      </c>
      <c r="U23">
        <f>_xll.EQNXTDZ($A$1,$B23,U$1,$B$1)</f>
        <v>820</v>
      </c>
      <c r="V23">
        <f>_xll.EQNXTDZ($A$1,$B23,V$1,$B$1)</f>
        <v>746</v>
      </c>
      <c r="W23">
        <f>_xll.EQNXTDZ($A$1,$B23,W$1,$B$1)</f>
        <v>814</v>
      </c>
      <c r="X23">
        <f>_xll.EQNXTDZ($A$1,$B23,X$1,$B$1)</f>
        <v>883</v>
      </c>
      <c r="Y23">
        <f>_xll.EQNXTDZ($A$1,$B23,Y$1,$B$1)</f>
        <v>962</v>
      </c>
      <c r="Z23">
        <f>_xll.EQNXTDZ($A$1,$B23,Z$1,$B$1)</f>
        <v>652</v>
      </c>
      <c r="AA23">
        <f>_xll.EQNXTDZ($A$1,$B23,AA$1,$B$1)</f>
        <v>726</v>
      </c>
      <c r="AB23">
        <f>_xll.EQNXTDZ($A$1,$B23,AB$1,$B$1)</f>
        <v>739</v>
      </c>
      <c r="AC23">
        <f>_xll.EQNXTDZ($A$1,$B23,AC$1,$B$1)</f>
        <v>753</v>
      </c>
      <c r="AD23">
        <f>_xll.EQNXTDZ($A$1,$B23,AD$1,$B$1)</f>
        <v>665</v>
      </c>
      <c r="AE23">
        <f>_xll.EQNXTDZ($A$1,$B23,AE$1,$B$1)</f>
        <v>736</v>
      </c>
      <c r="AF23">
        <f>_xll.EQNXTDZ($A$1,$B23,AF$1,$B$1)</f>
        <v>626</v>
      </c>
      <c r="AG23">
        <f>_xll.EQNXTDZ($A$1,$B23,AG$1,$B$1)</f>
        <v>827</v>
      </c>
      <c r="AH23">
        <f>_xll.EQNXTDZ($A$1,$B23,AH$1,$B$1)</f>
        <v>614</v>
      </c>
      <c r="AI23">
        <f>_xll.EQNXTDZ($A$1,$B23,AI$1,$B$1)</f>
        <v>475</v>
      </c>
      <c r="AJ23">
        <f>_xll.EQNXTDZ($A$1,$B23,AJ$1,$B$1)</f>
        <v>570</v>
      </c>
      <c r="AK23">
        <f>_xll.EQNXTDZ($A$1,$B23,AK$1,$B$1)</f>
        <v>611</v>
      </c>
      <c r="AL23">
        <f>_xll.EQNXTDZ($A$1,$B23,AL$1,$B$1)</f>
        <v>545</v>
      </c>
      <c r="AM23">
        <f>_xll.EQNXTDZ($A$1,$B23,AM$1,$B$1)</f>
        <v>622</v>
      </c>
      <c r="AN23">
        <f>_xll.EQNXTDZ($A$1,$B23,AN$1,$B$1)</f>
        <v>524</v>
      </c>
      <c r="AO23">
        <f>_xll.EQNXTDZ($A$1,$B23,AO$1,$B$1)</f>
        <v>512</v>
      </c>
      <c r="AP23">
        <f>_xll.EQNXTDZ($A$1,$B23,AP$1,$B$1)</f>
        <v>637</v>
      </c>
      <c r="AQ23">
        <f>_xll.EQNXTDZ($A$1,$B23,AQ$1,$B$1)</f>
        <v>676</v>
      </c>
      <c r="AR23">
        <f>_xll.EQNXTDZ($A$1,$B23,AR$1,$B$1)</f>
        <v>584</v>
      </c>
      <c r="AS23">
        <f>_xll.EQNXTDZ($A$1,$B23,AS$1,$B$1)</f>
        <v>769</v>
      </c>
      <c r="AT23">
        <f>_xll.EQNXTDZ($A$1,$B23,AT$1,$B$1)</f>
        <v>671</v>
      </c>
      <c r="AU23">
        <f>_xll.EQNXTDZ($A$1,$B23,AU$1,$B$1)</f>
        <v>561</v>
      </c>
      <c r="AV23">
        <f>_xll.EQNXTDZ($A$1,$B23,AV$1,$B$1)</f>
        <v>632</v>
      </c>
      <c r="AW23">
        <f>_xll.EQNXTDZ($A$1,$B23,AW$1,$B$1)</f>
        <v>789</v>
      </c>
      <c r="AX23">
        <f>_xll.EQNXTDZ($A$1,$B23,AX$1,$B$1)</f>
        <v>2729</v>
      </c>
      <c r="AY23">
        <f>_xll.EQNXTDZ($A$1,$B23,AY$1,$B$1)</f>
        <v>838</v>
      </c>
      <c r="AZ23">
        <f>_xll.EQNXTDZ($A$1,$B23,AZ$1,$B$1)</f>
        <v>712</v>
      </c>
      <c r="BA23">
        <f>_xll.EQNXTDZ($A$1,$B23,BA$1,$B$1)</f>
        <v>859</v>
      </c>
      <c r="BB23">
        <f>_xll.EQNXTDZ($A$1,$B23,BB$1,$B$1)</f>
        <v>1190</v>
      </c>
      <c r="BC23">
        <f>_xll.EQNXTDZ($A$1,$B23,BC$1,$B$1)</f>
        <v>1042</v>
      </c>
      <c r="BD23">
        <f>_xll.EQNXTDZ($A$1,$B23,BD$1,$B$1)</f>
        <v>982</v>
      </c>
      <c r="BE23">
        <f>_xll.EQNXTDZ($A$1,$B23,BE$1,$B$1)</f>
        <v>1139</v>
      </c>
      <c r="BF23">
        <f>_xll.EQNXTDZ($A$1,$B23,BF$1,$B$1)</f>
        <v>1159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3169</v>
      </c>
      <c r="D24">
        <f>_xll.EQNXTDZ($A$1,$B24,D$1,$B$1)</f>
        <v>3303</v>
      </c>
      <c r="E24">
        <f>_xll.EQNXTDZ($A$1,$B24,E$1,$B$1)</f>
        <v>3180</v>
      </c>
      <c r="F24">
        <f>_xll.EQNXTDZ($A$1,$B24,F$1,$B$1)</f>
        <v>3136</v>
      </c>
      <c r="G24">
        <f>_xll.EQNXTDZ($A$1,$B24,G$1,$B$1)</f>
        <v>3241</v>
      </c>
      <c r="H24">
        <f>_xll.EQNXTDZ($A$1,$B24,H$1,$B$1)</f>
        <v>3347</v>
      </c>
      <c r="I24">
        <f>_xll.EQNXTDZ($A$1,$B24,I$1,$B$1)</f>
        <v>3990</v>
      </c>
      <c r="J24">
        <f>_xll.EQNXTDZ($A$1,$B24,J$1,$B$1)</f>
        <v>4132</v>
      </c>
      <c r="K24">
        <f>_xll.EQNXTDZ($A$1,$B24,K$1,$B$1)</f>
        <v>4040</v>
      </c>
      <c r="L24">
        <f>_xll.EQNXTDZ($A$1,$B24,L$1,$B$1)</f>
        <v>4360</v>
      </c>
      <c r="M24">
        <f>_xll.EQNXTDZ($A$1,$B24,M$1,$B$1)</f>
        <v>4529</v>
      </c>
      <c r="N24">
        <f>_xll.EQNXTDZ($A$1,$B24,N$1,$B$1)</f>
        <v>4330</v>
      </c>
      <c r="O24">
        <f>_xll.EQNXTDZ($A$1,$B24,O$1,$B$1)</f>
        <v>4516</v>
      </c>
      <c r="P24">
        <f>_xll.EQNXTDZ($A$1,$B24,P$1,$B$1)</f>
        <v>5144</v>
      </c>
      <c r="Q24">
        <f>_xll.EQNXTDZ($A$1,$B24,Q$1,$B$1)</f>
        <v>5130</v>
      </c>
      <c r="R24">
        <f>_xll.EQNXTDZ($A$1,$B24,R$1,$B$1)</f>
        <v>5411</v>
      </c>
      <c r="S24">
        <f>_xll.EQNXTDZ($A$1,$B24,S$1,$B$1)</f>
        <v>5200</v>
      </c>
      <c r="T24">
        <f>_xll.EQNXTDZ($A$1,$B24,T$1,$B$1)</f>
        <v>5493</v>
      </c>
      <c r="U24">
        <f>_xll.EQNXTDZ($A$1,$B24,U$1,$B$1)</f>
        <v>5587</v>
      </c>
      <c r="V24">
        <f>_xll.EQNXTDZ($A$1,$B24,V$1,$B$1)</f>
        <v>5404</v>
      </c>
      <c r="W24">
        <f>_xll.EQNXTDZ($A$1,$B24,W$1,$B$1)</f>
        <v>5375</v>
      </c>
      <c r="X24">
        <f>_xll.EQNXTDZ($A$1,$B24,X$1,$B$1)</f>
        <v>5585</v>
      </c>
      <c r="Y24">
        <f>_xll.EQNXTDZ($A$1,$B24,Y$1,$B$1)</f>
        <v>5779</v>
      </c>
      <c r="Z24">
        <f>_xll.EQNXTDZ($A$1,$B24,Z$1,$B$1)</f>
        <v>5464</v>
      </c>
      <c r="AA24">
        <f>_xll.EQNXTDZ($A$1,$B24,AA$1,$B$1)</f>
        <v>5429</v>
      </c>
      <c r="AB24">
        <f>_xll.EQNXTDZ($A$1,$B24,AB$1,$B$1)</f>
        <v>6096</v>
      </c>
      <c r="AC24">
        <f>_xll.EQNXTDZ($A$1,$B24,AC$1,$B$1)</f>
        <v>5712</v>
      </c>
      <c r="AD24">
        <f>_xll.EQNXTDZ($A$1,$B24,AD$1,$B$1)</f>
        <v>5814</v>
      </c>
      <c r="AE24">
        <f>_xll.EQNXTDZ($A$1,$B24,AE$1,$B$1)</f>
        <v>5888</v>
      </c>
      <c r="AF24">
        <f>_xll.EQNXTDZ($A$1,$B24,AF$1,$B$1)</f>
        <v>6265</v>
      </c>
      <c r="AG24">
        <f>_xll.EQNXTDZ($A$1,$B24,AG$1,$B$1)</f>
        <v>6628</v>
      </c>
      <c r="AH24">
        <f>_xll.EQNXTDZ($A$1,$B24,AH$1,$B$1)</f>
        <v>6290</v>
      </c>
      <c r="AI24">
        <f>_xll.EQNXTDZ($A$1,$B24,AI$1,$B$1)</f>
        <v>6596</v>
      </c>
      <c r="AJ24">
        <f>_xll.EQNXTDZ($A$1,$B24,AJ$1,$B$1)</f>
        <v>7653</v>
      </c>
      <c r="AK24">
        <f>_xll.EQNXTDZ($A$1,$B24,AK$1,$B$1)</f>
        <v>8026</v>
      </c>
      <c r="AL24">
        <f>_xll.EQNXTDZ($A$1,$B24,AL$1,$B$1)</f>
        <v>7816</v>
      </c>
      <c r="AM24">
        <f>_xll.EQNXTDZ($A$1,$B24,AM$1,$B$1)</f>
        <v>8054</v>
      </c>
      <c r="AN24">
        <f>_xll.EQNXTDZ($A$1,$B24,AN$1,$B$1)</f>
        <v>8355</v>
      </c>
      <c r="AO24">
        <f>_xll.EQNXTDZ($A$1,$B24,AO$1,$B$1)</f>
        <v>8895</v>
      </c>
      <c r="AP24">
        <f>_xll.EQNXTDZ($A$1,$B24,AP$1,$B$1)</f>
        <v>8483</v>
      </c>
      <c r="AQ24">
        <f>_xll.EQNXTDZ($A$1,$B24,AQ$1,$B$1)</f>
        <v>8540</v>
      </c>
      <c r="AR24">
        <f>_xll.EQNXTDZ($A$1,$B24,AR$1,$B$1)</f>
        <v>9486</v>
      </c>
      <c r="AS24">
        <f>_xll.EQNXTDZ($A$1,$B24,AS$1,$B$1)</f>
        <v>10136</v>
      </c>
      <c r="AT24">
        <f>_xll.EQNXTDZ($A$1,$B24,AT$1,$B$1)</f>
        <v>9669</v>
      </c>
      <c r="AU24">
        <f>_xll.EQNXTDZ($A$1,$B24,AU$1,$B$1)</f>
        <v>9625</v>
      </c>
      <c r="AV24">
        <f>_xll.EQNXTDZ($A$1,$B24,AV$1,$B$1)</f>
        <v>10072</v>
      </c>
      <c r="AW24">
        <f>_xll.EQNXTDZ($A$1,$B24,AW$1,$B$1)</f>
        <v>9926</v>
      </c>
      <c r="AX24">
        <f>_xll.EQNXTDZ($A$1,$B24,AX$1,$B$1)</f>
        <v>11513</v>
      </c>
      <c r="AY24">
        <f>_xll.EQNXTDZ($A$1,$B24,AY$1,$B$1)</f>
        <v>10275</v>
      </c>
      <c r="AZ24">
        <f>_xll.EQNXTDZ($A$1,$B24,AZ$1,$B$1)</f>
        <v>10521</v>
      </c>
      <c r="BA24">
        <f>_xll.EQNXTDZ($A$1,$B24,BA$1,$B$1)</f>
        <v>10974</v>
      </c>
      <c r="BB24">
        <f>_xll.EQNXTDZ($A$1,$B24,BB$1,$B$1)</f>
        <v>11064</v>
      </c>
      <c r="BC24">
        <f>_xll.EQNXTDZ($A$1,$B24,BC$1,$B$1)</f>
        <v>10985</v>
      </c>
      <c r="BD24">
        <f>_xll.EQNXTDZ($A$1,$B24,BD$1,$B$1)</f>
        <v>11517</v>
      </c>
      <c r="BE24">
        <f>_xll.EQNXTDZ($A$1,$B24,BE$1,$B$1)</f>
        <v>11773</v>
      </c>
      <c r="BF24">
        <f>_xll.EQNXTDZ($A$1,$B24,BF$1,$B$1)</f>
        <v>12326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0</v>
      </c>
      <c r="D25">
        <f>_xll.EQNXTDZ($A$1,$B25,D$1,$B$1)</f>
        <v>0</v>
      </c>
      <c r="E25">
        <f>_xll.EQNXTDZ($A$1,$B25,E$1,$B$1)</f>
        <v>0</v>
      </c>
      <c r="F25">
        <f>_xll.EQNXTDZ($A$1,$B25,F$1,$B$1)</f>
        <v>0</v>
      </c>
      <c r="G25">
        <f>_xll.EQNXTDZ($A$1,$B25,G$1,$B$1)</f>
        <v>0</v>
      </c>
      <c r="H25">
        <f>_xll.EQNXTDZ($A$1,$B25,H$1,$B$1)</f>
        <v>0</v>
      </c>
      <c r="I25">
        <f>_xll.EQNXTDZ($A$1,$B25,I$1,$B$1)</f>
        <v>0</v>
      </c>
      <c r="J25">
        <f>_xll.EQNXTDZ($A$1,$B25,J$1,$B$1)</f>
        <v>0</v>
      </c>
      <c r="K25">
        <f>_xll.EQNXTDZ($A$1,$B25,K$1,$B$1)</f>
        <v>0</v>
      </c>
      <c r="L25">
        <f>_xll.EQNXTDZ($A$1,$B25,L$1,$B$1)</f>
        <v>0</v>
      </c>
      <c r="M25">
        <f>_xll.EQNXTDZ($A$1,$B25,M$1,$B$1)</f>
        <v>0</v>
      </c>
      <c r="N25">
        <f>_xll.EQNXTDZ($A$1,$B25,N$1,$B$1)</f>
        <v>0</v>
      </c>
      <c r="O25">
        <f>_xll.EQNXTDZ($A$1,$B25,O$1,$B$1)</f>
        <v>0</v>
      </c>
      <c r="P25">
        <f>_xll.EQNXTDZ($A$1,$B25,P$1,$B$1)</f>
        <v>0</v>
      </c>
      <c r="Q25">
        <f>_xll.EQNXTDZ($A$1,$B25,Q$1,$B$1)</f>
        <v>0</v>
      </c>
      <c r="R25">
        <f>_xll.EQNXTDZ($A$1,$B25,R$1,$B$1)</f>
        <v>0</v>
      </c>
      <c r="S25">
        <f>_xll.EQNXTDZ($A$1,$B25,S$1,$B$1)</f>
        <v>0</v>
      </c>
      <c r="T25">
        <f>_xll.EQNXTDZ($A$1,$B25,T$1,$B$1)</f>
        <v>0</v>
      </c>
      <c r="U25">
        <f>_xll.EQNXTDZ($A$1,$B25,U$1,$B$1)</f>
        <v>0</v>
      </c>
      <c r="V25">
        <f>_xll.EQNXTDZ($A$1,$B25,V$1,$B$1)</f>
        <v>0</v>
      </c>
      <c r="W25">
        <f>_xll.EQNXTDZ($A$1,$B25,W$1,$B$1)</f>
        <v>0</v>
      </c>
      <c r="X25">
        <f>_xll.EQNXTDZ($A$1,$B25,X$1,$B$1)</f>
        <v>0</v>
      </c>
      <c r="Y25">
        <f>_xll.EQNXTDZ($A$1,$B25,Y$1,$B$1)</f>
        <v>0</v>
      </c>
      <c r="Z25">
        <f>_xll.EQNXTDZ($A$1,$B25,Z$1,$B$1)</f>
        <v>0</v>
      </c>
      <c r="AA25">
        <f>_xll.EQNXTDZ($A$1,$B25,AA$1,$B$1)</f>
        <v>0</v>
      </c>
      <c r="AB25">
        <f>_xll.EQNXTDZ($A$1,$B25,AB$1,$B$1)</f>
        <v>0</v>
      </c>
      <c r="AC25">
        <f>_xll.EQNXTDZ($A$1,$B25,AC$1,$B$1)</f>
        <v>0</v>
      </c>
      <c r="AD25">
        <f>_xll.EQNXTDZ($A$1,$B25,AD$1,$B$1)</f>
        <v>0</v>
      </c>
      <c r="AE25">
        <f>_xll.EQNXTDZ($A$1,$B25,AE$1,$B$1)</f>
        <v>40</v>
      </c>
      <c r="AF25">
        <f>_xll.EQNXTDZ($A$1,$B25,AF$1,$B$1)</f>
        <v>42</v>
      </c>
      <c r="AG25">
        <f>_xll.EQNXTDZ($A$1,$B25,AG$1,$B$1)</f>
        <v>42</v>
      </c>
      <c r="AH25">
        <f>_xll.EQNXTDZ($A$1,$B25,AH$1,$B$1)</f>
        <v>45</v>
      </c>
      <c r="AI25">
        <f>_xll.EQNXTDZ($A$1,$B25,AI$1,$B$1)</f>
        <v>48</v>
      </c>
      <c r="AJ25">
        <f>_xll.EQNXTDZ($A$1,$B25,AJ$1,$B$1)</f>
        <v>48</v>
      </c>
      <c r="AK25">
        <f>_xll.EQNXTDZ($A$1,$B25,AK$1,$B$1)</f>
        <v>49</v>
      </c>
      <c r="AL25">
        <f>_xll.EQNXTDZ($A$1,$B25,AL$1,$B$1)</f>
        <v>50</v>
      </c>
      <c r="AM25">
        <f>_xll.EQNXTDZ($A$1,$B25,AM$1,$B$1)</f>
        <v>49</v>
      </c>
      <c r="AN25">
        <f>_xll.EQNXTDZ($A$1,$B25,AN$1,$B$1)</f>
        <v>48</v>
      </c>
      <c r="AO25">
        <f>_xll.EQNXTDZ($A$1,$B25,AO$1,$B$1)</f>
        <v>53</v>
      </c>
      <c r="AP25">
        <f>_xll.EQNXTDZ($A$1,$B25,AP$1,$B$1)</f>
        <v>50</v>
      </c>
      <c r="AQ25">
        <f>_xll.EQNXTDZ($A$1,$B25,AQ$1,$B$1)</f>
        <v>56</v>
      </c>
      <c r="AR25">
        <f>_xll.EQNXTDZ($A$1,$B25,AR$1,$B$1)</f>
        <v>66</v>
      </c>
      <c r="AS25">
        <f>_xll.EQNXTDZ($A$1,$B25,AS$1,$B$1)</f>
        <v>80</v>
      </c>
      <c r="AT25">
        <f>_xll.EQNXTDZ($A$1,$B25,AT$1,$B$1)</f>
        <v>82</v>
      </c>
      <c r="AU25">
        <f>_xll.EQNXTDZ($A$1,$B25,AU$1,$B$1)</f>
        <v>90</v>
      </c>
      <c r="AV25">
        <f>_xll.EQNXTDZ($A$1,$B25,AV$1,$B$1)</f>
        <v>138</v>
      </c>
      <c r="AW25">
        <f>_xll.EQNXTDZ($A$1,$B25,AW$1,$B$1)</f>
        <v>131</v>
      </c>
      <c r="AX25">
        <f>_xll.EQNXTDZ($A$1,$B25,AX$1,$B$1)</f>
        <v>110</v>
      </c>
      <c r="AY25">
        <f>_xll.EQNXTDZ($A$1,$B25,AY$1,$B$1)</f>
        <v>105</v>
      </c>
      <c r="AZ25">
        <f>_xll.EQNXTDZ($A$1,$B25,AZ$1,$B$1)</f>
        <v>108</v>
      </c>
      <c r="BA25">
        <f>_xll.EQNXTDZ($A$1,$B25,BA$1,$B$1)</f>
        <v>101</v>
      </c>
      <c r="BB25">
        <f>_xll.EQNXTDZ($A$1,$B25,BB$1,$B$1)</f>
        <v>102</v>
      </c>
      <c r="BC25">
        <f>_xll.EQNXTDZ($A$1,$B25,BC$1,$B$1)</f>
        <v>105</v>
      </c>
      <c r="BD25">
        <f>_xll.EQNXTDZ($A$1,$B25,BD$1,$B$1)</f>
        <v>106</v>
      </c>
      <c r="BE25">
        <f>_xll.EQNXTDZ($A$1,$B25,BE$1,$B$1)</f>
        <v>100</v>
      </c>
      <c r="BF25">
        <f>_xll.EQNXTDZ($A$1,$B25,BF$1,$B$1)</f>
        <v>105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-1289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3169</v>
      </c>
      <c r="D27">
        <f>_xll.EQNXTDZ($A$1,$B27,D$1,$B$1)</f>
        <v>3303</v>
      </c>
      <c r="E27">
        <f>_xll.EQNXTDZ($A$1,$B27,E$1,$B$1)</f>
        <v>3180</v>
      </c>
      <c r="F27">
        <f>_xll.EQNXTDZ($A$1,$B27,F$1,$B$1)</f>
        <v>3136</v>
      </c>
      <c r="G27">
        <f>_xll.EQNXTDZ($A$1,$B27,G$1,$B$1)</f>
        <v>3241</v>
      </c>
      <c r="H27">
        <f>_xll.EQNXTDZ($A$1,$B27,H$1,$B$1)</f>
        <v>3347</v>
      </c>
      <c r="I27">
        <f>_xll.EQNXTDZ($A$1,$B27,I$1,$B$1)</f>
        <v>3990</v>
      </c>
      <c r="J27">
        <f>_xll.EQNXTDZ($A$1,$B27,J$1,$B$1)</f>
        <v>4132</v>
      </c>
      <c r="K27">
        <f>_xll.EQNXTDZ($A$1,$B27,K$1,$B$1)</f>
        <v>4040</v>
      </c>
      <c r="L27">
        <f>_xll.EQNXTDZ($A$1,$B27,L$1,$B$1)</f>
        <v>4360</v>
      </c>
      <c r="M27">
        <f>_xll.EQNXTDZ($A$1,$B27,M$1,$B$1)</f>
        <v>4529</v>
      </c>
      <c r="N27">
        <f>_xll.EQNXTDZ($A$1,$B27,N$1,$B$1)</f>
        <v>4330</v>
      </c>
      <c r="O27">
        <f>_xll.EQNXTDZ($A$1,$B27,O$1,$B$1)</f>
        <v>4516</v>
      </c>
      <c r="P27">
        <f>_xll.EQNXTDZ($A$1,$B27,P$1,$B$1)</f>
        <v>5144</v>
      </c>
      <c r="Q27">
        <f>_xll.EQNXTDZ($A$1,$B27,Q$1,$B$1)</f>
        <v>5130</v>
      </c>
      <c r="R27">
        <f>_xll.EQNXTDZ($A$1,$B27,R$1,$B$1)</f>
        <v>5411</v>
      </c>
      <c r="S27">
        <f>_xll.EQNXTDZ($A$1,$B27,S$1,$B$1)</f>
        <v>5200</v>
      </c>
      <c r="T27">
        <f>_xll.EQNXTDZ($A$1,$B27,T$1,$B$1)</f>
        <v>5493</v>
      </c>
      <c r="U27">
        <f>_xll.EQNXTDZ($A$1,$B27,U$1,$B$1)</f>
        <v>5587</v>
      </c>
      <c r="V27">
        <f>_xll.EQNXTDZ($A$1,$B27,V$1,$B$1)</f>
        <v>5404</v>
      </c>
      <c r="W27">
        <f>_xll.EQNXTDZ($A$1,$B27,W$1,$B$1)</f>
        <v>5375</v>
      </c>
      <c r="X27">
        <f>_xll.EQNXTDZ($A$1,$B27,X$1,$B$1)</f>
        <v>5585</v>
      </c>
      <c r="Y27">
        <f>_xll.EQNXTDZ($A$1,$B27,Y$1,$B$1)</f>
        <v>5779</v>
      </c>
      <c r="Z27">
        <f>_xll.EQNXTDZ($A$1,$B27,Z$1,$B$1)</f>
        <v>5464</v>
      </c>
      <c r="AA27">
        <f>_xll.EQNXTDZ($A$1,$B27,AA$1,$B$1)</f>
        <v>5429</v>
      </c>
      <c r="AB27">
        <f>_xll.EQNXTDZ($A$1,$B27,AB$1,$B$1)</f>
        <v>6096</v>
      </c>
      <c r="AC27">
        <f>_xll.EQNXTDZ($A$1,$B27,AC$1,$B$1)</f>
        <v>5712</v>
      </c>
      <c r="AD27">
        <f>_xll.EQNXTDZ($A$1,$B27,AD$1,$B$1)</f>
        <v>5814</v>
      </c>
      <c r="AE27">
        <f>_xll.EQNXTDZ($A$1,$B27,AE$1,$B$1)</f>
        <v>5848</v>
      </c>
      <c r="AF27">
        <f>_xll.EQNXTDZ($A$1,$B27,AF$1,$B$1)</f>
        <v>6223</v>
      </c>
      <c r="AG27">
        <f>_xll.EQNXTDZ($A$1,$B27,AG$1,$B$1)</f>
        <v>6586</v>
      </c>
      <c r="AH27">
        <f>_xll.EQNXTDZ($A$1,$B27,AH$1,$B$1)</f>
        <v>6245</v>
      </c>
      <c r="AI27">
        <f>_xll.EQNXTDZ($A$1,$B27,AI$1,$B$1)</f>
        <v>6548</v>
      </c>
      <c r="AJ27">
        <f>_xll.EQNXTDZ($A$1,$B27,AJ$1,$B$1)</f>
        <v>7605</v>
      </c>
      <c r="AK27">
        <f>_xll.EQNXTDZ($A$1,$B27,AK$1,$B$1)</f>
        <v>7977</v>
      </c>
      <c r="AL27">
        <f>_xll.EQNXTDZ($A$1,$B27,AL$1,$B$1)</f>
        <v>7766</v>
      </c>
      <c r="AM27">
        <f>_xll.EQNXTDZ($A$1,$B27,AM$1,$B$1)</f>
        <v>8005</v>
      </c>
      <c r="AN27">
        <f>_xll.EQNXTDZ($A$1,$B27,AN$1,$B$1)</f>
        <v>8307</v>
      </c>
      <c r="AO27">
        <f>_xll.EQNXTDZ($A$1,$B27,AO$1,$B$1)</f>
        <v>8842</v>
      </c>
      <c r="AP27">
        <f>_xll.EQNXTDZ($A$1,$B27,AP$1,$B$1)</f>
        <v>8433</v>
      </c>
      <c r="AQ27">
        <f>_xll.EQNXTDZ($A$1,$B27,AQ$1,$B$1)</f>
        <v>8484</v>
      </c>
      <c r="AR27">
        <f>_xll.EQNXTDZ($A$1,$B27,AR$1,$B$1)</f>
        <v>9420</v>
      </c>
      <c r="AS27">
        <f>_xll.EQNXTDZ($A$1,$B27,AS$1,$B$1)</f>
        <v>10056</v>
      </c>
      <c r="AT27">
        <f>_xll.EQNXTDZ($A$1,$B27,AT$1,$B$1)</f>
        <v>9587</v>
      </c>
      <c r="AU27">
        <f>_xll.EQNXTDZ($A$1,$B27,AU$1,$B$1)</f>
        <v>9535</v>
      </c>
      <c r="AV27">
        <f>_xll.EQNXTDZ($A$1,$B27,AV$1,$B$1)</f>
        <v>9934</v>
      </c>
      <c r="AW27">
        <f>_xll.EQNXTDZ($A$1,$B27,AW$1,$B$1)</f>
        <v>9795</v>
      </c>
      <c r="AX27">
        <f>_xll.EQNXTDZ($A$1,$B27,AX$1,$B$1)</f>
        <v>11403</v>
      </c>
      <c r="AY27">
        <f>_xll.EQNXTDZ($A$1,$B27,AY$1,$B$1)</f>
        <v>10170</v>
      </c>
      <c r="AZ27">
        <f>_xll.EQNXTDZ($A$1,$B27,AZ$1,$B$1)</f>
        <v>10413</v>
      </c>
      <c r="BA27">
        <f>_xll.EQNXTDZ($A$1,$B27,BA$1,$B$1)</f>
        <v>10873</v>
      </c>
      <c r="BB27">
        <f>_xll.EQNXTDZ($A$1,$B27,BB$1,$B$1)</f>
        <v>10962</v>
      </c>
      <c r="BC27">
        <f>_xll.EQNXTDZ($A$1,$B27,BC$1,$B$1)</f>
        <v>10880</v>
      </c>
      <c r="BD27">
        <f>_xll.EQNXTDZ($A$1,$B27,BD$1,$B$1)</f>
        <v>11411</v>
      </c>
      <c r="BE27">
        <f>_xll.EQNXTDZ($A$1,$B27,BE$1,$B$1)</f>
        <v>10384</v>
      </c>
      <c r="BF27">
        <f>_xll.EQNXTDZ($A$1,$B27,BF$1,$B$1)</f>
        <v>12221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0</v>
      </c>
      <c r="D28">
        <f>_xll.EQNXTDZ($A$1,$B28,D$1,$B$1)</f>
        <v>0</v>
      </c>
      <c r="E28">
        <f>_xll.EQNXTDZ($A$1,$B28,E$1,$B$1)</f>
        <v>0</v>
      </c>
      <c r="F28">
        <f>_xll.EQNXTDZ($A$1,$B28,F$1,$B$1)</f>
        <v>0</v>
      </c>
      <c r="G28">
        <f>_xll.EQNXTDZ($A$1,$B28,G$1,$B$1)</f>
        <v>0</v>
      </c>
      <c r="H28">
        <f>_xll.EQNXTDZ($A$1,$B28,H$1,$B$1)</f>
        <v>0</v>
      </c>
      <c r="I28">
        <f>_xll.EQNXTDZ($A$1,$B28,I$1,$B$1)</f>
        <v>0</v>
      </c>
      <c r="J28">
        <f>_xll.EQNXTDZ($A$1,$B28,J$1,$B$1)</f>
        <v>0</v>
      </c>
      <c r="K28">
        <f>_xll.EQNXTDZ($A$1,$B28,K$1,$B$1)</f>
        <v>0</v>
      </c>
      <c r="L28">
        <f>_xll.EQNXTDZ($A$1,$B28,L$1,$B$1)</f>
        <v>0</v>
      </c>
      <c r="M28">
        <f>_xll.EQNXTDZ($A$1,$B28,M$1,$B$1)</f>
        <v>0</v>
      </c>
      <c r="N28">
        <f>_xll.EQNXTDZ($A$1,$B28,N$1,$B$1)</f>
        <v>0</v>
      </c>
      <c r="O28">
        <f>_xll.EQNXTDZ($A$1,$B28,O$1,$B$1)</f>
        <v>313</v>
      </c>
      <c r="P28">
        <f>_xll.EQNXTDZ($A$1,$B28,P$1,$B$1)</f>
        <v>358</v>
      </c>
      <c r="Q28">
        <f>_xll.EQNXTDZ($A$1,$B28,Q$1,$B$1)</f>
        <v>369</v>
      </c>
      <c r="R28">
        <f>_xll.EQNXTDZ($A$1,$B28,R$1,$B$1)</f>
        <v>419</v>
      </c>
      <c r="S28">
        <f>_xll.EQNXTDZ($A$1,$B28,S$1,$B$1)</f>
        <v>400</v>
      </c>
      <c r="T28">
        <f>_xll.EQNXTDZ($A$1,$B28,T$1,$B$1)</f>
        <v>424</v>
      </c>
      <c r="U28">
        <f>_xll.EQNXTDZ($A$1,$B28,U$1,$B$1)</f>
        <v>433</v>
      </c>
      <c r="V28">
        <f>_xll.EQNXTDZ($A$1,$B28,V$1,$B$1)</f>
        <v>446</v>
      </c>
      <c r="W28">
        <f>_xll.EQNXTDZ($A$1,$B28,W$1,$B$1)</f>
        <v>450</v>
      </c>
      <c r="X28">
        <f>_xll.EQNXTDZ($A$1,$B28,X$1,$B$1)</f>
        <v>456</v>
      </c>
      <c r="Y28">
        <f>_xll.EQNXTDZ($A$1,$B28,Y$1,$B$1)</f>
        <v>498</v>
      </c>
      <c r="Z28">
        <f>_xll.EQNXTDZ($A$1,$B28,Z$1,$B$1)</f>
        <v>458</v>
      </c>
      <c r="AA28">
        <f>_xll.EQNXTDZ($A$1,$B28,AA$1,$B$1)</f>
        <v>436</v>
      </c>
      <c r="AB28">
        <f>_xll.EQNXTDZ($A$1,$B28,AB$1,$B$1)</f>
        <v>463</v>
      </c>
      <c r="AC28">
        <f>_xll.EQNXTDZ($A$1,$B28,AC$1,$B$1)</f>
        <v>580</v>
      </c>
      <c r="AD28">
        <f>_xll.EQNXTDZ($A$1,$B28,AD$1,$B$1)</f>
        <v>531</v>
      </c>
      <c r="AE28">
        <f>_xll.EQNXTDZ($A$1,$B28,AE$1,$B$1)</f>
        <v>681</v>
      </c>
      <c r="AF28">
        <f>_xll.EQNXTDZ($A$1,$B28,AF$1,$B$1)</f>
        <v>727</v>
      </c>
      <c r="AG28">
        <f>_xll.EQNXTDZ($A$1,$B28,AG$1,$B$1)</f>
        <v>737</v>
      </c>
      <c r="AH28">
        <f>_xll.EQNXTDZ($A$1,$B28,AH$1,$B$1)</f>
        <v>749</v>
      </c>
      <c r="AI28">
        <f>_xll.EQNXTDZ($A$1,$B28,AI$1,$B$1)</f>
        <v>756</v>
      </c>
      <c r="AJ28">
        <f>_xll.EQNXTDZ($A$1,$B28,AJ$1,$B$1)</f>
        <v>855</v>
      </c>
      <c r="AK28">
        <f>_xll.EQNXTDZ($A$1,$B28,AK$1,$B$1)</f>
        <v>826</v>
      </c>
      <c r="AL28">
        <f>_xll.EQNXTDZ($A$1,$B28,AL$1,$B$1)</f>
        <v>831</v>
      </c>
      <c r="AM28">
        <f>_xll.EQNXTDZ($A$1,$B28,AM$1,$B$1)</f>
        <v>829</v>
      </c>
      <c r="AN28">
        <f>_xll.EQNXTDZ($A$1,$B28,AN$1,$B$1)</f>
        <v>859</v>
      </c>
      <c r="AO28">
        <f>_xll.EQNXTDZ($A$1,$B28,AO$1,$B$1)</f>
        <v>899</v>
      </c>
      <c r="AP28">
        <f>_xll.EQNXTDZ($A$1,$B28,AP$1,$B$1)</f>
        <v>890</v>
      </c>
      <c r="AQ28">
        <f>_xll.EQNXTDZ($A$1,$B28,AQ$1,$B$1)</f>
        <v>950</v>
      </c>
      <c r="AR28">
        <f>_xll.EQNXTDZ($A$1,$B28,AR$1,$B$1)</f>
        <v>1029</v>
      </c>
      <c r="AS28">
        <f>_xll.EQNXTDZ($A$1,$B28,AS$1,$B$1)</f>
        <v>1125</v>
      </c>
      <c r="AT28">
        <f>_xll.EQNXTDZ($A$1,$B28,AT$1,$B$1)</f>
        <v>1121</v>
      </c>
      <c r="AU28">
        <f>_xll.EQNXTDZ($A$1,$B28,AU$1,$B$1)</f>
        <v>1173</v>
      </c>
      <c r="AV28">
        <f>_xll.EQNXTDZ($A$1,$B28,AV$1,$B$1)</f>
        <v>1166</v>
      </c>
      <c r="AW28">
        <f>_xll.EQNXTDZ($A$1,$B28,AW$1,$B$1)</f>
        <v>1176</v>
      </c>
      <c r="AX28">
        <f>_xll.EQNXTDZ($A$1,$B28,AX$1,$B$1)</f>
        <v>1163</v>
      </c>
      <c r="AY28">
        <f>_xll.EQNXTDZ($A$1,$B28,AY$1,$B$1)</f>
        <v>1149</v>
      </c>
      <c r="AZ28">
        <f>_xll.EQNXTDZ($A$1,$B28,AZ$1,$B$1)</f>
        <v>1160</v>
      </c>
      <c r="BA28">
        <f>_xll.EQNXTDZ($A$1,$B28,BA$1,$B$1)</f>
        <v>1203</v>
      </c>
      <c r="BB28">
        <f>_xll.EQNXTDZ($A$1,$B28,BB$1,$B$1)</f>
        <v>1299</v>
      </c>
      <c r="BC28">
        <f>_xll.EQNXTDZ($A$1,$B28,BC$1,$B$1)</f>
        <v>1140</v>
      </c>
      <c r="BD28">
        <f>_xll.EQNXTDZ($A$1,$B28,BD$1,$B$1)</f>
        <v>1182</v>
      </c>
      <c r="BE28">
        <f>_xll.EQNXTDZ($A$1,$B28,BE$1,$B$1)</f>
        <v>1155</v>
      </c>
      <c r="BF28">
        <f>_xll.EQNXTDZ($A$1,$B28,BF$1,$B$1)</f>
        <v>1424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880</v>
      </c>
      <c r="D29">
        <f>_xll.EQNXTDZ($A$1,$B29,D$1,$B$1)</f>
        <v>934</v>
      </c>
      <c r="E29">
        <f>_xll.EQNXTDZ($A$1,$B29,E$1,$B$1)</f>
        <v>811</v>
      </c>
      <c r="F29">
        <f>_xll.EQNXTDZ($A$1,$B29,F$1,$B$1)</f>
        <v>742</v>
      </c>
      <c r="G29">
        <f>_xll.EQNXTDZ($A$1,$B29,G$1,$B$1)</f>
        <v>867</v>
      </c>
      <c r="H29">
        <f>_xll.EQNXTDZ($A$1,$B29,H$1,$B$1)</f>
        <v>940</v>
      </c>
      <c r="I29">
        <f>_xll.EQNXTDZ($A$1,$B29,I$1,$B$1)</f>
        <v>1115</v>
      </c>
      <c r="J29">
        <f>_xll.EQNXTDZ($A$1,$B29,J$1,$B$1)</f>
        <v>1140</v>
      </c>
      <c r="K29">
        <f>_xll.EQNXTDZ($A$1,$B29,K$1,$B$1)</f>
        <v>1154</v>
      </c>
      <c r="L29">
        <f>_xll.EQNXTDZ($A$1,$B29,L$1,$B$1)</f>
        <v>1264</v>
      </c>
      <c r="M29">
        <f>_xll.EQNXTDZ($A$1,$B29,M$1,$B$1)</f>
        <v>1279</v>
      </c>
      <c r="N29">
        <f>_xll.EQNXTDZ($A$1,$B29,N$1,$B$1)</f>
        <v>1232</v>
      </c>
      <c r="O29">
        <f>_xll.EQNXTDZ($A$1,$B29,O$1,$B$1)</f>
        <v>1175</v>
      </c>
      <c r="P29">
        <f>_xll.EQNXTDZ($A$1,$B29,P$1,$B$1)</f>
        <v>1387</v>
      </c>
      <c r="Q29">
        <f>_xll.EQNXTDZ($A$1,$B29,Q$1,$B$1)</f>
        <v>1296</v>
      </c>
      <c r="R29">
        <f>_xll.EQNXTDZ($A$1,$B29,R$1,$B$1)</f>
        <v>1394</v>
      </c>
      <c r="S29">
        <f>_xll.EQNXTDZ($A$1,$B29,S$1,$B$1)</f>
        <v>1362</v>
      </c>
      <c r="T29">
        <f>_xll.EQNXTDZ($A$1,$B29,T$1,$B$1)</f>
        <v>1460</v>
      </c>
      <c r="U29">
        <f>_xll.EQNXTDZ($A$1,$B29,U$1,$B$1)</f>
        <v>1446</v>
      </c>
      <c r="V29">
        <f>_xll.EQNXTDZ($A$1,$B29,V$1,$B$1)</f>
        <v>1330</v>
      </c>
      <c r="W29">
        <f>_xll.EQNXTDZ($A$1,$B29,W$1,$B$1)</f>
        <v>1371</v>
      </c>
      <c r="X29">
        <f>_xll.EQNXTDZ($A$1,$B29,X$1,$B$1)</f>
        <v>1403</v>
      </c>
      <c r="Y29">
        <f>_xll.EQNXTDZ($A$1,$B29,Y$1,$B$1)</f>
        <v>152</v>
      </c>
      <c r="Z29">
        <f>_xll.EQNXTDZ($A$1,$B29,Z$1,$B$1)</f>
        <v>1316</v>
      </c>
      <c r="AA29">
        <f>_xll.EQNXTDZ($A$1,$B29,AA$1,$B$1)</f>
        <v>1381</v>
      </c>
      <c r="AB29">
        <f>_xll.EQNXTDZ($A$1,$B29,AB$1,$B$1)</f>
        <v>1523</v>
      </c>
      <c r="AC29">
        <f>_xll.EQNXTDZ($A$1,$B29,AC$1,$B$1)</f>
        <v>1522</v>
      </c>
      <c r="AD29">
        <f>_xll.EQNXTDZ($A$1,$B29,AD$1,$B$1)</f>
        <v>1205</v>
      </c>
      <c r="AE29">
        <f>_xll.EQNXTDZ($A$1,$B29,AE$1,$B$1)</f>
        <v>1365</v>
      </c>
      <c r="AF29">
        <f>_xll.EQNXTDZ($A$1,$B29,AF$1,$B$1)</f>
        <v>1459</v>
      </c>
      <c r="AG29">
        <f>_xll.EQNXTDZ($A$1,$B29,AG$1,$B$1)</f>
        <v>1383</v>
      </c>
      <c r="AH29">
        <f>_xll.EQNXTDZ($A$1,$B29,AH$1,$B$1)</f>
        <v>1161</v>
      </c>
      <c r="AI29">
        <f>_xll.EQNXTDZ($A$1,$B29,AI$1,$B$1)</f>
        <v>1520</v>
      </c>
      <c r="AJ29">
        <f>_xll.EQNXTDZ($A$1,$B29,AJ$1,$B$1)</f>
        <v>1892</v>
      </c>
      <c r="AK29">
        <f>_xll.EQNXTDZ($A$1,$B29,AK$1,$B$1)</f>
        <v>1936</v>
      </c>
      <c r="AL29">
        <f>_xll.EQNXTDZ($A$1,$B29,AL$1,$B$1)</f>
        <v>1857</v>
      </c>
      <c r="AM29">
        <f>_xll.EQNXTDZ($A$1,$B29,AM$1,$B$1)</f>
        <v>1975</v>
      </c>
      <c r="AN29">
        <f>_xll.EQNXTDZ($A$1,$B29,AN$1,$B$1)</f>
        <v>2020</v>
      </c>
      <c r="AO29">
        <f>_xll.EQNXTDZ($A$1,$B29,AO$1,$B$1)</f>
        <v>2121</v>
      </c>
      <c r="AP29">
        <f>_xll.EQNXTDZ($A$1,$B29,AP$1,$B$1)</f>
        <v>1848</v>
      </c>
      <c r="AQ29">
        <f>_xll.EQNXTDZ($A$1,$B29,AQ$1,$B$1)</f>
        <v>2172</v>
      </c>
      <c r="AR29">
        <f>_xll.EQNXTDZ($A$1,$B29,AR$1,$B$1)</f>
        <v>2365</v>
      </c>
      <c r="AS29">
        <f>_xll.EQNXTDZ($A$1,$B29,AS$1,$B$1)</f>
        <v>2345</v>
      </c>
      <c r="AT29">
        <f>_xll.EQNXTDZ($A$1,$B29,AT$1,$B$1)</f>
        <v>2332</v>
      </c>
      <c r="AU29">
        <f>_xll.EQNXTDZ($A$1,$B29,AU$1,$B$1)</f>
        <v>2417</v>
      </c>
      <c r="AV29">
        <f>_xll.EQNXTDZ($A$1,$B29,AV$1,$B$1)</f>
        <v>2553</v>
      </c>
      <c r="AW29">
        <f>_xll.EQNXTDZ($A$1,$B29,AW$1,$B$1)</f>
        <v>2506</v>
      </c>
      <c r="AX29">
        <f>_xll.EQNXTDZ($A$1,$B29,AX$1,$B$1)</f>
        <v>2265</v>
      </c>
      <c r="AY29">
        <f>_xll.EQNXTDZ($A$1,$B29,AY$1,$B$1)</f>
        <v>2647</v>
      </c>
      <c r="AZ29">
        <f>_xll.EQNXTDZ($A$1,$B29,AZ$1,$B$1)</f>
        <v>2737</v>
      </c>
      <c r="BA29">
        <f>_xll.EQNXTDZ($A$1,$B29,BA$1,$B$1)</f>
        <v>2848</v>
      </c>
      <c r="BB29">
        <f>_xll.EQNXTDZ($A$1,$B29,BB$1,$B$1)</f>
        <v>2625</v>
      </c>
      <c r="BC29">
        <f>_xll.EQNXTDZ($A$1,$B29,BC$1,$B$1)</f>
        <v>2816</v>
      </c>
      <c r="BD29">
        <f>_xll.EQNXTDZ($A$1,$B29,BD$1,$B$1)</f>
        <v>2854</v>
      </c>
      <c r="BE29">
        <f>_xll.EQNXTDZ($A$1,$B29,BE$1,$B$1)</f>
        <v>2563</v>
      </c>
      <c r="BF29">
        <f>_xll.EQNXTDZ($A$1,$B29,BF$1,$B$1)</f>
        <v>2288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2289</v>
      </c>
      <c r="D30">
        <f>_xll.EQNXTDZ($A$1,$B30,D$1,$B$1)</f>
        <v>2369</v>
      </c>
      <c r="E30">
        <f>_xll.EQNXTDZ($A$1,$B30,E$1,$B$1)</f>
        <v>2369</v>
      </c>
      <c r="F30">
        <f>_xll.EQNXTDZ($A$1,$B30,F$1,$B$1)</f>
        <v>2394</v>
      </c>
      <c r="G30">
        <f>_xll.EQNXTDZ($A$1,$B30,G$1,$B$1)</f>
        <v>2374</v>
      </c>
      <c r="H30">
        <f>_xll.EQNXTDZ($A$1,$B30,H$1,$B$1)</f>
        <v>2407</v>
      </c>
      <c r="I30">
        <f>_xll.EQNXTDZ($A$1,$B30,I$1,$B$1)</f>
        <v>2875</v>
      </c>
      <c r="J30">
        <f>_xll.EQNXTDZ($A$1,$B30,J$1,$B$1)</f>
        <v>2992</v>
      </c>
      <c r="K30">
        <f>_xll.EQNXTDZ($A$1,$B30,K$1,$B$1)</f>
        <v>2886</v>
      </c>
      <c r="L30">
        <f>_xll.EQNXTDZ($A$1,$B30,L$1,$B$1)</f>
        <v>3096</v>
      </c>
      <c r="M30">
        <f>_xll.EQNXTDZ($A$1,$B30,M$1,$B$1)</f>
        <v>3250</v>
      </c>
      <c r="N30">
        <f>_xll.EQNXTDZ($A$1,$B30,N$1,$B$1)</f>
        <v>3098</v>
      </c>
      <c r="O30">
        <f>_xll.EQNXTDZ($A$1,$B30,O$1,$B$1)</f>
        <v>3028</v>
      </c>
      <c r="P30">
        <f>_xll.EQNXTDZ($A$1,$B30,P$1,$B$1)</f>
        <v>3399</v>
      </c>
      <c r="Q30">
        <f>_xll.EQNXTDZ($A$1,$B30,Q$1,$B$1)</f>
        <v>3465</v>
      </c>
      <c r="R30">
        <f>_xll.EQNXTDZ($A$1,$B30,R$1,$B$1)</f>
        <v>3598</v>
      </c>
      <c r="S30">
        <f>_xll.EQNXTDZ($A$1,$B30,S$1,$B$1)</f>
        <v>3438</v>
      </c>
      <c r="T30">
        <f>_xll.EQNXTDZ($A$1,$B30,T$1,$B$1)</f>
        <v>3609</v>
      </c>
      <c r="U30">
        <f>_xll.EQNXTDZ($A$1,$B30,U$1,$B$1)</f>
        <v>3708</v>
      </c>
      <c r="V30">
        <f>_xll.EQNXTDZ($A$1,$B30,V$1,$B$1)</f>
        <v>3628</v>
      </c>
      <c r="W30">
        <f>_xll.EQNXTDZ($A$1,$B30,W$1,$B$1)</f>
        <v>3554</v>
      </c>
      <c r="X30">
        <f>_xll.EQNXTDZ($A$1,$B30,X$1,$B$1)</f>
        <v>3726</v>
      </c>
      <c r="Y30">
        <f>_xll.EQNXTDZ($A$1,$B30,Y$1,$B$1)</f>
        <v>5129</v>
      </c>
      <c r="Z30">
        <f>_xll.EQNXTDZ($A$1,$B30,Z$1,$B$1)</f>
        <v>3690</v>
      </c>
      <c r="AA30">
        <f>_xll.EQNXTDZ($A$1,$B30,AA$1,$B$1)</f>
        <v>3612</v>
      </c>
      <c r="AB30">
        <f>_xll.EQNXTDZ($A$1,$B30,AB$1,$B$1)</f>
        <v>4110</v>
      </c>
      <c r="AC30">
        <f>_xll.EQNXTDZ($A$1,$B30,AC$1,$B$1)</f>
        <v>3610</v>
      </c>
      <c r="AD30">
        <f>_xll.EQNXTDZ($A$1,$B30,AD$1,$B$1)</f>
        <v>4078</v>
      </c>
      <c r="AE30">
        <f>_xll.EQNXTDZ($A$1,$B30,AE$1,$B$1)</f>
        <v>3802</v>
      </c>
      <c r="AF30">
        <f>_xll.EQNXTDZ($A$1,$B30,AF$1,$B$1)</f>
        <v>4037</v>
      </c>
      <c r="AG30">
        <f>_xll.EQNXTDZ($A$1,$B30,AG$1,$B$1)</f>
        <v>4466</v>
      </c>
      <c r="AH30">
        <f>_xll.EQNXTDZ($A$1,$B30,AH$1,$B$1)</f>
        <v>4335</v>
      </c>
      <c r="AI30">
        <f>_xll.EQNXTDZ($A$1,$B30,AI$1,$B$1)</f>
        <v>4272</v>
      </c>
      <c r="AJ30">
        <f>_xll.EQNXTDZ($A$1,$B30,AJ$1,$B$1)</f>
        <v>4858</v>
      </c>
      <c r="AK30">
        <f>_xll.EQNXTDZ($A$1,$B30,AK$1,$B$1)</f>
        <v>5215</v>
      </c>
      <c r="AL30">
        <f>_xll.EQNXTDZ($A$1,$B30,AL$1,$B$1)</f>
        <v>5078</v>
      </c>
      <c r="AM30">
        <f>_xll.EQNXTDZ($A$1,$B30,AM$1,$B$1)</f>
        <v>5201</v>
      </c>
      <c r="AN30">
        <f>_xll.EQNXTDZ($A$1,$B30,AN$1,$B$1)</f>
        <v>5428</v>
      </c>
      <c r="AO30">
        <f>_xll.EQNXTDZ($A$1,$B30,AO$1,$B$1)</f>
        <v>5822</v>
      </c>
      <c r="AP30">
        <f>_xll.EQNXTDZ($A$1,$B30,AP$1,$B$1)</f>
        <v>5695</v>
      </c>
      <c r="AQ30">
        <f>_xll.EQNXTDZ($A$1,$B30,AQ$1,$B$1)</f>
        <v>5362</v>
      </c>
      <c r="AR30">
        <f>_xll.EQNXTDZ($A$1,$B30,AR$1,$B$1)</f>
        <v>6026</v>
      </c>
      <c r="AS30">
        <f>_xll.EQNXTDZ($A$1,$B30,AS$1,$B$1)</f>
        <v>6586</v>
      </c>
      <c r="AT30">
        <f>_xll.EQNXTDZ($A$1,$B30,AT$1,$B$1)</f>
        <v>6134</v>
      </c>
      <c r="AU30">
        <f>_xll.EQNXTDZ($A$1,$B30,AU$1,$B$1)</f>
        <v>5945</v>
      </c>
      <c r="AV30">
        <f>_xll.EQNXTDZ($A$1,$B30,AV$1,$B$1)</f>
        <v>6215</v>
      </c>
      <c r="AW30">
        <f>_xll.EQNXTDZ($A$1,$B30,AW$1,$B$1)</f>
        <v>6113</v>
      </c>
      <c r="AX30">
        <f>_xll.EQNXTDZ($A$1,$B30,AX$1,$B$1)</f>
        <v>7975</v>
      </c>
      <c r="AY30">
        <f>_xll.EQNXTDZ($A$1,$B30,AY$1,$B$1)</f>
        <v>6374</v>
      </c>
      <c r="AZ30">
        <f>_xll.EQNXTDZ($A$1,$B30,AZ$1,$B$1)</f>
        <v>6516</v>
      </c>
      <c r="BA30">
        <f>_xll.EQNXTDZ($A$1,$B30,BA$1,$B$1)</f>
        <v>6822</v>
      </c>
      <c r="BB30">
        <f>_xll.EQNXTDZ($A$1,$B30,BB$1,$B$1)</f>
        <v>7038</v>
      </c>
      <c r="BC30">
        <f>_xll.EQNXTDZ($A$1,$B30,BC$1,$B$1)</f>
        <v>6924</v>
      </c>
      <c r="BD30">
        <f>_xll.EQNXTDZ($A$1,$B30,BD$1,$B$1)</f>
        <v>7375</v>
      </c>
      <c r="BE30">
        <f>_xll.EQNXTDZ($A$1,$B30,BE$1,$B$1)</f>
        <v>6666</v>
      </c>
      <c r="BF30">
        <f>_xll.EQNXTDZ($A$1,$B30,BF$1,$B$1)</f>
        <v>8509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-1</v>
      </c>
      <c r="AD34">
        <f>_xll.EQNXTDZ($A$1,$B34,AD$1,$B$1)</f>
        <v>-4</v>
      </c>
      <c r="AE34">
        <f>_xll.EQNXTDZ($A$1,$B34,AE$1,$B$1)</f>
        <v>-4</v>
      </c>
      <c r="AF34">
        <f>_xll.EQNXTDZ($A$1,$B34,AF$1,$B$1)</f>
        <v>-18</v>
      </c>
      <c r="AG34">
        <f>_xll.EQNXTDZ($A$1,$B34,AG$1,$B$1)</f>
        <v>-9</v>
      </c>
      <c r="AH34">
        <f>_xll.EQNXTDZ($A$1,$B34,AH$1,$B$1)</f>
        <v>-14</v>
      </c>
      <c r="AI34">
        <f>_xll.EQNXTDZ($A$1,$B34,AI$1,$B$1)</f>
        <v>-39</v>
      </c>
      <c r="AJ34">
        <f>_xll.EQNXTDZ($A$1,$B34,AJ$1,$B$1)</f>
        <v>-13</v>
      </c>
      <c r="AK34">
        <f>_xll.EQNXTDZ($A$1,$B34,AK$1,$B$1)</f>
        <v>-18</v>
      </c>
      <c r="AL34">
        <f>_xll.EQNXTDZ($A$1,$B34,AL$1,$B$1)</f>
        <v>-2</v>
      </c>
      <c r="AM34">
        <f>_xll.EQNXTDZ($A$1,$B34,AM$1,$B$1)</f>
        <v>-6</v>
      </c>
      <c r="AN34">
        <f>_xll.EQNXTDZ($A$1,$B34,AN$1,$B$1)</f>
        <v>-7</v>
      </c>
      <c r="AO34">
        <f>_xll.EQNXTDZ($A$1,$B34,AO$1,$B$1)</f>
        <v>-13</v>
      </c>
      <c r="AP34">
        <f>_xll.EQNXTDZ($A$1,$B34,AP$1,$B$1)</f>
        <v>-9</v>
      </c>
      <c r="AQ34">
        <f>_xll.EQNXTDZ($A$1,$B34,AQ$1,$B$1)</f>
        <v>-2</v>
      </c>
      <c r="AR34">
        <f>_xll.EQNXTDZ($A$1,$B34,AR$1,$B$1)</f>
        <v>-5</v>
      </c>
      <c r="AS34">
        <f>_xll.EQNXTDZ($A$1,$B34,AS$1,$B$1)</f>
        <v>0</v>
      </c>
      <c r="AT34">
        <f>_xll.EQNXTDZ($A$1,$B34,AT$1,$B$1)</f>
        <v>-6</v>
      </c>
      <c r="AU34">
        <f>_xll.EQNXTDZ($A$1,$B34,AU$1,$B$1)</f>
        <v>0</v>
      </c>
      <c r="AV34">
        <f>_xll.EQNXTDZ($A$1,$B34,AV$1,$B$1)</f>
        <v>-3</v>
      </c>
      <c r="AW34">
        <f>_xll.EQNXTDZ($A$1,$B34,AW$1,$B$1)</f>
        <v>-7</v>
      </c>
      <c r="AX34">
        <f>_xll.EQNXTDZ($A$1,$B34,AX$1,$B$1)</f>
        <v>-6</v>
      </c>
      <c r="AY34">
        <f>_xll.EQNXTDZ($A$1,$B34,AY$1,$B$1)</f>
        <v>-6</v>
      </c>
      <c r="AZ34">
        <f>_xll.EQNXTDZ($A$1,$B34,AZ$1,$B$1)</f>
        <v>-10</v>
      </c>
      <c r="BA34">
        <f>_xll.EQNXTDZ($A$1,$B34,BA$1,$B$1)</f>
        <v>-16</v>
      </c>
      <c r="BB34">
        <f>_xll.EQNXTDZ($A$1,$B34,BB$1,$B$1)</f>
        <v>-5</v>
      </c>
      <c r="BC34">
        <f>_xll.EQNXTDZ($A$1,$B34,BC$1,$B$1)</f>
        <v>-3</v>
      </c>
      <c r="BD34">
        <f>_xll.EQNXTDZ($A$1,$B34,BD$1,$B$1)</f>
        <v>-11</v>
      </c>
      <c r="BE34">
        <f>_xll.EQNXTDZ($A$1,$B34,BE$1,$B$1)</f>
        <v>-12</v>
      </c>
      <c r="BF34">
        <f>_xll.EQNXTDZ($A$1,$B34,BF$1,$B$1)</f>
        <v>-8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-1</v>
      </c>
      <c r="O35">
        <f>_xll.EQNXTDZ($A$1,$B35,O$1,$B$1)</f>
        <v>0</v>
      </c>
      <c r="P35">
        <f>_xll.EQNXTDZ($A$1,$B35,P$1,$B$1)</f>
        <v>-1</v>
      </c>
      <c r="Q35">
        <f>_xll.EQNXTDZ($A$1,$B35,Q$1,$B$1)</f>
        <v>0</v>
      </c>
      <c r="R35">
        <f>_xll.EQNXTDZ($A$1,$B35,R$1,$B$1)</f>
        <v>-1</v>
      </c>
      <c r="S35">
        <f>_xll.EQNXTDZ($A$1,$B35,S$1,$B$1)</f>
        <v>-2</v>
      </c>
      <c r="T35">
        <f>_xll.EQNXTDZ($A$1,$B35,T$1,$B$1)</f>
        <v>-3</v>
      </c>
      <c r="U35">
        <f>_xll.EQNXTDZ($A$1,$B35,U$1,$B$1)</f>
        <v>0</v>
      </c>
      <c r="V35">
        <f>_xll.EQNXTDZ($A$1,$B35,V$1,$B$1)</f>
        <v>-25</v>
      </c>
      <c r="W35">
        <f>_xll.EQNXTDZ($A$1,$B35,W$1,$B$1)</f>
        <v>-71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0</v>
      </c>
      <c r="AP35">
        <f>_xll.EQNXTDZ($A$1,$B35,AP$1,$B$1)</f>
        <v>0</v>
      </c>
      <c r="AQ35">
        <f>_xll.EQNXTDZ($A$1,$B35,AQ$1,$B$1)</f>
        <v>0</v>
      </c>
      <c r="AR35">
        <f>_xll.EQNXTDZ($A$1,$B35,AR$1,$B$1)</f>
        <v>0</v>
      </c>
      <c r="AS35">
        <f>_xll.EQNXTDZ($A$1,$B35,AS$1,$B$1)</f>
        <v>0</v>
      </c>
      <c r="AT35">
        <f>_xll.EQNXTDZ($A$1,$B35,AT$1,$B$1)</f>
        <v>0</v>
      </c>
      <c r="AU35">
        <f>_xll.EQNXTDZ($A$1,$B35,AU$1,$B$1)</f>
        <v>0</v>
      </c>
      <c r="AV35">
        <f>_xll.EQNXTDZ($A$1,$B35,AV$1,$B$1)</f>
        <v>0</v>
      </c>
      <c r="AW35">
        <f>_xll.EQNXTDZ($A$1,$B35,AW$1,$B$1)</f>
        <v>0</v>
      </c>
      <c r="AX35">
        <f>_xll.EQNXTDZ($A$1,$B35,AX$1,$B$1)</f>
        <v>0</v>
      </c>
      <c r="AY35">
        <f>_xll.EQNXTDZ($A$1,$B35,AY$1,$B$1)</f>
        <v>0</v>
      </c>
      <c r="AZ35">
        <f>_xll.EQNXTDZ($A$1,$B35,AZ$1,$B$1)</f>
        <v>0</v>
      </c>
      <c r="BA35">
        <f>_xll.EQNXTDZ($A$1,$B35,BA$1,$B$1)</f>
        <v>0</v>
      </c>
      <c r="BB35">
        <f>_xll.EQNXTDZ($A$1,$B35,BB$1,$B$1)</f>
        <v>0</v>
      </c>
      <c r="BC35">
        <f>_xll.EQNXTDZ($A$1,$B35,BC$1,$B$1)</f>
        <v>0</v>
      </c>
      <c r="BD35">
        <f>_xll.EQNXTDZ($A$1,$B35,BD$1,$B$1)</f>
        <v>0</v>
      </c>
      <c r="BE35">
        <f>_xll.EQNXTDZ($A$1,$B35,BE$1,$B$1)</f>
        <v>0</v>
      </c>
      <c r="BF35">
        <f>_xll.EQNXTDZ($A$1,$B35,BF$1,$B$1)</f>
        <v>0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2289</v>
      </c>
      <c r="D38">
        <f>_xll.EQNXTDZ($A$1,$B38,D$1,$B$1)</f>
        <v>2369</v>
      </c>
      <c r="E38">
        <f>_xll.EQNXTDZ($A$1,$B38,E$1,$B$1)</f>
        <v>2369</v>
      </c>
      <c r="F38">
        <f>_xll.EQNXTDZ($A$1,$B38,F$1,$B$1)</f>
        <v>2394</v>
      </c>
      <c r="G38">
        <f>_xll.EQNXTDZ($A$1,$B38,G$1,$B$1)</f>
        <v>2374</v>
      </c>
      <c r="H38">
        <f>_xll.EQNXTDZ($A$1,$B38,H$1,$B$1)</f>
        <v>2407</v>
      </c>
      <c r="I38">
        <f>_xll.EQNXTDZ($A$1,$B38,I$1,$B$1)</f>
        <v>2875</v>
      </c>
      <c r="J38">
        <f>_xll.EQNXTDZ($A$1,$B38,J$1,$B$1)</f>
        <v>2992</v>
      </c>
      <c r="K38">
        <f>_xll.EQNXTDZ($A$1,$B38,K$1,$B$1)</f>
        <v>2886</v>
      </c>
      <c r="L38">
        <f>_xll.EQNXTDZ($A$1,$B38,L$1,$B$1)</f>
        <v>3096</v>
      </c>
      <c r="M38">
        <f>_xll.EQNXTDZ($A$1,$B38,M$1,$B$1)</f>
        <v>3250</v>
      </c>
      <c r="N38">
        <f>_xll.EQNXTDZ($A$1,$B38,N$1,$B$1)</f>
        <v>3097</v>
      </c>
      <c r="O38">
        <f>_xll.EQNXTDZ($A$1,$B38,O$1,$B$1)</f>
        <v>3028</v>
      </c>
      <c r="P38">
        <f>_xll.EQNXTDZ($A$1,$B38,P$1,$B$1)</f>
        <v>3398</v>
      </c>
      <c r="Q38">
        <f>_xll.EQNXTDZ($A$1,$B38,Q$1,$B$1)</f>
        <v>3465</v>
      </c>
      <c r="R38">
        <f>_xll.EQNXTDZ($A$1,$B38,R$1,$B$1)</f>
        <v>3597</v>
      </c>
      <c r="S38">
        <f>_xll.EQNXTDZ($A$1,$B38,S$1,$B$1)</f>
        <v>3436</v>
      </c>
      <c r="T38">
        <f>_xll.EQNXTDZ($A$1,$B38,T$1,$B$1)</f>
        <v>3606</v>
      </c>
      <c r="U38">
        <f>_xll.EQNXTDZ($A$1,$B38,U$1,$B$1)</f>
        <v>3708</v>
      </c>
      <c r="V38">
        <f>_xll.EQNXTDZ($A$1,$B38,V$1,$B$1)</f>
        <v>3603</v>
      </c>
      <c r="W38">
        <f>_xll.EQNXTDZ($A$1,$B38,W$1,$B$1)</f>
        <v>3483</v>
      </c>
      <c r="X38">
        <f>_xll.EQNXTDZ($A$1,$B38,X$1,$B$1)</f>
        <v>3726</v>
      </c>
      <c r="Y38">
        <f>_xll.EQNXTDZ($A$1,$B38,Y$1,$B$1)</f>
        <v>5129</v>
      </c>
      <c r="Z38">
        <f>_xll.EQNXTDZ($A$1,$B38,Z$1,$B$1)</f>
        <v>3690</v>
      </c>
      <c r="AA38">
        <f>_xll.EQNXTDZ($A$1,$B38,AA$1,$B$1)</f>
        <v>3612</v>
      </c>
      <c r="AB38">
        <f>_xll.EQNXTDZ($A$1,$B38,AB$1,$B$1)</f>
        <v>4110</v>
      </c>
      <c r="AC38">
        <f>_xll.EQNXTDZ($A$1,$B38,AC$1,$B$1)</f>
        <v>3609</v>
      </c>
      <c r="AD38">
        <f>_xll.EQNXTDZ($A$1,$B38,AD$1,$B$1)</f>
        <v>4074</v>
      </c>
      <c r="AE38">
        <f>_xll.EQNXTDZ($A$1,$B38,AE$1,$B$1)</f>
        <v>3798</v>
      </c>
      <c r="AF38">
        <f>_xll.EQNXTDZ($A$1,$B38,AF$1,$B$1)</f>
        <v>4019</v>
      </c>
      <c r="AG38">
        <f>_xll.EQNXTDZ($A$1,$B38,AG$1,$B$1)</f>
        <v>4457</v>
      </c>
      <c r="AH38">
        <f>_xll.EQNXTDZ($A$1,$B38,AH$1,$B$1)</f>
        <v>4321</v>
      </c>
      <c r="AI38">
        <f>_xll.EQNXTDZ($A$1,$B38,AI$1,$B$1)</f>
        <v>4233</v>
      </c>
      <c r="AJ38">
        <f>_xll.EQNXTDZ($A$1,$B38,AJ$1,$B$1)</f>
        <v>4845</v>
      </c>
      <c r="AK38">
        <f>_xll.EQNXTDZ($A$1,$B38,AK$1,$B$1)</f>
        <v>5197</v>
      </c>
      <c r="AL38">
        <f>_xll.EQNXTDZ($A$1,$B38,AL$1,$B$1)</f>
        <v>5076</v>
      </c>
      <c r="AM38">
        <f>_xll.EQNXTDZ($A$1,$B38,AM$1,$B$1)</f>
        <v>5195</v>
      </c>
      <c r="AN38">
        <f>_xll.EQNXTDZ($A$1,$B38,AN$1,$B$1)</f>
        <v>5421</v>
      </c>
      <c r="AO38">
        <f>_xll.EQNXTDZ($A$1,$B38,AO$1,$B$1)</f>
        <v>5809</v>
      </c>
      <c r="AP38">
        <f>_xll.EQNXTDZ($A$1,$B38,AP$1,$B$1)</f>
        <v>5686</v>
      </c>
      <c r="AQ38">
        <f>_xll.EQNXTDZ($A$1,$B38,AQ$1,$B$1)</f>
        <v>5360</v>
      </c>
      <c r="AR38">
        <f>_xll.EQNXTDZ($A$1,$B38,AR$1,$B$1)</f>
        <v>6021</v>
      </c>
      <c r="AS38">
        <f>_xll.EQNXTDZ($A$1,$B38,AS$1,$B$1)</f>
        <v>6586</v>
      </c>
      <c r="AT38">
        <f>_xll.EQNXTDZ($A$1,$B38,AT$1,$B$1)</f>
        <v>6128</v>
      </c>
      <c r="AU38">
        <f>_xll.EQNXTDZ($A$1,$B38,AU$1,$B$1)</f>
        <v>5945</v>
      </c>
      <c r="AV38">
        <f>_xll.EQNXTDZ($A$1,$B38,AV$1,$B$1)</f>
        <v>6212</v>
      </c>
      <c r="AW38">
        <f>_xll.EQNXTDZ($A$1,$B38,AW$1,$B$1)</f>
        <v>6106</v>
      </c>
      <c r="AX38">
        <f>_xll.EQNXTDZ($A$1,$B38,AX$1,$B$1)</f>
        <v>7969</v>
      </c>
      <c r="AY38">
        <f>_xll.EQNXTDZ($A$1,$B38,AY$1,$B$1)</f>
        <v>6368</v>
      </c>
      <c r="AZ38">
        <f>_xll.EQNXTDZ($A$1,$B38,AZ$1,$B$1)</f>
        <v>6506</v>
      </c>
      <c r="BA38">
        <f>_xll.EQNXTDZ($A$1,$B38,BA$1,$B$1)</f>
        <v>6806</v>
      </c>
      <c r="BB38">
        <f>_xll.EQNXTDZ($A$1,$B38,BB$1,$B$1)</f>
        <v>7033</v>
      </c>
      <c r="BC38">
        <f>_xll.EQNXTDZ($A$1,$B38,BC$1,$B$1)</f>
        <v>6921</v>
      </c>
      <c r="BD38">
        <f>_xll.EQNXTDZ($A$1,$B38,BD$1,$B$1)</f>
        <v>7364</v>
      </c>
      <c r="BE38">
        <f>_xll.EQNXTDZ($A$1,$B38,BE$1,$B$1)</f>
        <v>6654</v>
      </c>
      <c r="BF38">
        <f>_xll.EQNXTDZ($A$1,$B38,BF$1,$B$1)</f>
        <v>8501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137</v>
      </c>
      <c r="P40">
        <f>_xll.EQNXTDZ($A$1,$B40,P$1,$B$1)</f>
        <v>55</v>
      </c>
      <c r="Q40">
        <f>_xll.EQNXTDZ($A$1,$B40,Q$1,$B$1)</f>
        <v>7</v>
      </c>
      <c r="R40">
        <f>_xll.EQNXTDZ($A$1,$B40,R$1,$B$1)</f>
        <v>93</v>
      </c>
      <c r="S40">
        <f>_xll.EQNXTDZ($A$1,$B40,S$1,$B$1)</f>
        <v>21</v>
      </c>
      <c r="T40">
        <f>_xll.EQNXTDZ($A$1,$B40,T$1,$B$1)</f>
        <v>-89</v>
      </c>
      <c r="U40">
        <f>_xll.EQNXTDZ($A$1,$B40,U$1,$B$1)</f>
        <v>-29</v>
      </c>
      <c r="V40">
        <f>_xll.EQNXTDZ($A$1,$B40,V$1,$B$1)</f>
        <v>-181</v>
      </c>
      <c r="W40">
        <f>_xll.EQNXTDZ($A$1,$B40,W$1,$B$1)</f>
        <v>65</v>
      </c>
      <c r="X40">
        <f>_xll.EQNXTDZ($A$1,$B40,X$1,$B$1)</f>
        <v>138</v>
      </c>
      <c r="Y40">
        <f>_xll.EQNXTDZ($A$1,$B40,Y$1,$B$1)</f>
        <v>-90</v>
      </c>
      <c r="Z40">
        <f>_xll.EQNXTDZ($A$1,$B40,Z$1,$B$1)</f>
        <v>230</v>
      </c>
      <c r="AA40">
        <f>_xll.EQNXTDZ($A$1,$B40,AA$1,$B$1)</f>
        <v>56</v>
      </c>
      <c r="AB40">
        <f>_xll.EQNXTDZ($A$1,$B40,AB$1,$B$1)</f>
        <v>301</v>
      </c>
      <c r="AC40">
        <f>_xll.EQNXTDZ($A$1,$B40,AC$1,$B$1)</f>
        <v>-161</v>
      </c>
      <c r="AD40">
        <f>_xll.EQNXTDZ($A$1,$B40,AD$1,$B$1)</f>
        <v>-62</v>
      </c>
      <c r="AE40">
        <f>_xll.EQNXTDZ($A$1,$B40,AE$1,$B$1)</f>
        <v>3</v>
      </c>
      <c r="AF40">
        <f>_xll.EQNXTDZ($A$1,$B40,AF$1,$B$1)</f>
        <v>-36</v>
      </c>
      <c r="AG40">
        <f>_xll.EQNXTDZ($A$1,$B40,AG$1,$B$1)</f>
        <v>-45</v>
      </c>
      <c r="AH40">
        <f>_xll.EQNXTDZ($A$1,$B40,AH$1,$B$1)</f>
        <v>229</v>
      </c>
      <c r="AI40">
        <f>_xll.EQNXTDZ($A$1,$B40,AI$1,$B$1)</f>
        <v>358</v>
      </c>
      <c r="AJ40">
        <f>_xll.EQNXTDZ($A$1,$B40,AJ$1,$B$1)</f>
        <v>5</v>
      </c>
      <c r="AK40">
        <f>_xll.EQNXTDZ($A$1,$B40,AK$1,$B$1)</f>
        <v>457</v>
      </c>
      <c r="AL40">
        <f>_xll.EQNXTDZ($A$1,$B40,AL$1,$B$1)</f>
        <v>-514</v>
      </c>
      <c r="AM40">
        <f>_xll.EQNXTDZ($A$1,$B40,AM$1,$B$1)</f>
        <v>301</v>
      </c>
      <c r="AN40">
        <f>_xll.EQNXTDZ($A$1,$B40,AN$1,$B$1)</f>
        <v>-51</v>
      </c>
      <c r="AO40">
        <f>_xll.EQNXTDZ($A$1,$B40,AO$1,$B$1)</f>
        <v>-170</v>
      </c>
      <c r="AP40">
        <f>_xll.EQNXTDZ($A$1,$B40,AP$1,$B$1)</f>
        <v>102</v>
      </c>
      <c r="AQ40">
        <f>_xll.EQNXTDZ($A$1,$B40,AQ$1,$B$1)</f>
        <v>-376</v>
      </c>
      <c r="AR40">
        <f>_xll.EQNXTDZ($A$1,$B40,AR$1,$B$1)</f>
        <v>44</v>
      </c>
      <c r="AS40">
        <f>_xll.EQNXTDZ($A$1,$B40,AS$1,$B$1)</f>
        <v>697</v>
      </c>
      <c r="AT40">
        <f>_xll.EQNXTDZ($A$1,$B40,AT$1,$B$1)</f>
        <v>149</v>
      </c>
      <c r="AU40">
        <f>_xll.EQNXTDZ($A$1,$B40,AU$1,$B$1)</f>
        <v>184</v>
      </c>
      <c r="AV40">
        <f>_xll.EQNXTDZ($A$1,$B40,AV$1,$B$1)</f>
        <v>-16</v>
      </c>
      <c r="AW40">
        <f>_xll.EQNXTDZ($A$1,$B40,AW$1,$B$1)</f>
        <v>504</v>
      </c>
      <c r="AX40">
        <f>_xll.EQNXTDZ($A$1,$B40,AX$1,$B$1)</f>
        <v>-152</v>
      </c>
      <c r="AY40">
        <f>_xll.EQNXTDZ($A$1,$B40,AY$1,$B$1)</f>
        <v>-33</v>
      </c>
      <c r="AZ40">
        <f>_xll.EQNXTDZ($A$1,$B40,AZ$1,$B$1)</f>
        <v>694</v>
      </c>
      <c r="BA40">
        <f>_xll.EQNXTDZ($A$1,$B40,BA$1,$B$1)</f>
        <v>-477</v>
      </c>
      <c r="BB40">
        <f>_xll.EQNXTDZ($A$1,$B40,BB$1,$B$1)</f>
        <v>275</v>
      </c>
      <c r="BC40">
        <f>_xll.EQNXTDZ($A$1,$B40,BC$1,$B$1)</f>
        <v>1113</v>
      </c>
      <c r="BD40">
        <f>_xll.EQNXTDZ($A$1,$B40,BD$1,$B$1)</f>
        <v>782</v>
      </c>
      <c r="BE40">
        <f>_xll.EQNXTDZ($A$1,$B40,BE$1,$B$1)</f>
        <v>387</v>
      </c>
      <c r="BF40">
        <f>_xll.EQNXTDZ($A$1,$B40,BF$1,$B$1)</f>
        <v>1055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3165</v>
      </c>
      <c r="P41">
        <f>_xll.EQNXTDZ($A$1,$B41,P$1,$B$1)</f>
        <v>3453</v>
      </c>
      <c r="Q41">
        <f>_xll.EQNXTDZ($A$1,$B41,Q$1,$B$1)</f>
        <v>3472</v>
      </c>
      <c r="R41">
        <f>_xll.EQNXTDZ($A$1,$B41,R$1,$B$1)</f>
        <v>3690</v>
      </c>
      <c r="S41">
        <f>_xll.EQNXTDZ($A$1,$B41,S$1,$B$1)</f>
        <v>3457</v>
      </c>
      <c r="T41">
        <f>_xll.EQNXTDZ($A$1,$B41,T$1,$B$1)</f>
        <v>3517</v>
      </c>
      <c r="U41">
        <f>_xll.EQNXTDZ($A$1,$B41,U$1,$B$1)</f>
        <v>3679</v>
      </c>
      <c r="V41">
        <f>_xll.EQNXTDZ($A$1,$B41,V$1,$B$1)</f>
        <v>3422</v>
      </c>
      <c r="W41">
        <f>_xll.EQNXTDZ($A$1,$B41,W$1,$B$1)</f>
        <v>3548</v>
      </c>
      <c r="X41">
        <f>_xll.EQNXTDZ($A$1,$B41,X$1,$B$1)</f>
        <v>3864</v>
      </c>
      <c r="Y41">
        <f>_xll.EQNXTDZ($A$1,$B41,Y$1,$B$1)</f>
        <v>5039</v>
      </c>
      <c r="Z41">
        <f>_xll.EQNXTDZ($A$1,$B41,Z$1,$B$1)</f>
        <v>3920</v>
      </c>
      <c r="AA41">
        <f>_xll.EQNXTDZ($A$1,$B41,AA$1,$B$1)</f>
        <v>3668</v>
      </c>
      <c r="AB41">
        <f>_xll.EQNXTDZ($A$1,$B41,AB$1,$B$1)</f>
        <v>4411</v>
      </c>
      <c r="AC41">
        <f>_xll.EQNXTDZ($A$1,$B41,AC$1,$B$1)</f>
        <v>3448</v>
      </c>
      <c r="AD41">
        <f>_xll.EQNXTDZ($A$1,$B41,AD$1,$B$1)</f>
        <v>4012</v>
      </c>
      <c r="AE41">
        <f>_xll.EQNXTDZ($A$1,$B41,AE$1,$B$1)</f>
        <v>3798</v>
      </c>
      <c r="AF41">
        <f>_xll.EQNXTDZ($A$1,$B41,AF$1,$B$1)</f>
        <v>3984</v>
      </c>
      <c r="AG41">
        <f>_xll.EQNXTDZ($A$1,$B41,AG$1,$B$1)</f>
        <v>4406</v>
      </c>
      <c r="AH41">
        <f>_xll.EQNXTDZ($A$1,$B41,AH$1,$B$1)</f>
        <v>4545</v>
      </c>
      <c r="AI41">
        <f>_xll.EQNXTDZ($A$1,$B41,AI$1,$B$1)</f>
        <v>4586</v>
      </c>
      <c r="AJ41">
        <f>_xll.EQNXTDZ($A$1,$B41,AJ$1,$B$1)</f>
        <v>4847</v>
      </c>
      <c r="AK41">
        <f>_xll.EQNXTDZ($A$1,$B41,AK$1,$B$1)</f>
        <v>5647</v>
      </c>
      <c r="AL41">
        <f>_xll.EQNXTDZ($A$1,$B41,AL$1,$B$1)</f>
        <v>4570</v>
      </c>
      <c r="AM41">
        <f>_xll.EQNXTDZ($A$1,$B41,AM$1,$B$1)</f>
        <v>5491</v>
      </c>
      <c r="AN41">
        <f>_xll.EQNXTDZ($A$1,$B41,AN$1,$B$1)</f>
        <v>5375</v>
      </c>
      <c r="AO41">
        <f>_xll.EQNXTDZ($A$1,$B41,AO$1,$B$1)</f>
        <v>5640</v>
      </c>
      <c r="AP41">
        <f>_xll.EQNXTDZ($A$1,$B41,AP$1,$B$1)</f>
        <v>5787</v>
      </c>
      <c r="AQ41">
        <f>_xll.EQNXTDZ($A$1,$B41,AQ$1,$B$1)</f>
        <v>4986</v>
      </c>
      <c r="AR41">
        <f>_xll.EQNXTDZ($A$1,$B41,AR$1,$B$1)</f>
        <v>6068</v>
      </c>
      <c r="AS41">
        <f>_xll.EQNXTDZ($A$1,$B41,AS$1,$B$1)</f>
        <v>7268</v>
      </c>
      <c r="AT41">
        <f>_xll.EQNXTDZ($A$1,$B41,AT$1,$B$1)</f>
        <v>6276</v>
      </c>
      <c r="AU41">
        <f>_xll.EQNXTDZ($A$1,$B41,AU$1,$B$1)</f>
        <v>6132</v>
      </c>
      <c r="AV41">
        <f>_xll.EQNXTDZ($A$1,$B41,AV$1,$B$1)</f>
        <v>6196</v>
      </c>
      <c r="AW41">
        <f>_xll.EQNXTDZ($A$1,$B41,AW$1,$B$1)</f>
        <v>6605</v>
      </c>
      <c r="AX41">
        <f>_xll.EQNXTDZ($A$1,$B41,AX$1,$B$1)</f>
        <v>7821</v>
      </c>
      <c r="AY41">
        <f>_xll.EQNXTDZ($A$1,$B41,AY$1,$B$1)</f>
        <v>6337</v>
      </c>
      <c r="AZ41">
        <f>_xll.EQNXTDZ($A$1,$B41,AZ$1,$B$1)</f>
        <v>7190</v>
      </c>
      <c r="BA41">
        <f>_xll.EQNXTDZ($A$1,$B41,BA$1,$B$1)</f>
        <v>6336</v>
      </c>
      <c r="BB41">
        <f>_xll.EQNXTDZ($A$1,$B41,BB$1,$B$1)</f>
        <v>7304</v>
      </c>
      <c r="BC41">
        <f>_xll.EQNXTDZ($A$1,$B41,BC$1,$B$1)</f>
        <v>8024</v>
      </c>
      <c r="BD41">
        <f>_xll.EQNXTDZ($A$1,$B41,BD$1,$B$1)</f>
        <v>8140</v>
      </c>
      <c r="BE41">
        <f>_xll.EQNXTDZ($A$1,$B41,BE$1,$B$1)</f>
        <v>7040</v>
      </c>
      <c r="BF41">
        <f>_xll.EQNXTDZ($A$1,$B41,BF$1,$B$1)</f>
        <v>9546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2289</v>
      </c>
      <c r="D42">
        <f>_xll.EQNXTDZ($A$1,$B42,D$1,$B$1)</f>
        <v>2369</v>
      </c>
      <c r="E42">
        <f>_xll.EQNXTDZ($A$1,$B42,E$1,$B$1)</f>
        <v>2369</v>
      </c>
      <c r="F42">
        <f>_xll.EQNXTDZ($A$1,$B42,F$1,$B$1)</f>
        <v>2394</v>
      </c>
      <c r="G42">
        <f>_xll.EQNXTDZ($A$1,$B42,G$1,$B$1)</f>
        <v>2374</v>
      </c>
      <c r="H42">
        <f>_xll.EQNXTDZ($A$1,$B42,H$1,$B$1)</f>
        <v>2407</v>
      </c>
      <c r="I42">
        <f>_xll.EQNXTDZ($A$1,$B42,I$1,$B$1)</f>
        <v>2875</v>
      </c>
      <c r="J42">
        <f>_xll.EQNXTDZ($A$1,$B42,J$1,$B$1)</f>
        <v>2992</v>
      </c>
      <c r="K42">
        <f>_xll.EQNXTDZ($A$1,$B42,K$1,$B$1)</f>
        <v>2886</v>
      </c>
      <c r="L42">
        <f>_xll.EQNXTDZ($A$1,$B42,L$1,$B$1)</f>
        <v>3096</v>
      </c>
      <c r="M42">
        <f>_xll.EQNXTDZ($A$1,$B42,M$1,$B$1)</f>
        <v>3250</v>
      </c>
      <c r="N42">
        <f>_xll.EQNXTDZ($A$1,$B42,N$1,$B$1)</f>
        <v>3097</v>
      </c>
      <c r="O42">
        <f>_xll.EQNXTDZ($A$1,$B42,O$1,$B$1)</f>
        <v>3028</v>
      </c>
      <c r="P42">
        <f>_xll.EQNXTDZ($A$1,$B42,P$1,$B$1)</f>
        <v>3398</v>
      </c>
      <c r="Q42">
        <f>_xll.EQNXTDZ($A$1,$B42,Q$1,$B$1)</f>
        <v>3465</v>
      </c>
      <c r="R42">
        <f>_xll.EQNXTDZ($A$1,$B42,R$1,$B$1)</f>
        <v>3597</v>
      </c>
      <c r="S42">
        <f>_xll.EQNXTDZ($A$1,$B42,S$1,$B$1)</f>
        <v>3436</v>
      </c>
      <c r="T42">
        <f>_xll.EQNXTDZ($A$1,$B42,T$1,$B$1)</f>
        <v>3606</v>
      </c>
      <c r="U42">
        <f>_xll.EQNXTDZ($A$1,$B42,U$1,$B$1)</f>
        <v>3708</v>
      </c>
      <c r="V42">
        <f>_xll.EQNXTDZ($A$1,$B42,V$1,$B$1)</f>
        <v>3603</v>
      </c>
      <c r="W42">
        <f>_xll.EQNXTDZ($A$1,$B42,W$1,$B$1)</f>
        <v>3483</v>
      </c>
      <c r="X42">
        <f>_xll.EQNXTDZ($A$1,$B42,X$1,$B$1)</f>
        <v>3726</v>
      </c>
      <c r="Y42">
        <f>_xll.EQNXTDZ($A$1,$B42,Y$1,$B$1)</f>
        <v>5129</v>
      </c>
      <c r="Z42">
        <f>_xll.EQNXTDZ($A$1,$B42,Z$1,$B$1)</f>
        <v>3690</v>
      </c>
      <c r="AA42">
        <f>_xll.EQNXTDZ($A$1,$B42,AA$1,$B$1)</f>
        <v>3612</v>
      </c>
      <c r="AB42">
        <f>_xll.EQNXTDZ($A$1,$B42,AB$1,$B$1)</f>
        <v>4110</v>
      </c>
      <c r="AC42">
        <f>_xll.EQNXTDZ($A$1,$B42,AC$1,$B$1)</f>
        <v>3609</v>
      </c>
      <c r="AD42">
        <f>_xll.EQNXTDZ($A$1,$B42,AD$1,$B$1)</f>
        <v>4074</v>
      </c>
      <c r="AE42">
        <f>_xll.EQNXTDZ($A$1,$B42,AE$1,$B$1)</f>
        <v>3798</v>
      </c>
      <c r="AF42">
        <f>_xll.EQNXTDZ($A$1,$B42,AF$1,$B$1)</f>
        <v>4019</v>
      </c>
      <c r="AG42">
        <f>_xll.EQNXTDZ($A$1,$B42,AG$1,$B$1)</f>
        <v>4457</v>
      </c>
      <c r="AH42">
        <f>_xll.EQNXTDZ($A$1,$B42,AH$1,$B$1)</f>
        <v>4321</v>
      </c>
      <c r="AI42">
        <f>_xll.EQNXTDZ($A$1,$B42,AI$1,$B$1)</f>
        <v>4233</v>
      </c>
      <c r="AJ42">
        <f>_xll.EQNXTDZ($A$1,$B42,AJ$1,$B$1)</f>
        <v>4845</v>
      </c>
      <c r="AK42">
        <f>_xll.EQNXTDZ($A$1,$B42,AK$1,$B$1)</f>
        <v>5197</v>
      </c>
      <c r="AL42">
        <f>_xll.EQNXTDZ($A$1,$B42,AL$1,$B$1)</f>
        <v>5076</v>
      </c>
      <c r="AM42">
        <f>_xll.EQNXTDZ($A$1,$B42,AM$1,$B$1)</f>
        <v>5195</v>
      </c>
      <c r="AN42">
        <f>_xll.EQNXTDZ($A$1,$B42,AN$1,$B$1)</f>
        <v>5421</v>
      </c>
      <c r="AO42">
        <f>_xll.EQNXTDZ($A$1,$B42,AO$1,$B$1)</f>
        <v>5809</v>
      </c>
      <c r="AP42">
        <f>_xll.EQNXTDZ($A$1,$B42,AP$1,$B$1)</f>
        <v>5686</v>
      </c>
      <c r="AQ42">
        <f>_xll.EQNXTDZ($A$1,$B42,AQ$1,$B$1)</f>
        <v>5360</v>
      </c>
      <c r="AR42">
        <f>_xll.EQNXTDZ($A$1,$B42,AR$1,$B$1)</f>
        <v>6021</v>
      </c>
      <c r="AS42">
        <f>_xll.EQNXTDZ($A$1,$B42,AS$1,$B$1)</f>
        <v>6586</v>
      </c>
      <c r="AT42">
        <f>_xll.EQNXTDZ($A$1,$B42,AT$1,$B$1)</f>
        <v>6128</v>
      </c>
      <c r="AU42">
        <f>_xll.EQNXTDZ($A$1,$B42,AU$1,$B$1)</f>
        <v>5945</v>
      </c>
      <c r="AV42">
        <f>_xll.EQNXTDZ($A$1,$B42,AV$1,$B$1)</f>
        <v>6212</v>
      </c>
      <c r="AW42">
        <f>_xll.EQNXTDZ($A$1,$B42,AW$1,$B$1)</f>
        <v>6106</v>
      </c>
      <c r="AX42">
        <f>_xll.EQNXTDZ($A$1,$B42,AX$1,$B$1)</f>
        <v>7969</v>
      </c>
      <c r="AY42">
        <f>_xll.EQNXTDZ($A$1,$B42,AY$1,$B$1)</f>
        <v>6368</v>
      </c>
      <c r="AZ42">
        <f>_xll.EQNXTDZ($A$1,$B42,AZ$1,$B$1)</f>
        <v>6506</v>
      </c>
      <c r="BA42">
        <f>_xll.EQNXTDZ($A$1,$B42,BA$1,$B$1)</f>
        <v>6806</v>
      </c>
      <c r="BB42">
        <f>_xll.EQNXTDZ($A$1,$B42,BB$1,$B$1)</f>
        <v>7033</v>
      </c>
      <c r="BC42">
        <f>_xll.EQNXTDZ($A$1,$B42,BC$1,$B$1)</f>
        <v>6921</v>
      </c>
      <c r="BD42">
        <f>_xll.EQNXTDZ($A$1,$B42,BD$1,$B$1)</f>
        <v>7364</v>
      </c>
      <c r="BE42">
        <f>_xll.EQNXTDZ($A$1,$B42,BE$1,$B$1)</f>
        <v>6654</v>
      </c>
      <c r="BF42">
        <f>_xll.EQNXTDZ($A$1,$B42,BF$1,$B$1)</f>
        <v>8501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286</v>
      </c>
      <c r="D45">
        <f>_xll.EQNXTDZ($A$1,$B45,D$1,$B$1)</f>
        <v>286</v>
      </c>
      <c r="E45">
        <f>_xll.EQNXTDZ($A$1,$B45,E$1,$B$1)</f>
        <v>286</v>
      </c>
      <c r="F45">
        <f>_xll.EQNXTDZ($A$1,$B45,F$1,$B$1)</f>
        <v>286</v>
      </c>
      <c r="G45">
        <f>_xll.EQNXTDZ($A$1,$B45,G$1,$B$1)</f>
        <v>286</v>
      </c>
      <c r="H45">
        <f>_xll.EQNXTDZ($A$1,$B45,H$1,$B$1)</f>
        <v>286</v>
      </c>
      <c r="I45">
        <f>_xll.EQNXTDZ($A$1,$B45,I$1,$B$1)</f>
        <v>286</v>
      </c>
      <c r="J45">
        <f>_xll.EQNXTDZ($A$1,$B45,J$1,$B$1)</f>
        <v>286</v>
      </c>
      <c r="K45">
        <f>_xll.EQNXTDZ($A$1,$B45,K$1,$B$1)</f>
        <v>286</v>
      </c>
      <c r="L45">
        <f>_xll.EQNXTDZ($A$1,$B45,L$1,$B$1)</f>
        <v>286</v>
      </c>
      <c r="M45">
        <f>_xll.EQNXTDZ($A$1,$B45,M$1,$B$1)</f>
        <v>572</v>
      </c>
      <c r="N45">
        <f>_xll.EQNXTDZ($A$1,$B45,N$1,$B$1)</f>
        <v>572</v>
      </c>
      <c r="O45">
        <f>_xll.EQNXTDZ($A$1,$B45,O$1,$B$1)</f>
        <v>1144</v>
      </c>
      <c r="P45">
        <f>_xll.EQNXTDZ($A$1,$B45,P$1,$B$1)</f>
        <v>1144</v>
      </c>
      <c r="Q45">
        <f>_xll.EQNXTDZ($A$1,$B45,Q$1,$B$1)</f>
        <v>1144</v>
      </c>
      <c r="R45">
        <f>_xll.EQNXTDZ($A$1,$B45,R$1,$B$1)</f>
        <v>1144</v>
      </c>
      <c r="S45">
        <f>_xll.EQNXTDZ($A$1,$B45,S$1,$B$1)</f>
        <v>1144</v>
      </c>
      <c r="T45">
        <f>_xll.EQNXTDZ($A$1,$B45,T$1,$B$1)</f>
        <v>1144</v>
      </c>
      <c r="U45">
        <f>_xll.EQNXTDZ($A$1,$B45,U$1,$B$1)</f>
        <v>1144</v>
      </c>
      <c r="V45">
        <f>_xll.EQNXTDZ($A$1,$B45,V$1,$B$1)</f>
        <v>1144</v>
      </c>
      <c r="W45">
        <f>_xll.EQNXTDZ($A$1,$B45,W$1,$B$1)</f>
        <v>1144</v>
      </c>
      <c r="X45">
        <f>_xll.EQNXTDZ($A$1,$B45,X$1,$B$1)</f>
        <v>1144</v>
      </c>
      <c r="Y45">
        <f>_xll.EQNXTDZ($A$1,$B45,Y$1,$B$1)</f>
        <v>1088</v>
      </c>
      <c r="Z45">
        <f>_xll.EQNXTDZ($A$1,$B45,Z$1,$B$1)</f>
        <v>1088</v>
      </c>
      <c r="AA45">
        <f>_xll.EQNXTDZ($A$1,$B45,AA$1,$B$1)</f>
        <v>1088</v>
      </c>
      <c r="AB45">
        <f>_xll.EQNXTDZ($A$1,$B45,AB$1,$B$1)</f>
        <v>2176</v>
      </c>
      <c r="AC45">
        <f>_xll.EQNXTDZ($A$1,$B45,AC$1,$B$1)</f>
        <v>2176</v>
      </c>
      <c r="AD45">
        <f>_xll.EQNXTDZ($A$1,$B45,AD$1,$B$1)</f>
        <v>2170</v>
      </c>
      <c r="AE45">
        <f>_xll.EQNXTDZ($A$1,$B45,AE$1,$B$1)</f>
        <v>2137</v>
      </c>
      <c r="AF45">
        <f>_xll.EQNXTDZ($A$1,$B45,AF$1,$B$1)</f>
        <v>2121</v>
      </c>
      <c r="AG45">
        <f>_xll.EQNXTDZ($A$1,$B45,AG$1,$B$1)</f>
        <v>2122</v>
      </c>
      <c r="AH45">
        <f>_xll.EQNXTDZ($A$1,$B45,AH$1,$B$1)</f>
        <v>2122</v>
      </c>
      <c r="AI45">
        <f>_xll.EQNXTDZ($A$1,$B45,AI$1,$B$1)</f>
        <v>2122</v>
      </c>
      <c r="AJ45">
        <f>_xll.EQNXTDZ($A$1,$B45,AJ$1,$B$1)</f>
        <v>2123</v>
      </c>
      <c r="AK45">
        <f>_xll.EQNXTDZ($A$1,$B45,AK$1,$B$1)</f>
        <v>2123</v>
      </c>
      <c r="AL45">
        <f>_xll.EQNXTDZ($A$1,$B45,AL$1,$B$1)</f>
        <v>2124</v>
      </c>
      <c r="AM45">
        <f>_xll.EQNXTDZ($A$1,$B45,AM$1,$B$1)</f>
        <v>2122</v>
      </c>
      <c r="AN45">
        <f>_xll.EQNXTDZ($A$1,$B45,AN$1,$B$1)</f>
        <v>2097</v>
      </c>
      <c r="AO45">
        <f>_xll.EQNXTDZ($A$1,$B45,AO$1,$B$1)</f>
        <v>2097</v>
      </c>
      <c r="AP45">
        <f>_xll.EQNXTDZ($A$1,$B45,AP$1,$B$1)</f>
        <v>2098</v>
      </c>
      <c r="AQ45">
        <f>_xll.EQNXTDZ($A$1,$B45,AQ$1,$B$1)</f>
        <v>2098</v>
      </c>
      <c r="AR45">
        <f>_xll.EQNXTDZ($A$1,$B45,AR$1,$B$1)</f>
        <v>2099</v>
      </c>
      <c r="AS45">
        <f>_xll.EQNXTDZ($A$1,$B45,AS$1,$B$1)</f>
        <v>2086</v>
      </c>
      <c r="AT45">
        <f>_xll.EQNXTDZ($A$1,$B45,AT$1,$B$1)</f>
        <v>2069</v>
      </c>
      <c r="AU45">
        <f>_xll.EQNXTDZ($A$1,$B45,AU$1,$B$1)</f>
        <v>2070</v>
      </c>
      <c r="AV45">
        <f>_xll.EQNXTDZ($A$1,$B45,AV$1,$B$1)</f>
        <v>2070</v>
      </c>
      <c r="AW45">
        <f>_xll.EQNXTDZ($A$1,$B45,AW$1,$B$1)</f>
        <v>2070</v>
      </c>
      <c r="AX45">
        <f>_xll.EQNXTDZ($A$1,$B45,AX$1,$B$1)</f>
        <v>2071</v>
      </c>
      <c r="AY45">
        <f>_xll.EQNXTDZ($A$1,$B45,AY$1,$B$1)</f>
        <v>2072</v>
      </c>
      <c r="AZ45">
        <f>_xll.EQNXTDZ($A$1,$B45,AZ$1,$B$1)</f>
        <v>2072</v>
      </c>
      <c r="BA45">
        <f>_xll.EQNXTDZ($A$1,$B45,BA$1,$B$1)</f>
        <v>2072</v>
      </c>
      <c r="BB45">
        <f>_xll.EQNXTDZ($A$1,$B45,BB$1,$B$1)</f>
        <v>2073</v>
      </c>
      <c r="BC45">
        <f>_xll.EQNXTDZ($A$1,$B45,BC$1,$B$1)</f>
        <v>2074</v>
      </c>
      <c r="BD45">
        <f>_xll.EQNXTDZ($A$1,$B45,BD$1,$B$1)</f>
        <v>2074</v>
      </c>
      <c r="BE45">
        <f>_xll.EQNXTDZ($A$1,$B45,BE$1,$B$1)</f>
        <v>2024</v>
      </c>
      <c r="BF45">
        <f>_xll.EQNXTDZ($A$1,$B45,BF$1,$B$1)</f>
        <v>2024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5</v>
      </c>
      <c r="D46">
        <f>_xll.EQNXTDZ($A$1,$B46,D$1,$B$1)</f>
        <v>5</v>
      </c>
      <c r="E46">
        <f>_xll.EQNXTDZ($A$1,$B46,E$1,$B$1)</f>
        <v>5</v>
      </c>
      <c r="F46">
        <f>_xll.EQNXTDZ($A$1,$B46,F$1,$B$1)</f>
        <v>5</v>
      </c>
      <c r="G46">
        <f>_xll.EQNXTDZ($A$1,$B46,G$1,$B$1)</f>
        <v>5</v>
      </c>
      <c r="H46">
        <f>_xll.EQNXTDZ($A$1,$B46,H$1,$B$1)</f>
        <v>5</v>
      </c>
      <c r="I46">
        <f>_xll.EQNXTDZ($A$1,$B46,I$1,$B$1)</f>
        <v>5</v>
      </c>
      <c r="J46">
        <f>_xll.EQNXTDZ($A$1,$B46,J$1,$B$1)</f>
        <v>5</v>
      </c>
      <c r="K46">
        <f>_xll.EQNXTDZ($A$1,$B46,K$1,$B$1)</f>
        <v>5</v>
      </c>
      <c r="L46">
        <f>_xll.EQNXTDZ($A$1,$B46,L$1,$B$1)</f>
        <v>5</v>
      </c>
      <c r="M46">
        <f>_xll.EQNXTDZ($A$1,$B46,M$1,$B$1)</f>
        <v>5</v>
      </c>
      <c r="N46">
        <f>_xll.EQNXTDZ($A$1,$B46,N$1,$B$1)</f>
        <v>5</v>
      </c>
      <c r="O46">
        <f>_xll.EQNXTDZ($A$1,$B46,O$1,$B$1)</f>
        <v>5</v>
      </c>
      <c r="P46">
        <f>_xll.EQNXTDZ($A$1,$B46,P$1,$B$1)</f>
        <v>5</v>
      </c>
      <c r="Q46">
        <f>_xll.EQNXTDZ($A$1,$B46,Q$1,$B$1)</f>
        <v>5</v>
      </c>
      <c r="R46">
        <f>_xll.EQNXTDZ($A$1,$B46,R$1,$B$1)</f>
        <v>5</v>
      </c>
      <c r="S46">
        <f>_xll.EQNXTDZ($A$1,$B46,S$1,$B$1)</f>
        <v>5</v>
      </c>
      <c r="T46">
        <f>_xll.EQNXTDZ($A$1,$B46,T$1,$B$1)</f>
        <v>5</v>
      </c>
      <c r="U46">
        <f>_xll.EQNXTDZ($A$1,$B46,U$1,$B$1)</f>
        <v>5</v>
      </c>
      <c r="V46">
        <f>_xll.EQNXTDZ($A$1,$B46,V$1,$B$1)</f>
        <v>5</v>
      </c>
      <c r="W46">
        <f>_xll.EQNXTDZ($A$1,$B46,W$1,$B$1)</f>
        <v>5</v>
      </c>
      <c r="X46">
        <f>_xll.EQNXTDZ($A$1,$B46,X$1,$B$1)</f>
        <v>5</v>
      </c>
      <c r="Y46">
        <f>_xll.EQNXTDZ($A$1,$B46,Y$1,$B$1)</f>
        <v>5</v>
      </c>
      <c r="Z46">
        <f>_xll.EQNXTDZ($A$1,$B46,Z$1,$B$1)</f>
        <v>5</v>
      </c>
      <c r="AA46">
        <f>_xll.EQNXTDZ($A$1,$B46,AA$1,$B$1)</f>
        <v>5</v>
      </c>
      <c r="AB46">
        <f>_xll.EQNXTDZ($A$1,$B46,AB$1,$B$1)</f>
        <v>5</v>
      </c>
      <c r="AC46">
        <f>_xll.EQNXTDZ($A$1,$B46,AC$1,$B$1)</f>
        <v>5</v>
      </c>
      <c r="AD46">
        <f>_xll.EQNXTDZ($A$1,$B46,AD$1,$B$1)</f>
        <v>5</v>
      </c>
      <c r="AE46">
        <f>_xll.EQNXTDZ($A$1,$B46,AE$1,$B$1)</f>
        <v>5</v>
      </c>
      <c r="AF46">
        <f>_xll.EQNXTDZ($A$1,$B46,AF$1,$B$1)</f>
        <v>5</v>
      </c>
      <c r="AG46">
        <f>_xll.EQNXTDZ($A$1,$B46,AG$1,$B$1)</f>
        <v>5</v>
      </c>
      <c r="AH46">
        <f>_xll.EQNXTDZ($A$1,$B46,AH$1,$B$1)</f>
        <v>5</v>
      </c>
      <c r="AI46">
        <f>_xll.EQNXTDZ($A$1,$B46,AI$1,$B$1)</f>
        <v>5</v>
      </c>
      <c r="AJ46">
        <f>_xll.EQNXTDZ($A$1,$B46,AJ$1,$B$1)</f>
        <v>5</v>
      </c>
      <c r="AK46">
        <f>_xll.EQNXTDZ($A$1,$B46,AK$1,$B$1)</f>
        <v>5</v>
      </c>
      <c r="AL46">
        <f>_xll.EQNXTDZ($A$1,$B46,AL$1,$B$1)</f>
        <v>5</v>
      </c>
      <c r="AM46">
        <f>_xll.EQNXTDZ($A$1,$B46,AM$1,$B$1)</f>
        <v>5</v>
      </c>
      <c r="AN46">
        <f>_xll.EQNXTDZ($A$1,$B46,AN$1,$B$1)</f>
        <v>5</v>
      </c>
      <c r="AO46">
        <f>_xll.EQNXTDZ($A$1,$B46,AO$1,$B$1)</f>
        <v>5</v>
      </c>
      <c r="AP46">
        <f>_xll.EQNXTDZ($A$1,$B46,AP$1,$B$1)</f>
        <v>5</v>
      </c>
      <c r="AQ46">
        <f>_xll.EQNXTDZ($A$1,$B46,AQ$1,$B$1)</f>
        <v>5</v>
      </c>
      <c r="AR46">
        <f>_xll.EQNXTDZ($A$1,$B46,AR$1,$B$1)</f>
        <v>5</v>
      </c>
      <c r="AS46">
        <f>_xll.EQNXTDZ($A$1,$B46,AS$1,$B$1)</f>
        <v>5</v>
      </c>
      <c r="AT46">
        <f>_xll.EQNXTDZ($A$1,$B46,AT$1,$B$1)</f>
        <v>5</v>
      </c>
      <c r="AU46">
        <f>_xll.EQNXTDZ($A$1,$B46,AU$1,$B$1)</f>
        <v>5</v>
      </c>
      <c r="AV46">
        <f>_xll.EQNXTDZ($A$1,$B46,AV$1,$B$1)</f>
        <v>5</v>
      </c>
      <c r="AW46">
        <f>_xll.EQNXTDZ($A$1,$B46,AW$1,$B$1)</f>
        <v>5</v>
      </c>
      <c r="AX46">
        <f>_xll.EQNXTDZ($A$1,$B46,AX$1,$B$1)</f>
        <v>5</v>
      </c>
      <c r="AY46">
        <f>_xll.EQNXTDZ($A$1,$B46,AY$1,$B$1)</f>
        <v>5</v>
      </c>
      <c r="AZ46">
        <f>_xll.EQNXTDZ($A$1,$B46,AZ$1,$B$1)</f>
        <v>5</v>
      </c>
      <c r="BA46">
        <f>_xll.EQNXTDZ($A$1,$B46,BA$1,$B$1)</f>
        <v>5</v>
      </c>
      <c r="BB46">
        <f>_xll.EQNXTDZ($A$1,$B46,BB$1,$B$1)</f>
        <v>5</v>
      </c>
      <c r="BC46">
        <f>_xll.EQNXTDZ($A$1,$B46,BC$1,$B$1)</f>
        <v>5</v>
      </c>
      <c r="BD46">
        <f>_xll.EQNXTDZ($A$1,$B46,BD$1,$B$1)</f>
        <v>5</v>
      </c>
      <c r="BE46">
        <f>_xll.EQNXTDZ($A$1,$B46,BE$1,$B$1)</f>
        <v>5</v>
      </c>
      <c r="BF46">
        <f>_xll.EQNXTDZ($A$1,$B46,BF$1,$B$1)</f>
        <v>5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201206</v>
      </c>
      <c r="D47">
        <f>_xll.EQNXTDZ($A$1,$B47,D$5)</f>
        <v>201209</v>
      </c>
      <c r="E47">
        <f>_xll.EQNXTDZ($A$1,$B47,E$5)</f>
        <v>201212</v>
      </c>
      <c r="F47">
        <f>_xll.EQNXTDZ($A$1,$B47,F$5)</f>
        <v>201303</v>
      </c>
      <c r="G47">
        <f>_xll.EQNXTDZ($A$1,$B47,G$5)</f>
        <v>201306</v>
      </c>
      <c r="H47">
        <f>_xll.EQNXTDZ($A$1,$B47,H$5)</f>
        <v>201309</v>
      </c>
      <c r="I47">
        <f>_xll.EQNXTDZ($A$1,$B47,I$5)</f>
        <v>201312</v>
      </c>
      <c r="J47">
        <f>_xll.EQNXTDZ($A$1,$B47,J$5)</f>
        <v>201403</v>
      </c>
      <c r="K47">
        <f>_xll.EQNXTDZ($A$1,$B47,K$5)</f>
        <v>201406</v>
      </c>
      <c r="L47">
        <f>_xll.EQNXTDZ($A$1,$B47,L$5)</f>
        <v>201409</v>
      </c>
      <c r="M47">
        <f>_xll.EQNXTDZ($A$1,$B47,M$5)</f>
        <v>201412</v>
      </c>
      <c r="N47">
        <f>_xll.EQNXTDZ($A$1,$B47,N$5)</f>
        <v>201503</v>
      </c>
      <c r="O47">
        <f>_xll.EQNXTDZ($A$1,$B47,O$5)</f>
        <v>201506</v>
      </c>
      <c r="P47">
        <f>_xll.EQNXTDZ($A$1,$B47,P$5)</f>
        <v>201509</v>
      </c>
      <c r="Q47">
        <f>_xll.EQNXTDZ($A$1,$B47,Q$5)</f>
        <v>201512</v>
      </c>
      <c r="R47">
        <f>_xll.EQNXTDZ($A$1,$B47,R$5)</f>
        <v>201603</v>
      </c>
      <c r="S47">
        <f>_xll.EQNXTDZ($A$1,$B47,S$5)</f>
        <v>201606</v>
      </c>
      <c r="T47">
        <f>_xll.EQNXTDZ($A$1,$B47,T$5)</f>
        <v>201609</v>
      </c>
      <c r="U47">
        <f>_xll.EQNXTDZ($A$1,$B47,U$5)</f>
        <v>201612</v>
      </c>
      <c r="V47">
        <f>_xll.EQNXTDZ($A$1,$B47,V$5)</f>
        <v>201703</v>
      </c>
      <c r="W47">
        <f>_xll.EQNXTDZ($A$1,$B47,W$5)</f>
        <v>201706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312.81875000000002</v>
      </c>
      <c r="D48" s="55">
        <f>_xll.EQNXTDZ($A$1,$B48,D$5)</f>
        <v>316.75</v>
      </c>
      <c r="E48" s="55">
        <f>_xll.EQNXTDZ($A$1,$B48,E$5)</f>
        <v>289.8125</v>
      </c>
      <c r="F48" s="55">
        <f>_xll.EQNXTDZ($A$1,$B48,F$5)</f>
        <v>361.23750000000001</v>
      </c>
      <c r="G48" s="55">
        <f>_xll.EQNXTDZ($A$1,$B48,G$5)</f>
        <v>311.65625</v>
      </c>
      <c r="H48" s="55">
        <f>_xll.EQNXTDZ($A$1,$B48,H$5)</f>
        <v>376.93124999999998</v>
      </c>
      <c r="I48" s="55">
        <f>_xll.EQNXTDZ($A$1,$B48,I$5)</f>
        <v>435.6875</v>
      </c>
      <c r="J48" s="55">
        <f>_xll.EQNXTDZ($A$1,$B48,J$5)</f>
        <v>409.85624999999999</v>
      </c>
      <c r="K48" s="55">
        <f>_xll.EQNXTDZ($A$1,$B48,K$5)</f>
        <v>405.80624999999998</v>
      </c>
      <c r="L48" s="55">
        <f>_xll.EQNXTDZ($A$1,$B48,L$5)</f>
        <v>468.45625000000001</v>
      </c>
      <c r="M48" s="55">
        <f>_xll.EQNXTDZ($A$1,$B48,M$5)</f>
        <v>492.8</v>
      </c>
      <c r="N48" s="55">
        <f>_xll.EQNXTDZ($A$1,$B48,N$5)</f>
        <v>554.15</v>
      </c>
      <c r="O48" s="55">
        <f>_xll.EQNXTDZ($A$1,$B48,O$5)</f>
        <v>492.67500000000001</v>
      </c>
      <c r="P48" s="55">
        <f>_xll.EQNXTDZ($A$1,$B48,P$5)</f>
        <v>580.22500000000002</v>
      </c>
      <c r="Q48" s="55">
        <f>_xll.EQNXTDZ($A$1,$B48,Q$5)</f>
        <v>552.27499999999998</v>
      </c>
      <c r="R48" s="55">
        <f>_xll.EQNXTDZ($A$1,$B48,R$5)</f>
        <v>608.97500000000002</v>
      </c>
      <c r="S48" s="55">
        <f>_xll.EQNXTDZ($A$1,$B48,S$5)</f>
        <v>585.375</v>
      </c>
      <c r="T48" s="55">
        <f>_xll.EQNXTDZ($A$1,$B48,T$5)</f>
        <v>519.04999999999995</v>
      </c>
      <c r="U48" s="55">
        <f>_xll.EQNXTDZ($A$1,$B48,U$5)</f>
        <v>505.35</v>
      </c>
      <c r="V48" s="55">
        <f>_xll.EQNXTDZ($A$1,$B48,V$5)</f>
        <v>510.4</v>
      </c>
      <c r="W48" s="55">
        <f>_xll.EQNXTDZ($A$1,$B48,W$5)</f>
        <v>467.82499999999999</v>
      </c>
      <c r="X48" s="55">
        <f>_xll.EQNXTDZ($A$1,$B48,X$5)</f>
        <v>449.375</v>
      </c>
      <c r="Y48" s="55">
        <f>_xll.EQNXTDZ($A$1,$B48,Y$5)</f>
        <v>519.65</v>
      </c>
      <c r="Z48" s="55">
        <f>_xll.EQNXTDZ($A$1,$B48,Z$5)</f>
        <v>567.20000000000005</v>
      </c>
      <c r="AA48" s="55">
        <f>_xll.EQNXTDZ($A$1,$B48,AA$5)</f>
        <v>653.375</v>
      </c>
      <c r="AB48" s="55">
        <f>_xll.EQNXTDZ($A$1,$B48,AB$5)</f>
        <v>727.85</v>
      </c>
      <c r="AC48" s="55">
        <f>_xll.EQNXTDZ($A$1,$B48,AC$5)</f>
        <v>659.85</v>
      </c>
      <c r="AD48" s="55">
        <f>_xll.EQNXTDZ($A$1,$B48,AD$5)</f>
        <v>742.3</v>
      </c>
      <c r="AE48" s="55">
        <f>_xll.EQNXTDZ($A$1,$B48,AE$5)</f>
        <v>731.95</v>
      </c>
      <c r="AF48" s="55">
        <f>_xll.EQNXTDZ($A$1,$B48,AF$5)</f>
        <v>805.3</v>
      </c>
      <c r="AG48" s="55">
        <f>_xll.EQNXTDZ($A$1,$B48,AG$5)</f>
        <v>731.75</v>
      </c>
      <c r="AH48" s="55">
        <f>_xll.EQNXTDZ($A$1,$B48,AH$5)</f>
        <v>640.29999999999995</v>
      </c>
      <c r="AI48" s="55">
        <f>_xll.EQNXTDZ($A$1,$B48,AI$5)</f>
        <v>735.9</v>
      </c>
      <c r="AJ48" s="55">
        <f>_xll.EQNXTDZ($A$1,$B48,AJ$5)</f>
        <v>1008</v>
      </c>
      <c r="AK48" s="55">
        <f>_xll.EQNXTDZ($A$1,$B48,AK$5)</f>
        <v>1255.8499999999999</v>
      </c>
      <c r="AL48" s="55">
        <f>_xll.EQNXTDZ($A$1,$B48,AL$5)</f>
        <v>1367.75</v>
      </c>
      <c r="AM48" s="55">
        <f>_xll.EQNXTDZ($A$1,$B48,AM$5)</f>
        <v>1581.25</v>
      </c>
      <c r="AN48" s="55">
        <f>_xll.EQNXTDZ($A$1,$B48,AN$5)</f>
        <v>1675.4</v>
      </c>
      <c r="AO48" s="55">
        <f>_xll.EQNXTDZ($A$1,$B48,AO$5)</f>
        <v>1889.65</v>
      </c>
      <c r="AP48" s="55">
        <f>_xll.EQNXTDZ($A$1,$B48,AP$5)</f>
        <v>1907.2</v>
      </c>
      <c r="AQ48" s="55">
        <f>_xll.EQNXTDZ($A$1,$B48,AQ$5)</f>
        <v>1461.2</v>
      </c>
      <c r="AR48" s="55">
        <f>_xll.EQNXTDZ($A$1,$B48,AR$5)</f>
        <v>1413.1</v>
      </c>
      <c r="AS48" s="55">
        <f>_xll.EQNXTDZ($A$1,$B48,AS$5)</f>
        <v>1508.7</v>
      </c>
      <c r="AT48" s="55">
        <f>_xll.EQNXTDZ($A$1,$B48,AT$5)</f>
        <v>1427.7</v>
      </c>
      <c r="AU48" s="55">
        <f>_xll.EQNXTDZ($A$1,$B48,AU$5)</f>
        <v>1335.2</v>
      </c>
      <c r="AV48" s="55">
        <f>_xll.EQNXTDZ($A$1,$B48,AV$5)</f>
        <v>1435.05</v>
      </c>
      <c r="AW48" s="55">
        <f>_xll.EQNXTDZ($A$1,$B48,AW$5)</f>
        <v>1542.85</v>
      </c>
      <c r="AX48" s="55">
        <f>_xll.EQNXTDZ($A$1,$B48,AX$5)</f>
        <v>1498.8</v>
      </c>
      <c r="AY48" s="55">
        <f>_xll.EQNXTDZ($A$1,$B48,AY$5)</f>
        <v>1566.95</v>
      </c>
      <c r="AZ48" s="55">
        <f>_xll.EQNXTDZ($A$1,$B48,AZ$5)</f>
        <v>1876</v>
      </c>
      <c r="BA48" s="55">
        <f>_xll.EQNXTDZ($A$1,$B48,BA$5)</f>
        <v>1880.7</v>
      </c>
      <c r="BB48" s="55">
        <f>_xll.EQNXTDZ($A$1,$B48,BB$5)</f>
        <v>1570.4</v>
      </c>
      <c r="BC48" s="55">
        <f>_xll.EQNXTDZ($A$1,$B48,BC$5)</f>
        <v>1601.3</v>
      </c>
      <c r="BD48" s="55">
        <f>_xll.EQNXTDZ($A$1,$B48,BD$5)</f>
        <v>1442.05</v>
      </c>
      <c r="BE48" s="55">
        <f>_xll.EQNXTDZ($A$1,$B48,BE$5)</f>
        <v>1616.45</v>
      </c>
      <c r="BF48" s="55">
        <f>_xll.EQNXTDZ($A$1,$B48,BF$5)</f>
        <v>1251.2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16.04</v>
      </c>
      <c r="D49" s="55">
        <f>_xll.EQNXTDZ($A$1,$B49,D$5)</f>
        <v>16.04</v>
      </c>
      <c r="E49" s="55">
        <f>_xll.EQNXTDZ($A$1,$B49,E$5)</f>
        <v>16.04</v>
      </c>
      <c r="F49" s="55">
        <f>_xll.EQNXTDZ($A$1,$B49,F$5)</f>
        <v>16.04</v>
      </c>
      <c r="G49" s="55">
        <f>_xll.EQNXTDZ($A$1,$B49,G$5)</f>
        <v>16.04</v>
      </c>
      <c r="H49" s="55">
        <f>_xll.EQNXTDZ($A$1,$B49,H$5)</f>
        <v>15.94</v>
      </c>
      <c r="I49" s="55">
        <f>_xll.EQNXTDZ($A$1,$B49,I$5)</f>
        <v>15.94</v>
      </c>
      <c r="J49" s="55">
        <f>_xll.EQNXTDZ($A$1,$B49,J$5)</f>
        <v>15.94</v>
      </c>
      <c r="K49" s="55">
        <f>_xll.EQNXTDZ($A$1,$B49,K$5)</f>
        <v>15.94</v>
      </c>
      <c r="L49" s="55">
        <f>_xll.EQNXTDZ($A$1,$B49,L$5)</f>
        <v>15.92</v>
      </c>
      <c r="M49" s="55">
        <f>_xll.EQNXTDZ($A$1,$B49,M$5)</f>
        <v>13.08</v>
      </c>
      <c r="N49" s="55">
        <f>_xll.EQNXTDZ($A$1,$B49,N$5)</f>
        <v>13.08</v>
      </c>
      <c r="O49" s="55">
        <f>_xll.EQNXTDZ($A$1,$B49,O$5)</f>
        <v>13.08</v>
      </c>
      <c r="P49" s="55">
        <f>_xll.EQNXTDZ($A$1,$B49,P$5)</f>
        <v>13.08</v>
      </c>
      <c r="Q49" s="55">
        <f>_xll.EQNXTDZ($A$1,$B49,Q$5)</f>
        <v>13.07</v>
      </c>
      <c r="R49" s="55">
        <f>_xll.EQNXTDZ($A$1,$B49,R$5)</f>
        <v>12.75</v>
      </c>
      <c r="S49" s="55">
        <f>_xll.EQNXTDZ($A$1,$B49,S$5)</f>
        <v>12.75</v>
      </c>
      <c r="T49" s="55">
        <f>_xll.EQNXTDZ($A$1,$B49,T$5)</f>
        <v>12.75</v>
      </c>
      <c r="U49" s="55">
        <f>_xll.EQNXTDZ($A$1,$B49,U$5)</f>
        <v>12.75</v>
      </c>
      <c r="V49" s="55">
        <f>_xll.EQNXTDZ($A$1,$B49,V$5)</f>
        <v>12.75</v>
      </c>
      <c r="W49" s="55">
        <f>_xll.EQNXTDZ($A$1,$B49,W$5)</f>
        <v>12.75</v>
      </c>
      <c r="X49" s="55">
        <f>_xll.EQNXTDZ($A$1,$B49,X$5)</f>
        <v>12.75</v>
      </c>
      <c r="Y49" s="55">
        <f>_xll.EQNXTDZ($A$1,$B49,Y$5)</f>
        <v>12.9</v>
      </c>
      <c r="Z49" s="55">
        <f>_xll.EQNXTDZ($A$1,$B49,Z$5)</f>
        <v>12.9</v>
      </c>
      <c r="AA49" s="55">
        <f>_xll.EQNXTDZ($A$1,$B49,AA$5)</f>
        <v>12.9</v>
      </c>
      <c r="AB49" s="55">
        <f>_xll.EQNXTDZ($A$1,$B49,AB$5)</f>
        <v>12.82</v>
      </c>
      <c r="AC49" s="55">
        <f>_xll.EQNXTDZ($A$1,$B49,AC$5)</f>
        <v>12.82</v>
      </c>
      <c r="AD49" s="55">
        <f>_xll.EQNXTDZ($A$1,$B49,AD$5)</f>
        <v>12.84</v>
      </c>
      <c r="AE49" s="55">
        <f>_xll.EQNXTDZ($A$1,$B49,AE$5)</f>
        <v>13.04</v>
      </c>
      <c r="AF49" s="55">
        <f>_xll.EQNXTDZ($A$1,$B49,AF$5)</f>
        <v>13.15</v>
      </c>
      <c r="AG49" s="55">
        <f>_xll.EQNXTDZ($A$1,$B49,AG$5)</f>
        <v>13.15</v>
      </c>
      <c r="AH49" s="55">
        <f>_xll.EQNXTDZ($A$1,$B49,AH$5)</f>
        <v>13.15</v>
      </c>
      <c r="AI49" s="55">
        <f>_xll.EQNXTDZ($A$1,$B49,AI$5)</f>
        <v>13.15</v>
      </c>
      <c r="AJ49" s="55">
        <f>_xll.EQNXTDZ($A$1,$B49,AJ$5)</f>
        <v>12.95</v>
      </c>
      <c r="AK49" s="55">
        <f>_xll.EQNXTDZ($A$1,$B49,AK$5)</f>
        <v>12.95</v>
      </c>
      <c r="AL49" s="55">
        <f>_xll.EQNXTDZ($A$1,$B49,AL$5)</f>
        <v>12.95</v>
      </c>
      <c r="AM49" s="55">
        <f>_xll.EQNXTDZ($A$1,$B49,AM$5)</f>
        <v>12.95</v>
      </c>
      <c r="AN49" s="55">
        <f>_xll.EQNXTDZ($A$1,$B49,AN$5)</f>
        <v>13.12</v>
      </c>
      <c r="AO49" s="55">
        <f>_xll.EQNXTDZ($A$1,$B49,AO$5)</f>
        <v>13.12</v>
      </c>
      <c r="AP49" s="55">
        <f>_xll.EQNXTDZ($A$1,$B49,AP$5)</f>
        <v>13.11</v>
      </c>
      <c r="AQ49" s="55">
        <f>_xll.EQNXTDZ($A$1,$B49,AQ$5)</f>
        <v>13.11</v>
      </c>
      <c r="AR49" s="55">
        <f>_xll.EQNXTDZ($A$1,$B49,AR$5)</f>
        <v>15.16</v>
      </c>
      <c r="AS49" s="55">
        <f>_xll.EQNXTDZ($A$1,$B49,AS$5)</f>
        <v>15.11</v>
      </c>
      <c r="AT49" s="55">
        <f>_xll.EQNXTDZ($A$1,$B49,AT$5)</f>
        <v>15.14</v>
      </c>
      <c r="AU49" s="55">
        <f>_xll.EQNXTDZ($A$1,$B49,AU$5)</f>
        <v>14.94</v>
      </c>
      <c r="AV49" s="55">
        <f>_xll.EQNXTDZ($A$1,$B49,AV$5)</f>
        <v>14.89</v>
      </c>
      <c r="AW49" s="55">
        <f>_xll.EQNXTDZ($A$1,$B49,AW$5)</f>
        <v>14.78</v>
      </c>
      <c r="AX49" s="55">
        <f>_xll.EQNXTDZ($A$1,$B49,AX$5)</f>
        <v>14.71</v>
      </c>
      <c r="AY49" s="55">
        <f>_xll.EQNXTDZ($A$1,$B49,AY$5)</f>
        <v>14.61</v>
      </c>
      <c r="AZ49" s="55">
        <f>_xll.EQNXTDZ($A$1,$B49,AZ$5)</f>
        <v>14.43</v>
      </c>
      <c r="BA49" s="55">
        <f>_xll.EQNXTDZ($A$1,$B49,BA$5)</f>
        <v>14.43</v>
      </c>
      <c r="BB49" s="55">
        <f>_xll.EQNXTDZ($A$1,$B49,BB$5)</f>
        <v>14.6</v>
      </c>
      <c r="BC49" s="55">
        <f>_xll.EQNXTDZ($A$1,$B49,BC$5)</f>
        <v>14.61</v>
      </c>
      <c r="BD49" s="55">
        <f>_xll.EQNXTDZ($A$1,$B49,BD$5)</f>
        <v>14.3</v>
      </c>
      <c r="BE49" s="55">
        <f>_xll.EQNXTDZ($A$1,$B49,BE$5)</f>
        <v>14.52</v>
      </c>
      <c r="BF49" s="55">
        <f>_xll.EQNXTDZ($A$1,$B49,BF$5)</f>
        <v>14.38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0</v>
      </c>
      <c r="D50" s="55">
        <f>_xll.EQNXTDZ($A$1,$B50,D$5)</f>
        <v>0</v>
      </c>
      <c r="E50" s="55">
        <f>_xll.EQNXTDZ($A$1,$B50,E$5)</f>
        <v>0</v>
      </c>
      <c r="F50" s="55">
        <f>_xll.EQNXTDZ($A$1,$B50,F$5)</f>
        <v>0</v>
      </c>
      <c r="G50" s="55">
        <f>_xll.EQNXTDZ($A$1,$B50,G$5)</f>
        <v>0</v>
      </c>
      <c r="H50" s="55">
        <f>_xll.EQNXTDZ($A$1,$B50,H$5)</f>
        <v>0</v>
      </c>
      <c r="I50" s="55">
        <f>_xll.EQNXTDZ($A$1,$B50,I$5)</f>
        <v>0</v>
      </c>
      <c r="J50" s="55">
        <f>_xll.EQNXTDZ($A$1,$B50,J$5)</f>
        <v>0</v>
      </c>
      <c r="K50" s="55">
        <f>_xll.EQNXTDZ($A$1,$B50,K$5)</f>
        <v>0</v>
      </c>
      <c r="L50" s="55">
        <f>_xll.EQNXTDZ($A$1,$B50,L$5)</f>
        <v>0</v>
      </c>
      <c r="M50" s="55">
        <f>_xll.EQNXTDZ($A$1,$B50,M$5)</f>
        <v>0</v>
      </c>
      <c r="N50" s="55">
        <f>_xll.EQNXTDZ($A$1,$B50,N$5)</f>
        <v>0</v>
      </c>
      <c r="O50" s="55">
        <f>_xll.EQNXTDZ($A$1,$B50,O$5)</f>
        <v>0</v>
      </c>
      <c r="P50" s="55">
        <f>_xll.EQNXTDZ($A$1,$B50,P$5)</f>
        <v>0</v>
      </c>
      <c r="Q50" s="55">
        <f>_xll.EQNXTDZ($A$1,$B50,Q$5)</f>
        <v>0</v>
      </c>
      <c r="R50" s="55">
        <f>_xll.EQNXTDZ($A$1,$B50,R$5)</f>
        <v>0</v>
      </c>
      <c r="S50" s="55">
        <f>_xll.EQNXTDZ($A$1,$B50,S$5)</f>
        <v>0</v>
      </c>
      <c r="T50" s="55">
        <f>_xll.EQNXTDZ($A$1,$B50,T$5)</f>
        <v>0</v>
      </c>
      <c r="U50" s="55">
        <f>_xll.EQNXTDZ($A$1,$B50,U$5)</f>
        <v>0</v>
      </c>
      <c r="V50" s="55">
        <f>_xll.EQNXTDZ($A$1,$B50,V$5)</f>
        <v>0</v>
      </c>
      <c r="W50" s="55">
        <f>_xll.EQNXTDZ($A$1,$B50,W$5)</f>
        <v>0</v>
      </c>
      <c r="X50" s="55">
        <f>_xll.EQNXTDZ($A$1,$B50,X$5)</f>
        <v>0</v>
      </c>
      <c r="Y50" s="55">
        <f>_xll.EQNXTDZ($A$1,$B50,Y$5)</f>
        <v>0</v>
      </c>
      <c r="Z50" s="55">
        <f>_xll.EQNXTDZ($A$1,$B50,Z$5)</f>
        <v>0</v>
      </c>
      <c r="AA50" s="55">
        <f>_xll.EQNXTDZ($A$1,$B50,AA$5)</f>
        <v>0</v>
      </c>
      <c r="AB50" s="55">
        <f>_xll.EQNXTDZ($A$1,$B50,AB$5)</f>
        <v>0</v>
      </c>
      <c r="AC50" s="55">
        <f>_xll.EQNXTDZ($A$1,$B50,AC$5)</f>
        <v>0</v>
      </c>
      <c r="AD50" s="55">
        <f>_xll.EQNXTDZ($A$1,$B50,AD$5)</f>
        <v>0</v>
      </c>
      <c r="AE50" s="55">
        <f>_xll.EQNXTDZ($A$1,$B50,AE$5)</f>
        <v>0</v>
      </c>
      <c r="AF50" s="55">
        <f>_xll.EQNXTDZ($A$1,$B50,AF$5)</f>
        <v>0</v>
      </c>
      <c r="AG50" s="55">
        <f>_xll.EQNXTDZ($A$1,$B50,AG$5)</f>
        <v>0</v>
      </c>
      <c r="AH50" s="55">
        <f>_xll.EQNXTDZ($A$1,$B50,AH$5)</f>
        <v>0</v>
      </c>
      <c r="AI50" s="55">
        <f>_xll.EQNXTDZ($A$1,$B50,AI$5)</f>
        <v>0</v>
      </c>
      <c r="AJ50" s="55">
        <f>_xll.EQNXTDZ($A$1,$B50,AJ$5)</f>
        <v>0</v>
      </c>
      <c r="AK50" s="55">
        <f>_xll.EQNXTDZ($A$1,$B50,AK$5)</f>
        <v>0</v>
      </c>
      <c r="AL50" s="55">
        <f>_xll.EQNXTDZ($A$1,$B50,AL$5)</f>
        <v>0</v>
      </c>
      <c r="AM50" s="55">
        <f>_xll.EQNXTDZ($A$1,$B50,AM$5)</f>
        <v>0</v>
      </c>
      <c r="AN50" s="55">
        <f>_xll.EQNXTDZ($A$1,$B50,AN$5)</f>
        <v>0</v>
      </c>
      <c r="AO50" s="55">
        <f>_xll.EQNXTDZ($A$1,$B50,AO$5)</f>
        <v>0</v>
      </c>
      <c r="AP50" s="55">
        <f>_xll.EQNXTDZ($A$1,$B50,AP$5)</f>
        <v>0</v>
      </c>
      <c r="AQ50" s="55">
        <f>_xll.EQNXTDZ($A$1,$B50,AQ$5)</f>
        <v>0</v>
      </c>
      <c r="AR50" s="55">
        <f>_xll.EQNXTDZ($A$1,$B50,AR$5)</f>
        <v>0</v>
      </c>
      <c r="AS50" s="55">
        <f>_xll.EQNXTDZ($A$1,$B50,AS$5)</f>
        <v>0</v>
      </c>
      <c r="AT50" s="55">
        <f>_xll.EQNXTDZ($A$1,$B50,AT$5)</f>
        <v>0</v>
      </c>
      <c r="AU50" s="55">
        <f>_xll.EQNXTDZ($A$1,$B50,AU$5)</f>
        <v>0</v>
      </c>
      <c r="AV50" s="55">
        <f>_xll.EQNXTDZ($A$1,$B50,AV$5)</f>
        <v>0</v>
      </c>
      <c r="AW50" s="55">
        <f>_xll.EQNXTDZ($A$1,$B50,AW$5)</f>
        <v>0</v>
      </c>
      <c r="AX50" s="55">
        <f>_xll.EQNXTDZ($A$1,$B50,AX$5)</f>
        <v>0</v>
      </c>
      <c r="AY50" s="55">
        <f>_xll.EQNXTDZ($A$1,$B50,AY$5)</f>
        <v>0</v>
      </c>
      <c r="AZ50" s="55">
        <f>_xll.EQNXTDZ($A$1,$B50,AZ$5)</f>
        <v>0</v>
      </c>
      <c r="BA50" s="55">
        <f>_xll.EQNXTDZ($A$1,$B50,BA$5)</f>
        <v>0</v>
      </c>
      <c r="BB50" s="55">
        <f>_xll.EQNXTDZ($A$1,$B50,BB$5)</f>
        <v>0</v>
      </c>
      <c r="BC50" s="55">
        <f>_xll.EQNXTDZ($A$1,$B50,BC$5)</f>
        <v>0</v>
      </c>
      <c r="BD50" s="55">
        <f>_xll.EQNXTDZ($A$1,$B50,BD$5)</f>
        <v>0</v>
      </c>
      <c r="BE50" s="55">
        <f>_xll.EQNXTDZ($A$1,$B50,BE$5)</f>
        <v>0</v>
      </c>
      <c r="BF50" s="55">
        <f>_xll.EQNXTDZ($A$1,$B50,BF$5)</f>
        <v>0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0</v>
      </c>
      <c r="D55" s="56">
        <f>_xll.EQNXTDZ($A$1,$B55,D$5,$B$1)</f>
        <v>201209</v>
      </c>
      <c r="E55" s="56">
        <f>_xll.EQNXTDZ($A$1,$B55,E$5,$B$1)</f>
        <v>0</v>
      </c>
      <c r="F55" s="56">
        <f>_xll.EQNXTDZ($A$1,$B55,F$5,$B$1)</f>
        <v>201303</v>
      </c>
      <c r="G55" s="56">
        <f>_xll.EQNXTDZ($A$1,$B55,G$5,$B$1)</f>
        <v>0</v>
      </c>
      <c r="H55" s="56">
        <f>_xll.EQNXTDZ($A$1,$B55,H$5,$B$1)</f>
        <v>201309</v>
      </c>
      <c r="I55" s="56">
        <f>_xll.EQNXTDZ($A$1,$B55,I$5,$B$1)</f>
        <v>0</v>
      </c>
      <c r="J55" s="56">
        <f>_xll.EQNXTDZ($A$1,$B55,J$5,$B$1)</f>
        <v>201403</v>
      </c>
      <c r="K55" s="56">
        <f>_xll.EQNXTDZ($A$1,$B55,K$5,$B$1)</f>
        <v>0</v>
      </c>
      <c r="L55" s="56">
        <f>_xll.EQNXTDZ($A$1,$B55,L$5,$B$1)</f>
        <v>201409</v>
      </c>
      <c r="M55" s="56">
        <f>_xll.EQNXTDZ($A$1,$B55,M$5,$B$1)</f>
        <v>0</v>
      </c>
      <c r="N55" s="56">
        <f>_xll.EQNXTDZ($A$1,$B55,N$5,$B$1)</f>
        <v>201503</v>
      </c>
      <c r="O55" s="56">
        <f>_xll.EQNXTDZ($A$1,$B55,O$5,$B$1)</f>
        <v>0</v>
      </c>
      <c r="P55" s="56">
        <f>_xll.EQNXTDZ($A$1,$B55,P$5,$B$1)</f>
        <v>201509</v>
      </c>
      <c r="Q55" s="56">
        <f>_xll.EQNXTDZ($A$1,$B55,Q$5,$B$1)</f>
        <v>0</v>
      </c>
      <c r="R55" s="56">
        <f>_xll.EQNXTDZ($A$1,$B55,R$5,$B$1)</f>
        <v>201603</v>
      </c>
      <c r="S55" s="56">
        <f>_xll.EQNXTDZ($A$1,$B55,S$5,$B$1)</f>
        <v>0</v>
      </c>
      <c r="T55" s="56">
        <f>_xll.EQNXTDZ($A$1,$B55,T$5,$B$1)</f>
        <v>201609</v>
      </c>
      <c r="U55" s="56">
        <f>_xll.EQNXTDZ($A$1,$B55,U$5,$B$1)</f>
        <v>0</v>
      </c>
      <c r="V55" s="56">
        <f>_xll.EQNXTDZ($A$1,$B55,V$5,$B$1)</f>
        <v>201703</v>
      </c>
      <c r="W55" s="56">
        <f>_xll.EQNXTDZ($A$1,$B55,W$5,$B$1)</f>
        <v>201706</v>
      </c>
      <c r="X55" s="56">
        <f>_xll.EQNXTDZ($A$1,$B55,X$5,$B$1)</f>
        <v>201709</v>
      </c>
      <c r="Y55" s="56">
        <f>_xll.EQNXTDZ($A$1,$B55,Y$5,$B$1)</f>
        <v>0</v>
      </c>
      <c r="Z55" s="56">
        <f>_xll.EQNXTDZ($A$1,$B55,Z$5,$B$1)</f>
        <v>201803</v>
      </c>
      <c r="AA55" s="56">
        <f>_xll.EQNXTDZ($A$1,$B55,AA$5,$B$1)</f>
        <v>0</v>
      </c>
      <c r="AB55" s="56">
        <f>_xll.EQNXTDZ($A$1,$B55,AB$5,$B$1)</f>
        <v>201809</v>
      </c>
      <c r="AC55" s="56">
        <f>_xll.EQNXTDZ($A$1,$B55,AC$5,$B$1)</f>
        <v>0</v>
      </c>
      <c r="AD55" s="56">
        <f>_xll.EQNXTDZ($A$1,$B55,AD$5,$B$1)</f>
        <v>201903</v>
      </c>
      <c r="AE55" s="56">
        <f>_xll.EQNXTDZ($A$1,$B55,AE$5,$B$1)</f>
        <v>0</v>
      </c>
      <c r="AF55" s="56">
        <f>_xll.EQNXTDZ($A$1,$B55,AF$5,$B$1)</f>
        <v>201909</v>
      </c>
      <c r="AG55" s="56">
        <f>_xll.EQNXTDZ($A$1,$B55,AG$5,$B$1)</f>
        <v>0</v>
      </c>
      <c r="AH55" s="56">
        <f>_xll.EQNXTDZ($A$1,$B55,AH$5,$B$1)</f>
        <v>202003</v>
      </c>
      <c r="AI55" s="56">
        <f>_xll.EQNXTDZ($A$1,$B55,AI$5,$B$1)</f>
        <v>0</v>
      </c>
      <c r="AJ55" s="56">
        <f>_xll.EQNXTDZ($A$1,$B55,AJ$5,$B$1)</f>
        <v>202009</v>
      </c>
      <c r="AK55" s="56">
        <f>_xll.EQNXTDZ($A$1,$B55,AK$5,$B$1)</f>
        <v>0</v>
      </c>
      <c r="AL55" s="56">
        <f>_xll.EQNXTDZ($A$1,$B55,AL$5,$B$1)</f>
        <v>202103</v>
      </c>
      <c r="AM55" s="56">
        <f>_xll.EQNXTDZ($A$1,$B55,AM$5,$B$1)</f>
        <v>0</v>
      </c>
      <c r="AN55" s="56">
        <f>_xll.EQNXTDZ($A$1,$B55,AN$5,$B$1)</f>
        <v>202109</v>
      </c>
      <c r="AO55" s="56">
        <f>_xll.EQNXTDZ($A$1,$B55,AO$5,$B$1)</f>
        <v>0</v>
      </c>
      <c r="AP55" s="56">
        <f>_xll.EQNXTDZ($A$1,$B55,AP$5,$B$1)</f>
        <v>202203</v>
      </c>
      <c r="AQ55" s="56">
        <f>_xll.EQNXTDZ($A$1,$B55,AQ$5,$B$1)</f>
        <v>0</v>
      </c>
      <c r="AR55" s="56">
        <f>_xll.EQNXTDZ($A$1,$B55,AR$5,$B$1)</f>
        <v>202209</v>
      </c>
      <c r="AS55" s="56">
        <f>_xll.EQNXTDZ($A$1,$B55,AS$5,$B$1)</f>
        <v>0</v>
      </c>
      <c r="AT55" s="56">
        <f>_xll.EQNXTDZ($A$1,$B55,AT$5,$B$1)</f>
        <v>202303</v>
      </c>
      <c r="AU55" s="56">
        <f>_xll.EQNXTDZ($A$1,$B55,AU$5,$B$1)</f>
        <v>0</v>
      </c>
      <c r="AV55" s="56">
        <f>_xll.EQNXTDZ($A$1,$B55,AV$5,$B$1)</f>
        <v>202309</v>
      </c>
      <c r="AW55" s="56">
        <f>_xll.EQNXTDZ($A$1,$B55,AW$5,$B$1)</f>
        <v>0</v>
      </c>
      <c r="AX55" s="56">
        <f>_xll.EQNXTDZ($A$1,$B55,AX$5,$B$1)</f>
        <v>202403</v>
      </c>
      <c r="AY55" s="56">
        <f>_xll.EQNXTDZ($A$1,$B55,AY$5,$B$1)</f>
        <v>0</v>
      </c>
      <c r="AZ55" s="56">
        <f>_xll.EQNXTDZ($A$1,$B55,AZ$5,$B$1)</f>
        <v>202409</v>
      </c>
      <c r="BA55" s="56">
        <f>_xll.EQNXTDZ($A$1,$B55,BA$5,$B$1)</f>
        <v>0</v>
      </c>
      <c r="BB55" s="56">
        <f>_xll.EQNXTDZ($A$1,$B55,BB$5,$B$1)</f>
        <v>202503</v>
      </c>
      <c r="BC55" s="56">
        <f>_xll.EQNXTDZ($A$1,$B55,BC$5,$B$1)</f>
        <v>0</v>
      </c>
      <c r="BD55" s="56">
        <f>_xll.EQNXTDZ($A$1,$B55,BD$5,$B$1)</f>
        <v>202509</v>
      </c>
      <c r="BE55" s="56">
        <f>_xll.EQNXTDZ($A$1,$B55,BE$5,$B$1)</f>
        <v>0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0</v>
      </c>
      <c r="D56" s="55">
        <f>_xll.EQNXTDZ($A$1,$B56,D$5,$B$1)</f>
        <v>286</v>
      </c>
      <c r="E56" s="55">
        <f>_xll.EQNXTDZ($A$1,$B56,E$5,$B$1)</f>
        <v>0</v>
      </c>
      <c r="F56" s="55">
        <f>_xll.EQNXTDZ($A$1,$B56,F$5,$B$1)</f>
        <v>286</v>
      </c>
      <c r="G56" s="55">
        <f>_xll.EQNXTDZ($A$1,$B56,G$5,$B$1)</f>
        <v>0</v>
      </c>
      <c r="H56" s="55">
        <f>_xll.EQNXTDZ($A$1,$B56,H$5,$B$1)</f>
        <v>286</v>
      </c>
      <c r="I56" s="55">
        <f>_xll.EQNXTDZ($A$1,$B56,I$5,$B$1)</f>
        <v>0</v>
      </c>
      <c r="J56" s="55">
        <f>_xll.EQNXTDZ($A$1,$B56,J$5,$B$1)</f>
        <v>286</v>
      </c>
      <c r="K56" s="55">
        <f>_xll.EQNXTDZ($A$1,$B56,K$5,$B$1)</f>
        <v>0</v>
      </c>
      <c r="L56" s="55">
        <f>_xll.EQNXTDZ($A$1,$B56,L$5,$B$1)</f>
        <v>286</v>
      </c>
      <c r="M56" s="55">
        <f>_xll.EQNXTDZ($A$1,$B56,M$5,$B$1)</f>
        <v>0</v>
      </c>
      <c r="N56" s="55">
        <f>_xll.EQNXTDZ($A$1,$B56,N$5,$B$1)</f>
        <v>572</v>
      </c>
      <c r="O56" s="55">
        <f>_xll.EQNXTDZ($A$1,$B56,O$5,$B$1)</f>
        <v>0</v>
      </c>
      <c r="P56" s="55">
        <f>_xll.EQNXTDZ($A$1,$B56,P$5,$B$1)</f>
        <v>1144</v>
      </c>
      <c r="Q56" s="55">
        <f>_xll.EQNXTDZ($A$1,$B56,Q$5,$B$1)</f>
        <v>0</v>
      </c>
      <c r="R56" s="55">
        <f>_xll.EQNXTDZ($A$1,$B56,R$5,$B$1)</f>
        <v>1144</v>
      </c>
      <c r="S56" s="55">
        <f>_xll.EQNXTDZ($A$1,$B56,S$5,$B$1)</f>
        <v>0</v>
      </c>
      <c r="T56" s="55">
        <f>_xll.EQNXTDZ($A$1,$B56,T$5,$B$1)</f>
        <v>1144</v>
      </c>
      <c r="U56" s="55">
        <f>_xll.EQNXTDZ($A$1,$B56,U$5,$B$1)</f>
        <v>0</v>
      </c>
      <c r="V56" s="55">
        <f>_xll.EQNXTDZ($A$1,$B56,V$5,$B$1)</f>
        <v>1144</v>
      </c>
      <c r="W56" s="55">
        <f>_xll.EQNXTDZ($A$1,$B56,W$5,$B$1)</f>
        <v>1144</v>
      </c>
      <c r="X56" s="55">
        <f>_xll.EQNXTDZ($A$1,$B56,X$5,$B$1)</f>
        <v>1144</v>
      </c>
      <c r="Y56" s="55">
        <f>_xll.EQNXTDZ($A$1,$B56,Y$5,$B$1)</f>
        <v>0</v>
      </c>
      <c r="Z56" s="55">
        <f>_xll.EQNXTDZ($A$1,$B56,Z$5,$B$1)</f>
        <v>1088</v>
      </c>
      <c r="AA56" s="55">
        <f>_xll.EQNXTDZ($A$1,$B56,AA$5,$B$1)</f>
        <v>0</v>
      </c>
      <c r="AB56" s="55">
        <f>_xll.EQNXTDZ($A$1,$B56,AB$5,$B$1)</f>
        <v>2176</v>
      </c>
      <c r="AC56" s="55">
        <f>_xll.EQNXTDZ($A$1,$B56,AC$5,$B$1)</f>
        <v>0</v>
      </c>
      <c r="AD56" s="55">
        <f>_xll.EQNXTDZ($A$1,$B56,AD$5,$B$1)</f>
        <v>2170</v>
      </c>
      <c r="AE56" s="55">
        <f>_xll.EQNXTDZ($A$1,$B56,AE$5,$B$1)</f>
        <v>0</v>
      </c>
      <c r="AF56" s="55">
        <f>_xll.EQNXTDZ($A$1,$B56,AF$5,$B$1)</f>
        <v>2121</v>
      </c>
      <c r="AG56" s="55">
        <f>_xll.EQNXTDZ($A$1,$B56,AG$5,$B$1)</f>
        <v>0</v>
      </c>
      <c r="AH56" s="55">
        <f>_xll.EQNXTDZ($A$1,$B56,AH$5,$B$1)</f>
        <v>2122</v>
      </c>
      <c r="AI56" s="55">
        <f>_xll.EQNXTDZ($A$1,$B56,AI$5,$B$1)</f>
        <v>0</v>
      </c>
      <c r="AJ56" s="55">
        <f>_xll.EQNXTDZ($A$1,$B56,AJ$5,$B$1)</f>
        <v>2123</v>
      </c>
      <c r="AK56" s="55">
        <f>_xll.EQNXTDZ($A$1,$B56,AK$5,$B$1)</f>
        <v>0</v>
      </c>
      <c r="AL56" s="55">
        <f>_xll.EQNXTDZ($A$1,$B56,AL$5,$B$1)</f>
        <v>2124</v>
      </c>
      <c r="AM56" s="55">
        <f>_xll.EQNXTDZ($A$1,$B56,AM$5,$B$1)</f>
        <v>0</v>
      </c>
      <c r="AN56" s="55">
        <f>_xll.EQNXTDZ($A$1,$B56,AN$5,$B$1)</f>
        <v>2097</v>
      </c>
      <c r="AO56" s="55">
        <f>_xll.EQNXTDZ($A$1,$B56,AO$5,$B$1)</f>
        <v>0</v>
      </c>
      <c r="AP56" s="55">
        <f>_xll.EQNXTDZ($A$1,$B56,AP$5,$B$1)</f>
        <v>2098</v>
      </c>
      <c r="AQ56" s="55">
        <f>_xll.EQNXTDZ($A$1,$B56,AQ$5,$B$1)</f>
        <v>0</v>
      </c>
      <c r="AR56" s="55">
        <f>_xll.EQNXTDZ($A$1,$B56,AR$5,$B$1)</f>
        <v>2099</v>
      </c>
      <c r="AS56" s="55">
        <f>_xll.EQNXTDZ($A$1,$B56,AS$5,$B$1)</f>
        <v>0</v>
      </c>
      <c r="AT56" s="55">
        <f>_xll.EQNXTDZ($A$1,$B56,AT$5,$B$1)</f>
        <v>2069</v>
      </c>
      <c r="AU56" s="55">
        <f>_xll.EQNXTDZ($A$1,$B56,AU$5,$B$1)</f>
        <v>0</v>
      </c>
      <c r="AV56" s="55">
        <f>_xll.EQNXTDZ($A$1,$B56,AV$5,$B$1)</f>
        <v>2070</v>
      </c>
      <c r="AW56" s="55">
        <f>_xll.EQNXTDZ($A$1,$B56,AW$5,$B$1)</f>
        <v>0</v>
      </c>
      <c r="AX56" s="55">
        <f>_xll.EQNXTDZ($A$1,$B56,AX$5,$B$1)</f>
        <v>2071</v>
      </c>
      <c r="AY56" s="55">
        <f>_xll.EQNXTDZ($A$1,$B56,AY$5,$B$1)</f>
        <v>0</v>
      </c>
      <c r="AZ56" s="55">
        <f>_xll.EQNXTDZ($A$1,$B56,AZ$5,$B$1)</f>
        <v>2072</v>
      </c>
      <c r="BA56" s="55">
        <f>_xll.EQNXTDZ($A$1,$B56,BA$5,$B$1)</f>
        <v>0</v>
      </c>
      <c r="BB56" s="55">
        <f>_xll.EQNXTDZ($A$1,$B56,BB$5,$B$1)</f>
        <v>2073</v>
      </c>
      <c r="BC56" s="55">
        <f>_xll.EQNXTDZ($A$1,$B56,BC$5,$B$1)</f>
        <v>0</v>
      </c>
      <c r="BD56" s="55">
        <f>_xll.EQNXTDZ($A$1,$B56,BD$5,$B$1)</f>
        <v>2074</v>
      </c>
      <c r="BE56" s="55">
        <f>_xll.EQNXTDZ($A$1,$B56,BE$5,$B$1)</f>
        <v>0</v>
      </c>
      <c r="BF56" s="55">
        <f>_xll.EQNXTDZ($A$1,$B56,BF$5,$B$1)</f>
        <v>2024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0</v>
      </c>
      <c r="D58" s="55">
        <f>_xll.EQNXTDZ($A$1,$B58,D$5,$B$1)</f>
        <v>35730</v>
      </c>
      <c r="E58" s="55">
        <f>_xll.EQNXTDZ($A$1,$B58,E$5,$B$1)</f>
        <v>0</v>
      </c>
      <c r="F58" s="55">
        <f>_xll.EQNXTDZ($A$1,$B58,F$5,$B$1)</f>
        <v>39511</v>
      </c>
      <c r="G58" s="55">
        <f>_xll.EQNXTDZ($A$1,$B58,G$5,$B$1)</f>
        <v>0</v>
      </c>
      <c r="H58" s="55">
        <f>_xll.EQNXTDZ($A$1,$B58,H$5,$B$1)</f>
        <v>42913</v>
      </c>
      <c r="I58" s="55">
        <f>_xll.EQNXTDZ($A$1,$B58,I$5,$B$1)</f>
        <v>0</v>
      </c>
      <c r="J58" s="55">
        <f>_xll.EQNXTDZ($A$1,$B58,J$5,$B$1)</f>
        <v>47244</v>
      </c>
      <c r="K58" s="55">
        <f>_xll.EQNXTDZ($A$1,$B58,K$5,$B$1)</f>
        <v>0</v>
      </c>
      <c r="L58" s="55">
        <f>_xll.EQNXTDZ($A$1,$B58,L$5,$B$1)</f>
        <v>50296</v>
      </c>
      <c r="M58" s="55">
        <f>_xll.EQNXTDZ($A$1,$B58,M$5,$B$1)</f>
        <v>0</v>
      </c>
      <c r="N58" s="55">
        <f>_xll.EQNXTDZ($A$1,$B58,N$5,$B$1)</f>
        <v>54191</v>
      </c>
      <c r="O58" s="55">
        <f>_xll.EQNXTDZ($A$1,$B58,O$5,$B$1)</f>
        <v>0</v>
      </c>
      <c r="P58" s="55">
        <f>_xll.EQNXTDZ($A$1,$B58,P$5,$B$1)</f>
        <v>56201</v>
      </c>
      <c r="Q58" s="55">
        <f>_xll.EQNXTDZ($A$1,$B58,Q$5,$B$1)</f>
        <v>0</v>
      </c>
      <c r="R58" s="55">
        <f>_xll.EQNXTDZ($A$1,$B58,R$5,$B$1)</f>
        <v>60600</v>
      </c>
      <c r="S58" s="55">
        <f>_xll.EQNXTDZ($A$1,$B58,S$5,$B$1)</f>
        <v>0</v>
      </c>
      <c r="T58" s="55">
        <f>_xll.EQNXTDZ($A$1,$B58,T$5,$B$1)</f>
        <v>63681</v>
      </c>
      <c r="U58" s="55">
        <f>_xll.EQNXTDZ($A$1,$B58,U$5,$B$1)</f>
        <v>0</v>
      </c>
      <c r="V58" s="55">
        <f>_xll.EQNXTDZ($A$1,$B58,V$5,$B$1)</f>
        <v>67838</v>
      </c>
      <c r="W58" s="55">
        <f>_xll.EQNXTDZ($A$1,$B58,W$5,$B$1)</f>
        <v>67370</v>
      </c>
      <c r="X58" s="55">
        <f>_xll.EQNXTDZ($A$1,$B58,X$5,$B$1)</f>
        <v>71226</v>
      </c>
      <c r="Y58" s="55">
        <f>_xll.EQNXTDZ($A$1,$B58,Y$5,$B$1)</f>
        <v>0</v>
      </c>
      <c r="Z58" s="55">
        <f>_xll.EQNXTDZ($A$1,$B58,Z$5,$B$1)</f>
        <v>63835</v>
      </c>
      <c r="AA58" s="55">
        <f>_xll.EQNXTDZ($A$1,$B58,AA$5,$B$1)</f>
        <v>0</v>
      </c>
      <c r="AB58" s="55">
        <f>_xll.EQNXTDZ($A$1,$B58,AB$5,$B$1)</f>
        <v>62972</v>
      </c>
      <c r="AC58" s="55">
        <f>_xll.EQNXTDZ($A$1,$B58,AC$5,$B$1)</f>
        <v>0</v>
      </c>
      <c r="AD58" s="55">
        <f>_xll.EQNXTDZ($A$1,$B58,AD$5,$B$1)</f>
        <v>62778</v>
      </c>
      <c r="AE58" s="55">
        <f>_xll.EQNXTDZ($A$1,$B58,AE$5,$B$1)</f>
        <v>0</v>
      </c>
      <c r="AF58" s="55">
        <f>_xll.EQNXTDZ($A$1,$B58,AF$5,$B$1)</f>
        <v>58400</v>
      </c>
      <c r="AG58" s="55">
        <f>_xll.EQNXTDZ($A$1,$B58,AG$5,$B$1)</f>
        <v>0</v>
      </c>
      <c r="AH58" s="55">
        <f>_xll.EQNXTDZ($A$1,$B58,AH$5,$B$1)</f>
        <v>63328</v>
      </c>
      <c r="AI58" s="55">
        <f>_xll.EQNXTDZ($A$1,$B58,AI$5,$B$1)</f>
        <v>0</v>
      </c>
      <c r="AJ58" s="55">
        <f>_xll.EQNXTDZ($A$1,$B58,AJ$5,$B$1)</f>
        <v>68877</v>
      </c>
      <c r="AK58" s="55">
        <f>_xll.EQNXTDZ($A$1,$B58,AK$5,$B$1)</f>
        <v>0</v>
      </c>
      <c r="AL58" s="55">
        <f>_xll.EQNXTDZ($A$1,$B58,AL$5,$B$1)</f>
        <v>74227</v>
      </c>
      <c r="AM58" s="55">
        <f>_xll.EQNXTDZ($A$1,$B58,AM$5,$B$1)</f>
        <v>0</v>
      </c>
      <c r="AN58" s="55">
        <f>_xll.EQNXTDZ($A$1,$B58,AN$5,$B$1)</f>
        <v>67842</v>
      </c>
      <c r="AO58" s="55">
        <f>_xll.EQNXTDZ($A$1,$B58,AO$5,$B$1)</f>
        <v>0</v>
      </c>
      <c r="AP58" s="55">
        <f>_xll.EQNXTDZ($A$1,$B58,AP$5,$B$1)</f>
        <v>73252</v>
      </c>
      <c r="AQ58" s="55">
        <f>_xll.EQNXTDZ($A$1,$B58,AQ$5,$B$1)</f>
        <v>0</v>
      </c>
      <c r="AR58" s="55">
        <f>_xll.EQNXTDZ($A$1,$B58,AR$5,$B$1)</f>
        <v>77882</v>
      </c>
      <c r="AS58" s="55">
        <f>_xll.EQNXTDZ($A$1,$B58,AS$5,$B$1)</f>
        <v>0</v>
      </c>
      <c r="AT58" s="55">
        <f>_xll.EQNXTDZ($A$1,$B58,AT$5,$B$1)</f>
        <v>73338</v>
      </c>
      <c r="AU58" s="55">
        <f>_xll.EQNXTDZ($A$1,$B58,AU$5,$B$1)</f>
        <v>0</v>
      </c>
      <c r="AV58" s="55">
        <f>_xll.EQNXTDZ($A$1,$B58,AV$5,$B$1)</f>
        <v>78698</v>
      </c>
      <c r="AW58" s="55">
        <f>_xll.EQNXTDZ($A$1,$B58,AW$5,$B$1)</f>
        <v>0</v>
      </c>
      <c r="AX58" s="55">
        <f>_xll.EQNXTDZ($A$1,$B58,AX$5,$B$1)</f>
        <v>86045</v>
      </c>
      <c r="AY58" s="55">
        <f>_xll.EQNXTDZ($A$1,$B58,AY$5,$B$1)</f>
        <v>0</v>
      </c>
      <c r="AZ58" s="55">
        <f>_xll.EQNXTDZ($A$1,$B58,AZ$5,$B$1)</f>
        <v>88391</v>
      </c>
      <c r="BA58" s="55">
        <f>_xll.EQNXTDZ($A$1,$B58,BA$5,$B$1)</f>
        <v>0</v>
      </c>
      <c r="BB58" s="55">
        <f>_xll.EQNXTDZ($A$1,$B58,BB$5,$B$1)</f>
        <v>93745</v>
      </c>
      <c r="BC58" s="55">
        <f>_xll.EQNXTDZ($A$1,$B58,BC$5,$B$1)</f>
        <v>0</v>
      </c>
      <c r="BD58" s="55">
        <f>_xll.EQNXTDZ($A$1,$B58,BD$5,$B$1)</f>
        <v>101256</v>
      </c>
      <c r="BE58" s="55">
        <f>_xll.EQNXTDZ($A$1,$B58,BE$5,$B$1)</f>
        <v>0</v>
      </c>
      <c r="BF58" s="55">
        <f>_xll.EQNXTDZ($A$1,$B58,BF$5,$B$1)</f>
        <v>90828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0</v>
      </c>
      <c r="D59" s="55">
        <f>_xll.EQNXTDZ($A$1,$B59,D$5,$B$1)</f>
        <v>36016</v>
      </c>
      <c r="E59" s="55">
        <f>_xll.EQNXTDZ($A$1,$B59,E$5,$B$1)</f>
        <v>0</v>
      </c>
      <c r="F59" s="55">
        <f>_xll.EQNXTDZ($A$1,$B59,F$5,$B$1)</f>
        <v>39797</v>
      </c>
      <c r="G59" s="55">
        <f>_xll.EQNXTDZ($A$1,$B59,G$5,$B$1)</f>
        <v>0</v>
      </c>
      <c r="H59" s="55">
        <f>_xll.EQNXTDZ($A$1,$B59,H$5,$B$1)</f>
        <v>43199</v>
      </c>
      <c r="I59" s="55">
        <f>_xll.EQNXTDZ($A$1,$B59,I$5,$B$1)</f>
        <v>0</v>
      </c>
      <c r="J59" s="55">
        <f>_xll.EQNXTDZ($A$1,$B59,J$5,$B$1)</f>
        <v>47530</v>
      </c>
      <c r="K59" s="55">
        <f>_xll.EQNXTDZ($A$1,$B59,K$5,$B$1)</f>
        <v>0</v>
      </c>
      <c r="L59" s="55">
        <f>_xll.EQNXTDZ($A$1,$B59,L$5,$B$1)</f>
        <v>50582</v>
      </c>
      <c r="M59" s="55">
        <f>_xll.EQNXTDZ($A$1,$B59,M$5,$B$1)</f>
        <v>0</v>
      </c>
      <c r="N59" s="55">
        <f>_xll.EQNXTDZ($A$1,$B59,N$5,$B$1)</f>
        <v>54763</v>
      </c>
      <c r="O59" s="55">
        <f>_xll.EQNXTDZ($A$1,$B59,O$5,$B$1)</f>
        <v>0</v>
      </c>
      <c r="P59" s="55">
        <f>_xll.EQNXTDZ($A$1,$B59,P$5,$B$1)</f>
        <v>57345</v>
      </c>
      <c r="Q59" s="55">
        <f>_xll.EQNXTDZ($A$1,$B59,Q$5,$B$1)</f>
        <v>0</v>
      </c>
      <c r="R59" s="55">
        <f>_xll.EQNXTDZ($A$1,$B59,R$5,$B$1)</f>
        <v>61744</v>
      </c>
      <c r="S59" s="55">
        <f>_xll.EQNXTDZ($A$1,$B59,S$5,$B$1)</f>
        <v>0</v>
      </c>
      <c r="T59" s="55">
        <f>_xll.EQNXTDZ($A$1,$B59,T$5,$B$1)</f>
        <v>64825</v>
      </c>
      <c r="U59" s="55">
        <f>_xll.EQNXTDZ($A$1,$B59,U$5,$B$1)</f>
        <v>0</v>
      </c>
      <c r="V59" s="55">
        <f>_xll.EQNXTDZ($A$1,$B59,V$5,$B$1)</f>
        <v>68982</v>
      </c>
      <c r="W59" s="55">
        <f>_xll.EQNXTDZ($A$1,$B59,W$5,$B$1)</f>
        <v>68514</v>
      </c>
      <c r="X59" s="55">
        <f>_xll.EQNXTDZ($A$1,$B59,X$5,$B$1)</f>
        <v>72370</v>
      </c>
      <c r="Y59" s="55">
        <f>_xll.EQNXTDZ($A$1,$B59,Y$5,$B$1)</f>
        <v>0</v>
      </c>
      <c r="Z59" s="55">
        <f>_xll.EQNXTDZ($A$1,$B59,Z$5,$B$1)</f>
        <v>64923</v>
      </c>
      <c r="AA59" s="55">
        <f>_xll.EQNXTDZ($A$1,$B59,AA$5,$B$1)</f>
        <v>0</v>
      </c>
      <c r="AB59" s="55">
        <f>_xll.EQNXTDZ($A$1,$B59,AB$5,$B$1)</f>
        <v>65148</v>
      </c>
      <c r="AC59" s="55">
        <f>_xll.EQNXTDZ($A$1,$B59,AC$5,$B$1)</f>
        <v>0</v>
      </c>
      <c r="AD59" s="55">
        <f>_xll.EQNXTDZ($A$1,$B59,AD$5,$B$1)</f>
        <v>64948</v>
      </c>
      <c r="AE59" s="55">
        <f>_xll.EQNXTDZ($A$1,$B59,AE$5,$B$1)</f>
        <v>0</v>
      </c>
      <c r="AF59" s="55">
        <f>_xll.EQNXTDZ($A$1,$B59,AF$5,$B$1)</f>
        <v>60521</v>
      </c>
      <c r="AG59" s="55">
        <f>_xll.EQNXTDZ($A$1,$B59,AG$5,$B$1)</f>
        <v>0</v>
      </c>
      <c r="AH59" s="55">
        <f>_xll.EQNXTDZ($A$1,$B59,AH$5,$B$1)</f>
        <v>65450</v>
      </c>
      <c r="AI59" s="55">
        <f>_xll.EQNXTDZ($A$1,$B59,AI$5,$B$1)</f>
        <v>0</v>
      </c>
      <c r="AJ59" s="55">
        <f>_xll.EQNXTDZ($A$1,$B59,AJ$5,$B$1)</f>
        <v>71000</v>
      </c>
      <c r="AK59" s="55">
        <f>_xll.EQNXTDZ($A$1,$B59,AK$5,$B$1)</f>
        <v>0</v>
      </c>
      <c r="AL59" s="55">
        <f>_xll.EQNXTDZ($A$1,$B59,AL$5,$B$1)</f>
        <v>76351</v>
      </c>
      <c r="AM59" s="55">
        <f>_xll.EQNXTDZ($A$1,$B59,AM$5,$B$1)</f>
        <v>0</v>
      </c>
      <c r="AN59" s="55">
        <f>_xll.EQNXTDZ($A$1,$B59,AN$5,$B$1)</f>
        <v>69939</v>
      </c>
      <c r="AO59" s="55">
        <f>_xll.EQNXTDZ($A$1,$B59,AO$5,$B$1)</f>
        <v>0</v>
      </c>
      <c r="AP59" s="55">
        <f>_xll.EQNXTDZ($A$1,$B59,AP$5,$B$1)</f>
        <v>75350</v>
      </c>
      <c r="AQ59" s="55">
        <f>_xll.EQNXTDZ($A$1,$B59,AQ$5,$B$1)</f>
        <v>0</v>
      </c>
      <c r="AR59" s="55">
        <f>_xll.EQNXTDZ($A$1,$B59,AR$5,$B$1)</f>
        <v>79981</v>
      </c>
      <c r="AS59" s="55">
        <f>_xll.EQNXTDZ($A$1,$B59,AS$5,$B$1)</f>
        <v>0</v>
      </c>
      <c r="AT59" s="55">
        <f>_xll.EQNXTDZ($A$1,$B59,AT$5,$B$1)</f>
        <v>75407</v>
      </c>
      <c r="AU59" s="55">
        <f>_xll.EQNXTDZ($A$1,$B59,AU$5,$B$1)</f>
        <v>0</v>
      </c>
      <c r="AV59" s="55">
        <f>_xll.EQNXTDZ($A$1,$B59,AV$5,$B$1)</f>
        <v>80768</v>
      </c>
      <c r="AW59" s="55">
        <f>_xll.EQNXTDZ($A$1,$B59,AW$5,$B$1)</f>
        <v>0</v>
      </c>
      <c r="AX59" s="55">
        <f>_xll.EQNXTDZ($A$1,$B59,AX$5,$B$1)</f>
        <v>88116</v>
      </c>
      <c r="AY59" s="55">
        <f>_xll.EQNXTDZ($A$1,$B59,AY$5,$B$1)</f>
        <v>0</v>
      </c>
      <c r="AZ59" s="55">
        <f>_xll.EQNXTDZ($A$1,$B59,AZ$5,$B$1)</f>
        <v>90463</v>
      </c>
      <c r="BA59" s="55">
        <f>_xll.EQNXTDZ($A$1,$B59,BA$5,$B$1)</f>
        <v>0</v>
      </c>
      <c r="BB59" s="55">
        <f>_xll.EQNXTDZ($A$1,$B59,BB$5,$B$1)</f>
        <v>95818</v>
      </c>
      <c r="BC59" s="55">
        <f>_xll.EQNXTDZ($A$1,$B59,BC$5,$B$1)</f>
        <v>0</v>
      </c>
      <c r="BD59" s="55">
        <f>_xll.EQNXTDZ($A$1,$B59,BD$5,$B$1)</f>
        <v>103330</v>
      </c>
      <c r="BE59" s="55">
        <f>_xll.EQNXTDZ($A$1,$B59,BE$5,$B$1)</f>
        <v>0</v>
      </c>
      <c r="BF59" s="55">
        <f>_xll.EQNXTDZ($A$1,$B59,BF$5,$B$1)</f>
        <v>92852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0</v>
      </c>
      <c r="E60" s="55">
        <f>_xll.EQNXTDZ($A$1,$B60,E$5,$B$1)</f>
        <v>0</v>
      </c>
      <c r="F60" s="55">
        <f>_xll.EQNXTDZ($A$1,$B60,F$5,$B$1)</f>
        <v>0</v>
      </c>
      <c r="G60" s="55">
        <f>_xll.EQNXTDZ($A$1,$B60,G$5,$B$1)</f>
        <v>0</v>
      </c>
      <c r="H60" s="55">
        <f>_xll.EQNXTDZ($A$1,$B60,H$5,$B$1)</f>
        <v>0</v>
      </c>
      <c r="I60" s="55">
        <f>_xll.EQNXTDZ($A$1,$B60,I$5,$B$1)</f>
        <v>0</v>
      </c>
      <c r="J60" s="55">
        <f>_xll.EQNXTDZ($A$1,$B60,J$5,$B$1)</f>
        <v>0</v>
      </c>
      <c r="K60" s="55">
        <f>_xll.EQNXTDZ($A$1,$B60,K$5,$B$1)</f>
        <v>0</v>
      </c>
      <c r="L60" s="55">
        <f>_xll.EQNXTDZ($A$1,$B60,L$5,$B$1)</f>
        <v>0</v>
      </c>
      <c r="M60" s="55">
        <f>_xll.EQNXTDZ($A$1,$B60,M$5,$B$1)</f>
        <v>0</v>
      </c>
      <c r="N60" s="55">
        <f>_xll.EQNXTDZ($A$1,$B60,N$5,$B$1)</f>
        <v>0</v>
      </c>
      <c r="O60" s="55">
        <f>_xll.EQNXTDZ($A$1,$B60,O$5,$B$1)</f>
        <v>0</v>
      </c>
      <c r="P60" s="55">
        <f>_xll.EQNXTDZ($A$1,$B60,P$5,$B$1)</f>
        <v>0</v>
      </c>
      <c r="Q60" s="55">
        <f>_xll.EQNXTDZ($A$1,$B60,Q$5,$B$1)</f>
        <v>0</v>
      </c>
      <c r="R60" s="55">
        <f>_xll.EQNXTDZ($A$1,$B60,R$5,$B$1)</f>
        <v>0</v>
      </c>
      <c r="S60" s="55">
        <f>_xll.EQNXTDZ($A$1,$B60,S$5,$B$1)</f>
        <v>0</v>
      </c>
      <c r="T60" s="55">
        <f>_xll.EQNXTDZ($A$1,$B60,T$5,$B$1)</f>
        <v>0</v>
      </c>
      <c r="U60" s="55">
        <f>_xll.EQNXTDZ($A$1,$B60,U$5,$B$1)</f>
        <v>0</v>
      </c>
      <c r="V60" s="55">
        <f>_xll.EQNXTDZ($A$1,$B60,V$5,$B$1)</f>
        <v>0</v>
      </c>
      <c r="W60" s="55">
        <f>_xll.EQNXTDZ($A$1,$B60,W$5,$B$1)</f>
        <v>0</v>
      </c>
      <c r="X60" s="55">
        <f>_xll.EQNXTDZ($A$1,$B60,X$5,$B$1)</f>
        <v>0</v>
      </c>
      <c r="Y60" s="55">
        <f>_xll.EQNXTDZ($A$1,$B60,Y$5,$B$1)</f>
        <v>0</v>
      </c>
      <c r="Z60" s="55">
        <f>_xll.EQNXTDZ($A$1,$B60,Z$5,$B$1)</f>
        <v>1</v>
      </c>
      <c r="AA60" s="55">
        <f>_xll.EQNXTDZ($A$1,$B60,AA$5,$B$1)</f>
        <v>0</v>
      </c>
      <c r="AB60" s="55">
        <f>_xll.EQNXTDZ($A$1,$B60,AB$5,$B$1)</f>
        <v>1</v>
      </c>
      <c r="AC60" s="55">
        <f>_xll.EQNXTDZ($A$1,$B60,AC$5,$B$1)</f>
        <v>0</v>
      </c>
      <c r="AD60" s="55">
        <f>_xll.EQNXTDZ($A$1,$B60,AD$5,$B$1)</f>
        <v>58</v>
      </c>
      <c r="AE60" s="55">
        <f>_xll.EQNXTDZ($A$1,$B60,AE$5,$B$1)</f>
        <v>0</v>
      </c>
      <c r="AF60" s="55">
        <f>_xll.EQNXTDZ($A$1,$B60,AF$5,$B$1)</f>
        <v>360</v>
      </c>
      <c r="AG60" s="55">
        <f>_xll.EQNXTDZ($A$1,$B60,AG$5,$B$1)</f>
        <v>0</v>
      </c>
      <c r="AH60" s="55">
        <f>_xll.EQNXTDZ($A$1,$B60,AH$5,$B$1)</f>
        <v>394</v>
      </c>
      <c r="AI60" s="55">
        <f>_xll.EQNXTDZ($A$1,$B60,AI$5,$B$1)</f>
        <v>0</v>
      </c>
      <c r="AJ60" s="55">
        <f>_xll.EQNXTDZ($A$1,$B60,AJ$5,$B$1)</f>
        <v>434</v>
      </c>
      <c r="AK60" s="55">
        <f>_xll.EQNXTDZ($A$1,$B60,AK$5,$B$1)</f>
        <v>0</v>
      </c>
      <c r="AL60" s="55">
        <f>_xll.EQNXTDZ($A$1,$B60,AL$5,$B$1)</f>
        <v>431</v>
      </c>
      <c r="AM60" s="55">
        <f>_xll.EQNXTDZ($A$1,$B60,AM$5,$B$1)</f>
        <v>0</v>
      </c>
      <c r="AN60" s="55">
        <f>_xll.EQNXTDZ($A$1,$B60,AN$5,$B$1)</f>
        <v>409</v>
      </c>
      <c r="AO60" s="55">
        <f>_xll.EQNXTDZ($A$1,$B60,AO$5,$B$1)</f>
        <v>0</v>
      </c>
      <c r="AP60" s="55">
        <f>_xll.EQNXTDZ($A$1,$B60,AP$5,$B$1)</f>
        <v>386</v>
      </c>
      <c r="AQ60" s="55">
        <f>_xll.EQNXTDZ($A$1,$B60,AQ$5,$B$1)</f>
        <v>0</v>
      </c>
      <c r="AR60" s="55">
        <f>_xll.EQNXTDZ($A$1,$B60,AR$5,$B$1)</f>
        <v>366</v>
      </c>
      <c r="AS60" s="55">
        <f>_xll.EQNXTDZ($A$1,$B60,AS$5,$B$1)</f>
        <v>0</v>
      </c>
      <c r="AT60" s="55">
        <f>_xll.EQNXTDZ($A$1,$B60,AT$5,$B$1)</f>
        <v>388</v>
      </c>
      <c r="AU60" s="55">
        <f>_xll.EQNXTDZ($A$1,$B60,AU$5,$B$1)</f>
        <v>0</v>
      </c>
      <c r="AV60" s="55">
        <f>_xll.EQNXTDZ($A$1,$B60,AV$5,$B$1)</f>
        <v>386</v>
      </c>
      <c r="AW60" s="55">
        <f>_xll.EQNXTDZ($A$1,$B60,AW$5,$B$1)</f>
        <v>0</v>
      </c>
      <c r="AX60" s="55">
        <f>_xll.EQNXTDZ($A$1,$B60,AX$5,$B$1)</f>
        <v>345</v>
      </c>
      <c r="AY60" s="55">
        <f>_xll.EQNXTDZ($A$1,$B60,AY$5,$B$1)</f>
        <v>0</v>
      </c>
      <c r="AZ60" s="55">
        <f>_xll.EQNXTDZ($A$1,$B60,AZ$5,$B$1)</f>
        <v>367</v>
      </c>
      <c r="BA60" s="55">
        <f>_xll.EQNXTDZ($A$1,$B60,BA$5,$B$1)</f>
        <v>0</v>
      </c>
      <c r="BB60" s="55">
        <f>_xll.EQNXTDZ($A$1,$B60,BB$5,$B$1)</f>
        <v>385</v>
      </c>
      <c r="BC60" s="55">
        <f>_xll.EQNXTDZ($A$1,$B60,BC$5,$B$1)</f>
        <v>0</v>
      </c>
      <c r="BD60" s="55">
        <f>_xll.EQNXTDZ($A$1,$B60,BD$5,$B$1)</f>
        <v>414</v>
      </c>
      <c r="BE60" s="55">
        <f>_xll.EQNXTDZ($A$1,$B60,BE$5,$B$1)</f>
        <v>0</v>
      </c>
      <c r="BF60" s="55">
        <f>_xll.EQNXTDZ($A$1,$B60,BF$5,$B$1)</f>
        <v>445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0</v>
      </c>
      <c r="D61" s="55">
        <f>_xll.EQNXTDZ($A$1,$B61,D$5,$B$1)</f>
        <v>0</v>
      </c>
      <c r="E61" s="55">
        <f>_xll.EQNXTDZ($A$1,$B61,E$5,$B$1)</f>
        <v>0</v>
      </c>
      <c r="F61" s="55">
        <f>_xll.EQNXTDZ($A$1,$B61,F$5,$B$1)</f>
        <v>0</v>
      </c>
      <c r="G61" s="55">
        <f>_xll.EQNXTDZ($A$1,$B61,G$5,$B$1)</f>
        <v>0</v>
      </c>
      <c r="H61" s="55">
        <f>_xll.EQNXTDZ($A$1,$B61,H$5,$B$1)</f>
        <v>0</v>
      </c>
      <c r="I61" s="55">
        <f>_xll.EQNXTDZ($A$1,$B61,I$5,$B$1)</f>
        <v>0</v>
      </c>
      <c r="J61" s="55">
        <f>_xll.EQNXTDZ($A$1,$B61,J$5,$B$1)</f>
        <v>0</v>
      </c>
      <c r="K61" s="55">
        <f>_xll.EQNXTDZ($A$1,$B61,K$5,$B$1)</f>
        <v>0</v>
      </c>
      <c r="L61" s="55">
        <f>_xll.EQNXTDZ($A$1,$B61,L$5,$B$1)</f>
        <v>0</v>
      </c>
      <c r="M61" s="55">
        <f>_xll.EQNXTDZ($A$1,$B61,M$5,$B$1)</f>
        <v>0</v>
      </c>
      <c r="N61" s="55">
        <f>_xll.EQNXTDZ($A$1,$B61,N$5,$B$1)</f>
        <v>0</v>
      </c>
      <c r="O61" s="55">
        <f>_xll.EQNXTDZ($A$1,$B61,O$5,$B$1)</f>
        <v>0</v>
      </c>
      <c r="P61" s="55">
        <f>_xll.EQNXTDZ($A$1,$B61,P$5,$B$1)</f>
        <v>0</v>
      </c>
      <c r="Q61" s="55">
        <f>_xll.EQNXTDZ($A$1,$B61,Q$5,$B$1)</f>
        <v>0</v>
      </c>
      <c r="R61" s="55">
        <f>_xll.EQNXTDZ($A$1,$B61,R$5,$B$1)</f>
        <v>0</v>
      </c>
      <c r="S61" s="55">
        <f>_xll.EQNXTDZ($A$1,$B61,S$5,$B$1)</f>
        <v>0</v>
      </c>
      <c r="T61" s="55">
        <f>_xll.EQNXTDZ($A$1,$B61,T$5,$B$1)</f>
        <v>0</v>
      </c>
      <c r="U61" s="55">
        <f>_xll.EQNXTDZ($A$1,$B61,U$5,$B$1)</f>
        <v>0</v>
      </c>
      <c r="V61" s="55">
        <f>_xll.EQNXTDZ($A$1,$B61,V$5,$B$1)</f>
        <v>0</v>
      </c>
      <c r="W61" s="55">
        <f>_xll.EQNXTDZ($A$1,$B61,W$5,$B$1)</f>
        <v>0</v>
      </c>
      <c r="X61" s="55">
        <f>_xll.EQNXTDZ($A$1,$B61,X$5,$B$1)</f>
        <v>0</v>
      </c>
      <c r="Y61" s="55">
        <f>_xll.EQNXTDZ($A$1,$B61,Y$5,$B$1)</f>
        <v>0</v>
      </c>
      <c r="Z61" s="55">
        <f>_xll.EQNXTDZ($A$1,$B61,Z$5,$B$1)</f>
        <v>0</v>
      </c>
      <c r="AA61" s="55">
        <f>_xll.EQNXTDZ($A$1,$B61,AA$5,$B$1)</f>
        <v>0</v>
      </c>
      <c r="AB61" s="55">
        <f>_xll.EQNXTDZ($A$1,$B61,AB$5,$B$1)</f>
        <v>0</v>
      </c>
      <c r="AC61" s="55">
        <f>_xll.EQNXTDZ($A$1,$B61,AC$5,$B$1)</f>
        <v>0</v>
      </c>
      <c r="AD61" s="55">
        <f>_xll.EQNXTDZ($A$1,$B61,AD$5,$B$1)</f>
        <v>0</v>
      </c>
      <c r="AE61" s="55">
        <f>_xll.EQNXTDZ($A$1,$B61,AE$5,$B$1)</f>
        <v>0</v>
      </c>
      <c r="AF61" s="55">
        <f>_xll.EQNXTDZ($A$1,$B61,AF$5,$B$1)</f>
        <v>0</v>
      </c>
      <c r="AG61" s="55">
        <f>_xll.EQNXTDZ($A$1,$B61,AG$5,$B$1)</f>
        <v>0</v>
      </c>
      <c r="AH61" s="55">
        <f>_xll.EQNXTDZ($A$1,$B61,AH$5,$B$1)</f>
        <v>0</v>
      </c>
      <c r="AI61" s="55">
        <f>_xll.EQNXTDZ($A$1,$B61,AI$5,$B$1)</f>
        <v>0</v>
      </c>
      <c r="AJ61" s="55">
        <f>_xll.EQNXTDZ($A$1,$B61,AJ$5,$B$1)</f>
        <v>0</v>
      </c>
      <c r="AK61" s="55">
        <f>_xll.EQNXTDZ($A$1,$B61,AK$5,$B$1)</f>
        <v>0</v>
      </c>
      <c r="AL61" s="55">
        <f>_xll.EQNXTDZ($A$1,$B61,AL$5,$B$1)</f>
        <v>0</v>
      </c>
      <c r="AM61" s="55">
        <f>_xll.EQNXTDZ($A$1,$B61,AM$5,$B$1)</f>
        <v>0</v>
      </c>
      <c r="AN61" s="55">
        <f>_xll.EQNXTDZ($A$1,$B61,AN$5,$B$1)</f>
        <v>0</v>
      </c>
      <c r="AO61" s="55">
        <f>_xll.EQNXTDZ($A$1,$B61,AO$5,$B$1)</f>
        <v>0</v>
      </c>
      <c r="AP61" s="55">
        <f>_xll.EQNXTDZ($A$1,$B61,AP$5,$B$1)</f>
        <v>0</v>
      </c>
      <c r="AQ61" s="55">
        <f>_xll.EQNXTDZ($A$1,$B61,AQ$5,$B$1)</f>
        <v>0</v>
      </c>
      <c r="AR61" s="55">
        <f>_xll.EQNXTDZ($A$1,$B61,AR$5,$B$1)</f>
        <v>0</v>
      </c>
      <c r="AS61" s="55">
        <f>_xll.EQNXTDZ($A$1,$B61,AS$5,$B$1)</f>
        <v>0</v>
      </c>
      <c r="AT61" s="55">
        <f>_xll.EQNXTDZ($A$1,$B61,AT$5,$B$1)</f>
        <v>0</v>
      </c>
      <c r="AU61" s="55">
        <f>_xll.EQNXTDZ($A$1,$B61,AU$5,$B$1)</f>
        <v>0</v>
      </c>
      <c r="AV61" s="55">
        <f>_xll.EQNXTDZ($A$1,$B61,AV$5,$B$1)</f>
        <v>0</v>
      </c>
      <c r="AW61" s="55">
        <f>_xll.EQNXTDZ($A$1,$B61,AW$5,$B$1)</f>
        <v>0</v>
      </c>
      <c r="AX61" s="55">
        <f>_xll.EQNXTDZ($A$1,$B61,AX$5,$B$1)</f>
        <v>0</v>
      </c>
      <c r="AY61" s="55">
        <f>_xll.EQNXTDZ($A$1,$B61,AY$5,$B$1)</f>
        <v>0</v>
      </c>
      <c r="AZ61" s="55">
        <f>_xll.EQNXTDZ($A$1,$B61,AZ$5,$B$1)</f>
        <v>0</v>
      </c>
      <c r="BA61" s="55">
        <f>_xll.EQNXTDZ($A$1,$B61,BA$5,$B$1)</f>
        <v>0</v>
      </c>
      <c r="BB61" s="55">
        <f>_xll.EQNXTDZ($A$1,$B61,BB$5,$B$1)</f>
        <v>0</v>
      </c>
      <c r="BC61" s="55">
        <f>_xll.EQNXTDZ($A$1,$B61,BC$5,$B$1)</f>
        <v>0</v>
      </c>
      <c r="BD61" s="55">
        <f>_xll.EQNXTDZ($A$1,$B61,BD$5,$B$1)</f>
        <v>0</v>
      </c>
      <c r="BE61" s="55">
        <f>_xll.EQNXTDZ($A$1,$B61,BE$5,$B$1)</f>
        <v>0</v>
      </c>
      <c r="BF61" s="55">
        <f>_xll.EQNXTDZ($A$1,$B61,BF$5,$B$1)</f>
        <v>0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0</v>
      </c>
      <c r="D63" s="55">
        <f>_xll.EQNXTDZ($A$1,$B63,D$5,$B$1)</f>
        <v>0</v>
      </c>
      <c r="E63" s="55">
        <f>_xll.EQNXTDZ($A$1,$B63,E$5,$B$1)</f>
        <v>0</v>
      </c>
      <c r="F63" s="55">
        <f>_xll.EQNXTDZ($A$1,$B63,F$5,$B$1)</f>
        <v>0</v>
      </c>
      <c r="G63" s="55">
        <f>_xll.EQNXTDZ($A$1,$B63,G$5,$B$1)</f>
        <v>0</v>
      </c>
      <c r="H63" s="55">
        <f>_xll.EQNXTDZ($A$1,$B63,H$5,$B$1)</f>
        <v>0</v>
      </c>
      <c r="I63" s="55">
        <f>_xll.EQNXTDZ($A$1,$B63,I$5,$B$1)</f>
        <v>0</v>
      </c>
      <c r="J63" s="55">
        <f>_xll.EQNXTDZ($A$1,$B63,J$5,$B$1)</f>
        <v>0</v>
      </c>
      <c r="K63" s="55">
        <f>_xll.EQNXTDZ($A$1,$B63,K$5,$B$1)</f>
        <v>0</v>
      </c>
      <c r="L63" s="55">
        <f>_xll.EQNXTDZ($A$1,$B63,L$5,$B$1)</f>
        <v>0</v>
      </c>
      <c r="M63" s="55">
        <f>_xll.EQNXTDZ($A$1,$B63,M$5,$B$1)</f>
        <v>0</v>
      </c>
      <c r="N63" s="55">
        <f>_xll.EQNXTDZ($A$1,$B63,N$5,$B$1)</f>
        <v>0</v>
      </c>
      <c r="O63" s="55">
        <f>_xll.EQNXTDZ($A$1,$B63,O$5,$B$1)</f>
        <v>0</v>
      </c>
      <c r="P63" s="55">
        <f>_xll.EQNXTDZ($A$1,$B63,P$5,$B$1)</f>
        <v>0</v>
      </c>
      <c r="Q63" s="55">
        <f>_xll.EQNXTDZ($A$1,$B63,Q$5,$B$1)</f>
        <v>0</v>
      </c>
      <c r="R63" s="55">
        <f>_xll.EQNXTDZ($A$1,$B63,R$5,$B$1)</f>
        <v>0</v>
      </c>
      <c r="S63" s="55">
        <f>_xll.EQNXTDZ($A$1,$B63,S$5,$B$1)</f>
        <v>0</v>
      </c>
      <c r="T63" s="55">
        <f>_xll.EQNXTDZ($A$1,$B63,T$5,$B$1)</f>
        <v>0</v>
      </c>
      <c r="U63" s="55">
        <f>_xll.EQNXTDZ($A$1,$B63,U$5,$B$1)</f>
        <v>0</v>
      </c>
      <c r="V63" s="55">
        <f>_xll.EQNXTDZ($A$1,$B63,V$5,$B$1)</f>
        <v>0</v>
      </c>
      <c r="W63" s="55">
        <f>_xll.EQNXTDZ($A$1,$B63,W$5,$B$1)</f>
        <v>0</v>
      </c>
      <c r="X63" s="55">
        <f>_xll.EQNXTDZ($A$1,$B63,X$5,$B$1)</f>
        <v>0</v>
      </c>
      <c r="Y63" s="55">
        <f>_xll.EQNXTDZ($A$1,$B63,Y$5,$B$1)</f>
        <v>0</v>
      </c>
      <c r="Z63" s="55">
        <f>_xll.EQNXTDZ($A$1,$B63,Z$5,$B$1)</f>
        <v>0</v>
      </c>
      <c r="AA63" s="55">
        <f>_xll.EQNXTDZ($A$1,$B63,AA$5,$B$1)</f>
        <v>0</v>
      </c>
      <c r="AB63" s="55">
        <f>_xll.EQNXTDZ($A$1,$B63,AB$5,$B$1)</f>
        <v>0</v>
      </c>
      <c r="AC63" s="55">
        <f>_xll.EQNXTDZ($A$1,$B63,AC$5,$B$1)</f>
        <v>0</v>
      </c>
      <c r="AD63" s="55">
        <f>_xll.EQNXTDZ($A$1,$B63,AD$5,$B$1)</f>
        <v>0</v>
      </c>
      <c r="AE63" s="55">
        <f>_xll.EQNXTDZ($A$1,$B63,AE$5,$B$1)</f>
        <v>0</v>
      </c>
      <c r="AF63" s="55">
        <f>_xll.EQNXTDZ($A$1,$B63,AF$5,$B$1)</f>
        <v>0</v>
      </c>
      <c r="AG63" s="55">
        <f>_xll.EQNXTDZ($A$1,$B63,AG$5,$B$1)</f>
        <v>0</v>
      </c>
      <c r="AH63" s="55">
        <f>_xll.EQNXTDZ($A$1,$B63,AH$5,$B$1)</f>
        <v>0</v>
      </c>
      <c r="AI63" s="55">
        <f>_xll.EQNXTDZ($A$1,$B63,AI$5,$B$1)</f>
        <v>0</v>
      </c>
      <c r="AJ63" s="55">
        <f>_xll.EQNXTDZ($A$1,$B63,AJ$5,$B$1)</f>
        <v>0</v>
      </c>
      <c r="AK63" s="55">
        <f>_xll.EQNXTDZ($A$1,$B63,AK$5,$B$1)</f>
        <v>0</v>
      </c>
      <c r="AL63" s="55">
        <f>_xll.EQNXTDZ($A$1,$B63,AL$5,$B$1)</f>
        <v>0</v>
      </c>
      <c r="AM63" s="55">
        <f>_xll.EQNXTDZ($A$1,$B63,AM$5,$B$1)</f>
        <v>0</v>
      </c>
      <c r="AN63" s="55">
        <f>_xll.EQNXTDZ($A$1,$B63,AN$5,$B$1)</f>
        <v>0</v>
      </c>
      <c r="AO63" s="55">
        <f>_xll.EQNXTDZ($A$1,$B63,AO$5,$B$1)</f>
        <v>0</v>
      </c>
      <c r="AP63" s="55">
        <f>_xll.EQNXTDZ($A$1,$B63,AP$5,$B$1)</f>
        <v>0</v>
      </c>
      <c r="AQ63" s="55">
        <f>_xll.EQNXTDZ($A$1,$B63,AQ$5,$B$1)</f>
        <v>0</v>
      </c>
      <c r="AR63" s="55">
        <f>_xll.EQNXTDZ($A$1,$B63,AR$5,$B$1)</f>
        <v>0</v>
      </c>
      <c r="AS63" s="55">
        <f>_xll.EQNXTDZ($A$1,$B63,AS$5,$B$1)</f>
        <v>0</v>
      </c>
      <c r="AT63" s="55">
        <f>_xll.EQNXTDZ($A$1,$B63,AT$5,$B$1)</f>
        <v>0</v>
      </c>
      <c r="AU63" s="55">
        <f>_xll.EQNXTDZ($A$1,$B63,AU$5,$B$1)</f>
        <v>0</v>
      </c>
      <c r="AV63" s="55">
        <f>_xll.EQNXTDZ($A$1,$B63,AV$5,$B$1)</f>
        <v>0</v>
      </c>
      <c r="AW63" s="55">
        <f>_xll.EQNXTDZ($A$1,$B63,AW$5,$B$1)</f>
        <v>0</v>
      </c>
      <c r="AX63" s="55">
        <f>_xll.EQNXTDZ($A$1,$B63,AX$5,$B$1)</f>
        <v>0</v>
      </c>
      <c r="AY63" s="55">
        <f>_xll.EQNXTDZ($A$1,$B63,AY$5,$B$1)</f>
        <v>0</v>
      </c>
      <c r="AZ63" s="55">
        <f>_xll.EQNXTDZ($A$1,$B63,AZ$5,$B$1)</f>
        <v>0</v>
      </c>
      <c r="BA63" s="55">
        <f>_xll.EQNXTDZ($A$1,$B63,BA$5,$B$1)</f>
        <v>0</v>
      </c>
      <c r="BB63" s="55">
        <f>_xll.EQNXTDZ($A$1,$B63,BB$5,$B$1)</f>
        <v>0</v>
      </c>
      <c r="BC63" s="55">
        <f>_xll.EQNXTDZ($A$1,$B63,BC$5,$B$1)</f>
        <v>0</v>
      </c>
      <c r="BD63" s="55">
        <f>_xll.EQNXTDZ($A$1,$B63,BD$5,$B$1)</f>
        <v>0</v>
      </c>
      <c r="BE63" s="55">
        <f>_xll.EQNXTDZ($A$1,$B63,BE$5,$B$1)</f>
        <v>0</v>
      </c>
      <c r="BF63" s="55">
        <f>_xll.EQNXTDZ($A$1,$B63,BF$5,$B$1)</f>
        <v>0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0</v>
      </c>
      <c r="D64" s="55">
        <f>_xll.EQNXTDZ($A$1,$B64,D$5,$B$1)</f>
        <v>71</v>
      </c>
      <c r="E64" s="55">
        <f>_xll.EQNXTDZ($A$1,$B64,E$5,$B$1)</f>
        <v>0</v>
      </c>
      <c r="F64" s="55">
        <f>_xll.EQNXTDZ($A$1,$B64,F$5,$B$1)</f>
        <v>149</v>
      </c>
      <c r="G64" s="55">
        <f>_xll.EQNXTDZ($A$1,$B64,G$5,$B$1)</f>
        <v>0</v>
      </c>
      <c r="H64" s="55">
        <f>_xll.EQNXTDZ($A$1,$B64,H$5,$B$1)</f>
        <v>276</v>
      </c>
      <c r="I64" s="55">
        <f>_xll.EQNXTDZ($A$1,$B64,I$5,$B$1)</f>
        <v>0</v>
      </c>
      <c r="J64" s="55">
        <f>_xll.EQNXTDZ($A$1,$B64,J$5,$B$1)</f>
        <v>323</v>
      </c>
      <c r="K64" s="55">
        <f>_xll.EQNXTDZ($A$1,$B64,K$5,$B$1)</f>
        <v>0</v>
      </c>
      <c r="L64" s="55">
        <f>_xll.EQNXTDZ($A$1,$B64,L$5,$B$1)</f>
        <v>391</v>
      </c>
      <c r="M64" s="55">
        <f>_xll.EQNXTDZ($A$1,$B64,M$5,$B$1)</f>
        <v>0</v>
      </c>
      <c r="N64" s="55">
        <f>_xll.EQNXTDZ($A$1,$B64,N$5,$B$1)</f>
        <v>46</v>
      </c>
      <c r="O64" s="55">
        <f>_xll.EQNXTDZ($A$1,$B64,O$5,$B$1)</f>
        <v>0</v>
      </c>
      <c r="P64" s="55">
        <f>_xll.EQNXTDZ($A$1,$B64,P$5,$B$1)</f>
        <v>127</v>
      </c>
      <c r="Q64" s="55">
        <f>_xll.EQNXTDZ($A$1,$B64,Q$5,$B$1)</f>
        <v>0</v>
      </c>
      <c r="R64" s="55">
        <f>_xll.EQNXTDZ($A$1,$B64,R$5,$B$1)</f>
        <v>115</v>
      </c>
      <c r="S64" s="55">
        <f>_xll.EQNXTDZ($A$1,$B64,S$5,$B$1)</f>
        <v>0</v>
      </c>
      <c r="T64" s="55">
        <f>_xll.EQNXTDZ($A$1,$B64,T$5,$B$1)</f>
        <v>151</v>
      </c>
      <c r="U64" s="55">
        <f>_xll.EQNXTDZ($A$1,$B64,U$5,$B$1)</f>
        <v>0</v>
      </c>
      <c r="V64" s="55">
        <f>_xll.EQNXTDZ($A$1,$B64,V$5,$B$1)</f>
        <v>153</v>
      </c>
      <c r="W64" s="55">
        <f>_xll.EQNXTDZ($A$1,$B64,W$5,$B$1)</f>
        <v>117</v>
      </c>
      <c r="X64" s="55">
        <f>_xll.EQNXTDZ($A$1,$B64,X$5,$B$1)</f>
        <v>134</v>
      </c>
      <c r="Y64" s="55">
        <f>_xll.EQNXTDZ($A$1,$B64,Y$5,$B$1)</f>
        <v>0</v>
      </c>
      <c r="Z64" s="55">
        <f>_xll.EQNXTDZ($A$1,$B64,Z$5,$B$1)</f>
        <v>320</v>
      </c>
      <c r="AA64" s="55">
        <f>_xll.EQNXTDZ($A$1,$B64,AA$5,$B$1)</f>
        <v>0</v>
      </c>
      <c r="AB64" s="55">
        <f>_xll.EQNXTDZ($A$1,$B64,AB$5,$B$1)</f>
        <v>407</v>
      </c>
      <c r="AC64" s="55">
        <f>_xll.EQNXTDZ($A$1,$B64,AC$5,$B$1)</f>
        <v>0</v>
      </c>
      <c r="AD64" s="55">
        <f>_xll.EQNXTDZ($A$1,$B64,AD$5,$B$1)</f>
        <v>422</v>
      </c>
      <c r="AE64" s="55">
        <f>_xll.EQNXTDZ($A$1,$B64,AE$5,$B$1)</f>
        <v>0</v>
      </c>
      <c r="AF64" s="55">
        <f>_xll.EQNXTDZ($A$1,$B64,AF$5,$B$1)</f>
        <v>4412</v>
      </c>
      <c r="AG64" s="55">
        <f>_xll.EQNXTDZ($A$1,$B64,AG$5,$B$1)</f>
        <v>0</v>
      </c>
      <c r="AH64" s="55">
        <f>_xll.EQNXTDZ($A$1,$B64,AH$5,$B$1)</f>
        <v>5100</v>
      </c>
      <c r="AI64" s="55">
        <f>_xll.EQNXTDZ($A$1,$B64,AI$5,$B$1)</f>
        <v>0</v>
      </c>
      <c r="AJ64" s="55">
        <f>_xll.EQNXTDZ($A$1,$B64,AJ$5,$B$1)</f>
        <v>5595</v>
      </c>
      <c r="AK64" s="55">
        <f>_xll.EQNXTDZ($A$1,$B64,AK$5,$B$1)</f>
        <v>0</v>
      </c>
      <c r="AL64" s="55">
        <f>_xll.EQNXTDZ($A$1,$B64,AL$5,$B$1)</f>
        <v>6864</v>
      </c>
      <c r="AM64" s="55">
        <f>_xll.EQNXTDZ($A$1,$B64,AM$5,$B$1)</f>
        <v>0</v>
      </c>
      <c r="AN64" s="55">
        <f>_xll.EQNXTDZ($A$1,$B64,AN$5,$B$1)</f>
        <v>7216</v>
      </c>
      <c r="AO64" s="55">
        <f>_xll.EQNXTDZ($A$1,$B64,AO$5,$B$1)</f>
        <v>0</v>
      </c>
      <c r="AP64" s="55">
        <f>_xll.EQNXTDZ($A$1,$B64,AP$5,$B$1)</f>
        <v>7390</v>
      </c>
      <c r="AQ64" s="55">
        <f>_xll.EQNXTDZ($A$1,$B64,AQ$5,$B$1)</f>
        <v>0</v>
      </c>
      <c r="AR64" s="55">
        <f>_xll.EQNXTDZ($A$1,$B64,AR$5,$B$1)</f>
        <v>8429</v>
      </c>
      <c r="AS64" s="55">
        <f>_xll.EQNXTDZ($A$1,$B64,AS$5,$B$1)</f>
        <v>0</v>
      </c>
      <c r="AT64" s="55">
        <f>_xll.EQNXTDZ($A$1,$B64,AT$5,$B$1)</f>
        <v>9615</v>
      </c>
      <c r="AU64" s="55">
        <f>_xll.EQNXTDZ($A$1,$B64,AU$5,$B$1)</f>
        <v>0</v>
      </c>
      <c r="AV64" s="55">
        <f>_xll.EQNXTDZ($A$1,$B64,AV$5,$B$1)</f>
        <v>9260</v>
      </c>
      <c r="AW64" s="55">
        <f>_xll.EQNXTDZ($A$1,$B64,AW$5,$B$1)</f>
        <v>0</v>
      </c>
      <c r="AX64" s="55">
        <f>_xll.EQNXTDZ($A$1,$B64,AX$5,$B$1)</f>
        <v>8765</v>
      </c>
      <c r="AY64" s="55">
        <f>_xll.EQNXTDZ($A$1,$B64,AY$5,$B$1)</f>
        <v>0</v>
      </c>
      <c r="AZ64" s="55">
        <f>_xll.EQNXTDZ($A$1,$B64,AZ$5,$B$1)</f>
        <v>8524</v>
      </c>
      <c r="BA64" s="55">
        <f>_xll.EQNXTDZ($A$1,$B64,BA$5,$B$1)</f>
        <v>0</v>
      </c>
      <c r="BB64" s="55">
        <f>_xll.EQNXTDZ($A$1,$B64,BB$5,$B$1)</f>
        <v>8128</v>
      </c>
      <c r="BC64" s="55">
        <f>_xll.EQNXTDZ($A$1,$B64,BC$5,$B$1)</f>
        <v>0</v>
      </c>
      <c r="BD64" s="55">
        <f>_xll.EQNXTDZ($A$1,$B64,BD$5,$B$1)</f>
        <v>8550</v>
      </c>
      <c r="BE64" s="55">
        <f>_xll.EQNXTDZ($A$1,$B64,BE$5,$B$1)</f>
        <v>0</v>
      </c>
      <c r="BF64" s="55">
        <f>_xll.EQNXTDZ($A$1,$B64,BF$5,$B$1)</f>
        <v>8669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0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0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0</v>
      </c>
      <c r="AE65" s="55">
        <f>_xll.EQNXTDZ($A$1,$B65,AE$5,$B$1)</f>
        <v>0</v>
      </c>
      <c r="AF65" s="55">
        <f>_xll.EQNXTDZ($A$1,$B65,AF$5,$B$1)</f>
        <v>0</v>
      </c>
      <c r="AG65" s="55">
        <f>_xll.EQNXTDZ($A$1,$B65,AG$5,$B$1)</f>
        <v>0</v>
      </c>
      <c r="AH65" s="55">
        <f>_xll.EQNXTDZ($A$1,$B65,AH$5,$B$1)</f>
        <v>0</v>
      </c>
      <c r="AI65" s="55">
        <f>_xll.EQNXTDZ($A$1,$B65,AI$5,$B$1)</f>
        <v>0</v>
      </c>
      <c r="AJ65" s="55">
        <f>_xll.EQNXTDZ($A$1,$B65,AJ$5,$B$1)</f>
        <v>0</v>
      </c>
      <c r="AK65" s="55">
        <f>_xll.EQNXTDZ($A$1,$B65,AK$5,$B$1)</f>
        <v>0</v>
      </c>
      <c r="AL65" s="55">
        <f>_xll.EQNXTDZ($A$1,$B65,AL$5,$B$1)</f>
        <v>0</v>
      </c>
      <c r="AM65" s="55">
        <f>_xll.EQNXTDZ($A$1,$B65,AM$5,$B$1)</f>
        <v>0</v>
      </c>
      <c r="AN65" s="55">
        <f>_xll.EQNXTDZ($A$1,$B65,AN$5,$B$1)</f>
        <v>0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0</v>
      </c>
      <c r="BA65" s="55">
        <f>_xll.EQNXTDZ($A$1,$B65,BA$5,$B$1)</f>
        <v>0</v>
      </c>
      <c r="BB65" s="55">
        <f>_xll.EQNXTDZ($A$1,$B65,BB$5,$B$1)</f>
        <v>0</v>
      </c>
      <c r="BC65" s="55">
        <f>_xll.EQNXTDZ($A$1,$B65,BC$5,$B$1)</f>
        <v>0</v>
      </c>
      <c r="BD65" s="55">
        <f>_xll.EQNXTDZ($A$1,$B65,BD$5,$B$1)</f>
        <v>0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0</v>
      </c>
      <c r="D66" s="55">
        <f>_xll.EQNXTDZ($A$1,$B66,D$5,$B$1)</f>
        <v>0</v>
      </c>
      <c r="E66" s="55">
        <f>_xll.EQNXTDZ($A$1,$B66,E$5,$B$1)</f>
        <v>0</v>
      </c>
      <c r="F66" s="55">
        <f>_xll.EQNXTDZ($A$1,$B66,F$5,$B$1)</f>
        <v>0</v>
      </c>
      <c r="G66" s="55">
        <f>_xll.EQNXTDZ($A$1,$B66,G$5,$B$1)</f>
        <v>0</v>
      </c>
      <c r="H66" s="55">
        <f>_xll.EQNXTDZ($A$1,$B66,H$5,$B$1)</f>
        <v>0</v>
      </c>
      <c r="I66" s="55">
        <f>_xll.EQNXTDZ($A$1,$B66,I$5,$B$1)</f>
        <v>0</v>
      </c>
      <c r="J66" s="55">
        <f>_xll.EQNXTDZ($A$1,$B66,J$5,$B$1)</f>
        <v>0</v>
      </c>
      <c r="K66" s="55">
        <f>_xll.EQNXTDZ($A$1,$B66,K$5,$B$1)</f>
        <v>0</v>
      </c>
      <c r="L66" s="55">
        <f>_xll.EQNXTDZ($A$1,$B66,L$5,$B$1)</f>
        <v>0</v>
      </c>
      <c r="M66" s="55">
        <f>_xll.EQNXTDZ($A$1,$B66,M$5,$B$1)</f>
        <v>0</v>
      </c>
      <c r="N66" s="55">
        <f>_xll.EQNXTDZ($A$1,$B66,N$5,$B$1)</f>
        <v>0</v>
      </c>
      <c r="O66" s="55">
        <f>_xll.EQNXTDZ($A$1,$B66,O$5,$B$1)</f>
        <v>0</v>
      </c>
      <c r="P66" s="55">
        <f>_xll.EQNXTDZ($A$1,$B66,P$5,$B$1)</f>
        <v>0</v>
      </c>
      <c r="Q66" s="55">
        <f>_xll.EQNXTDZ($A$1,$B66,Q$5,$B$1)</f>
        <v>0</v>
      </c>
      <c r="R66" s="55">
        <f>_xll.EQNXTDZ($A$1,$B66,R$5,$B$1)</f>
        <v>0</v>
      </c>
      <c r="S66" s="55">
        <f>_xll.EQNXTDZ($A$1,$B66,S$5,$B$1)</f>
        <v>0</v>
      </c>
      <c r="T66" s="55">
        <f>_xll.EQNXTDZ($A$1,$B66,T$5,$B$1)</f>
        <v>0</v>
      </c>
      <c r="U66" s="55">
        <f>_xll.EQNXTDZ($A$1,$B66,U$5,$B$1)</f>
        <v>0</v>
      </c>
      <c r="V66" s="55">
        <f>_xll.EQNXTDZ($A$1,$B66,V$5,$B$1)</f>
        <v>0</v>
      </c>
      <c r="W66" s="55">
        <f>_xll.EQNXTDZ($A$1,$B66,W$5,$B$1)</f>
        <v>0</v>
      </c>
      <c r="X66" s="55">
        <f>_xll.EQNXTDZ($A$1,$B66,X$5,$B$1)</f>
        <v>0</v>
      </c>
      <c r="Y66" s="55">
        <f>_xll.EQNXTDZ($A$1,$B66,Y$5,$B$1)</f>
        <v>0</v>
      </c>
      <c r="Z66" s="55">
        <f>_xll.EQNXTDZ($A$1,$B66,Z$5,$B$1)</f>
        <v>0</v>
      </c>
      <c r="AA66" s="55">
        <f>_xll.EQNXTDZ($A$1,$B66,AA$5,$B$1)</f>
        <v>0</v>
      </c>
      <c r="AB66" s="55">
        <f>_xll.EQNXTDZ($A$1,$B66,AB$5,$B$1)</f>
        <v>0</v>
      </c>
      <c r="AC66" s="55">
        <f>_xll.EQNXTDZ($A$1,$B66,AC$5,$B$1)</f>
        <v>0</v>
      </c>
      <c r="AD66" s="55">
        <f>_xll.EQNXTDZ($A$1,$B66,AD$5,$B$1)</f>
        <v>0</v>
      </c>
      <c r="AE66" s="55">
        <f>_xll.EQNXTDZ($A$1,$B66,AE$5,$B$1)</f>
        <v>0</v>
      </c>
      <c r="AF66" s="55">
        <f>_xll.EQNXTDZ($A$1,$B66,AF$5,$B$1)</f>
        <v>0</v>
      </c>
      <c r="AG66" s="55">
        <f>_xll.EQNXTDZ($A$1,$B66,AG$5,$B$1)</f>
        <v>0</v>
      </c>
      <c r="AH66" s="55">
        <f>_xll.EQNXTDZ($A$1,$B66,AH$5,$B$1)</f>
        <v>0</v>
      </c>
      <c r="AI66" s="55">
        <f>_xll.EQNXTDZ($A$1,$B66,AI$5,$B$1)</f>
        <v>0</v>
      </c>
      <c r="AJ66" s="55">
        <f>_xll.EQNXTDZ($A$1,$B66,AJ$5,$B$1)</f>
        <v>0</v>
      </c>
      <c r="AK66" s="55">
        <f>_xll.EQNXTDZ($A$1,$B66,AK$5,$B$1)</f>
        <v>0</v>
      </c>
      <c r="AL66" s="55">
        <f>_xll.EQNXTDZ($A$1,$B66,AL$5,$B$1)</f>
        <v>0</v>
      </c>
      <c r="AM66" s="55">
        <f>_xll.EQNXTDZ($A$1,$B66,AM$5,$B$1)</f>
        <v>0</v>
      </c>
      <c r="AN66" s="55">
        <f>_xll.EQNXTDZ($A$1,$B66,AN$5,$B$1)</f>
        <v>0</v>
      </c>
      <c r="AO66" s="55">
        <f>_xll.EQNXTDZ($A$1,$B66,AO$5,$B$1)</f>
        <v>0</v>
      </c>
      <c r="AP66" s="55">
        <f>_xll.EQNXTDZ($A$1,$B66,AP$5,$B$1)</f>
        <v>0</v>
      </c>
      <c r="AQ66" s="55">
        <f>_xll.EQNXTDZ($A$1,$B66,AQ$5,$B$1)</f>
        <v>0</v>
      </c>
      <c r="AR66" s="55">
        <f>_xll.EQNXTDZ($A$1,$B66,AR$5,$B$1)</f>
        <v>0</v>
      </c>
      <c r="AS66" s="55">
        <f>_xll.EQNXTDZ($A$1,$B66,AS$5,$B$1)</f>
        <v>0</v>
      </c>
      <c r="AT66" s="55">
        <f>_xll.EQNXTDZ($A$1,$B66,AT$5,$B$1)</f>
        <v>0</v>
      </c>
      <c r="AU66" s="55">
        <f>_xll.EQNXTDZ($A$1,$B66,AU$5,$B$1)</f>
        <v>0</v>
      </c>
      <c r="AV66" s="55">
        <f>_xll.EQNXTDZ($A$1,$B66,AV$5,$B$1)</f>
        <v>0</v>
      </c>
      <c r="AW66" s="55">
        <f>_xll.EQNXTDZ($A$1,$B66,AW$5,$B$1)</f>
        <v>0</v>
      </c>
      <c r="AX66" s="55">
        <f>_xll.EQNXTDZ($A$1,$B66,AX$5,$B$1)</f>
        <v>0</v>
      </c>
      <c r="AY66" s="55">
        <f>_xll.EQNXTDZ($A$1,$B66,AY$5,$B$1)</f>
        <v>0</v>
      </c>
      <c r="AZ66" s="55">
        <f>_xll.EQNXTDZ($A$1,$B66,AZ$5,$B$1)</f>
        <v>0</v>
      </c>
      <c r="BA66" s="55">
        <f>_xll.EQNXTDZ($A$1,$B66,BA$5,$B$1)</f>
        <v>0</v>
      </c>
      <c r="BB66" s="55">
        <f>_xll.EQNXTDZ($A$1,$B66,BB$5,$B$1)</f>
        <v>0</v>
      </c>
      <c r="BC66" s="55">
        <f>_xll.EQNXTDZ($A$1,$B66,BC$5,$B$1)</f>
        <v>0</v>
      </c>
      <c r="BD66" s="55">
        <f>_xll.EQNXTDZ($A$1,$B66,BD$5,$B$1)</f>
        <v>0</v>
      </c>
      <c r="BE66" s="55">
        <f>_xll.EQNXTDZ($A$1,$B66,BE$5,$B$1)</f>
        <v>0</v>
      </c>
      <c r="BF66" s="55">
        <f>_xll.EQNXTDZ($A$1,$B66,BF$5,$B$1)</f>
        <v>0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0</v>
      </c>
      <c r="D67" s="55">
        <f>_xll.EQNXTDZ($A$1,$B67,D$5,$B$1)</f>
        <v>36087</v>
      </c>
      <c r="E67" s="55">
        <f>_xll.EQNXTDZ($A$1,$B67,E$5,$B$1)</f>
        <v>0</v>
      </c>
      <c r="F67" s="55">
        <f>_xll.EQNXTDZ($A$1,$B67,F$5,$B$1)</f>
        <v>39946</v>
      </c>
      <c r="G67" s="55">
        <f>_xll.EQNXTDZ($A$1,$B67,G$5,$B$1)</f>
        <v>0</v>
      </c>
      <c r="H67" s="55">
        <f>_xll.EQNXTDZ($A$1,$B67,H$5,$B$1)</f>
        <v>43475</v>
      </c>
      <c r="I67" s="55">
        <f>_xll.EQNXTDZ($A$1,$B67,I$5,$B$1)</f>
        <v>0</v>
      </c>
      <c r="J67" s="55">
        <f>_xll.EQNXTDZ($A$1,$B67,J$5,$B$1)</f>
        <v>47853</v>
      </c>
      <c r="K67" s="55">
        <f>_xll.EQNXTDZ($A$1,$B67,K$5,$B$1)</f>
        <v>0</v>
      </c>
      <c r="L67" s="55">
        <f>_xll.EQNXTDZ($A$1,$B67,L$5,$B$1)</f>
        <v>50973</v>
      </c>
      <c r="M67" s="55">
        <f>_xll.EQNXTDZ($A$1,$B67,M$5,$B$1)</f>
        <v>0</v>
      </c>
      <c r="N67" s="55">
        <f>_xll.EQNXTDZ($A$1,$B67,N$5,$B$1)</f>
        <v>54809</v>
      </c>
      <c r="O67" s="55">
        <f>_xll.EQNXTDZ($A$1,$B67,O$5,$B$1)</f>
        <v>0</v>
      </c>
      <c r="P67" s="55">
        <f>_xll.EQNXTDZ($A$1,$B67,P$5,$B$1)</f>
        <v>57472</v>
      </c>
      <c r="Q67" s="55">
        <f>_xll.EQNXTDZ($A$1,$B67,Q$5,$B$1)</f>
        <v>0</v>
      </c>
      <c r="R67" s="55">
        <f>_xll.EQNXTDZ($A$1,$B67,R$5,$B$1)</f>
        <v>61859</v>
      </c>
      <c r="S67" s="55">
        <f>_xll.EQNXTDZ($A$1,$B67,S$5,$B$1)</f>
        <v>0</v>
      </c>
      <c r="T67" s="55">
        <f>_xll.EQNXTDZ($A$1,$B67,T$5,$B$1)</f>
        <v>64976</v>
      </c>
      <c r="U67" s="55">
        <f>_xll.EQNXTDZ($A$1,$B67,U$5,$B$1)</f>
        <v>0</v>
      </c>
      <c r="V67" s="55">
        <f>_xll.EQNXTDZ($A$1,$B67,V$5,$B$1)</f>
        <v>69135</v>
      </c>
      <c r="W67" s="55">
        <f>_xll.EQNXTDZ($A$1,$B67,W$5,$B$1)</f>
        <v>68631</v>
      </c>
      <c r="X67" s="55">
        <f>_xll.EQNXTDZ($A$1,$B67,X$5,$B$1)</f>
        <v>72504</v>
      </c>
      <c r="Y67" s="55">
        <f>_xll.EQNXTDZ($A$1,$B67,Y$5,$B$1)</f>
        <v>0</v>
      </c>
      <c r="Z67" s="55">
        <f>_xll.EQNXTDZ($A$1,$B67,Z$5,$B$1)</f>
        <v>65244</v>
      </c>
      <c r="AA67" s="55">
        <f>_xll.EQNXTDZ($A$1,$B67,AA$5,$B$1)</f>
        <v>0</v>
      </c>
      <c r="AB67" s="55">
        <f>_xll.EQNXTDZ($A$1,$B67,AB$5,$B$1)</f>
        <v>65556</v>
      </c>
      <c r="AC67" s="55">
        <f>_xll.EQNXTDZ($A$1,$B67,AC$5,$B$1)</f>
        <v>0</v>
      </c>
      <c r="AD67" s="55">
        <f>_xll.EQNXTDZ($A$1,$B67,AD$5,$B$1)</f>
        <v>65428</v>
      </c>
      <c r="AE67" s="55">
        <f>_xll.EQNXTDZ($A$1,$B67,AE$5,$B$1)</f>
        <v>0</v>
      </c>
      <c r="AF67" s="55">
        <f>_xll.EQNXTDZ($A$1,$B67,AF$5,$B$1)</f>
        <v>65293</v>
      </c>
      <c r="AG67" s="55">
        <f>_xll.EQNXTDZ($A$1,$B67,AG$5,$B$1)</f>
        <v>0</v>
      </c>
      <c r="AH67" s="55">
        <f>_xll.EQNXTDZ($A$1,$B67,AH$5,$B$1)</f>
        <v>70944</v>
      </c>
      <c r="AI67" s="55">
        <f>_xll.EQNXTDZ($A$1,$B67,AI$5,$B$1)</f>
        <v>0</v>
      </c>
      <c r="AJ67" s="55">
        <f>_xll.EQNXTDZ($A$1,$B67,AJ$5,$B$1)</f>
        <v>77029</v>
      </c>
      <c r="AK67" s="55">
        <f>_xll.EQNXTDZ($A$1,$B67,AK$5,$B$1)</f>
        <v>0</v>
      </c>
      <c r="AL67" s="55">
        <f>_xll.EQNXTDZ($A$1,$B67,AL$5,$B$1)</f>
        <v>83646</v>
      </c>
      <c r="AM67" s="55">
        <f>_xll.EQNXTDZ($A$1,$B67,AM$5,$B$1)</f>
        <v>0</v>
      </c>
      <c r="AN67" s="55">
        <f>_xll.EQNXTDZ($A$1,$B67,AN$5,$B$1)</f>
        <v>77564</v>
      </c>
      <c r="AO67" s="55">
        <f>_xll.EQNXTDZ($A$1,$B67,AO$5,$B$1)</f>
        <v>0</v>
      </c>
      <c r="AP67" s="55">
        <f>_xll.EQNXTDZ($A$1,$B67,AP$5,$B$1)</f>
        <v>83126</v>
      </c>
      <c r="AQ67" s="55">
        <f>_xll.EQNXTDZ($A$1,$B67,AQ$5,$B$1)</f>
        <v>0</v>
      </c>
      <c r="AR67" s="55">
        <f>_xll.EQNXTDZ($A$1,$B67,AR$5,$B$1)</f>
        <v>88776</v>
      </c>
      <c r="AS67" s="55">
        <f>_xll.EQNXTDZ($A$1,$B67,AS$5,$B$1)</f>
        <v>0</v>
      </c>
      <c r="AT67" s="55">
        <f>_xll.EQNXTDZ($A$1,$B67,AT$5,$B$1)</f>
        <v>85410</v>
      </c>
      <c r="AU67" s="55">
        <f>_xll.EQNXTDZ($A$1,$B67,AU$5,$B$1)</f>
        <v>0</v>
      </c>
      <c r="AV67" s="55">
        <f>_xll.EQNXTDZ($A$1,$B67,AV$5,$B$1)</f>
        <v>90414</v>
      </c>
      <c r="AW67" s="55">
        <f>_xll.EQNXTDZ($A$1,$B67,AW$5,$B$1)</f>
        <v>0</v>
      </c>
      <c r="AX67" s="55">
        <f>_xll.EQNXTDZ($A$1,$B67,AX$5,$B$1)</f>
        <v>97226</v>
      </c>
      <c r="AY67" s="55">
        <f>_xll.EQNXTDZ($A$1,$B67,AY$5,$B$1)</f>
        <v>0</v>
      </c>
      <c r="AZ67" s="55">
        <f>_xll.EQNXTDZ($A$1,$B67,AZ$5,$B$1)</f>
        <v>99354</v>
      </c>
      <c r="BA67" s="55">
        <f>_xll.EQNXTDZ($A$1,$B67,BA$5,$B$1)</f>
        <v>0</v>
      </c>
      <c r="BB67" s="55">
        <f>_xll.EQNXTDZ($A$1,$B67,BB$5,$B$1)</f>
        <v>104331</v>
      </c>
      <c r="BC67" s="55">
        <f>_xll.EQNXTDZ($A$1,$B67,BC$5,$B$1)</f>
        <v>0</v>
      </c>
      <c r="BD67" s="55">
        <f>_xll.EQNXTDZ($A$1,$B67,BD$5,$B$1)</f>
        <v>112294</v>
      </c>
      <c r="BE67" s="55">
        <f>_xll.EQNXTDZ($A$1,$B67,BE$5,$B$1)</f>
        <v>0</v>
      </c>
      <c r="BF67" s="55">
        <f>_xll.EQNXTDZ($A$1,$B67,BF$5,$B$1)</f>
        <v>101966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0</v>
      </c>
      <c r="D68" s="55">
        <f>_xll.EQNXTDZ($A$1,$B68,D$5,$B$1)</f>
        <v>5977</v>
      </c>
      <c r="E68" s="55">
        <f>_xll.EQNXTDZ($A$1,$B68,E$5,$B$1)</f>
        <v>0</v>
      </c>
      <c r="F68" s="55">
        <f>_xll.EQNXTDZ($A$1,$B68,F$5,$B$1)</f>
        <v>6836</v>
      </c>
      <c r="G68" s="55">
        <f>_xll.EQNXTDZ($A$1,$B68,G$5,$B$1)</f>
        <v>0</v>
      </c>
      <c r="H68" s="55">
        <f>_xll.EQNXTDZ($A$1,$B68,H$5,$B$1)</f>
        <v>7401</v>
      </c>
      <c r="I68" s="55">
        <f>_xll.EQNXTDZ($A$1,$B68,I$5,$B$1)</f>
        <v>0</v>
      </c>
      <c r="J68" s="55">
        <f>_xll.EQNXTDZ($A$1,$B68,J$5,$B$1)</f>
        <v>8229</v>
      </c>
      <c r="K68" s="55">
        <f>_xll.EQNXTDZ($A$1,$B68,K$5,$B$1)</f>
        <v>0</v>
      </c>
      <c r="L68" s="55">
        <f>_xll.EQNXTDZ($A$1,$B68,L$5,$B$1)</f>
        <v>8398</v>
      </c>
      <c r="M68" s="55">
        <f>_xll.EQNXTDZ($A$1,$B68,M$5,$B$1)</f>
        <v>0</v>
      </c>
      <c r="N68" s="55">
        <f>_xll.EQNXTDZ($A$1,$B68,N$5,$B$1)</f>
        <v>9763</v>
      </c>
      <c r="O68" s="55">
        <f>_xll.EQNXTDZ($A$1,$B68,O$5,$B$1)</f>
        <v>0</v>
      </c>
      <c r="P68" s="55">
        <f>_xll.EQNXTDZ($A$1,$B68,P$5,$B$1)</f>
        <v>10603</v>
      </c>
      <c r="Q68" s="55">
        <f>_xll.EQNXTDZ($A$1,$B68,Q$5,$B$1)</f>
        <v>0</v>
      </c>
      <c r="R68" s="55">
        <f>_xll.EQNXTDZ($A$1,$B68,R$5,$B$1)</f>
        <v>9622</v>
      </c>
      <c r="S68" s="55">
        <f>_xll.EQNXTDZ($A$1,$B68,S$5,$B$1)</f>
        <v>0</v>
      </c>
      <c r="T68" s="55">
        <f>_xll.EQNXTDZ($A$1,$B68,T$5,$B$1)</f>
        <v>9805</v>
      </c>
      <c r="U68" s="55">
        <f>_xll.EQNXTDZ($A$1,$B68,U$5,$B$1)</f>
        <v>0</v>
      </c>
      <c r="V68" s="55">
        <f>_xll.EQNXTDZ($A$1,$B68,V$5,$B$1)</f>
        <v>10527</v>
      </c>
      <c r="W68" s="55">
        <f>_xll.EQNXTDZ($A$1,$B68,W$5,$B$1)</f>
        <v>12578</v>
      </c>
      <c r="X68" s="55">
        <f>_xll.EQNXTDZ($A$1,$B68,X$5,$B$1)</f>
        <v>10207</v>
      </c>
      <c r="Y68" s="55">
        <f>_xll.EQNXTDZ($A$1,$B68,Y$5,$B$1)</f>
        <v>0</v>
      </c>
      <c r="Z68" s="55">
        <f>_xll.EQNXTDZ($A$1,$B68,Z$5,$B$1)</f>
        <v>10363</v>
      </c>
      <c r="AA68" s="55">
        <f>_xll.EQNXTDZ($A$1,$B68,AA$5,$B$1)</f>
        <v>0</v>
      </c>
      <c r="AB68" s="55">
        <f>_xll.EQNXTDZ($A$1,$B68,AB$5,$B$1)</f>
        <v>10398</v>
      </c>
      <c r="AC68" s="55">
        <f>_xll.EQNXTDZ($A$1,$B68,AC$5,$B$1)</f>
        <v>0</v>
      </c>
      <c r="AD68" s="55">
        <f>_xll.EQNXTDZ($A$1,$B68,AD$5,$B$1)</f>
        <v>12170</v>
      </c>
      <c r="AE68" s="55">
        <f>_xll.EQNXTDZ($A$1,$B68,AE$5,$B$1)</f>
        <v>0</v>
      </c>
      <c r="AF68" s="55">
        <f>_xll.EQNXTDZ($A$1,$B68,AF$5,$B$1)</f>
        <v>13181</v>
      </c>
      <c r="AG68" s="55">
        <f>_xll.EQNXTDZ($A$1,$B68,AG$5,$B$1)</f>
        <v>0</v>
      </c>
      <c r="AH68" s="55">
        <f>_xll.EQNXTDZ($A$1,$B68,AH$5,$B$1)</f>
        <v>14335</v>
      </c>
      <c r="AI68" s="55">
        <f>_xll.EQNXTDZ($A$1,$B68,AI$5,$B$1)</f>
        <v>0</v>
      </c>
      <c r="AJ68" s="55">
        <f>_xll.EQNXTDZ($A$1,$B68,AJ$5,$B$1)</f>
        <v>14084</v>
      </c>
      <c r="AK68" s="55">
        <f>_xll.EQNXTDZ($A$1,$B68,AK$5,$B$1)</f>
        <v>0</v>
      </c>
      <c r="AL68" s="55">
        <f>_xll.EQNXTDZ($A$1,$B68,AL$5,$B$1)</f>
        <v>14632</v>
      </c>
      <c r="AM68" s="55">
        <f>_xll.EQNXTDZ($A$1,$B68,AM$5,$B$1)</f>
        <v>0</v>
      </c>
      <c r="AN68" s="55">
        <f>_xll.EQNXTDZ($A$1,$B68,AN$5,$B$1)</f>
        <v>14808</v>
      </c>
      <c r="AO68" s="55">
        <f>_xll.EQNXTDZ($A$1,$B68,AO$5,$B$1)</f>
        <v>0</v>
      </c>
      <c r="AP68" s="55">
        <f>_xll.EQNXTDZ($A$1,$B68,AP$5,$B$1)</f>
        <v>14782</v>
      </c>
      <c r="AQ68" s="55">
        <f>_xll.EQNXTDZ($A$1,$B68,AQ$5,$B$1)</f>
        <v>0</v>
      </c>
      <c r="AR68" s="55">
        <f>_xll.EQNXTDZ($A$1,$B68,AR$5,$B$1)</f>
        <v>14747</v>
      </c>
      <c r="AS68" s="55">
        <f>_xll.EQNXTDZ($A$1,$B68,AS$5,$B$1)</f>
        <v>0</v>
      </c>
      <c r="AT68" s="55">
        <f>_xll.EQNXTDZ($A$1,$B68,AT$5,$B$1)</f>
        <v>15095</v>
      </c>
      <c r="AU68" s="55">
        <f>_xll.EQNXTDZ($A$1,$B68,AU$5,$B$1)</f>
        <v>0</v>
      </c>
      <c r="AV68" s="55">
        <f>_xll.EQNXTDZ($A$1,$B68,AV$5,$B$1)</f>
        <v>14089</v>
      </c>
      <c r="AW68" s="55">
        <f>_xll.EQNXTDZ($A$1,$B68,AW$5,$B$1)</f>
        <v>0</v>
      </c>
      <c r="AX68" s="55">
        <f>_xll.EQNXTDZ($A$1,$B68,AX$5,$B$1)</f>
        <v>13767</v>
      </c>
      <c r="AY68" s="55">
        <f>_xll.EQNXTDZ($A$1,$B68,AY$5,$B$1)</f>
        <v>0</v>
      </c>
      <c r="AZ68" s="55">
        <f>_xll.EQNXTDZ($A$1,$B68,AZ$5,$B$1)</f>
        <v>15034</v>
      </c>
      <c r="BA68" s="55">
        <f>_xll.EQNXTDZ($A$1,$B68,BA$5,$B$1)</f>
        <v>0</v>
      </c>
      <c r="BB68" s="55">
        <f>_xll.EQNXTDZ($A$1,$B68,BB$5,$B$1)</f>
        <v>14544</v>
      </c>
      <c r="BC68" s="55">
        <f>_xll.EQNXTDZ($A$1,$B68,BC$5,$B$1)</f>
        <v>0</v>
      </c>
      <c r="BD68" s="55">
        <f>_xll.EQNXTDZ($A$1,$B68,BD$5,$B$1)</f>
        <v>14764</v>
      </c>
      <c r="BE68" s="55">
        <f>_xll.EQNXTDZ($A$1,$B68,BE$5,$B$1)</f>
        <v>0</v>
      </c>
      <c r="BF68" s="55">
        <f>_xll.EQNXTDZ($A$1,$B68,BF$5,$B$1)</f>
        <v>15476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0</v>
      </c>
      <c r="D71" s="55">
        <f>_xll.EQNXTDZ($A$1,$B71,D$5,$B$1)</f>
        <v>5977</v>
      </c>
      <c r="E71" s="55">
        <f>_xll.EQNXTDZ($A$1,$B71,E$5,$B$1)</f>
        <v>0</v>
      </c>
      <c r="F71" s="55">
        <f>_xll.EQNXTDZ($A$1,$B71,F$5,$B$1)</f>
        <v>6836</v>
      </c>
      <c r="G71" s="55">
        <f>_xll.EQNXTDZ($A$1,$B71,G$5,$B$1)</f>
        <v>0</v>
      </c>
      <c r="H71" s="55">
        <f>_xll.EQNXTDZ($A$1,$B71,H$5,$B$1)</f>
        <v>7401</v>
      </c>
      <c r="I71" s="55">
        <f>_xll.EQNXTDZ($A$1,$B71,I$5,$B$1)</f>
        <v>0</v>
      </c>
      <c r="J71" s="55">
        <f>_xll.EQNXTDZ($A$1,$B71,J$5,$B$1)</f>
        <v>8229</v>
      </c>
      <c r="K71" s="55">
        <f>_xll.EQNXTDZ($A$1,$B71,K$5,$B$1)</f>
        <v>0</v>
      </c>
      <c r="L71" s="55">
        <f>_xll.EQNXTDZ($A$1,$B71,L$5,$B$1)</f>
        <v>8398</v>
      </c>
      <c r="M71" s="55">
        <f>_xll.EQNXTDZ($A$1,$B71,M$5,$B$1)</f>
        <v>0</v>
      </c>
      <c r="N71" s="55">
        <f>_xll.EQNXTDZ($A$1,$B71,N$5,$B$1)</f>
        <v>9763</v>
      </c>
      <c r="O71" s="55">
        <f>_xll.EQNXTDZ($A$1,$B71,O$5,$B$1)</f>
        <v>0</v>
      </c>
      <c r="P71" s="55">
        <f>_xll.EQNXTDZ($A$1,$B71,P$5,$B$1)</f>
        <v>10603</v>
      </c>
      <c r="Q71" s="55">
        <f>_xll.EQNXTDZ($A$1,$B71,Q$5,$B$1)</f>
        <v>0</v>
      </c>
      <c r="R71" s="55">
        <f>_xll.EQNXTDZ($A$1,$B71,R$5,$B$1)</f>
        <v>9622</v>
      </c>
      <c r="S71" s="55">
        <f>_xll.EQNXTDZ($A$1,$B71,S$5,$B$1)</f>
        <v>0</v>
      </c>
      <c r="T71" s="55">
        <f>_xll.EQNXTDZ($A$1,$B71,T$5,$B$1)</f>
        <v>9805</v>
      </c>
      <c r="U71" s="55">
        <f>_xll.EQNXTDZ($A$1,$B71,U$5,$B$1)</f>
        <v>0</v>
      </c>
      <c r="V71" s="55">
        <f>_xll.EQNXTDZ($A$1,$B71,V$5,$B$1)</f>
        <v>10527</v>
      </c>
      <c r="W71" s="55">
        <f>_xll.EQNXTDZ($A$1,$B71,W$5,$B$1)</f>
        <v>12578</v>
      </c>
      <c r="X71" s="55">
        <f>_xll.EQNXTDZ($A$1,$B71,X$5,$B$1)</f>
        <v>10207</v>
      </c>
      <c r="Y71" s="55">
        <f>_xll.EQNXTDZ($A$1,$B71,Y$5,$B$1)</f>
        <v>0</v>
      </c>
      <c r="Z71" s="55">
        <f>_xll.EQNXTDZ($A$1,$B71,Z$5,$B$1)</f>
        <v>10363</v>
      </c>
      <c r="AA71" s="55">
        <f>_xll.EQNXTDZ($A$1,$B71,AA$5,$B$1)</f>
        <v>0</v>
      </c>
      <c r="AB71" s="55">
        <f>_xll.EQNXTDZ($A$1,$B71,AB$5,$B$1)</f>
        <v>10398</v>
      </c>
      <c r="AC71" s="55">
        <f>_xll.EQNXTDZ($A$1,$B71,AC$5,$B$1)</f>
        <v>0</v>
      </c>
      <c r="AD71" s="55">
        <f>_xll.EQNXTDZ($A$1,$B71,AD$5,$B$1)</f>
        <v>12170</v>
      </c>
      <c r="AE71" s="55">
        <f>_xll.EQNXTDZ($A$1,$B71,AE$5,$B$1)</f>
        <v>0</v>
      </c>
      <c r="AF71" s="55">
        <f>_xll.EQNXTDZ($A$1,$B71,AF$5,$B$1)</f>
        <v>13181</v>
      </c>
      <c r="AG71" s="55">
        <f>_xll.EQNXTDZ($A$1,$B71,AG$5,$B$1)</f>
        <v>0</v>
      </c>
      <c r="AH71" s="55">
        <f>_xll.EQNXTDZ($A$1,$B71,AH$5,$B$1)</f>
        <v>14335</v>
      </c>
      <c r="AI71" s="55">
        <f>_xll.EQNXTDZ($A$1,$B71,AI$5,$B$1)</f>
        <v>0</v>
      </c>
      <c r="AJ71" s="55">
        <f>_xll.EQNXTDZ($A$1,$B71,AJ$5,$B$1)</f>
        <v>14084</v>
      </c>
      <c r="AK71" s="55">
        <f>_xll.EQNXTDZ($A$1,$B71,AK$5,$B$1)</f>
        <v>0</v>
      </c>
      <c r="AL71" s="55">
        <f>_xll.EQNXTDZ($A$1,$B71,AL$5,$B$1)</f>
        <v>14632</v>
      </c>
      <c r="AM71" s="55">
        <f>_xll.EQNXTDZ($A$1,$B71,AM$5,$B$1)</f>
        <v>0</v>
      </c>
      <c r="AN71" s="55">
        <f>_xll.EQNXTDZ($A$1,$B71,AN$5,$B$1)</f>
        <v>14808</v>
      </c>
      <c r="AO71" s="55">
        <f>_xll.EQNXTDZ($A$1,$B71,AO$5,$B$1)</f>
        <v>0</v>
      </c>
      <c r="AP71" s="55">
        <f>_xll.EQNXTDZ($A$1,$B71,AP$5,$B$1)</f>
        <v>14782</v>
      </c>
      <c r="AQ71" s="55">
        <f>_xll.EQNXTDZ($A$1,$B71,AQ$5,$B$1)</f>
        <v>0</v>
      </c>
      <c r="AR71" s="55">
        <f>_xll.EQNXTDZ($A$1,$B71,AR$5,$B$1)</f>
        <v>14747</v>
      </c>
      <c r="AS71" s="55">
        <f>_xll.EQNXTDZ($A$1,$B71,AS$5,$B$1)</f>
        <v>0</v>
      </c>
      <c r="AT71" s="55">
        <f>_xll.EQNXTDZ($A$1,$B71,AT$5,$B$1)</f>
        <v>15095</v>
      </c>
      <c r="AU71" s="55">
        <f>_xll.EQNXTDZ($A$1,$B71,AU$5,$B$1)</f>
        <v>0</v>
      </c>
      <c r="AV71" s="55">
        <f>_xll.EQNXTDZ($A$1,$B71,AV$5,$B$1)</f>
        <v>14089</v>
      </c>
      <c r="AW71" s="55">
        <f>_xll.EQNXTDZ($A$1,$B71,AW$5,$B$1)</f>
        <v>0</v>
      </c>
      <c r="AX71" s="55">
        <f>_xll.EQNXTDZ($A$1,$B71,AX$5,$B$1)</f>
        <v>13767</v>
      </c>
      <c r="AY71" s="55">
        <f>_xll.EQNXTDZ($A$1,$B71,AY$5,$B$1)</f>
        <v>0</v>
      </c>
      <c r="AZ71" s="55">
        <f>_xll.EQNXTDZ($A$1,$B71,AZ$5,$B$1)</f>
        <v>15034</v>
      </c>
      <c r="BA71" s="55">
        <f>_xll.EQNXTDZ($A$1,$B71,BA$5,$B$1)</f>
        <v>0</v>
      </c>
      <c r="BB71" s="55">
        <f>_xll.EQNXTDZ($A$1,$B71,BB$5,$B$1)</f>
        <v>14544</v>
      </c>
      <c r="BC71" s="55">
        <f>_xll.EQNXTDZ($A$1,$B71,BC$5,$B$1)</f>
        <v>0</v>
      </c>
      <c r="BD71" s="55">
        <f>_xll.EQNXTDZ($A$1,$B71,BD$5,$B$1)</f>
        <v>14764</v>
      </c>
      <c r="BE71" s="55">
        <f>_xll.EQNXTDZ($A$1,$B71,BE$5,$B$1)</f>
        <v>0</v>
      </c>
      <c r="BF71" s="55">
        <f>_xll.EQNXTDZ($A$1,$B71,BF$5,$B$1)</f>
        <v>15476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1009</v>
      </c>
      <c r="E72" s="55">
        <f>_xll.EQNXTDZ($A$1,$B72,E$5,$B$1)</f>
        <v>0</v>
      </c>
      <c r="F72" s="55">
        <f>_xll.EQNXTDZ($A$1,$B72,F$5,$B$1)</f>
        <v>1976</v>
      </c>
      <c r="G72" s="55">
        <f>_xll.EQNXTDZ($A$1,$B72,G$5,$B$1)</f>
        <v>0</v>
      </c>
      <c r="H72" s="55">
        <f>_xll.EQNXTDZ($A$1,$B72,H$5,$B$1)</f>
        <v>2201</v>
      </c>
      <c r="I72" s="55">
        <f>_xll.EQNXTDZ($A$1,$B72,I$5,$B$1)</f>
        <v>0</v>
      </c>
      <c r="J72" s="55">
        <f>_xll.EQNXTDZ($A$1,$B72,J$5,$B$1)</f>
        <v>2157</v>
      </c>
      <c r="K72" s="55">
        <f>_xll.EQNXTDZ($A$1,$B72,K$5,$B$1)</f>
        <v>0</v>
      </c>
      <c r="L72" s="55">
        <f>_xll.EQNXTDZ($A$1,$B72,L$5,$B$1)</f>
        <v>2097</v>
      </c>
      <c r="M72" s="55">
        <f>_xll.EQNXTDZ($A$1,$B72,M$5,$B$1)</f>
        <v>0</v>
      </c>
      <c r="N72" s="55">
        <f>_xll.EQNXTDZ($A$1,$B72,N$5,$B$1)</f>
        <v>3091</v>
      </c>
      <c r="O72" s="55">
        <f>_xll.EQNXTDZ($A$1,$B72,O$5,$B$1)</f>
        <v>0</v>
      </c>
      <c r="P72" s="55">
        <f>_xll.EQNXTDZ($A$1,$B72,P$5,$B$1)</f>
        <v>3668</v>
      </c>
      <c r="Q72" s="55">
        <f>_xll.EQNXTDZ($A$1,$B72,Q$5,$B$1)</f>
        <v>0</v>
      </c>
      <c r="R72" s="55">
        <f>_xll.EQNXTDZ($A$1,$B72,R$5,$B$1)</f>
        <v>3764</v>
      </c>
      <c r="S72" s="55">
        <f>_xll.EQNXTDZ($A$1,$B72,S$5,$B$1)</f>
        <v>0</v>
      </c>
      <c r="T72" s="55">
        <f>_xll.EQNXTDZ($A$1,$B72,T$5,$B$1)</f>
        <v>3771</v>
      </c>
      <c r="U72" s="55">
        <f>_xll.EQNXTDZ($A$1,$B72,U$5,$B$1)</f>
        <v>0</v>
      </c>
      <c r="V72" s="55">
        <f>_xll.EQNXTDZ($A$1,$B72,V$5,$B$1)</f>
        <v>3652</v>
      </c>
      <c r="W72" s="55">
        <f>_xll.EQNXTDZ($A$1,$B72,W$5,$B$1)</f>
        <v>3701</v>
      </c>
      <c r="X72" s="55">
        <f>_xll.EQNXTDZ($A$1,$B72,X$5,$B$1)</f>
        <v>3788</v>
      </c>
      <c r="Y72" s="55">
        <f>_xll.EQNXTDZ($A$1,$B72,Y$5,$B$1)</f>
        <v>0</v>
      </c>
      <c r="Z72" s="55">
        <f>_xll.EQNXTDZ($A$1,$B72,Z$5,$B$1)</f>
        <v>2211</v>
      </c>
      <c r="AA72" s="55">
        <f>_xll.EQNXTDZ($A$1,$B72,AA$5,$B$1)</f>
        <v>0</v>
      </c>
      <c r="AB72" s="55">
        <f>_xll.EQNXTDZ($A$1,$B72,AB$5,$B$1)</f>
        <v>2496</v>
      </c>
      <c r="AC72" s="55">
        <f>_xll.EQNXTDZ($A$1,$B72,AC$5,$B$1)</f>
        <v>0</v>
      </c>
      <c r="AD72" s="55">
        <f>_xll.EQNXTDZ($A$1,$B72,AD$5,$B$1)</f>
        <v>3540</v>
      </c>
      <c r="AE72" s="55">
        <f>_xll.EQNXTDZ($A$1,$B72,AE$5,$B$1)</f>
        <v>0</v>
      </c>
      <c r="AF72" s="55">
        <f>_xll.EQNXTDZ($A$1,$B72,AF$5,$B$1)</f>
        <v>4080</v>
      </c>
      <c r="AG72" s="55">
        <f>_xll.EQNXTDZ($A$1,$B72,AG$5,$B$1)</f>
        <v>0</v>
      </c>
      <c r="AH72" s="55">
        <f>_xll.EQNXTDZ($A$1,$B72,AH$5,$B$1)</f>
        <v>5286</v>
      </c>
      <c r="AI72" s="55">
        <f>_xll.EQNXTDZ($A$1,$B72,AI$5,$B$1)</f>
        <v>0</v>
      </c>
      <c r="AJ72" s="55">
        <f>_xll.EQNXTDZ($A$1,$B72,AJ$5,$B$1)</f>
        <v>5360</v>
      </c>
      <c r="AK72" s="55">
        <f>_xll.EQNXTDZ($A$1,$B72,AK$5,$B$1)</f>
        <v>0</v>
      </c>
      <c r="AL72" s="55">
        <f>_xll.EQNXTDZ($A$1,$B72,AL$5,$B$1)</f>
        <v>6079</v>
      </c>
      <c r="AM72" s="55">
        <f>_xll.EQNXTDZ($A$1,$B72,AM$5,$B$1)</f>
        <v>0</v>
      </c>
      <c r="AN72" s="55">
        <f>_xll.EQNXTDZ($A$1,$B72,AN$5,$B$1)</f>
        <v>6122</v>
      </c>
      <c r="AO72" s="55">
        <f>_xll.EQNXTDZ($A$1,$B72,AO$5,$B$1)</f>
        <v>0</v>
      </c>
      <c r="AP72" s="55">
        <f>_xll.EQNXTDZ($A$1,$B72,AP$5,$B$1)</f>
        <v>6195</v>
      </c>
      <c r="AQ72" s="55">
        <f>_xll.EQNXTDZ($A$1,$B72,AQ$5,$B$1)</f>
        <v>0</v>
      </c>
      <c r="AR72" s="55">
        <f>_xll.EQNXTDZ($A$1,$B72,AR$5,$B$1)</f>
        <v>6892</v>
      </c>
      <c r="AS72" s="55">
        <f>_xll.EQNXTDZ($A$1,$B72,AS$5,$B$1)</f>
        <v>0</v>
      </c>
      <c r="AT72" s="55">
        <f>_xll.EQNXTDZ($A$1,$B72,AT$5,$B$1)</f>
        <v>7248</v>
      </c>
      <c r="AU72" s="55">
        <f>_xll.EQNXTDZ($A$1,$B72,AU$5,$B$1)</f>
        <v>0</v>
      </c>
      <c r="AV72" s="55">
        <f>_xll.EQNXTDZ($A$1,$B72,AV$5,$B$1)</f>
        <v>7240</v>
      </c>
      <c r="AW72" s="55">
        <f>_xll.EQNXTDZ($A$1,$B72,AW$5,$B$1)</f>
        <v>0</v>
      </c>
      <c r="AX72" s="55">
        <f>_xll.EQNXTDZ($A$1,$B72,AX$5,$B$1)</f>
        <v>7303</v>
      </c>
      <c r="AY72" s="55">
        <f>_xll.EQNXTDZ($A$1,$B72,AY$5,$B$1)</f>
        <v>0</v>
      </c>
      <c r="AZ72" s="55">
        <f>_xll.EQNXTDZ($A$1,$B72,AZ$5,$B$1)</f>
        <v>10191</v>
      </c>
      <c r="BA72" s="55">
        <f>_xll.EQNXTDZ($A$1,$B72,BA$5,$B$1)</f>
        <v>0</v>
      </c>
      <c r="BB72" s="55">
        <f>_xll.EQNXTDZ($A$1,$B72,BB$5,$B$1)</f>
        <v>10106</v>
      </c>
      <c r="BC72" s="55">
        <f>_xll.EQNXTDZ($A$1,$B72,BC$5,$B$1)</f>
        <v>0</v>
      </c>
      <c r="BD72" s="55">
        <f>_xll.EQNXTDZ($A$1,$B72,BD$5,$B$1)</f>
        <v>11502</v>
      </c>
      <c r="BE72" s="55">
        <f>_xll.EQNXTDZ($A$1,$B72,BE$5,$B$1)</f>
        <v>0</v>
      </c>
      <c r="BF72" s="55">
        <f>_xll.EQNXTDZ($A$1,$B72,BF$5,$B$1)</f>
        <v>12117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0</v>
      </c>
      <c r="E74" s="55">
        <f>_xll.EQNXTDZ($A$1,$B74,E$5,$B$1)</f>
        <v>0</v>
      </c>
      <c r="F74" s="55">
        <f>_xll.EQNXTDZ($A$1,$B74,F$5,$B$1)</f>
        <v>0</v>
      </c>
      <c r="G74" s="55">
        <f>_xll.EQNXTDZ($A$1,$B74,G$5,$B$1)</f>
        <v>0</v>
      </c>
      <c r="H74" s="55">
        <f>_xll.EQNXTDZ($A$1,$B74,H$5,$B$1)</f>
        <v>0</v>
      </c>
      <c r="I74" s="55">
        <f>_xll.EQNXTDZ($A$1,$B74,I$5,$B$1)</f>
        <v>0</v>
      </c>
      <c r="J74" s="55">
        <f>_xll.EQNXTDZ($A$1,$B74,J$5,$B$1)</f>
        <v>0</v>
      </c>
      <c r="K74" s="55">
        <f>_xll.EQNXTDZ($A$1,$B74,K$5,$B$1)</f>
        <v>0</v>
      </c>
      <c r="L74" s="55">
        <f>_xll.EQNXTDZ($A$1,$B74,L$5,$B$1)</f>
        <v>0</v>
      </c>
      <c r="M74" s="55">
        <f>_xll.EQNXTDZ($A$1,$B74,M$5,$B$1)</f>
        <v>0</v>
      </c>
      <c r="N74" s="55">
        <f>_xll.EQNXTDZ($A$1,$B74,N$5,$B$1)</f>
        <v>0</v>
      </c>
      <c r="O74" s="55">
        <f>_xll.EQNXTDZ($A$1,$B74,O$5,$B$1)</f>
        <v>0</v>
      </c>
      <c r="P74" s="55">
        <f>_xll.EQNXTDZ($A$1,$B74,P$5,$B$1)</f>
        <v>0</v>
      </c>
      <c r="Q74" s="55">
        <f>_xll.EQNXTDZ($A$1,$B74,Q$5,$B$1)</f>
        <v>0</v>
      </c>
      <c r="R74" s="55">
        <f>_xll.EQNXTDZ($A$1,$B74,R$5,$B$1)</f>
        <v>960</v>
      </c>
      <c r="S74" s="55">
        <f>_xll.EQNXTDZ($A$1,$B74,S$5,$B$1)</f>
        <v>0</v>
      </c>
      <c r="T74" s="55">
        <f>_xll.EQNXTDZ($A$1,$B74,T$5,$B$1)</f>
        <v>1067</v>
      </c>
      <c r="U74" s="55">
        <f>_xll.EQNXTDZ($A$1,$B74,U$5,$B$1)</f>
        <v>0</v>
      </c>
      <c r="V74" s="55">
        <f>_xll.EQNXTDZ($A$1,$B74,V$5,$B$1)</f>
        <v>1365</v>
      </c>
      <c r="W74" s="55">
        <f>_xll.EQNXTDZ($A$1,$B74,W$5,$B$1)</f>
        <v>0</v>
      </c>
      <c r="X74" s="55">
        <f>_xll.EQNXTDZ($A$1,$B74,X$5,$B$1)</f>
        <v>1849</v>
      </c>
      <c r="Y74" s="55">
        <f>_xll.EQNXTDZ($A$1,$B74,Y$5,$B$1)</f>
        <v>0</v>
      </c>
      <c r="Z74" s="55">
        <f>_xll.EQNXTDZ($A$1,$B74,Z$5,$B$1)</f>
        <v>1606</v>
      </c>
      <c r="AA74" s="55">
        <f>_xll.EQNXTDZ($A$1,$B74,AA$5,$B$1)</f>
        <v>0</v>
      </c>
      <c r="AB74" s="55">
        <f>_xll.EQNXTDZ($A$1,$B74,AB$5,$B$1)</f>
        <v>1867</v>
      </c>
      <c r="AC74" s="55">
        <f>_xll.EQNXTDZ($A$1,$B74,AC$5,$B$1)</f>
        <v>0</v>
      </c>
      <c r="AD74" s="55">
        <f>_xll.EQNXTDZ($A$1,$B74,AD$5,$B$1)</f>
        <v>1388</v>
      </c>
      <c r="AE74" s="55">
        <f>_xll.EQNXTDZ($A$1,$B74,AE$5,$B$1)</f>
        <v>0</v>
      </c>
      <c r="AF74" s="55">
        <f>_xll.EQNXTDZ($A$1,$B74,AF$5,$B$1)</f>
        <v>1059</v>
      </c>
      <c r="AG74" s="55">
        <f>_xll.EQNXTDZ($A$1,$B74,AG$5,$B$1)</f>
        <v>0</v>
      </c>
      <c r="AH74" s="55">
        <f>_xll.EQNXTDZ($A$1,$B74,AH$5,$B$1)</f>
        <v>954</v>
      </c>
      <c r="AI74" s="55">
        <f>_xll.EQNXTDZ($A$1,$B74,AI$5,$B$1)</f>
        <v>0</v>
      </c>
      <c r="AJ74" s="55">
        <f>_xll.EQNXTDZ($A$1,$B74,AJ$5,$B$1)</f>
        <v>1216</v>
      </c>
      <c r="AK74" s="55">
        <f>_xll.EQNXTDZ($A$1,$B74,AK$5,$B$1)</f>
        <v>0</v>
      </c>
      <c r="AL74" s="55">
        <f>_xll.EQNXTDZ($A$1,$B74,AL$5,$B$1)</f>
        <v>922</v>
      </c>
      <c r="AM74" s="55">
        <f>_xll.EQNXTDZ($A$1,$B74,AM$5,$B$1)</f>
        <v>0</v>
      </c>
      <c r="AN74" s="55">
        <f>_xll.EQNXTDZ($A$1,$B74,AN$5,$B$1)</f>
        <v>383</v>
      </c>
      <c r="AO74" s="55">
        <f>_xll.EQNXTDZ($A$1,$B74,AO$5,$B$1)</f>
        <v>0</v>
      </c>
      <c r="AP74" s="55">
        <f>_xll.EQNXTDZ($A$1,$B74,AP$5,$B$1)</f>
        <v>416</v>
      </c>
      <c r="AQ74" s="55">
        <f>_xll.EQNXTDZ($A$1,$B74,AQ$5,$B$1)</f>
        <v>0</v>
      </c>
      <c r="AR74" s="55">
        <f>_xll.EQNXTDZ($A$1,$B74,AR$5,$B$1)</f>
        <v>402</v>
      </c>
      <c r="AS74" s="55">
        <f>_xll.EQNXTDZ($A$1,$B74,AS$5,$B$1)</f>
        <v>0</v>
      </c>
      <c r="AT74" s="55">
        <f>_xll.EQNXTDZ($A$1,$B74,AT$5,$B$1)</f>
        <v>288</v>
      </c>
      <c r="AU74" s="55">
        <f>_xll.EQNXTDZ($A$1,$B74,AU$5,$B$1)</f>
        <v>0</v>
      </c>
      <c r="AV74" s="55">
        <f>_xll.EQNXTDZ($A$1,$B74,AV$5,$B$1)</f>
        <v>497</v>
      </c>
      <c r="AW74" s="55">
        <f>_xll.EQNXTDZ($A$1,$B74,AW$5,$B$1)</f>
        <v>0</v>
      </c>
      <c r="AX74" s="55">
        <f>_xll.EQNXTDZ($A$1,$B74,AX$5,$B$1)</f>
        <v>293</v>
      </c>
      <c r="AY74" s="55">
        <f>_xll.EQNXTDZ($A$1,$B74,AY$5,$B$1)</f>
        <v>0</v>
      </c>
      <c r="AZ74" s="55">
        <f>_xll.EQNXTDZ($A$1,$B74,AZ$5,$B$1)</f>
        <v>505</v>
      </c>
      <c r="BA74" s="55">
        <f>_xll.EQNXTDZ($A$1,$B74,BA$5,$B$1)</f>
        <v>0</v>
      </c>
      <c r="BB74" s="55">
        <f>_xll.EQNXTDZ($A$1,$B74,BB$5,$B$1)</f>
        <v>814</v>
      </c>
      <c r="BC74" s="55">
        <f>_xll.EQNXTDZ($A$1,$B74,BC$5,$B$1)</f>
        <v>0</v>
      </c>
      <c r="BD74" s="55">
        <f>_xll.EQNXTDZ($A$1,$B74,BD$5,$B$1)</f>
        <v>1124</v>
      </c>
      <c r="BE74" s="55">
        <f>_xll.EQNXTDZ($A$1,$B74,BE$5,$B$1)</f>
        <v>0</v>
      </c>
      <c r="BF74" s="55">
        <f>_xll.EQNXTDZ($A$1,$B74,BF$5,$B$1)</f>
        <v>526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0</v>
      </c>
      <c r="D77" s="55">
        <f>_xll.EQNXTDZ($A$1,$B77,D$5,$B$1)</f>
        <v>74</v>
      </c>
      <c r="E77" s="55">
        <f>_xll.EQNXTDZ($A$1,$B77,E$5,$B$1)</f>
        <v>0</v>
      </c>
      <c r="F77" s="55">
        <f>_xll.EQNXTDZ($A$1,$B77,F$5,$B$1)</f>
        <v>394</v>
      </c>
      <c r="G77" s="55">
        <f>_xll.EQNXTDZ($A$1,$B77,G$5,$B$1)</f>
        <v>0</v>
      </c>
      <c r="H77" s="55">
        <f>_xll.EQNXTDZ($A$1,$B77,H$5,$B$1)</f>
        <v>1031</v>
      </c>
      <c r="I77" s="55">
        <f>_xll.EQNXTDZ($A$1,$B77,I$5,$B$1)</f>
        <v>0</v>
      </c>
      <c r="J77" s="55">
        <f>_xll.EQNXTDZ($A$1,$B77,J$5,$B$1)</f>
        <v>1252</v>
      </c>
      <c r="K77" s="55">
        <f>_xll.EQNXTDZ($A$1,$B77,K$5,$B$1)</f>
        <v>0</v>
      </c>
      <c r="L77" s="55">
        <f>_xll.EQNXTDZ($A$1,$B77,L$5,$B$1)</f>
        <v>1316</v>
      </c>
      <c r="M77" s="55">
        <f>_xll.EQNXTDZ($A$1,$B77,M$5,$B$1)</f>
        <v>0</v>
      </c>
      <c r="N77" s="55">
        <f>_xll.EQNXTDZ($A$1,$B77,N$5,$B$1)</f>
        <v>1438</v>
      </c>
      <c r="O77" s="55">
        <f>_xll.EQNXTDZ($A$1,$B77,O$5,$B$1)</f>
        <v>0</v>
      </c>
      <c r="P77" s="55">
        <f>_xll.EQNXTDZ($A$1,$B77,P$5,$B$1)</f>
        <v>1705</v>
      </c>
      <c r="Q77" s="55">
        <f>_xll.EQNXTDZ($A$1,$B77,Q$5,$B$1)</f>
        <v>0</v>
      </c>
      <c r="R77" s="55">
        <f>_xll.EQNXTDZ($A$1,$B77,R$5,$B$1)</f>
        <v>1817</v>
      </c>
      <c r="S77" s="55">
        <f>_xll.EQNXTDZ($A$1,$B77,S$5,$B$1)</f>
        <v>0</v>
      </c>
      <c r="T77" s="55">
        <f>_xll.EQNXTDZ($A$1,$B77,T$5,$B$1)</f>
        <v>2030</v>
      </c>
      <c r="U77" s="55">
        <f>_xll.EQNXTDZ($A$1,$B77,U$5,$B$1)</f>
        <v>0</v>
      </c>
      <c r="V77" s="55">
        <f>_xll.EQNXTDZ($A$1,$B77,V$5,$B$1)</f>
        <v>6453</v>
      </c>
      <c r="W77" s="55">
        <f>_xll.EQNXTDZ($A$1,$B77,W$5,$B$1)</f>
        <v>6061</v>
      </c>
      <c r="X77" s="55">
        <f>_xll.EQNXTDZ($A$1,$B77,X$5,$B$1)</f>
        <v>6169</v>
      </c>
      <c r="Y77" s="55">
        <f>_xll.EQNXTDZ($A$1,$B77,Y$5,$B$1)</f>
        <v>0</v>
      </c>
      <c r="Z77" s="55">
        <f>_xll.EQNXTDZ($A$1,$B77,Z$5,$B$1)</f>
        <v>5756</v>
      </c>
      <c r="AA77" s="55">
        <f>_xll.EQNXTDZ($A$1,$B77,AA$5,$B$1)</f>
        <v>0</v>
      </c>
      <c r="AB77" s="55">
        <f>_xll.EQNXTDZ($A$1,$B77,AB$5,$B$1)</f>
        <v>5165</v>
      </c>
      <c r="AC77" s="55">
        <f>_xll.EQNXTDZ($A$1,$B77,AC$5,$B$1)</f>
        <v>0</v>
      </c>
      <c r="AD77" s="55">
        <f>_xll.EQNXTDZ($A$1,$B77,AD$5,$B$1)</f>
        <v>4634</v>
      </c>
      <c r="AE77" s="55">
        <f>_xll.EQNXTDZ($A$1,$B77,AE$5,$B$1)</f>
        <v>0</v>
      </c>
      <c r="AF77" s="55">
        <f>_xll.EQNXTDZ($A$1,$B77,AF$5,$B$1)</f>
        <v>3943</v>
      </c>
      <c r="AG77" s="55">
        <f>_xll.EQNXTDZ($A$1,$B77,AG$5,$B$1)</f>
        <v>0</v>
      </c>
      <c r="AH77" s="55">
        <f>_xll.EQNXTDZ($A$1,$B77,AH$5,$B$1)</f>
        <v>4137</v>
      </c>
      <c r="AI77" s="55">
        <f>_xll.EQNXTDZ($A$1,$B77,AI$5,$B$1)</f>
        <v>0</v>
      </c>
      <c r="AJ77" s="55">
        <f>_xll.EQNXTDZ($A$1,$B77,AJ$5,$B$1)</f>
        <v>7754</v>
      </c>
      <c r="AK77" s="55">
        <f>_xll.EQNXTDZ($A$1,$B77,AK$5,$B$1)</f>
        <v>0</v>
      </c>
      <c r="AL77" s="55">
        <f>_xll.EQNXTDZ($A$1,$B77,AL$5,$B$1)</f>
        <v>11863</v>
      </c>
      <c r="AM77" s="55">
        <f>_xll.EQNXTDZ($A$1,$B77,AM$5,$B$1)</f>
        <v>0</v>
      </c>
      <c r="AN77" s="55">
        <f>_xll.EQNXTDZ($A$1,$B77,AN$5,$B$1)</f>
        <v>10096</v>
      </c>
      <c r="AO77" s="55">
        <f>_xll.EQNXTDZ($A$1,$B77,AO$5,$B$1)</f>
        <v>0</v>
      </c>
      <c r="AP77" s="55">
        <f>_xll.EQNXTDZ($A$1,$B77,AP$5,$B$1)</f>
        <v>13651</v>
      </c>
      <c r="AQ77" s="55">
        <f>_xll.EQNXTDZ($A$1,$B77,AQ$5,$B$1)</f>
        <v>0</v>
      </c>
      <c r="AR77" s="55">
        <f>_xll.EQNXTDZ($A$1,$B77,AR$5,$B$1)</f>
        <v>12670</v>
      </c>
      <c r="AS77" s="55">
        <f>_xll.EQNXTDZ($A$1,$B77,AS$5,$B$1)</f>
        <v>0</v>
      </c>
      <c r="AT77" s="55">
        <f>_xll.EQNXTDZ($A$1,$B77,AT$5,$B$1)</f>
        <v>12569</v>
      </c>
      <c r="AU77" s="55">
        <f>_xll.EQNXTDZ($A$1,$B77,AU$5,$B$1)</f>
        <v>0</v>
      </c>
      <c r="AV77" s="55">
        <f>_xll.EQNXTDZ($A$1,$B77,AV$5,$B$1)</f>
        <v>11744</v>
      </c>
      <c r="AW77" s="55">
        <f>_xll.EQNXTDZ($A$1,$B77,AW$5,$B$1)</f>
        <v>0</v>
      </c>
      <c r="AX77" s="55">
        <f>_xll.EQNXTDZ($A$1,$B77,AX$5,$B$1)</f>
        <v>11708</v>
      </c>
      <c r="AY77" s="55">
        <f>_xll.EQNXTDZ($A$1,$B77,AY$5,$B$1)</f>
        <v>0</v>
      </c>
      <c r="AZ77" s="55">
        <f>_xll.EQNXTDZ($A$1,$B77,AZ$5,$B$1)</f>
        <v>9962</v>
      </c>
      <c r="BA77" s="55">
        <f>_xll.EQNXTDZ($A$1,$B77,BA$5,$B$1)</f>
        <v>0</v>
      </c>
      <c r="BB77" s="55">
        <f>_xll.EQNXTDZ($A$1,$B77,BB$5,$B$1)</f>
        <v>11059</v>
      </c>
      <c r="BC77" s="55">
        <f>_xll.EQNXTDZ($A$1,$B77,BC$5,$B$1)</f>
        <v>0</v>
      </c>
      <c r="BD77" s="55">
        <f>_xll.EQNXTDZ($A$1,$B77,BD$5,$B$1)</f>
        <v>10879</v>
      </c>
      <c r="BE77" s="55">
        <f>_xll.EQNXTDZ($A$1,$B77,BE$5,$B$1)</f>
        <v>0</v>
      </c>
      <c r="BF77" s="55">
        <f>_xll.EQNXTDZ($A$1,$B77,BF$5,$B$1)</f>
        <v>8930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0</v>
      </c>
      <c r="D78" s="55">
        <f>_xll.EQNXTDZ($A$1,$B78,D$5,$B$1)</f>
        <v>0</v>
      </c>
      <c r="E78" s="55">
        <f>_xll.EQNXTDZ($A$1,$B78,E$5,$B$1)</f>
        <v>0</v>
      </c>
      <c r="F78" s="55">
        <f>_xll.EQNXTDZ($A$1,$B78,F$5,$B$1)</f>
        <v>0</v>
      </c>
      <c r="G78" s="55">
        <f>_xll.EQNXTDZ($A$1,$B78,G$5,$B$1)</f>
        <v>0</v>
      </c>
      <c r="H78" s="55">
        <f>_xll.EQNXTDZ($A$1,$B78,H$5,$B$1)</f>
        <v>0</v>
      </c>
      <c r="I78" s="55">
        <f>_xll.EQNXTDZ($A$1,$B78,I$5,$B$1)</f>
        <v>0</v>
      </c>
      <c r="J78" s="55">
        <f>_xll.EQNXTDZ($A$1,$B78,J$5,$B$1)</f>
        <v>0</v>
      </c>
      <c r="K78" s="55">
        <f>_xll.EQNXTDZ($A$1,$B78,K$5,$B$1)</f>
        <v>0</v>
      </c>
      <c r="L78" s="55">
        <f>_xll.EQNXTDZ($A$1,$B78,L$5,$B$1)</f>
        <v>0</v>
      </c>
      <c r="M78" s="55">
        <f>_xll.EQNXTDZ($A$1,$B78,M$5,$B$1)</f>
        <v>0</v>
      </c>
      <c r="N78" s="55">
        <f>_xll.EQNXTDZ($A$1,$B78,N$5,$B$1)</f>
        <v>0</v>
      </c>
      <c r="O78" s="55">
        <f>_xll.EQNXTDZ($A$1,$B78,O$5,$B$1)</f>
        <v>0</v>
      </c>
      <c r="P78" s="55">
        <f>_xll.EQNXTDZ($A$1,$B78,P$5,$B$1)</f>
        <v>0</v>
      </c>
      <c r="Q78" s="55">
        <f>_xll.EQNXTDZ($A$1,$B78,Q$5,$B$1)</f>
        <v>0</v>
      </c>
      <c r="R78" s="55">
        <f>_xll.EQNXTDZ($A$1,$B78,R$5,$B$1)</f>
        <v>25</v>
      </c>
      <c r="S78" s="55">
        <f>_xll.EQNXTDZ($A$1,$B78,S$5,$B$1)</f>
        <v>0</v>
      </c>
      <c r="T78" s="55">
        <f>_xll.EQNXTDZ($A$1,$B78,T$5,$B$1)</f>
        <v>26</v>
      </c>
      <c r="U78" s="55">
        <f>_xll.EQNXTDZ($A$1,$B78,U$5,$B$1)</f>
        <v>0</v>
      </c>
      <c r="V78" s="55">
        <f>_xll.EQNXTDZ($A$1,$B78,V$5,$B$1)</f>
        <v>29</v>
      </c>
      <c r="W78" s="55">
        <f>_xll.EQNXTDZ($A$1,$B78,W$5,$B$1)</f>
        <v>0</v>
      </c>
      <c r="X78" s="55">
        <f>_xll.EQNXTDZ($A$1,$B78,X$5,$B$1)</f>
        <v>40</v>
      </c>
      <c r="Y78" s="55">
        <f>_xll.EQNXTDZ($A$1,$B78,Y$5,$B$1)</f>
        <v>0</v>
      </c>
      <c r="Z78" s="55">
        <f>_xll.EQNXTDZ($A$1,$B78,Z$5,$B$1)</f>
        <v>36</v>
      </c>
      <c r="AA78" s="55">
        <f>_xll.EQNXTDZ($A$1,$B78,AA$5,$B$1)</f>
        <v>0</v>
      </c>
      <c r="AB78" s="55">
        <f>_xll.EQNXTDZ($A$1,$B78,AB$5,$B$1)</f>
        <v>34</v>
      </c>
      <c r="AC78" s="55">
        <f>_xll.EQNXTDZ($A$1,$B78,AC$5,$B$1)</f>
        <v>0</v>
      </c>
      <c r="AD78" s="55">
        <f>_xll.EQNXTDZ($A$1,$B78,AD$5,$B$1)</f>
        <v>19</v>
      </c>
      <c r="AE78" s="55">
        <f>_xll.EQNXTDZ($A$1,$B78,AE$5,$B$1)</f>
        <v>0</v>
      </c>
      <c r="AF78" s="55">
        <f>_xll.EQNXTDZ($A$1,$B78,AF$5,$B$1)</f>
        <v>16</v>
      </c>
      <c r="AG78" s="55">
        <f>_xll.EQNXTDZ($A$1,$B78,AG$5,$B$1)</f>
        <v>0</v>
      </c>
      <c r="AH78" s="55">
        <f>_xll.EQNXTDZ($A$1,$B78,AH$5,$B$1)</f>
        <v>21</v>
      </c>
      <c r="AI78" s="55">
        <f>_xll.EQNXTDZ($A$1,$B78,AI$5,$B$1)</f>
        <v>0</v>
      </c>
      <c r="AJ78" s="55">
        <f>_xll.EQNXTDZ($A$1,$B78,AJ$5,$B$1)</f>
        <v>23</v>
      </c>
      <c r="AK78" s="55">
        <f>_xll.EQNXTDZ($A$1,$B78,AK$5,$B$1)</f>
        <v>0</v>
      </c>
      <c r="AL78" s="55">
        <f>_xll.EQNXTDZ($A$1,$B78,AL$5,$B$1)</f>
        <v>32</v>
      </c>
      <c r="AM78" s="55">
        <f>_xll.EQNXTDZ($A$1,$B78,AM$5,$B$1)</f>
        <v>0</v>
      </c>
      <c r="AN78" s="55">
        <f>_xll.EQNXTDZ($A$1,$B78,AN$5,$B$1)</f>
        <v>45</v>
      </c>
      <c r="AO78" s="55">
        <f>_xll.EQNXTDZ($A$1,$B78,AO$5,$B$1)</f>
        <v>0</v>
      </c>
      <c r="AP78" s="55">
        <f>_xll.EQNXTDZ($A$1,$B78,AP$5,$B$1)</f>
        <v>34</v>
      </c>
      <c r="AQ78" s="55">
        <f>_xll.EQNXTDZ($A$1,$B78,AQ$5,$B$1)</f>
        <v>0</v>
      </c>
      <c r="AR78" s="55">
        <f>_xll.EQNXTDZ($A$1,$B78,AR$5,$B$1)</f>
        <v>47</v>
      </c>
      <c r="AS78" s="55">
        <f>_xll.EQNXTDZ($A$1,$B78,AS$5,$B$1)</f>
        <v>0</v>
      </c>
      <c r="AT78" s="55">
        <f>_xll.EQNXTDZ($A$1,$B78,AT$5,$B$1)</f>
        <v>39</v>
      </c>
      <c r="AU78" s="55">
        <f>_xll.EQNXTDZ($A$1,$B78,AU$5,$B$1)</f>
        <v>0</v>
      </c>
      <c r="AV78" s="55">
        <f>_xll.EQNXTDZ($A$1,$B78,AV$5,$B$1)</f>
        <v>38</v>
      </c>
      <c r="AW78" s="55">
        <f>_xll.EQNXTDZ($A$1,$B78,AW$5,$B$1)</f>
        <v>0</v>
      </c>
      <c r="AX78" s="55">
        <f>_xll.EQNXTDZ($A$1,$B78,AX$5,$B$1)</f>
        <v>34</v>
      </c>
      <c r="AY78" s="55">
        <f>_xll.EQNXTDZ($A$1,$B78,AY$5,$B$1)</f>
        <v>0</v>
      </c>
      <c r="AZ78" s="55">
        <f>_xll.EQNXTDZ($A$1,$B78,AZ$5,$B$1)</f>
        <v>25</v>
      </c>
      <c r="BA78" s="55">
        <f>_xll.EQNXTDZ($A$1,$B78,BA$5,$B$1)</f>
        <v>0</v>
      </c>
      <c r="BB78" s="55">
        <f>_xll.EQNXTDZ($A$1,$B78,BB$5,$B$1)</f>
        <v>16</v>
      </c>
      <c r="BC78" s="55">
        <f>_xll.EQNXTDZ($A$1,$B78,BC$5,$B$1)</f>
        <v>0</v>
      </c>
      <c r="BD78" s="55">
        <f>_xll.EQNXTDZ($A$1,$B78,BD$5,$B$1)</f>
        <v>9</v>
      </c>
      <c r="BE78" s="55">
        <f>_xll.EQNXTDZ($A$1,$B78,BE$5,$B$1)</f>
        <v>0</v>
      </c>
      <c r="BF78" s="55">
        <f>_xll.EQNXTDZ($A$1,$B78,BF$5,$B$1)</f>
        <v>6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0</v>
      </c>
      <c r="D79" s="55">
        <f>_xll.EQNXTDZ($A$1,$B79,D$5,$B$1)</f>
        <v>1221</v>
      </c>
      <c r="E79" s="55">
        <f>_xll.EQNXTDZ($A$1,$B79,E$5,$B$1)</f>
        <v>0</v>
      </c>
      <c r="F79" s="55">
        <f>_xll.EQNXTDZ($A$1,$B79,F$5,$B$1)</f>
        <v>1329</v>
      </c>
      <c r="G79" s="55">
        <f>_xll.EQNXTDZ($A$1,$B79,G$5,$B$1)</f>
        <v>0</v>
      </c>
      <c r="H79" s="55">
        <f>_xll.EQNXTDZ($A$1,$B79,H$5,$B$1)</f>
        <v>1577</v>
      </c>
      <c r="I79" s="55">
        <f>_xll.EQNXTDZ($A$1,$B79,I$5,$B$1)</f>
        <v>0</v>
      </c>
      <c r="J79" s="55">
        <f>_xll.EQNXTDZ($A$1,$B79,J$5,$B$1)</f>
        <v>1742</v>
      </c>
      <c r="K79" s="55">
        <f>_xll.EQNXTDZ($A$1,$B79,K$5,$B$1)</f>
        <v>0</v>
      </c>
      <c r="L79" s="55">
        <f>_xll.EQNXTDZ($A$1,$B79,L$5,$B$1)</f>
        <v>2103</v>
      </c>
      <c r="M79" s="55">
        <f>_xll.EQNXTDZ($A$1,$B79,M$5,$B$1)</f>
        <v>0</v>
      </c>
      <c r="N79" s="55">
        <f>_xll.EQNXTDZ($A$1,$B79,N$5,$B$1)</f>
        <v>4327</v>
      </c>
      <c r="O79" s="55">
        <f>_xll.EQNXTDZ($A$1,$B79,O$5,$B$1)</f>
        <v>0</v>
      </c>
      <c r="P79" s="55">
        <f>_xll.EQNXTDZ($A$1,$B79,P$5,$B$1)</f>
        <v>5340</v>
      </c>
      <c r="Q79" s="55">
        <f>_xll.EQNXTDZ($A$1,$B79,Q$5,$B$1)</f>
        <v>0</v>
      </c>
      <c r="R79" s="55">
        <f>_xll.EQNXTDZ($A$1,$B79,R$5,$B$1)</f>
        <v>6873</v>
      </c>
      <c r="S79" s="55">
        <f>_xll.EQNXTDZ($A$1,$B79,S$5,$B$1)</f>
        <v>0</v>
      </c>
      <c r="T79" s="55">
        <f>_xll.EQNXTDZ($A$1,$B79,T$5,$B$1)</f>
        <v>7170</v>
      </c>
      <c r="U79" s="55">
        <f>_xll.EQNXTDZ($A$1,$B79,U$5,$B$1)</f>
        <v>0</v>
      </c>
      <c r="V79" s="55">
        <f>_xll.EQNXTDZ($A$1,$B79,V$5,$B$1)</f>
        <v>7084</v>
      </c>
      <c r="W79" s="55">
        <f>_xll.EQNXTDZ($A$1,$B79,W$5,$B$1)</f>
        <v>6832</v>
      </c>
      <c r="X79" s="55">
        <f>_xll.EQNXTDZ($A$1,$B79,X$5,$B$1)</f>
        <v>7466</v>
      </c>
      <c r="Y79" s="55">
        <f>_xll.EQNXTDZ($A$1,$B79,Y$5,$B$1)</f>
        <v>0</v>
      </c>
      <c r="Z79" s="55">
        <f>_xll.EQNXTDZ($A$1,$B79,Z$5,$B$1)</f>
        <v>8619</v>
      </c>
      <c r="AA79" s="55">
        <f>_xll.EQNXTDZ($A$1,$B79,AA$5,$B$1)</f>
        <v>0</v>
      </c>
      <c r="AB79" s="55">
        <f>_xll.EQNXTDZ($A$1,$B79,AB$5,$B$1)</f>
        <v>8332</v>
      </c>
      <c r="AC79" s="55">
        <f>_xll.EQNXTDZ($A$1,$B79,AC$5,$B$1)</f>
        <v>0</v>
      </c>
      <c r="AD79" s="55">
        <f>_xll.EQNXTDZ($A$1,$B79,AD$5,$B$1)</f>
        <v>8737</v>
      </c>
      <c r="AE79" s="55">
        <f>_xll.EQNXTDZ($A$1,$B79,AE$5,$B$1)</f>
        <v>0</v>
      </c>
      <c r="AF79" s="55">
        <f>_xll.EQNXTDZ($A$1,$B79,AF$5,$B$1)</f>
        <v>12720</v>
      </c>
      <c r="AG79" s="55">
        <f>_xll.EQNXTDZ($A$1,$B79,AG$5,$B$1)</f>
        <v>0</v>
      </c>
      <c r="AH79" s="55">
        <f>_xll.EQNXTDZ($A$1,$B79,AH$5,$B$1)</f>
        <v>11715</v>
      </c>
      <c r="AI79" s="55">
        <f>_xll.EQNXTDZ($A$1,$B79,AI$5,$B$1)</f>
        <v>0</v>
      </c>
      <c r="AJ79" s="55">
        <f>_xll.EQNXTDZ($A$1,$B79,AJ$5,$B$1)</f>
        <v>11511</v>
      </c>
      <c r="AK79" s="55">
        <f>_xll.EQNXTDZ($A$1,$B79,AK$5,$B$1)</f>
        <v>0</v>
      </c>
      <c r="AL79" s="55">
        <f>_xll.EQNXTDZ($A$1,$B79,AL$5,$B$1)</f>
        <v>13027</v>
      </c>
      <c r="AM79" s="55">
        <f>_xll.EQNXTDZ($A$1,$B79,AM$5,$B$1)</f>
        <v>0</v>
      </c>
      <c r="AN79" s="55">
        <f>_xll.EQNXTDZ($A$1,$B79,AN$5,$B$1)</f>
        <v>13672</v>
      </c>
      <c r="AO79" s="55">
        <f>_xll.EQNXTDZ($A$1,$B79,AO$5,$B$1)</f>
        <v>0</v>
      </c>
      <c r="AP79" s="55">
        <f>_xll.EQNXTDZ($A$1,$B79,AP$5,$B$1)</f>
        <v>14410</v>
      </c>
      <c r="AQ79" s="55">
        <f>_xll.EQNXTDZ($A$1,$B79,AQ$5,$B$1)</f>
        <v>0</v>
      </c>
      <c r="AR79" s="55">
        <f>_xll.EQNXTDZ($A$1,$B79,AR$5,$B$1)</f>
        <v>16165</v>
      </c>
      <c r="AS79" s="55">
        <f>_xll.EQNXTDZ($A$1,$B79,AS$5,$B$1)</f>
        <v>0</v>
      </c>
      <c r="AT79" s="55">
        <f>_xll.EQNXTDZ($A$1,$B79,AT$5,$B$1)</f>
        <v>18451</v>
      </c>
      <c r="AU79" s="55">
        <f>_xll.EQNXTDZ($A$1,$B79,AU$5,$B$1)</f>
        <v>0</v>
      </c>
      <c r="AV79" s="55">
        <f>_xll.EQNXTDZ($A$1,$B79,AV$5,$B$1)</f>
        <v>18756</v>
      </c>
      <c r="AW79" s="55">
        <f>_xll.EQNXTDZ($A$1,$B79,AW$5,$B$1)</f>
        <v>0</v>
      </c>
      <c r="AX79" s="55">
        <f>_xll.EQNXTDZ($A$1,$B79,AX$5,$B$1)</f>
        <v>14823</v>
      </c>
      <c r="AY79" s="55">
        <f>_xll.EQNXTDZ($A$1,$B79,AY$5,$B$1)</f>
        <v>0</v>
      </c>
      <c r="AZ79" s="55">
        <f>_xll.EQNXTDZ($A$1,$B79,AZ$5,$B$1)</f>
        <v>16066</v>
      </c>
      <c r="BA79" s="55">
        <f>_xll.EQNXTDZ($A$1,$B79,BA$5,$B$1)</f>
        <v>0</v>
      </c>
      <c r="BB79" s="55">
        <f>_xll.EQNXTDZ($A$1,$B79,BB$5,$B$1)</f>
        <v>14157</v>
      </c>
      <c r="BC79" s="55">
        <f>_xll.EQNXTDZ($A$1,$B79,BC$5,$B$1)</f>
        <v>0</v>
      </c>
      <c r="BD79" s="55">
        <f>_xll.EQNXTDZ($A$1,$B79,BD$5,$B$1)</f>
        <v>14809</v>
      </c>
      <c r="BE79" s="55">
        <f>_xll.EQNXTDZ($A$1,$B79,BE$5,$B$1)</f>
        <v>0</v>
      </c>
      <c r="BF79" s="55">
        <f>_xll.EQNXTDZ($A$1,$B79,BF$5,$B$1)</f>
        <v>13159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5248</v>
      </c>
      <c r="E80" s="55">
        <f>_xll.EQNXTDZ($A$1,$B80,E$5,$B$1)</f>
        <v>0</v>
      </c>
      <c r="F80" s="55">
        <f>_xll.EQNXTDZ($A$1,$B80,F$5,$B$1)</f>
        <v>1739</v>
      </c>
      <c r="G80" s="55">
        <f>_xll.EQNXTDZ($A$1,$B80,G$5,$B$1)</f>
        <v>0</v>
      </c>
      <c r="H80" s="55">
        <f>_xll.EQNXTDZ($A$1,$B80,H$5,$B$1)</f>
        <v>3338</v>
      </c>
      <c r="I80" s="55">
        <f>_xll.EQNXTDZ($A$1,$B80,I$5,$B$1)</f>
        <v>0</v>
      </c>
      <c r="J80" s="55">
        <f>_xll.EQNXTDZ($A$1,$B80,J$5,$B$1)</f>
        <v>3056</v>
      </c>
      <c r="K80" s="55">
        <f>_xll.EQNXTDZ($A$1,$B80,K$5,$B$1)</f>
        <v>0</v>
      </c>
      <c r="L80" s="55">
        <f>_xll.EQNXTDZ($A$1,$B80,L$5,$B$1)</f>
        <v>3874</v>
      </c>
      <c r="M80" s="55">
        <f>_xll.EQNXTDZ($A$1,$B80,M$5,$B$1)</f>
        <v>0</v>
      </c>
      <c r="N80" s="55">
        <f>_xll.EQNXTDZ($A$1,$B80,N$5,$B$1)</f>
        <v>874</v>
      </c>
      <c r="O80" s="55">
        <f>_xll.EQNXTDZ($A$1,$B80,O$5,$B$1)</f>
        <v>0</v>
      </c>
      <c r="P80" s="55">
        <f>_xll.EQNXTDZ($A$1,$B80,P$5,$B$1)</f>
        <v>582</v>
      </c>
      <c r="Q80" s="55">
        <f>_xll.EQNXTDZ($A$1,$B80,Q$5,$B$1)</f>
        <v>0</v>
      </c>
      <c r="R80" s="55">
        <f>_xll.EQNXTDZ($A$1,$B80,R$5,$B$1)</f>
        <v>75</v>
      </c>
      <c r="S80" s="55">
        <f>_xll.EQNXTDZ($A$1,$B80,S$5,$B$1)</f>
        <v>0</v>
      </c>
      <c r="T80" s="55">
        <f>_xll.EQNXTDZ($A$1,$B80,T$5,$B$1)</f>
        <v>2154</v>
      </c>
      <c r="U80" s="55">
        <f>_xll.EQNXTDZ($A$1,$B80,U$5,$B$1)</f>
        <v>0</v>
      </c>
      <c r="V80" s="55">
        <f>_xll.EQNXTDZ($A$1,$B80,V$5,$B$1)</f>
        <v>9970</v>
      </c>
      <c r="W80" s="55">
        <f>_xll.EQNXTDZ($A$1,$B80,W$5,$B$1)</f>
        <v>10388</v>
      </c>
      <c r="X80" s="55">
        <f>_xll.EQNXTDZ($A$1,$B80,X$5,$B$1)</f>
        <v>12122</v>
      </c>
      <c r="Y80" s="55">
        <f>_xll.EQNXTDZ($A$1,$B80,Y$5,$B$1)</f>
        <v>0</v>
      </c>
      <c r="Z80" s="55">
        <f>_xll.EQNXTDZ($A$1,$B80,Z$5,$B$1)</f>
        <v>6407</v>
      </c>
      <c r="AA80" s="55">
        <f>_xll.EQNXTDZ($A$1,$B80,AA$5,$B$1)</f>
        <v>0</v>
      </c>
      <c r="AB80" s="55">
        <f>_xll.EQNXTDZ($A$1,$B80,AB$5,$B$1)</f>
        <v>7580</v>
      </c>
      <c r="AC80" s="55">
        <f>_xll.EQNXTDZ($A$1,$B80,AC$5,$B$1)</f>
        <v>0</v>
      </c>
      <c r="AD80" s="55">
        <f>_xll.EQNXTDZ($A$1,$B80,AD$5,$B$1)</f>
        <v>6627</v>
      </c>
      <c r="AE80" s="55">
        <f>_xll.EQNXTDZ($A$1,$B80,AE$5,$B$1)</f>
        <v>0</v>
      </c>
      <c r="AF80" s="55">
        <f>_xll.EQNXTDZ($A$1,$B80,AF$5,$B$1)</f>
        <v>3518</v>
      </c>
      <c r="AG80" s="55">
        <f>_xll.EQNXTDZ($A$1,$B80,AG$5,$B$1)</f>
        <v>0</v>
      </c>
      <c r="AH80" s="55">
        <f>_xll.EQNXTDZ($A$1,$B80,AH$5,$B$1)</f>
        <v>4655</v>
      </c>
      <c r="AI80" s="55">
        <f>_xll.EQNXTDZ($A$1,$B80,AI$5,$B$1)</f>
        <v>0</v>
      </c>
      <c r="AJ80" s="55">
        <f>_xll.EQNXTDZ($A$1,$B80,AJ$5,$B$1)</f>
        <v>3600</v>
      </c>
      <c r="AK80" s="55">
        <f>_xll.EQNXTDZ($A$1,$B80,AK$5,$B$1)</f>
        <v>0</v>
      </c>
      <c r="AL80" s="55">
        <f>_xll.EQNXTDZ($A$1,$B80,AL$5,$B$1)</f>
        <v>2342</v>
      </c>
      <c r="AM80" s="55">
        <f>_xll.EQNXTDZ($A$1,$B80,AM$5,$B$1)</f>
        <v>0</v>
      </c>
      <c r="AN80" s="55">
        <f>_xll.EQNXTDZ($A$1,$B80,AN$5,$B$1)</f>
        <v>4983</v>
      </c>
      <c r="AO80" s="55">
        <f>_xll.EQNXTDZ($A$1,$B80,AO$5,$B$1)</f>
        <v>0</v>
      </c>
      <c r="AP80" s="55">
        <f>_xll.EQNXTDZ($A$1,$B80,AP$5,$B$1)</f>
        <v>6673</v>
      </c>
      <c r="AQ80" s="55">
        <f>_xll.EQNXTDZ($A$1,$B80,AQ$5,$B$1)</f>
        <v>0</v>
      </c>
      <c r="AR80" s="55">
        <f>_xll.EQNXTDZ($A$1,$B80,AR$5,$B$1)</f>
        <v>11778</v>
      </c>
      <c r="AS80" s="55">
        <f>_xll.EQNXTDZ($A$1,$B80,AS$5,$B$1)</f>
        <v>0</v>
      </c>
      <c r="AT80" s="55">
        <f>_xll.EQNXTDZ($A$1,$B80,AT$5,$B$1)</f>
        <v>6909</v>
      </c>
      <c r="AU80" s="55">
        <f>_xll.EQNXTDZ($A$1,$B80,AU$5,$B$1)</f>
        <v>0</v>
      </c>
      <c r="AV80" s="55">
        <f>_xll.EQNXTDZ($A$1,$B80,AV$5,$B$1)</f>
        <v>7579</v>
      </c>
      <c r="AW80" s="55">
        <f>_xll.EQNXTDZ($A$1,$B80,AW$5,$B$1)</f>
        <v>0</v>
      </c>
      <c r="AX80" s="55">
        <f>_xll.EQNXTDZ($A$1,$B80,AX$5,$B$1)</f>
        <v>12915</v>
      </c>
      <c r="AY80" s="55">
        <f>_xll.EQNXTDZ($A$1,$B80,AY$5,$B$1)</f>
        <v>0</v>
      </c>
      <c r="AZ80" s="55">
        <f>_xll.EQNXTDZ($A$1,$B80,AZ$5,$B$1)</f>
        <v>7432</v>
      </c>
      <c r="BA80" s="55">
        <f>_xll.EQNXTDZ($A$1,$B80,BA$5,$B$1)</f>
        <v>0</v>
      </c>
      <c r="BB80" s="55">
        <f>_xll.EQNXTDZ($A$1,$B80,BB$5,$B$1)</f>
        <v>12482</v>
      </c>
      <c r="BC80" s="55">
        <f>_xll.EQNXTDZ($A$1,$B80,BC$5,$B$1)</f>
        <v>0</v>
      </c>
      <c r="BD80" s="55">
        <f>_xll.EQNXTDZ($A$1,$B80,BD$5,$B$1)</f>
        <v>12606</v>
      </c>
      <c r="BE80" s="55">
        <f>_xll.EQNXTDZ($A$1,$B80,BE$5,$B$1)</f>
        <v>0</v>
      </c>
      <c r="BF80" s="55">
        <f>_xll.EQNXTDZ($A$1,$B80,BF$5,$B$1)</f>
        <v>12950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0</v>
      </c>
      <c r="D81" s="55">
        <f>_xll.EQNXTDZ($A$1,$B81,D$5,$B$1)</f>
        <v>0</v>
      </c>
      <c r="E81" s="55">
        <f>_xll.EQNXTDZ($A$1,$B81,E$5,$B$1)</f>
        <v>0</v>
      </c>
      <c r="F81" s="55">
        <f>_xll.EQNXTDZ($A$1,$B81,F$5,$B$1)</f>
        <v>0</v>
      </c>
      <c r="G81" s="55">
        <f>_xll.EQNXTDZ($A$1,$B81,G$5,$B$1)</f>
        <v>0</v>
      </c>
      <c r="H81" s="55">
        <f>_xll.EQNXTDZ($A$1,$B81,H$5,$B$1)</f>
        <v>0</v>
      </c>
      <c r="I81" s="55">
        <f>_xll.EQNXTDZ($A$1,$B81,I$5,$B$1)</f>
        <v>0</v>
      </c>
      <c r="J81" s="55">
        <f>_xll.EQNXTDZ($A$1,$B81,J$5,$B$1)</f>
        <v>0</v>
      </c>
      <c r="K81" s="55">
        <f>_xll.EQNXTDZ($A$1,$B81,K$5,$B$1)</f>
        <v>0</v>
      </c>
      <c r="L81" s="55">
        <f>_xll.EQNXTDZ($A$1,$B81,L$5,$B$1)</f>
        <v>0</v>
      </c>
      <c r="M81" s="55">
        <f>_xll.EQNXTDZ($A$1,$B81,M$5,$B$1)</f>
        <v>0</v>
      </c>
      <c r="N81" s="55">
        <f>_xll.EQNXTDZ($A$1,$B81,N$5,$B$1)</f>
        <v>0</v>
      </c>
      <c r="O81" s="55">
        <f>_xll.EQNXTDZ($A$1,$B81,O$5,$B$1)</f>
        <v>0</v>
      </c>
      <c r="P81" s="55">
        <f>_xll.EQNXTDZ($A$1,$B81,P$5,$B$1)</f>
        <v>0</v>
      </c>
      <c r="Q81" s="55">
        <f>_xll.EQNXTDZ($A$1,$B81,Q$5,$B$1)</f>
        <v>0</v>
      </c>
      <c r="R81" s="55">
        <f>_xll.EQNXTDZ($A$1,$B81,R$5,$B$1)</f>
        <v>0</v>
      </c>
      <c r="S81" s="55">
        <f>_xll.EQNXTDZ($A$1,$B81,S$5,$B$1)</f>
        <v>0</v>
      </c>
      <c r="T81" s="55">
        <f>_xll.EQNXTDZ($A$1,$B81,T$5,$B$1)</f>
        <v>0</v>
      </c>
      <c r="U81" s="55">
        <f>_xll.EQNXTDZ($A$1,$B81,U$5,$B$1)</f>
        <v>0</v>
      </c>
      <c r="V81" s="55">
        <f>_xll.EQNXTDZ($A$1,$B81,V$5,$B$1)</f>
        <v>0</v>
      </c>
      <c r="W81" s="55">
        <f>_xll.EQNXTDZ($A$1,$B81,W$5,$B$1)</f>
        <v>0</v>
      </c>
      <c r="X81" s="55">
        <f>_xll.EQNXTDZ($A$1,$B81,X$5,$B$1)</f>
        <v>0</v>
      </c>
      <c r="Y81" s="55">
        <f>_xll.EQNXTDZ($A$1,$B81,Y$5,$B$1)</f>
        <v>0</v>
      </c>
      <c r="Z81" s="55">
        <f>_xll.EQNXTDZ($A$1,$B81,Z$5,$B$1)</f>
        <v>0</v>
      </c>
      <c r="AA81" s="55">
        <f>_xll.EQNXTDZ($A$1,$B81,AA$5,$B$1)</f>
        <v>0</v>
      </c>
      <c r="AB81" s="55">
        <f>_xll.EQNXTDZ($A$1,$B81,AB$5,$B$1)</f>
        <v>0</v>
      </c>
      <c r="AC81" s="55">
        <f>_xll.EQNXTDZ($A$1,$B81,AC$5,$B$1)</f>
        <v>0</v>
      </c>
      <c r="AD81" s="55">
        <f>_xll.EQNXTDZ($A$1,$B81,AD$5,$B$1)</f>
        <v>0</v>
      </c>
      <c r="AE81" s="55">
        <f>_xll.EQNXTDZ($A$1,$B81,AE$5,$B$1)</f>
        <v>0</v>
      </c>
      <c r="AF81" s="55">
        <f>_xll.EQNXTDZ($A$1,$B81,AF$5,$B$1)</f>
        <v>0</v>
      </c>
      <c r="AG81" s="55">
        <f>_xll.EQNXTDZ($A$1,$B81,AG$5,$B$1)</f>
        <v>0</v>
      </c>
      <c r="AH81" s="55">
        <f>_xll.EQNXTDZ($A$1,$B81,AH$5,$B$1)</f>
        <v>0</v>
      </c>
      <c r="AI81" s="55">
        <f>_xll.EQNXTDZ($A$1,$B81,AI$5,$B$1)</f>
        <v>0</v>
      </c>
      <c r="AJ81" s="55">
        <f>_xll.EQNXTDZ($A$1,$B81,AJ$5,$B$1)</f>
        <v>0</v>
      </c>
      <c r="AK81" s="55">
        <f>_xll.EQNXTDZ($A$1,$B81,AK$5,$B$1)</f>
        <v>0</v>
      </c>
      <c r="AL81" s="55">
        <f>_xll.EQNXTDZ($A$1,$B81,AL$5,$B$1)</f>
        <v>0</v>
      </c>
      <c r="AM81" s="55">
        <f>_xll.EQNXTDZ($A$1,$B81,AM$5,$B$1)</f>
        <v>0</v>
      </c>
      <c r="AN81" s="55">
        <f>_xll.EQNXTDZ($A$1,$B81,AN$5,$B$1)</f>
        <v>0</v>
      </c>
      <c r="AO81" s="55">
        <f>_xll.EQNXTDZ($A$1,$B81,AO$5,$B$1)</f>
        <v>0</v>
      </c>
      <c r="AP81" s="55">
        <f>_xll.EQNXTDZ($A$1,$B81,AP$5,$B$1)</f>
        <v>0</v>
      </c>
      <c r="AQ81" s="55">
        <f>_xll.EQNXTDZ($A$1,$B81,AQ$5,$B$1)</f>
        <v>0</v>
      </c>
      <c r="AR81" s="55">
        <f>_xll.EQNXTDZ($A$1,$B81,AR$5,$B$1)</f>
        <v>0</v>
      </c>
      <c r="AS81" s="55">
        <f>_xll.EQNXTDZ($A$1,$B81,AS$5,$B$1)</f>
        <v>0</v>
      </c>
      <c r="AT81" s="55">
        <f>_xll.EQNXTDZ($A$1,$B81,AT$5,$B$1)</f>
        <v>0</v>
      </c>
      <c r="AU81" s="55">
        <f>_xll.EQNXTDZ($A$1,$B81,AU$5,$B$1)</f>
        <v>0</v>
      </c>
      <c r="AV81" s="55">
        <f>_xll.EQNXTDZ($A$1,$B81,AV$5,$B$1)</f>
        <v>0</v>
      </c>
      <c r="AW81" s="55">
        <f>_xll.EQNXTDZ($A$1,$B81,AW$5,$B$1)</f>
        <v>0</v>
      </c>
      <c r="AX81" s="55">
        <f>_xll.EQNXTDZ($A$1,$B81,AX$5,$B$1)</f>
        <v>0</v>
      </c>
      <c r="AY81" s="55">
        <f>_xll.EQNXTDZ($A$1,$B81,AY$5,$B$1)</f>
        <v>0</v>
      </c>
      <c r="AZ81" s="55">
        <f>_xll.EQNXTDZ($A$1,$B81,AZ$5,$B$1)</f>
        <v>0</v>
      </c>
      <c r="BA81" s="55">
        <f>_xll.EQNXTDZ($A$1,$B81,BA$5,$B$1)</f>
        <v>0</v>
      </c>
      <c r="BB81" s="55">
        <f>_xll.EQNXTDZ($A$1,$B81,BB$5,$B$1)</f>
        <v>0</v>
      </c>
      <c r="BC81" s="55">
        <f>_xll.EQNXTDZ($A$1,$B81,BC$5,$B$1)</f>
        <v>0</v>
      </c>
      <c r="BD81" s="55">
        <f>_xll.EQNXTDZ($A$1,$B81,BD$5,$B$1)</f>
        <v>0</v>
      </c>
      <c r="BE81" s="55">
        <f>_xll.EQNXTDZ($A$1,$B81,BE$5,$B$1)</f>
        <v>0</v>
      </c>
      <c r="BF81" s="55">
        <f>_xll.EQNXTDZ($A$1,$B81,BF$5,$B$1)</f>
        <v>0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0</v>
      </c>
      <c r="D82" s="55">
        <f>_xll.EQNXTDZ($A$1,$B82,D$5,$B$1)</f>
        <v>6682</v>
      </c>
      <c r="E82" s="55">
        <f>_xll.EQNXTDZ($A$1,$B82,E$5,$B$1)</f>
        <v>0</v>
      </c>
      <c r="F82" s="55">
        <f>_xll.EQNXTDZ($A$1,$B82,F$5,$B$1)</f>
        <v>7083</v>
      </c>
      <c r="G82" s="55">
        <f>_xll.EQNXTDZ($A$1,$B82,G$5,$B$1)</f>
        <v>0</v>
      </c>
      <c r="H82" s="55">
        <f>_xll.EQNXTDZ($A$1,$B82,H$5,$B$1)</f>
        <v>8343</v>
      </c>
      <c r="I82" s="55">
        <f>_xll.EQNXTDZ($A$1,$B82,I$5,$B$1)</f>
        <v>0</v>
      </c>
      <c r="J82" s="55">
        <f>_xll.EQNXTDZ($A$1,$B82,J$5,$B$1)</f>
        <v>8351</v>
      </c>
      <c r="K82" s="55">
        <f>_xll.EQNXTDZ($A$1,$B82,K$5,$B$1)</f>
        <v>0</v>
      </c>
      <c r="L82" s="55">
        <f>_xll.EQNXTDZ($A$1,$B82,L$5,$B$1)</f>
        <v>9040</v>
      </c>
      <c r="M82" s="55">
        <f>_xll.EQNXTDZ($A$1,$B82,M$5,$B$1)</f>
        <v>0</v>
      </c>
      <c r="N82" s="55">
        <f>_xll.EQNXTDZ($A$1,$B82,N$5,$B$1)</f>
        <v>9713</v>
      </c>
      <c r="O82" s="55">
        <f>_xll.EQNXTDZ($A$1,$B82,O$5,$B$1)</f>
        <v>0</v>
      </c>
      <c r="P82" s="55">
        <f>_xll.EQNXTDZ($A$1,$B82,P$5,$B$1)</f>
        <v>10397</v>
      </c>
      <c r="Q82" s="55">
        <f>_xll.EQNXTDZ($A$1,$B82,Q$5,$B$1)</f>
        <v>0</v>
      </c>
      <c r="R82" s="55">
        <f>_xll.EQNXTDZ($A$1,$B82,R$5,$B$1)</f>
        <v>11330</v>
      </c>
      <c r="S82" s="55">
        <f>_xll.EQNXTDZ($A$1,$B82,S$5,$B$1)</f>
        <v>0</v>
      </c>
      <c r="T82" s="55">
        <f>_xll.EQNXTDZ($A$1,$B82,T$5,$B$1)</f>
        <v>11571</v>
      </c>
      <c r="U82" s="55">
        <f>_xll.EQNXTDZ($A$1,$B82,U$5,$B$1)</f>
        <v>0</v>
      </c>
      <c r="V82" s="55">
        <f>_xll.EQNXTDZ($A$1,$B82,V$5,$B$1)</f>
        <v>12322</v>
      </c>
      <c r="W82" s="55">
        <f>_xll.EQNXTDZ($A$1,$B82,W$5,$B$1)</f>
        <v>12488</v>
      </c>
      <c r="X82" s="55">
        <f>_xll.EQNXTDZ($A$1,$B82,X$5,$B$1)</f>
        <v>13423</v>
      </c>
      <c r="Y82" s="55">
        <f>_xll.EQNXTDZ($A$1,$B82,Y$5,$B$1)</f>
        <v>0</v>
      </c>
      <c r="Z82" s="55">
        <f>_xll.EQNXTDZ($A$1,$B82,Z$5,$B$1)</f>
        <v>13142</v>
      </c>
      <c r="AA82" s="55">
        <f>_xll.EQNXTDZ($A$1,$B82,AA$5,$B$1)</f>
        <v>0</v>
      </c>
      <c r="AB82" s="55">
        <f>_xll.EQNXTDZ($A$1,$B82,AB$5,$B$1)</f>
        <v>14781</v>
      </c>
      <c r="AC82" s="55">
        <f>_xll.EQNXTDZ($A$1,$B82,AC$5,$B$1)</f>
        <v>0</v>
      </c>
      <c r="AD82" s="55">
        <f>_xll.EQNXTDZ($A$1,$B82,AD$5,$B$1)</f>
        <v>14827</v>
      </c>
      <c r="AE82" s="55">
        <f>_xll.EQNXTDZ($A$1,$B82,AE$5,$B$1)</f>
        <v>0</v>
      </c>
      <c r="AF82" s="55">
        <f>_xll.EQNXTDZ($A$1,$B82,AF$5,$B$1)</f>
        <v>16055</v>
      </c>
      <c r="AG82" s="55">
        <f>_xll.EQNXTDZ($A$1,$B82,AG$5,$B$1)</f>
        <v>0</v>
      </c>
      <c r="AH82" s="55">
        <f>_xll.EQNXTDZ($A$1,$B82,AH$5,$B$1)</f>
        <v>18487</v>
      </c>
      <c r="AI82" s="55">
        <f>_xll.EQNXTDZ($A$1,$B82,AI$5,$B$1)</f>
        <v>0</v>
      </c>
      <c r="AJ82" s="55">
        <f>_xll.EQNXTDZ($A$1,$B82,AJ$5,$B$1)</f>
        <v>17930</v>
      </c>
      <c r="AK82" s="55">
        <f>_xll.EQNXTDZ($A$1,$B82,AK$5,$B$1)</f>
        <v>0</v>
      </c>
      <c r="AL82" s="55">
        <f>_xll.EQNXTDZ($A$1,$B82,AL$5,$B$1)</f>
        <v>19294</v>
      </c>
      <c r="AM82" s="55">
        <f>_xll.EQNXTDZ($A$1,$B82,AM$5,$B$1)</f>
        <v>0</v>
      </c>
      <c r="AN82" s="55">
        <f>_xll.EQNXTDZ($A$1,$B82,AN$5,$B$1)</f>
        <v>20121</v>
      </c>
      <c r="AO82" s="55">
        <f>_xll.EQNXTDZ($A$1,$B82,AO$5,$B$1)</f>
        <v>0</v>
      </c>
      <c r="AP82" s="55">
        <f>_xll.EQNXTDZ($A$1,$B82,AP$5,$B$1)</f>
        <v>22698</v>
      </c>
      <c r="AQ82" s="55">
        <f>_xll.EQNXTDZ($A$1,$B82,AQ$5,$B$1)</f>
        <v>0</v>
      </c>
      <c r="AR82" s="55">
        <f>_xll.EQNXTDZ($A$1,$B82,AR$5,$B$1)</f>
        <v>25397</v>
      </c>
      <c r="AS82" s="55">
        <f>_xll.EQNXTDZ($A$1,$B82,AS$5,$B$1)</f>
        <v>0</v>
      </c>
      <c r="AT82" s="55">
        <f>_xll.EQNXTDZ($A$1,$B82,AT$5,$B$1)</f>
        <v>25424</v>
      </c>
      <c r="AU82" s="55">
        <f>_xll.EQNXTDZ($A$1,$B82,AU$5,$B$1)</f>
        <v>0</v>
      </c>
      <c r="AV82" s="55">
        <f>_xll.EQNXTDZ($A$1,$B82,AV$5,$B$1)</f>
        <v>28261</v>
      </c>
      <c r="AW82" s="55">
        <f>_xll.EQNXTDZ($A$1,$B82,AW$5,$B$1)</f>
        <v>0</v>
      </c>
      <c r="AX82" s="55">
        <f>_xll.EQNXTDZ($A$1,$B82,AX$5,$B$1)</f>
        <v>30193</v>
      </c>
      <c r="AY82" s="55">
        <f>_xll.EQNXTDZ($A$1,$B82,AY$5,$B$1)</f>
        <v>0</v>
      </c>
      <c r="AZ82" s="55">
        <f>_xll.EQNXTDZ($A$1,$B82,AZ$5,$B$1)</f>
        <v>32013</v>
      </c>
      <c r="BA82" s="55">
        <f>_xll.EQNXTDZ($A$1,$B82,BA$5,$B$1)</f>
        <v>0</v>
      </c>
      <c r="BB82" s="55">
        <f>_xll.EQNXTDZ($A$1,$B82,BB$5,$B$1)</f>
        <v>31158</v>
      </c>
      <c r="BC82" s="55">
        <f>_xll.EQNXTDZ($A$1,$B82,BC$5,$B$1)</f>
        <v>0</v>
      </c>
      <c r="BD82" s="55">
        <f>_xll.EQNXTDZ($A$1,$B82,BD$5,$B$1)</f>
        <v>33968</v>
      </c>
      <c r="BE82" s="55">
        <f>_xll.EQNXTDZ($A$1,$B82,BE$5,$B$1)</f>
        <v>0</v>
      </c>
      <c r="BF82" s="55">
        <f>_xll.EQNXTDZ($A$1,$B82,BF$5,$B$1)</f>
        <v>35234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0</v>
      </c>
      <c r="D83" s="55">
        <f>_xll.EQNXTDZ($A$1,$B83,D$5,$B$1)</f>
        <v>17257</v>
      </c>
      <c r="E83" s="55">
        <f>_xll.EQNXTDZ($A$1,$B83,E$5,$B$1)</f>
        <v>0</v>
      </c>
      <c r="F83" s="55">
        <f>_xll.EQNXTDZ($A$1,$B83,F$5,$B$1)</f>
        <v>21832</v>
      </c>
      <c r="G83" s="55">
        <f>_xll.EQNXTDZ($A$1,$B83,G$5,$B$1)</f>
        <v>0</v>
      </c>
      <c r="H83" s="55">
        <f>_xll.EQNXTDZ($A$1,$B83,H$5,$B$1)</f>
        <v>22543</v>
      </c>
      <c r="I83" s="55">
        <f>_xll.EQNXTDZ($A$1,$B83,I$5,$B$1)</f>
        <v>0</v>
      </c>
      <c r="J83" s="55">
        <f>_xll.EQNXTDZ($A$1,$B83,J$5,$B$1)</f>
        <v>25950</v>
      </c>
      <c r="K83" s="55">
        <f>_xll.EQNXTDZ($A$1,$B83,K$5,$B$1)</f>
        <v>0</v>
      </c>
      <c r="L83" s="55">
        <f>_xll.EQNXTDZ($A$1,$B83,L$5,$B$1)</f>
        <v>28432</v>
      </c>
      <c r="M83" s="55">
        <f>_xll.EQNXTDZ($A$1,$B83,M$5,$B$1)</f>
        <v>0</v>
      </c>
      <c r="N83" s="55">
        <f>_xll.EQNXTDZ($A$1,$B83,N$5,$B$1)</f>
        <v>30367</v>
      </c>
      <c r="O83" s="55">
        <f>_xll.EQNXTDZ($A$1,$B83,O$5,$B$1)</f>
        <v>0</v>
      </c>
      <c r="P83" s="55">
        <f>_xll.EQNXTDZ($A$1,$B83,P$5,$B$1)</f>
        <v>29946</v>
      </c>
      <c r="Q83" s="55">
        <f>_xll.EQNXTDZ($A$1,$B83,Q$5,$B$1)</f>
        <v>0</v>
      </c>
      <c r="R83" s="55">
        <f>_xll.EQNXTDZ($A$1,$B83,R$5,$B$1)</f>
        <v>32697</v>
      </c>
      <c r="S83" s="55">
        <f>_xll.EQNXTDZ($A$1,$B83,S$5,$B$1)</f>
        <v>0</v>
      </c>
      <c r="T83" s="55">
        <f>_xll.EQNXTDZ($A$1,$B83,T$5,$B$1)</f>
        <v>31732</v>
      </c>
      <c r="U83" s="55">
        <f>_xll.EQNXTDZ($A$1,$B83,U$5,$B$1)</f>
        <v>0</v>
      </c>
      <c r="V83" s="55">
        <f>_xll.EQNXTDZ($A$1,$B83,V$5,$B$1)</f>
        <v>22625</v>
      </c>
      <c r="W83" s="55">
        <f>_xll.EQNXTDZ($A$1,$B83,W$5,$B$1)</f>
        <v>23117</v>
      </c>
      <c r="X83" s="55">
        <f>_xll.EQNXTDZ($A$1,$B83,X$5,$B$1)</f>
        <v>23339</v>
      </c>
      <c r="Y83" s="55">
        <f>_xll.EQNXTDZ($A$1,$B83,Y$5,$B$1)</f>
        <v>0</v>
      </c>
      <c r="Z83" s="55">
        <f>_xll.EQNXTDZ($A$1,$B83,Z$5,$B$1)</f>
        <v>19818</v>
      </c>
      <c r="AA83" s="55">
        <f>_xll.EQNXTDZ($A$1,$B83,AA$5,$B$1)</f>
        <v>0</v>
      </c>
      <c r="AB83" s="55">
        <f>_xll.EQNXTDZ($A$1,$B83,AB$5,$B$1)</f>
        <v>17851</v>
      </c>
      <c r="AC83" s="55">
        <f>_xll.EQNXTDZ($A$1,$B83,AC$5,$B$1)</f>
        <v>0</v>
      </c>
      <c r="AD83" s="55">
        <f>_xll.EQNXTDZ($A$1,$B83,AD$5,$B$1)</f>
        <v>19568</v>
      </c>
      <c r="AE83" s="55">
        <f>_xll.EQNXTDZ($A$1,$B83,AE$5,$B$1)</f>
        <v>0</v>
      </c>
      <c r="AF83" s="55">
        <f>_xll.EQNXTDZ($A$1,$B83,AF$5,$B$1)</f>
        <v>16473</v>
      </c>
      <c r="AG83" s="55">
        <f>_xll.EQNXTDZ($A$1,$B83,AG$5,$B$1)</f>
        <v>0</v>
      </c>
      <c r="AH83" s="55">
        <f>_xll.EQNXTDZ($A$1,$B83,AH$5,$B$1)</f>
        <v>18649</v>
      </c>
      <c r="AI83" s="55">
        <f>_xll.EQNXTDZ($A$1,$B83,AI$5,$B$1)</f>
        <v>0</v>
      </c>
      <c r="AJ83" s="55">
        <f>_xll.EQNXTDZ($A$1,$B83,AJ$5,$B$1)</f>
        <v>22411</v>
      </c>
      <c r="AK83" s="55">
        <f>_xll.EQNXTDZ($A$1,$B83,AK$5,$B$1)</f>
        <v>0</v>
      </c>
      <c r="AL83" s="55">
        <f>_xll.EQNXTDZ($A$1,$B83,AL$5,$B$1)</f>
        <v>24714</v>
      </c>
      <c r="AM83" s="55">
        <f>_xll.EQNXTDZ($A$1,$B83,AM$5,$B$1)</f>
        <v>0</v>
      </c>
      <c r="AN83" s="55">
        <f>_xll.EQNXTDZ($A$1,$B83,AN$5,$B$1)</f>
        <v>18056</v>
      </c>
      <c r="AO83" s="55">
        <f>_xll.EQNXTDZ($A$1,$B83,AO$5,$B$1)</f>
        <v>0</v>
      </c>
      <c r="AP83" s="55">
        <f>_xll.EQNXTDZ($A$1,$B83,AP$5,$B$1)</f>
        <v>17472</v>
      </c>
      <c r="AQ83" s="55">
        <f>_xll.EQNXTDZ($A$1,$B83,AQ$5,$B$1)</f>
        <v>0</v>
      </c>
      <c r="AR83" s="55">
        <f>_xll.EQNXTDZ($A$1,$B83,AR$5,$B$1)</f>
        <v>14869</v>
      </c>
      <c r="AS83" s="55">
        <f>_xll.EQNXTDZ($A$1,$B83,AS$5,$B$1)</f>
        <v>0</v>
      </c>
      <c r="AT83" s="55">
        <f>_xll.EQNXTDZ($A$1,$B83,AT$5,$B$1)</f>
        <v>12173</v>
      </c>
      <c r="AU83" s="55">
        <f>_xll.EQNXTDZ($A$1,$B83,AU$5,$B$1)</f>
        <v>0</v>
      </c>
      <c r="AV83" s="55">
        <f>_xll.EQNXTDZ($A$1,$B83,AV$5,$B$1)</f>
        <v>15713</v>
      </c>
      <c r="AW83" s="55">
        <f>_xll.EQNXTDZ($A$1,$B83,AW$5,$B$1)</f>
        <v>0</v>
      </c>
      <c r="AX83" s="55">
        <f>_xll.EQNXTDZ($A$1,$B83,AX$5,$B$1)</f>
        <v>14786</v>
      </c>
      <c r="AY83" s="55">
        <f>_xll.EQNXTDZ($A$1,$B83,AY$5,$B$1)</f>
        <v>0</v>
      </c>
      <c r="AZ83" s="55">
        <f>_xll.EQNXTDZ($A$1,$B83,AZ$5,$B$1)</f>
        <v>21799</v>
      </c>
      <c r="BA83" s="55">
        <f>_xll.EQNXTDZ($A$1,$B83,BA$5,$B$1)</f>
        <v>0</v>
      </c>
      <c r="BB83" s="55">
        <f>_xll.EQNXTDZ($A$1,$B83,BB$5,$B$1)</f>
        <v>24455</v>
      </c>
      <c r="BC83" s="55">
        <f>_xll.EQNXTDZ($A$1,$B83,BC$5,$B$1)</f>
        <v>0</v>
      </c>
      <c r="BD83" s="55">
        <f>_xll.EQNXTDZ($A$1,$B83,BD$5,$B$1)</f>
        <v>31832</v>
      </c>
      <c r="BE83" s="55">
        <f>_xll.EQNXTDZ($A$1,$B83,BE$5,$B$1)</f>
        <v>0</v>
      </c>
      <c r="BF83" s="55">
        <f>_xll.EQNXTDZ($A$1,$B83,BF$5,$B$1)</f>
        <v>22201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0</v>
      </c>
      <c r="D84" s="55">
        <f>_xll.EQNXTDZ($A$1,$B84,D$5,$B$1)</f>
        <v>3830</v>
      </c>
      <c r="E84" s="55">
        <f>_xll.EQNXTDZ($A$1,$B84,E$5,$B$1)</f>
        <v>0</v>
      </c>
      <c r="F84" s="55">
        <f>_xll.EQNXTDZ($A$1,$B84,F$5,$B$1)</f>
        <v>4659</v>
      </c>
      <c r="G84" s="55">
        <f>_xll.EQNXTDZ($A$1,$B84,G$5,$B$1)</f>
        <v>0</v>
      </c>
      <c r="H84" s="55">
        <f>_xll.EQNXTDZ($A$1,$B84,H$5,$B$1)</f>
        <v>5586</v>
      </c>
      <c r="I84" s="55">
        <f>_xll.EQNXTDZ($A$1,$B84,I$5,$B$1)</f>
        <v>0</v>
      </c>
      <c r="J84" s="55">
        <f>_xll.EQNXTDZ($A$1,$B84,J$5,$B$1)</f>
        <v>5662</v>
      </c>
      <c r="K84" s="55">
        <f>_xll.EQNXTDZ($A$1,$B84,K$5,$B$1)</f>
        <v>0</v>
      </c>
      <c r="L84" s="55">
        <f>_xll.EQNXTDZ($A$1,$B84,L$5,$B$1)</f>
        <v>5754</v>
      </c>
      <c r="M84" s="55">
        <f>_xll.EQNXTDZ($A$1,$B84,M$5,$B$1)</f>
        <v>0</v>
      </c>
      <c r="N84" s="55">
        <f>_xll.EQNXTDZ($A$1,$B84,N$5,$B$1)</f>
        <v>6242</v>
      </c>
      <c r="O84" s="55">
        <f>_xll.EQNXTDZ($A$1,$B84,O$5,$B$1)</f>
        <v>0</v>
      </c>
      <c r="P84" s="55">
        <f>_xll.EQNXTDZ($A$1,$B84,P$5,$B$1)</f>
        <v>8154</v>
      </c>
      <c r="Q84" s="55">
        <f>_xll.EQNXTDZ($A$1,$B84,Q$5,$B$1)</f>
        <v>0</v>
      </c>
      <c r="R84" s="55">
        <f>_xll.EQNXTDZ($A$1,$B84,R$5,$B$1)</f>
        <v>7348</v>
      </c>
      <c r="S84" s="55">
        <f>_xll.EQNXTDZ($A$1,$B84,S$5,$B$1)</f>
        <v>0</v>
      </c>
      <c r="T84" s="55">
        <f>_xll.EQNXTDZ($A$1,$B84,T$5,$B$1)</f>
        <v>8888</v>
      </c>
      <c r="U84" s="55">
        <f>_xll.EQNXTDZ($A$1,$B84,U$5,$B$1)</f>
        <v>0</v>
      </c>
      <c r="V84" s="55">
        <f>_xll.EQNXTDZ($A$1,$B84,V$5,$B$1)</f>
        <v>8516</v>
      </c>
      <c r="W84" s="55">
        <f>_xll.EQNXTDZ($A$1,$B84,W$5,$B$1)</f>
        <v>9281</v>
      </c>
      <c r="X84" s="55">
        <f>_xll.EQNXTDZ($A$1,$B84,X$5,$B$1)</f>
        <v>9106</v>
      </c>
      <c r="Y84" s="55">
        <f>_xll.EQNXTDZ($A$1,$B84,Y$5,$B$1)</f>
        <v>0</v>
      </c>
      <c r="Z84" s="55">
        <f>_xll.EQNXTDZ($A$1,$B84,Z$5,$B$1)</f>
        <v>10411</v>
      </c>
      <c r="AA84" s="55">
        <f>_xll.EQNXTDZ($A$1,$B84,AA$5,$B$1)</f>
        <v>0</v>
      </c>
      <c r="AB84" s="55">
        <f>_xll.EQNXTDZ($A$1,$B84,AB$5,$B$1)</f>
        <v>11729</v>
      </c>
      <c r="AC84" s="55">
        <f>_xll.EQNXTDZ($A$1,$B84,AC$5,$B$1)</f>
        <v>0</v>
      </c>
      <c r="AD84" s="55">
        <f>_xll.EQNXTDZ($A$1,$B84,AD$5,$B$1)</f>
        <v>11615</v>
      </c>
      <c r="AE84" s="55">
        <f>_xll.EQNXTDZ($A$1,$B84,AE$5,$B$1)</f>
        <v>0</v>
      </c>
      <c r="AF84" s="55">
        <f>_xll.EQNXTDZ($A$1,$B84,AF$5,$B$1)</f>
        <v>12563</v>
      </c>
      <c r="AG84" s="55">
        <f>_xll.EQNXTDZ($A$1,$B84,AG$5,$B$1)</f>
        <v>0</v>
      </c>
      <c r="AH84" s="55">
        <f>_xll.EQNXTDZ($A$1,$B84,AH$5,$B$1)</f>
        <v>12546</v>
      </c>
      <c r="AI84" s="55">
        <f>_xll.EQNXTDZ($A$1,$B84,AI$5,$B$1)</f>
        <v>0</v>
      </c>
      <c r="AJ84" s="55">
        <f>_xll.EQNXTDZ($A$1,$B84,AJ$5,$B$1)</f>
        <v>13254</v>
      </c>
      <c r="AK84" s="55">
        <f>_xll.EQNXTDZ($A$1,$B84,AK$5,$B$1)</f>
        <v>0</v>
      </c>
      <c r="AL84" s="55">
        <f>_xll.EQNXTDZ($A$1,$B84,AL$5,$B$1)</f>
        <v>14224</v>
      </c>
      <c r="AM84" s="55">
        <f>_xll.EQNXTDZ($A$1,$B84,AM$5,$B$1)</f>
        <v>0</v>
      </c>
      <c r="AN84" s="55">
        <f>_xll.EQNXTDZ($A$1,$B84,AN$5,$B$1)</f>
        <v>16657</v>
      </c>
      <c r="AO84" s="55">
        <f>_xll.EQNXTDZ($A$1,$B84,AO$5,$B$1)</f>
        <v>0</v>
      </c>
      <c r="AP84" s="55">
        <f>_xll.EQNXTDZ($A$1,$B84,AP$5,$B$1)</f>
        <v>20094</v>
      </c>
      <c r="AQ84" s="55">
        <f>_xll.EQNXTDZ($A$1,$B84,AQ$5,$B$1)</f>
        <v>0</v>
      </c>
      <c r="AR84" s="55">
        <f>_xll.EQNXTDZ($A$1,$B84,AR$5,$B$1)</f>
        <v>22608</v>
      </c>
      <c r="AS84" s="55">
        <f>_xll.EQNXTDZ($A$1,$B84,AS$5,$B$1)</f>
        <v>0</v>
      </c>
      <c r="AT84" s="55">
        <f>_xll.EQNXTDZ($A$1,$B84,AT$5,$B$1)</f>
        <v>26086</v>
      </c>
      <c r="AU84" s="55">
        <f>_xll.EQNXTDZ($A$1,$B84,AU$5,$B$1)</f>
        <v>0</v>
      </c>
      <c r="AV84" s="55">
        <f>_xll.EQNXTDZ($A$1,$B84,AV$5,$B$1)</f>
        <v>25262</v>
      </c>
      <c r="AW84" s="55">
        <f>_xll.EQNXTDZ($A$1,$B84,AW$5,$B$1)</f>
        <v>0</v>
      </c>
      <c r="AX84" s="55">
        <f>_xll.EQNXTDZ($A$1,$B84,AX$5,$B$1)</f>
        <v>31290</v>
      </c>
      <c r="AY84" s="55">
        <f>_xll.EQNXTDZ($A$1,$B84,AY$5,$B$1)</f>
        <v>0</v>
      </c>
      <c r="AZ84" s="55">
        <f>_xll.EQNXTDZ($A$1,$B84,AZ$5,$B$1)</f>
        <v>28032</v>
      </c>
      <c r="BA84" s="55">
        <f>_xll.EQNXTDZ($A$1,$B84,BA$5,$B$1)</f>
        <v>0</v>
      </c>
      <c r="BB84" s="55">
        <f>_xll.EQNXTDZ($A$1,$B84,BB$5,$B$1)</f>
        <v>28755</v>
      </c>
      <c r="BC84" s="55">
        <f>_xll.EQNXTDZ($A$1,$B84,BC$5,$B$1)</f>
        <v>0</v>
      </c>
      <c r="BD84" s="55">
        <f>_xll.EQNXTDZ($A$1,$B84,BD$5,$B$1)</f>
        <v>27118</v>
      </c>
      <c r="BE84" s="55">
        <f>_xll.EQNXTDZ($A$1,$B84,BE$5,$B$1)</f>
        <v>0</v>
      </c>
      <c r="BF84" s="55">
        <f>_xll.EQNXTDZ($A$1,$B84,BF$5,$B$1)</f>
        <v>32870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0</v>
      </c>
      <c r="D85" s="55">
        <f>_xll.EQNXTDZ($A$1,$B85,D$5,$B$1)</f>
        <v>0</v>
      </c>
      <c r="E85" s="55">
        <f>_xll.EQNXTDZ($A$1,$B85,E$5,$B$1)</f>
        <v>0</v>
      </c>
      <c r="F85" s="55">
        <f>_xll.EQNXTDZ($A$1,$B85,F$5,$B$1)</f>
        <v>0</v>
      </c>
      <c r="G85" s="55">
        <f>_xll.EQNXTDZ($A$1,$B85,G$5,$B$1)</f>
        <v>0</v>
      </c>
      <c r="H85" s="55">
        <f>_xll.EQNXTDZ($A$1,$B85,H$5,$B$1)</f>
        <v>0</v>
      </c>
      <c r="I85" s="55">
        <f>_xll.EQNXTDZ($A$1,$B85,I$5,$B$1)</f>
        <v>0</v>
      </c>
      <c r="J85" s="55">
        <f>_xll.EQNXTDZ($A$1,$B85,J$5,$B$1)</f>
        <v>0</v>
      </c>
      <c r="K85" s="55">
        <f>_xll.EQNXTDZ($A$1,$B85,K$5,$B$1)</f>
        <v>0</v>
      </c>
      <c r="L85" s="55">
        <f>_xll.EQNXTDZ($A$1,$B85,L$5,$B$1)</f>
        <v>0</v>
      </c>
      <c r="M85" s="55">
        <f>_xll.EQNXTDZ($A$1,$B85,M$5,$B$1)</f>
        <v>0</v>
      </c>
      <c r="N85" s="55">
        <f>_xll.EQNXTDZ($A$1,$B85,N$5,$B$1)</f>
        <v>0</v>
      </c>
      <c r="O85" s="55">
        <f>_xll.EQNXTDZ($A$1,$B85,O$5,$B$1)</f>
        <v>0</v>
      </c>
      <c r="P85" s="55">
        <f>_xll.EQNXTDZ($A$1,$B85,P$5,$B$1)</f>
        <v>0</v>
      </c>
      <c r="Q85" s="55">
        <f>_xll.EQNXTDZ($A$1,$B85,Q$5,$B$1)</f>
        <v>0</v>
      </c>
      <c r="R85" s="55">
        <f>_xll.EQNXTDZ($A$1,$B85,R$5,$B$1)</f>
        <v>303</v>
      </c>
      <c r="S85" s="55">
        <f>_xll.EQNXTDZ($A$1,$B85,S$5,$B$1)</f>
        <v>0</v>
      </c>
      <c r="T85" s="55">
        <f>_xll.EQNXTDZ($A$1,$B85,T$5,$B$1)</f>
        <v>264</v>
      </c>
      <c r="U85" s="55">
        <f>_xll.EQNXTDZ($A$1,$B85,U$5,$B$1)</f>
        <v>0</v>
      </c>
      <c r="V85" s="55">
        <f>_xll.EQNXTDZ($A$1,$B85,V$5,$B$1)</f>
        <v>272</v>
      </c>
      <c r="W85" s="55">
        <f>_xll.EQNXTDZ($A$1,$B85,W$5,$B$1)</f>
        <v>0</v>
      </c>
      <c r="X85" s="55">
        <f>_xll.EQNXTDZ($A$1,$B85,X$5,$B$1)</f>
        <v>245</v>
      </c>
      <c r="Y85" s="55">
        <f>_xll.EQNXTDZ($A$1,$B85,Y$5,$B$1)</f>
        <v>0</v>
      </c>
      <c r="Z85" s="55">
        <f>_xll.EQNXTDZ($A$1,$B85,Z$5,$B$1)</f>
        <v>239</v>
      </c>
      <c r="AA85" s="55">
        <f>_xll.EQNXTDZ($A$1,$B85,AA$5,$B$1)</f>
        <v>0</v>
      </c>
      <c r="AB85" s="55">
        <f>_xll.EQNXTDZ($A$1,$B85,AB$5,$B$1)</f>
        <v>232</v>
      </c>
      <c r="AC85" s="55">
        <f>_xll.EQNXTDZ($A$1,$B85,AC$5,$B$1)</f>
        <v>0</v>
      </c>
      <c r="AD85" s="55">
        <f>_xll.EQNXTDZ($A$1,$B85,AD$5,$B$1)</f>
        <v>241</v>
      </c>
      <c r="AE85" s="55">
        <f>_xll.EQNXTDZ($A$1,$B85,AE$5,$B$1)</f>
        <v>0</v>
      </c>
      <c r="AF85" s="55">
        <f>_xll.EQNXTDZ($A$1,$B85,AF$5,$B$1)</f>
        <v>240</v>
      </c>
      <c r="AG85" s="55">
        <f>_xll.EQNXTDZ($A$1,$B85,AG$5,$B$1)</f>
        <v>0</v>
      </c>
      <c r="AH85" s="55">
        <f>_xll.EQNXTDZ($A$1,$B85,AH$5,$B$1)</f>
        <v>239</v>
      </c>
      <c r="AI85" s="55">
        <f>_xll.EQNXTDZ($A$1,$B85,AI$5,$B$1)</f>
        <v>0</v>
      </c>
      <c r="AJ85" s="55">
        <f>_xll.EQNXTDZ($A$1,$B85,AJ$5,$B$1)</f>
        <v>130</v>
      </c>
      <c r="AK85" s="55">
        <f>_xll.EQNXTDZ($A$1,$B85,AK$5,$B$1)</f>
        <v>0</v>
      </c>
      <c r="AL85" s="55">
        <f>_xll.EQNXTDZ($A$1,$B85,AL$5,$B$1)</f>
        <v>159</v>
      </c>
      <c r="AM85" s="55">
        <f>_xll.EQNXTDZ($A$1,$B85,AM$5,$B$1)</f>
        <v>0</v>
      </c>
      <c r="AN85" s="55">
        <f>_xll.EQNXTDZ($A$1,$B85,AN$5,$B$1)</f>
        <v>191</v>
      </c>
      <c r="AO85" s="55">
        <f>_xll.EQNXTDZ($A$1,$B85,AO$5,$B$1)</f>
        <v>0</v>
      </c>
      <c r="AP85" s="55">
        <f>_xll.EQNXTDZ($A$1,$B85,AP$5,$B$1)</f>
        <v>248</v>
      </c>
      <c r="AQ85" s="55">
        <f>_xll.EQNXTDZ($A$1,$B85,AQ$5,$B$1)</f>
        <v>0</v>
      </c>
      <c r="AR85" s="55">
        <f>_xll.EQNXTDZ($A$1,$B85,AR$5,$B$1)</f>
        <v>279</v>
      </c>
      <c r="AS85" s="55">
        <f>_xll.EQNXTDZ($A$1,$B85,AS$5,$B$1)</f>
        <v>0</v>
      </c>
      <c r="AT85" s="55">
        <f>_xll.EQNXTDZ($A$1,$B85,AT$5,$B$1)</f>
        <v>289</v>
      </c>
      <c r="AU85" s="55">
        <f>_xll.EQNXTDZ($A$1,$B85,AU$5,$B$1)</f>
        <v>0</v>
      </c>
      <c r="AV85" s="55">
        <f>_xll.EQNXTDZ($A$1,$B85,AV$5,$B$1)</f>
        <v>252</v>
      </c>
      <c r="AW85" s="55">
        <f>_xll.EQNXTDZ($A$1,$B85,AW$5,$B$1)</f>
        <v>0</v>
      </c>
      <c r="AX85" s="55">
        <f>_xll.EQNXTDZ($A$1,$B85,AX$5,$B$1)</f>
        <v>248</v>
      </c>
      <c r="AY85" s="55">
        <f>_xll.EQNXTDZ($A$1,$B85,AY$5,$B$1)</f>
        <v>0</v>
      </c>
      <c r="AZ85" s="55">
        <f>_xll.EQNXTDZ($A$1,$B85,AZ$5,$B$1)</f>
        <v>255</v>
      </c>
      <c r="BA85" s="55">
        <f>_xll.EQNXTDZ($A$1,$B85,BA$5,$B$1)</f>
        <v>0</v>
      </c>
      <c r="BB85" s="55">
        <f>_xll.EQNXTDZ($A$1,$B85,BB$5,$B$1)</f>
        <v>249</v>
      </c>
      <c r="BC85" s="55">
        <f>_xll.EQNXTDZ($A$1,$B85,BC$5,$B$1)</f>
        <v>0</v>
      </c>
      <c r="BD85" s="55">
        <f>_xll.EQNXTDZ($A$1,$B85,BD$5,$B$1)</f>
        <v>243</v>
      </c>
      <c r="BE85" s="55">
        <f>_xll.EQNXTDZ($A$1,$B85,BE$5,$B$1)</f>
        <v>0</v>
      </c>
      <c r="BF85" s="55">
        <f>_xll.EQNXTDZ($A$1,$B85,BF$5,$B$1)</f>
        <v>234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0</v>
      </c>
      <c r="D86" s="55">
        <f>_xll.EQNXTDZ($A$1,$B86,D$5,$B$1)</f>
        <v>33017</v>
      </c>
      <c r="E86" s="55">
        <f>_xll.EQNXTDZ($A$1,$B86,E$5,$B$1)</f>
        <v>0</v>
      </c>
      <c r="F86" s="55">
        <f>_xll.EQNXTDZ($A$1,$B86,F$5,$B$1)</f>
        <v>35313</v>
      </c>
      <c r="G86" s="55">
        <f>_xll.EQNXTDZ($A$1,$B86,G$5,$B$1)</f>
        <v>0</v>
      </c>
      <c r="H86" s="55">
        <f>_xll.EQNXTDZ($A$1,$B86,H$5,$B$1)</f>
        <v>39810</v>
      </c>
      <c r="I86" s="55">
        <f>_xll.EQNXTDZ($A$1,$B86,I$5,$B$1)</f>
        <v>0</v>
      </c>
      <c r="J86" s="55">
        <f>_xll.EQNXTDZ($A$1,$B86,J$5,$B$1)</f>
        <v>43019</v>
      </c>
      <c r="K86" s="55">
        <f>_xll.EQNXTDZ($A$1,$B86,K$5,$B$1)</f>
        <v>0</v>
      </c>
      <c r="L86" s="55">
        <f>_xll.EQNXTDZ($A$1,$B86,L$5,$B$1)</f>
        <v>47100</v>
      </c>
      <c r="M86" s="55">
        <f>_xll.EQNXTDZ($A$1,$B86,M$5,$B$1)</f>
        <v>0</v>
      </c>
      <c r="N86" s="55">
        <f>_xll.EQNXTDZ($A$1,$B86,N$5,$B$1)</f>
        <v>47196</v>
      </c>
      <c r="O86" s="55">
        <f>_xll.EQNXTDZ($A$1,$B86,O$5,$B$1)</f>
        <v>0</v>
      </c>
      <c r="P86" s="55">
        <f>_xll.EQNXTDZ($A$1,$B86,P$5,$B$1)</f>
        <v>49079</v>
      </c>
      <c r="Q86" s="55">
        <f>_xll.EQNXTDZ($A$1,$B86,Q$5,$B$1)</f>
        <v>0</v>
      </c>
      <c r="R86" s="55">
        <f>_xll.EQNXTDZ($A$1,$B86,R$5,$B$1)</f>
        <v>51753</v>
      </c>
      <c r="S86" s="55">
        <f>_xll.EQNXTDZ($A$1,$B86,S$5,$B$1)</f>
        <v>0</v>
      </c>
      <c r="T86" s="55">
        <f>_xll.EQNXTDZ($A$1,$B86,T$5,$B$1)</f>
        <v>54609</v>
      </c>
      <c r="U86" s="55">
        <f>_xll.EQNXTDZ($A$1,$B86,U$5,$B$1)</f>
        <v>0</v>
      </c>
      <c r="V86" s="55">
        <f>_xll.EQNXTDZ($A$1,$B86,V$5,$B$1)</f>
        <v>53705</v>
      </c>
      <c r="W86" s="55">
        <f>_xll.EQNXTDZ($A$1,$B86,W$5,$B$1)</f>
        <v>55274</v>
      </c>
      <c r="X86" s="55">
        <f>_xll.EQNXTDZ($A$1,$B86,X$5,$B$1)</f>
        <v>58235</v>
      </c>
      <c r="Y86" s="55">
        <f>_xll.EQNXTDZ($A$1,$B86,Y$5,$B$1)</f>
        <v>0</v>
      </c>
      <c r="Z86" s="55">
        <f>_xll.EQNXTDZ($A$1,$B86,Z$5,$B$1)</f>
        <v>50017</v>
      </c>
      <c r="AA86" s="55">
        <f>_xll.EQNXTDZ($A$1,$B86,AA$5,$B$1)</f>
        <v>0</v>
      </c>
      <c r="AB86" s="55">
        <f>_xll.EQNXTDZ($A$1,$B86,AB$5,$B$1)</f>
        <v>52173</v>
      </c>
      <c r="AC86" s="55">
        <f>_xll.EQNXTDZ($A$1,$B86,AC$5,$B$1)</f>
        <v>0</v>
      </c>
      <c r="AD86" s="55">
        <f>_xll.EQNXTDZ($A$1,$B86,AD$5,$B$1)</f>
        <v>52878</v>
      </c>
      <c r="AE86" s="55">
        <f>_xll.EQNXTDZ($A$1,$B86,AE$5,$B$1)</f>
        <v>0</v>
      </c>
      <c r="AF86" s="55">
        <f>_xll.EQNXTDZ($A$1,$B86,AF$5,$B$1)</f>
        <v>48849</v>
      </c>
      <c r="AG86" s="55">
        <f>_xll.EQNXTDZ($A$1,$B86,AG$5,$B$1)</f>
        <v>0</v>
      </c>
      <c r="AH86" s="55">
        <f>_xll.EQNXTDZ($A$1,$B86,AH$5,$B$1)</f>
        <v>54576</v>
      </c>
      <c r="AI86" s="55">
        <f>_xll.EQNXTDZ($A$1,$B86,AI$5,$B$1)</f>
        <v>0</v>
      </c>
      <c r="AJ86" s="55">
        <f>_xll.EQNXTDZ($A$1,$B86,AJ$5,$B$1)</f>
        <v>57325</v>
      </c>
      <c r="AK86" s="55">
        <f>_xll.EQNXTDZ($A$1,$B86,AK$5,$B$1)</f>
        <v>0</v>
      </c>
      <c r="AL86" s="55">
        <f>_xll.EQNXTDZ($A$1,$B86,AL$5,$B$1)</f>
        <v>60733</v>
      </c>
      <c r="AM86" s="55">
        <f>_xll.EQNXTDZ($A$1,$B86,AM$5,$B$1)</f>
        <v>0</v>
      </c>
      <c r="AN86" s="55">
        <f>_xll.EQNXTDZ($A$1,$B86,AN$5,$B$1)</f>
        <v>60008</v>
      </c>
      <c r="AO86" s="55">
        <f>_xll.EQNXTDZ($A$1,$B86,AO$5,$B$1)</f>
        <v>0</v>
      </c>
      <c r="AP86" s="55">
        <f>_xll.EQNXTDZ($A$1,$B86,AP$5,$B$1)</f>
        <v>67185</v>
      </c>
      <c r="AQ86" s="55">
        <f>_xll.EQNXTDZ($A$1,$B86,AQ$5,$B$1)</f>
        <v>0</v>
      </c>
      <c r="AR86" s="55">
        <f>_xll.EQNXTDZ($A$1,$B86,AR$5,$B$1)</f>
        <v>74931</v>
      </c>
      <c r="AS86" s="55">
        <f>_xll.EQNXTDZ($A$1,$B86,AS$5,$B$1)</f>
        <v>0</v>
      </c>
      <c r="AT86" s="55">
        <f>_xll.EQNXTDZ($A$1,$B86,AT$5,$B$1)</f>
        <v>70881</v>
      </c>
      <c r="AU86" s="55">
        <f>_xll.EQNXTDZ($A$1,$B86,AU$5,$B$1)</f>
        <v>0</v>
      </c>
      <c r="AV86" s="55">
        <f>_xll.EQNXTDZ($A$1,$B86,AV$5,$B$1)</f>
        <v>77067</v>
      </c>
      <c r="AW86" s="55">
        <f>_xll.EQNXTDZ($A$1,$B86,AW$5,$B$1)</f>
        <v>0</v>
      </c>
      <c r="AX86" s="55">
        <f>_xll.EQNXTDZ($A$1,$B86,AX$5,$B$1)</f>
        <v>89432</v>
      </c>
      <c r="AY86" s="55">
        <f>_xll.EQNXTDZ($A$1,$B86,AY$5,$B$1)</f>
        <v>0</v>
      </c>
      <c r="AZ86" s="55">
        <f>_xll.EQNXTDZ($A$1,$B86,AZ$5,$B$1)</f>
        <v>89531</v>
      </c>
      <c r="BA86" s="55">
        <f>_xll.EQNXTDZ($A$1,$B86,BA$5,$B$1)</f>
        <v>0</v>
      </c>
      <c r="BB86" s="55">
        <f>_xll.EQNXTDZ($A$1,$B86,BB$5,$B$1)</f>
        <v>97099</v>
      </c>
      <c r="BC86" s="55">
        <f>_xll.EQNXTDZ($A$1,$B86,BC$5,$B$1)</f>
        <v>0</v>
      </c>
      <c r="BD86" s="55">
        <f>_xll.EQNXTDZ($A$1,$B86,BD$5,$B$1)</f>
        <v>105767</v>
      </c>
      <c r="BE86" s="55">
        <f>_xll.EQNXTDZ($A$1,$B86,BE$5,$B$1)</f>
        <v>0</v>
      </c>
      <c r="BF86" s="55">
        <f>_xll.EQNXTDZ($A$1,$B86,BF$5,$B$1)</f>
        <v>103489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0</v>
      </c>
      <c r="D87" s="55">
        <f>_xll.EQNXTDZ($A$1,$B87,D$5,$B$1)</f>
        <v>5297</v>
      </c>
      <c r="E87" s="55">
        <f>_xll.EQNXTDZ($A$1,$B87,E$5,$B$1)</f>
        <v>0</v>
      </c>
      <c r="F87" s="55">
        <f>_xll.EQNXTDZ($A$1,$B87,F$5,$B$1)</f>
        <v>0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0</v>
      </c>
      <c r="E88" s="55">
        <f>_xll.EQNXTDZ($A$1,$B88,E$5,$B$1)</f>
        <v>0</v>
      </c>
      <c r="F88" s="55">
        <f>_xll.EQNXTDZ($A$1,$B88,F$5,$B$1)</f>
        <v>0</v>
      </c>
      <c r="G88" s="55">
        <f>_xll.EQNXTDZ($A$1,$B88,G$5,$B$1)</f>
        <v>0</v>
      </c>
      <c r="H88" s="55">
        <f>_xll.EQNXTDZ($A$1,$B88,H$5,$B$1)</f>
        <v>0</v>
      </c>
      <c r="I88" s="55">
        <f>_xll.EQNXTDZ($A$1,$B88,I$5,$B$1)</f>
        <v>0</v>
      </c>
      <c r="J88" s="55">
        <f>_xll.EQNXTDZ($A$1,$B88,J$5,$B$1)</f>
        <v>0</v>
      </c>
      <c r="K88" s="55">
        <f>_xll.EQNXTDZ($A$1,$B88,K$5,$B$1)</f>
        <v>0</v>
      </c>
      <c r="L88" s="55">
        <f>_xll.EQNXTDZ($A$1,$B88,L$5,$B$1)</f>
        <v>0</v>
      </c>
      <c r="M88" s="55">
        <f>_xll.EQNXTDZ($A$1,$B88,M$5,$B$1)</f>
        <v>0</v>
      </c>
      <c r="N88" s="55">
        <f>_xll.EQNXTDZ($A$1,$B88,N$5,$B$1)</f>
        <v>0</v>
      </c>
      <c r="O88" s="55">
        <f>_xll.EQNXTDZ($A$1,$B88,O$5,$B$1)</f>
        <v>0</v>
      </c>
      <c r="P88" s="55">
        <f>_xll.EQNXTDZ($A$1,$B88,P$5,$B$1)</f>
        <v>0</v>
      </c>
      <c r="Q88" s="55">
        <f>_xll.EQNXTDZ($A$1,$B88,Q$5,$B$1)</f>
        <v>0</v>
      </c>
      <c r="R88" s="55">
        <f>_xll.EQNXTDZ($A$1,$B88,R$5,$B$1)</f>
        <v>0</v>
      </c>
      <c r="S88" s="55">
        <f>_xll.EQNXTDZ($A$1,$B88,S$5,$B$1)</f>
        <v>0</v>
      </c>
      <c r="T88" s="55">
        <f>_xll.EQNXTDZ($A$1,$B88,T$5,$B$1)</f>
        <v>0</v>
      </c>
      <c r="U88" s="55">
        <f>_xll.EQNXTDZ($A$1,$B88,U$5,$B$1)</f>
        <v>0</v>
      </c>
      <c r="V88" s="55">
        <f>_xll.EQNXTDZ($A$1,$B88,V$5,$B$1)</f>
        <v>0</v>
      </c>
      <c r="W88" s="55">
        <f>_xll.EQNXTDZ($A$1,$B88,W$5,$B$1)</f>
        <v>0</v>
      </c>
      <c r="X88" s="55">
        <f>_xll.EQNXTDZ($A$1,$B88,X$5,$B$1)</f>
        <v>0</v>
      </c>
      <c r="Y88" s="55">
        <f>_xll.EQNXTDZ($A$1,$B88,Y$5,$B$1)</f>
        <v>0</v>
      </c>
      <c r="Z88" s="55">
        <f>_xll.EQNXTDZ($A$1,$B88,Z$5,$B$1)</f>
        <v>0</v>
      </c>
      <c r="AA88" s="55">
        <f>_xll.EQNXTDZ($A$1,$B88,AA$5,$B$1)</f>
        <v>0</v>
      </c>
      <c r="AB88" s="55">
        <f>_xll.EQNXTDZ($A$1,$B88,AB$5,$B$1)</f>
        <v>0</v>
      </c>
      <c r="AC88" s="55">
        <f>_xll.EQNXTDZ($A$1,$B88,AC$5,$B$1)</f>
        <v>0</v>
      </c>
      <c r="AD88" s="55">
        <f>_xll.EQNXTDZ($A$1,$B88,AD$5,$B$1)</f>
        <v>0</v>
      </c>
      <c r="AE88" s="55">
        <f>_xll.EQNXTDZ($A$1,$B88,AE$5,$B$1)</f>
        <v>0</v>
      </c>
      <c r="AF88" s="55">
        <f>_xll.EQNXTDZ($A$1,$B88,AF$5,$B$1)</f>
        <v>0</v>
      </c>
      <c r="AG88" s="55">
        <f>_xll.EQNXTDZ($A$1,$B88,AG$5,$B$1)</f>
        <v>0</v>
      </c>
      <c r="AH88" s="55">
        <f>_xll.EQNXTDZ($A$1,$B88,AH$5,$B$1)</f>
        <v>0</v>
      </c>
      <c r="AI88" s="55">
        <f>_xll.EQNXTDZ($A$1,$B88,AI$5,$B$1)</f>
        <v>0</v>
      </c>
      <c r="AJ88" s="55">
        <f>_xll.EQNXTDZ($A$1,$B88,AJ$5,$B$1)</f>
        <v>0</v>
      </c>
      <c r="AK88" s="55">
        <f>_xll.EQNXTDZ($A$1,$B88,AK$5,$B$1)</f>
        <v>0</v>
      </c>
      <c r="AL88" s="55">
        <f>_xll.EQNXTDZ($A$1,$B88,AL$5,$B$1)</f>
        <v>0</v>
      </c>
      <c r="AM88" s="55">
        <f>_xll.EQNXTDZ($A$1,$B88,AM$5,$B$1)</f>
        <v>0</v>
      </c>
      <c r="AN88" s="55">
        <f>_xll.EQNXTDZ($A$1,$B88,AN$5,$B$1)</f>
        <v>0</v>
      </c>
      <c r="AO88" s="55">
        <f>_xll.EQNXTDZ($A$1,$B88,AO$5,$B$1)</f>
        <v>0</v>
      </c>
      <c r="AP88" s="55">
        <f>_xll.EQNXTDZ($A$1,$B88,AP$5,$B$1)</f>
        <v>0</v>
      </c>
      <c r="AQ88" s="55">
        <f>_xll.EQNXTDZ($A$1,$B88,AQ$5,$B$1)</f>
        <v>0</v>
      </c>
      <c r="AR88" s="55">
        <f>_xll.EQNXTDZ($A$1,$B88,AR$5,$B$1)</f>
        <v>0</v>
      </c>
      <c r="AS88" s="55">
        <f>_xll.EQNXTDZ($A$1,$B88,AS$5,$B$1)</f>
        <v>0</v>
      </c>
      <c r="AT88" s="55">
        <f>_xll.EQNXTDZ($A$1,$B88,AT$5,$B$1)</f>
        <v>0</v>
      </c>
      <c r="AU88" s="55">
        <f>_xll.EQNXTDZ($A$1,$B88,AU$5,$B$1)</f>
        <v>0</v>
      </c>
      <c r="AV88" s="55">
        <f>_xll.EQNXTDZ($A$1,$B88,AV$5,$B$1)</f>
        <v>0</v>
      </c>
      <c r="AW88" s="55">
        <f>_xll.EQNXTDZ($A$1,$B88,AW$5,$B$1)</f>
        <v>0</v>
      </c>
      <c r="AX88" s="55">
        <f>_xll.EQNXTDZ($A$1,$B88,AX$5,$B$1)</f>
        <v>0</v>
      </c>
      <c r="AY88" s="55">
        <f>_xll.EQNXTDZ($A$1,$B88,AY$5,$B$1)</f>
        <v>0</v>
      </c>
      <c r="AZ88" s="55">
        <f>_xll.EQNXTDZ($A$1,$B88,AZ$5,$B$1)</f>
        <v>0</v>
      </c>
      <c r="BA88" s="55">
        <f>_xll.EQNXTDZ($A$1,$B88,BA$5,$B$1)</f>
        <v>0</v>
      </c>
      <c r="BB88" s="55">
        <f>_xll.EQNXTDZ($A$1,$B88,BB$5,$B$1)</f>
        <v>0</v>
      </c>
      <c r="BC88" s="55">
        <f>_xll.EQNXTDZ($A$1,$B88,BC$5,$B$1)</f>
        <v>0</v>
      </c>
      <c r="BD88" s="55">
        <f>_xll.EQNXTDZ($A$1,$B88,BD$5,$B$1)</f>
        <v>0</v>
      </c>
      <c r="BE88" s="55">
        <f>_xll.EQNXTDZ($A$1,$B88,BE$5,$B$1)</f>
        <v>0</v>
      </c>
      <c r="BF88" s="55">
        <f>_xll.EQNXTDZ($A$1,$B88,BF$5,$B$1)</f>
        <v>0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0</v>
      </c>
      <c r="E89" s="55">
        <f>_xll.EQNXTDZ($A$1,$B89,E$5,$B$1)</f>
        <v>0</v>
      </c>
      <c r="F89" s="55">
        <f>_xll.EQNXTDZ($A$1,$B89,F$5,$B$1)</f>
        <v>189</v>
      </c>
      <c r="G89" s="55">
        <f>_xll.EQNXTDZ($A$1,$B89,G$5,$B$1)</f>
        <v>0</v>
      </c>
      <c r="H89" s="55">
        <f>_xll.EQNXTDZ($A$1,$B89,H$5,$B$1)</f>
        <v>100</v>
      </c>
      <c r="I89" s="55">
        <f>_xll.EQNXTDZ($A$1,$B89,I$5,$B$1)</f>
        <v>0</v>
      </c>
      <c r="J89" s="55">
        <f>_xll.EQNXTDZ($A$1,$B89,J$5,$B$1)</f>
        <v>173</v>
      </c>
      <c r="K89" s="55">
        <f>_xll.EQNXTDZ($A$1,$B89,K$5,$B$1)</f>
        <v>0</v>
      </c>
      <c r="L89" s="55">
        <f>_xll.EQNXTDZ($A$1,$B89,L$5,$B$1)</f>
        <v>135</v>
      </c>
      <c r="M89" s="55">
        <f>_xll.EQNXTDZ($A$1,$B89,M$5,$B$1)</f>
        <v>0</v>
      </c>
      <c r="N89" s="55">
        <f>_xll.EQNXTDZ($A$1,$B89,N$5,$B$1)</f>
        <v>140</v>
      </c>
      <c r="O89" s="55">
        <f>_xll.EQNXTDZ($A$1,$B89,O$5,$B$1)</f>
        <v>0</v>
      </c>
      <c r="P89" s="55">
        <f>_xll.EQNXTDZ($A$1,$B89,P$5,$B$1)</f>
        <v>110</v>
      </c>
      <c r="Q89" s="55">
        <f>_xll.EQNXTDZ($A$1,$B89,Q$5,$B$1)</f>
        <v>0</v>
      </c>
      <c r="R89" s="55">
        <f>_xll.EQNXTDZ($A$1,$B89,R$5,$B$1)</f>
        <v>386</v>
      </c>
      <c r="S89" s="55">
        <f>_xll.EQNXTDZ($A$1,$B89,S$5,$B$1)</f>
        <v>0</v>
      </c>
      <c r="T89" s="55">
        <f>_xll.EQNXTDZ($A$1,$B89,T$5,$B$1)</f>
        <v>307</v>
      </c>
      <c r="U89" s="55">
        <f>_xll.EQNXTDZ($A$1,$B89,U$5,$B$1)</f>
        <v>0</v>
      </c>
      <c r="V89" s="55">
        <f>_xll.EQNXTDZ($A$1,$B89,V$5,$B$1)</f>
        <v>367</v>
      </c>
      <c r="W89" s="55">
        <f>_xll.EQNXTDZ($A$1,$B89,W$5,$B$1)</f>
        <v>260</v>
      </c>
      <c r="X89" s="55">
        <f>_xll.EQNXTDZ($A$1,$B89,X$5,$B$1)</f>
        <v>538</v>
      </c>
      <c r="Y89" s="55">
        <f>_xll.EQNXTDZ($A$1,$B89,Y$5,$B$1)</f>
        <v>0</v>
      </c>
      <c r="Z89" s="55">
        <f>_xll.EQNXTDZ($A$1,$B89,Z$5,$B$1)</f>
        <v>694</v>
      </c>
      <c r="AA89" s="55">
        <f>_xll.EQNXTDZ($A$1,$B89,AA$5,$B$1)</f>
        <v>0</v>
      </c>
      <c r="AB89" s="55">
        <f>_xll.EQNXTDZ($A$1,$B89,AB$5,$B$1)</f>
        <v>1193</v>
      </c>
      <c r="AC89" s="55">
        <f>_xll.EQNXTDZ($A$1,$B89,AC$5,$B$1)</f>
        <v>0</v>
      </c>
      <c r="AD89" s="55">
        <f>_xll.EQNXTDZ($A$1,$B89,AD$5,$B$1)</f>
        <v>1655</v>
      </c>
      <c r="AE89" s="55">
        <f>_xll.EQNXTDZ($A$1,$B89,AE$5,$B$1)</f>
        <v>0</v>
      </c>
      <c r="AF89" s="55">
        <f>_xll.EQNXTDZ($A$1,$B89,AF$5,$B$1)</f>
        <v>2134</v>
      </c>
      <c r="AG89" s="55">
        <f>_xll.EQNXTDZ($A$1,$B89,AG$5,$B$1)</f>
        <v>0</v>
      </c>
      <c r="AH89" s="55">
        <f>_xll.EQNXTDZ($A$1,$B89,AH$5,$B$1)</f>
        <v>2852</v>
      </c>
      <c r="AI89" s="55">
        <f>_xll.EQNXTDZ($A$1,$B89,AI$5,$B$1)</f>
        <v>0</v>
      </c>
      <c r="AJ89" s="55">
        <f>_xll.EQNXTDZ($A$1,$B89,AJ$5,$B$1)</f>
        <v>2375</v>
      </c>
      <c r="AK89" s="55">
        <f>_xll.EQNXTDZ($A$1,$B89,AK$5,$B$1)</f>
        <v>0</v>
      </c>
      <c r="AL89" s="55">
        <f>_xll.EQNXTDZ($A$1,$B89,AL$5,$B$1)</f>
        <v>2645</v>
      </c>
      <c r="AM89" s="55">
        <f>_xll.EQNXTDZ($A$1,$B89,AM$5,$B$1)</f>
        <v>0</v>
      </c>
      <c r="AN89" s="55">
        <f>_xll.EQNXTDZ($A$1,$B89,AN$5,$B$1)</f>
        <v>3176</v>
      </c>
      <c r="AO89" s="55">
        <f>_xll.EQNXTDZ($A$1,$B89,AO$5,$B$1)</f>
        <v>0</v>
      </c>
      <c r="AP89" s="55">
        <f>_xll.EQNXTDZ($A$1,$B89,AP$5,$B$1)</f>
        <v>4134</v>
      </c>
      <c r="AQ89" s="55">
        <f>_xll.EQNXTDZ($A$1,$B89,AQ$5,$B$1)</f>
        <v>0</v>
      </c>
      <c r="AR89" s="55">
        <f>_xll.EQNXTDZ($A$1,$B89,AR$5,$B$1)</f>
        <v>4162</v>
      </c>
      <c r="AS89" s="55">
        <f>_xll.EQNXTDZ($A$1,$B89,AS$5,$B$1)</f>
        <v>0</v>
      </c>
      <c r="AT89" s="55">
        <f>_xll.EQNXTDZ($A$1,$B89,AT$5,$B$1)</f>
        <v>3865</v>
      </c>
      <c r="AU89" s="55">
        <f>_xll.EQNXTDZ($A$1,$B89,AU$5,$B$1)</f>
        <v>0</v>
      </c>
      <c r="AV89" s="55">
        <f>_xll.EQNXTDZ($A$1,$B89,AV$5,$B$1)</f>
        <v>3203</v>
      </c>
      <c r="AW89" s="55">
        <f>_xll.EQNXTDZ($A$1,$B89,AW$5,$B$1)</f>
        <v>0</v>
      </c>
      <c r="AX89" s="55">
        <f>_xll.EQNXTDZ($A$1,$B89,AX$5,$B$1)</f>
        <v>3956</v>
      </c>
      <c r="AY89" s="55">
        <f>_xll.EQNXTDZ($A$1,$B89,AY$5,$B$1)</f>
        <v>0</v>
      </c>
      <c r="AZ89" s="55">
        <f>_xll.EQNXTDZ($A$1,$B89,AZ$5,$B$1)</f>
        <v>3841</v>
      </c>
      <c r="BA89" s="55">
        <f>_xll.EQNXTDZ($A$1,$B89,BA$5,$B$1)</f>
        <v>0</v>
      </c>
      <c r="BB89" s="55">
        <f>_xll.EQNXTDZ($A$1,$B89,BB$5,$B$1)</f>
        <v>4164</v>
      </c>
      <c r="BC89" s="55">
        <f>_xll.EQNXTDZ($A$1,$B89,BC$5,$B$1)</f>
        <v>0</v>
      </c>
      <c r="BD89" s="55">
        <f>_xll.EQNXTDZ($A$1,$B89,BD$5,$B$1)</f>
        <v>3839</v>
      </c>
      <c r="BE89" s="55">
        <f>_xll.EQNXTDZ($A$1,$B89,BE$5,$B$1)</f>
        <v>0</v>
      </c>
      <c r="BF89" s="55">
        <f>_xll.EQNXTDZ($A$1,$B89,BF$5,$B$1)</f>
        <v>4744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0</v>
      </c>
      <c r="E91" s="55">
        <f>_xll.EQNXTDZ($A$1,$B91,E$5,$B$1)</f>
        <v>0</v>
      </c>
      <c r="F91" s="55">
        <f>_xll.EQNXTDZ($A$1,$B91,F$5,$B$1)</f>
        <v>5884</v>
      </c>
      <c r="G91" s="55">
        <f>_xll.EQNXTDZ($A$1,$B91,G$5,$B$1)</f>
        <v>0</v>
      </c>
      <c r="H91" s="55">
        <f>_xll.EQNXTDZ($A$1,$B91,H$5,$B$1)</f>
        <v>8487</v>
      </c>
      <c r="I91" s="55">
        <f>_xll.EQNXTDZ($A$1,$B91,I$5,$B$1)</f>
        <v>0</v>
      </c>
      <c r="J91" s="55">
        <f>_xll.EQNXTDZ($A$1,$B91,J$5,$B$1)</f>
        <v>8586</v>
      </c>
      <c r="K91" s="55">
        <f>_xll.EQNXTDZ($A$1,$B91,K$5,$B$1)</f>
        <v>0</v>
      </c>
      <c r="L91" s="55">
        <f>_xll.EQNXTDZ($A$1,$B91,L$5,$B$1)</f>
        <v>10107</v>
      </c>
      <c r="M91" s="55">
        <f>_xll.EQNXTDZ($A$1,$B91,M$5,$B$1)</f>
        <v>0</v>
      </c>
      <c r="N91" s="55">
        <f>_xll.EQNXTDZ($A$1,$B91,N$5,$B$1)</f>
        <v>10765</v>
      </c>
      <c r="O91" s="55">
        <f>_xll.EQNXTDZ($A$1,$B91,O$5,$B$1)</f>
        <v>0</v>
      </c>
      <c r="P91" s="55">
        <f>_xll.EQNXTDZ($A$1,$B91,P$5,$B$1)</f>
        <v>12612</v>
      </c>
      <c r="Q91" s="55">
        <f>_xll.EQNXTDZ($A$1,$B91,Q$5,$B$1)</f>
        <v>0</v>
      </c>
      <c r="R91" s="55">
        <f>_xll.EQNXTDZ($A$1,$B91,R$5,$B$1)</f>
        <v>12341</v>
      </c>
      <c r="S91" s="55">
        <f>_xll.EQNXTDZ($A$1,$B91,S$5,$B$1)</f>
        <v>0</v>
      </c>
      <c r="T91" s="55">
        <f>_xll.EQNXTDZ($A$1,$B91,T$5,$B$1)</f>
        <v>12967</v>
      </c>
      <c r="U91" s="55">
        <f>_xll.EQNXTDZ($A$1,$B91,U$5,$B$1)</f>
        <v>0</v>
      </c>
      <c r="V91" s="55">
        <f>_xll.EQNXTDZ($A$1,$B91,V$5,$B$1)</f>
        <v>13241</v>
      </c>
      <c r="W91" s="55">
        <f>_xll.EQNXTDZ($A$1,$B91,W$5,$B$1)</f>
        <v>15633</v>
      </c>
      <c r="X91" s="55">
        <f>_xll.EQNXTDZ($A$1,$B91,X$5,$B$1)</f>
        <v>14831</v>
      </c>
      <c r="Y91" s="55">
        <f>_xll.EQNXTDZ($A$1,$B91,Y$5,$B$1)</f>
        <v>0</v>
      </c>
      <c r="Z91" s="55">
        <f>_xll.EQNXTDZ($A$1,$B91,Z$5,$B$1)</f>
        <v>12919</v>
      </c>
      <c r="AA91" s="55">
        <f>_xll.EQNXTDZ($A$1,$B91,AA$5,$B$1)</f>
        <v>0</v>
      </c>
      <c r="AB91" s="55">
        <f>_xll.EQNXTDZ($A$1,$B91,AB$5,$B$1)</f>
        <v>13985</v>
      </c>
      <c r="AC91" s="55">
        <f>_xll.EQNXTDZ($A$1,$B91,AC$5,$B$1)</f>
        <v>0</v>
      </c>
      <c r="AD91" s="55">
        <f>_xll.EQNXTDZ($A$1,$B91,AD$5,$B$1)</f>
        <v>16407</v>
      </c>
      <c r="AE91" s="55">
        <f>_xll.EQNXTDZ($A$1,$B91,AE$5,$B$1)</f>
        <v>0</v>
      </c>
      <c r="AF91" s="55">
        <f>_xll.EQNXTDZ($A$1,$B91,AF$5,$B$1)</f>
        <v>16469</v>
      </c>
      <c r="AG91" s="55">
        <f>_xll.EQNXTDZ($A$1,$B91,AG$5,$B$1)</f>
        <v>0</v>
      </c>
      <c r="AH91" s="55">
        <f>_xll.EQNXTDZ($A$1,$B91,AH$5,$B$1)</f>
        <v>17432</v>
      </c>
      <c r="AI91" s="55">
        <f>_xll.EQNXTDZ($A$1,$B91,AI$5,$B$1)</f>
        <v>0</v>
      </c>
      <c r="AJ91" s="55">
        <f>_xll.EQNXTDZ($A$1,$B91,AJ$5,$B$1)</f>
        <v>17625</v>
      </c>
      <c r="AK91" s="55">
        <f>_xll.EQNXTDZ($A$1,$B91,AK$5,$B$1)</f>
        <v>0</v>
      </c>
      <c r="AL91" s="55">
        <f>_xll.EQNXTDZ($A$1,$B91,AL$5,$B$1)</f>
        <v>20507</v>
      </c>
      <c r="AM91" s="55">
        <f>_xll.EQNXTDZ($A$1,$B91,AM$5,$B$1)</f>
        <v>0</v>
      </c>
      <c r="AN91" s="55">
        <f>_xll.EQNXTDZ($A$1,$B91,AN$5,$B$1)</f>
        <v>23650</v>
      </c>
      <c r="AO91" s="55">
        <f>_xll.EQNXTDZ($A$1,$B91,AO$5,$B$1)</f>
        <v>0</v>
      </c>
      <c r="AP91" s="55">
        <f>_xll.EQNXTDZ($A$1,$B91,AP$5,$B$1)</f>
        <v>28494</v>
      </c>
      <c r="AQ91" s="55">
        <f>_xll.EQNXTDZ($A$1,$B91,AQ$5,$B$1)</f>
        <v>0</v>
      </c>
      <c r="AR91" s="55">
        <f>_xll.EQNXTDZ($A$1,$B91,AR$5,$B$1)</f>
        <v>32032</v>
      </c>
      <c r="AS91" s="55">
        <f>_xll.EQNXTDZ($A$1,$B91,AS$5,$B$1)</f>
        <v>0</v>
      </c>
      <c r="AT91" s="55">
        <f>_xll.EQNXTDZ($A$1,$B91,AT$5,$B$1)</f>
        <v>34014</v>
      </c>
      <c r="AU91" s="55">
        <f>_xll.EQNXTDZ($A$1,$B91,AU$5,$B$1)</f>
        <v>0</v>
      </c>
      <c r="AV91" s="55">
        <f>_xll.EQNXTDZ($A$1,$B91,AV$5,$B$1)</f>
        <v>33952</v>
      </c>
      <c r="AW91" s="55">
        <f>_xll.EQNXTDZ($A$1,$B91,AW$5,$B$1)</f>
        <v>0</v>
      </c>
      <c r="AX91" s="55">
        <f>_xll.EQNXTDZ($A$1,$B91,AX$5,$B$1)</f>
        <v>33042</v>
      </c>
      <c r="AY91" s="55">
        <f>_xll.EQNXTDZ($A$1,$B91,AY$5,$B$1)</f>
        <v>0</v>
      </c>
      <c r="AZ91" s="55">
        <f>_xll.EQNXTDZ($A$1,$B91,AZ$5,$B$1)</f>
        <v>35553</v>
      </c>
      <c r="BA91" s="55">
        <f>_xll.EQNXTDZ($A$1,$B91,BA$5,$B$1)</f>
        <v>0</v>
      </c>
      <c r="BB91" s="55">
        <f>_xll.EQNXTDZ($A$1,$B91,BB$5,$B$1)</f>
        <v>37211</v>
      </c>
      <c r="BC91" s="55">
        <f>_xll.EQNXTDZ($A$1,$B91,BC$5,$B$1)</f>
        <v>0</v>
      </c>
      <c r="BD91" s="55">
        <f>_xll.EQNXTDZ($A$1,$B91,BD$5,$B$1)</f>
        <v>40927</v>
      </c>
      <c r="BE91" s="55">
        <f>_xll.EQNXTDZ($A$1,$B91,BE$5,$B$1)</f>
        <v>0</v>
      </c>
      <c r="BF91" s="55">
        <f>_xll.EQNXTDZ($A$1,$B91,BF$5,$B$1)</f>
        <v>46066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0</v>
      </c>
      <c r="D92" s="55">
        <f>_xll.EQNXTDZ($A$1,$B92,D$5,$B$1)</f>
        <v>212</v>
      </c>
      <c r="E92" s="55">
        <f>_xll.EQNXTDZ($A$1,$B92,E$5,$B$1)</f>
        <v>0</v>
      </c>
      <c r="F92" s="55">
        <f>_xll.EQNXTDZ($A$1,$B92,F$5,$B$1)</f>
        <v>213</v>
      </c>
      <c r="G92" s="55">
        <f>_xll.EQNXTDZ($A$1,$B92,G$5,$B$1)</f>
        <v>0</v>
      </c>
      <c r="H92" s="55">
        <f>_xll.EQNXTDZ($A$1,$B92,H$5,$B$1)</f>
        <v>443</v>
      </c>
      <c r="I92" s="55">
        <f>_xll.EQNXTDZ($A$1,$B92,I$5,$B$1)</f>
        <v>0</v>
      </c>
      <c r="J92" s="55">
        <f>_xll.EQNXTDZ($A$1,$B92,J$5,$B$1)</f>
        <v>379</v>
      </c>
      <c r="K92" s="55">
        <f>_xll.EQNXTDZ($A$1,$B92,K$5,$B$1)</f>
        <v>0</v>
      </c>
      <c r="L92" s="55">
        <f>_xll.EQNXTDZ($A$1,$B92,L$5,$B$1)</f>
        <v>409</v>
      </c>
      <c r="M92" s="55">
        <f>_xll.EQNXTDZ($A$1,$B92,M$5,$B$1)</f>
        <v>0</v>
      </c>
      <c r="N92" s="55">
        <f>_xll.EQNXTDZ($A$1,$B92,N$5,$B$1)</f>
        <v>478</v>
      </c>
      <c r="O92" s="55">
        <f>_xll.EQNXTDZ($A$1,$B92,O$5,$B$1)</f>
        <v>0</v>
      </c>
      <c r="P92" s="55">
        <f>_xll.EQNXTDZ($A$1,$B92,P$5,$B$1)</f>
        <v>435</v>
      </c>
      <c r="Q92" s="55">
        <f>_xll.EQNXTDZ($A$1,$B92,Q$5,$B$1)</f>
        <v>0</v>
      </c>
      <c r="R92" s="55">
        <f>_xll.EQNXTDZ($A$1,$B92,R$5,$B$1)</f>
        <v>512</v>
      </c>
      <c r="S92" s="55">
        <f>_xll.EQNXTDZ($A$1,$B92,S$5,$B$1)</f>
        <v>0</v>
      </c>
      <c r="T92" s="55">
        <f>_xll.EQNXTDZ($A$1,$B92,T$5,$B$1)</f>
        <v>621</v>
      </c>
      <c r="U92" s="55">
        <f>_xll.EQNXTDZ($A$1,$B92,U$5,$B$1)</f>
        <v>0</v>
      </c>
      <c r="V92" s="55">
        <f>_xll.EQNXTDZ($A$1,$B92,V$5,$B$1)</f>
        <v>405</v>
      </c>
      <c r="W92" s="55">
        <f>_xll.EQNXTDZ($A$1,$B92,W$5,$B$1)</f>
        <v>404</v>
      </c>
      <c r="X92" s="55">
        <f>_xll.EQNXTDZ($A$1,$B92,X$5,$B$1)</f>
        <v>417</v>
      </c>
      <c r="Y92" s="55">
        <f>_xll.EQNXTDZ($A$1,$B92,Y$5,$B$1)</f>
        <v>0</v>
      </c>
      <c r="Z92" s="55">
        <f>_xll.EQNXTDZ($A$1,$B92,Z$5,$B$1)</f>
        <v>492</v>
      </c>
      <c r="AA92" s="55">
        <f>_xll.EQNXTDZ($A$1,$B92,AA$5,$B$1)</f>
        <v>0</v>
      </c>
      <c r="AB92" s="55">
        <f>_xll.EQNXTDZ($A$1,$B92,AB$5,$B$1)</f>
        <v>617</v>
      </c>
      <c r="AC92" s="55">
        <f>_xll.EQNXTDZ($A$1,$B92,AC$5,$B$1)</f>
        <v>0</v>
      </c>
      <c r="AD92" s="55">
        <f>_xll.EQNXTDZ($A$1,$B92,AD$5,$B$1)</f>
        <v>576</v>
      </c>
      <c r="AE92" s="55">
        <f>_xll.EQNXTDZ($A$1,$B92,AE$5,$B$1)</f>
        <v>0</v>
      </c>
      <c r="AF92" s="55">
        <f>_xll.EQNXTDZ($A$1,$B92,AF$5,$B$1)</f>
        <v>608</v>
      </c>
      <c r="AG92" s="55">
        <f>_xll.EQNXTDZ($A$1,$B92,AG$5,$B$1)</f>
        <v>0</v>
      </c>
      <c r="AH92" s="55">
        <f>_xll.EQNXTDZ($A$1,$B92,AH$5,$B$1)</f>
        <v>572</v>
      </c>
      <c r="AI92" s="55">
        <f>_xll.EQNXTDZ($A$1,$B92,AI$5,$B$1)</f>
        <v>0</v>
      </c>
      <c r="AJ92" s="55">
        <f>_xll.EQNXTDZ($A$1,$B92,AJ$5,$B$1)</f>
        <v>686</v>
      </c>
      <c r="AK92" s="55">
        <f>_xll.EQNXTDZ($A$1,$B92,AK$5,$B$1)</f>
        <v>0</v>
      </c>
      <c r="AL92" s="55">
        <f>_xll.EQNXTDZ($A$1,$B92,AL$5,$B$1)</f>
        <v>713</v>
      </c>
      <c r="AM92" s="55">
        <f>_xll.EQNXTDZ($A$1,$B92,AM$5,$B$1)</f>
        <v>0</v>
      </c>
      <c r="AN92" s="55">
        <f>_xll.EQNXTDZ($A$1,$B92,AN$5,$B$1)</f>
        <v>862</v>
      </c>
      <c r="AO92" s="55">
        <f>_xll.EQNXTDZ($A$1,$B92,AO$5,$B$1)</f>
        <v>0</v>
      </c>
      <c r="AP92" s="55">
        <f>_xll.EQNXTDZ($A$1,$B92,AP$5,$B$1)</f>
        <v>975</v>
      </c>
      <c r="AQ92" s="55">
        <f>_xll.EQNXTDZ($A$1,$B92,AQ$5,$B$1)</f>
        <v>0</v>
      </c>
      <c r="AR92" s="55">
        <f>_xll.EQNXTDZ($A$1,$B92,AR$5,$B$1)</f>
        <v>1141</v>
      </c>
      <c r="AS92" s="55">
        <f>_xll.EQNXTDZ($A$1,$B92,AS$5,$B$1)</f>
        <v>0</v>
      </c>
      <c r="AT92" s="55">
        <f>_xll.EQNXTDZ($A$1,$B92,AT$5,$B$1)</f>
        <v>1307</v>
      </c>
      <c r="AU92" s="55">
        <f>_xll.EQNXTDZ($A$1,$B92,AU$5,$B$1)</f>
        <v>0</v>
      </c>
      <c r="AV92" s="55">
        <f>_xll.EQNXTDZ($A$1,$B92,AV$5,$B$1)</f>
        <v>1702</v>
      </c>
      <c r="AW92" s="55">
        <f>_xll.EQNXTDZ($A$1,$B92,AW$5,$B$1)</f>
        <v>0</v>
      </c>
      <c r="AX92" s="55">
        <f>_xll.EQNXTDZ($A$1,$B92,AX$5,$B$1)</f>
        <v>1796</v>
      </c>
      <c r="AY92" s="55">
        <f>_xll.EQNXTDZ($A$1,$B92,AY$5,$B$1)</f>
        <v>0</v>
      </c>
      <c r="AZ92" s="55">
        <f>_xll.EQNXTDZ($A$1,$B92,AZ$5,$B$1)</f>
        <v>1436</v>
      </c>
      <c r="BA92" s="55">
        <f>_xll.EQNXTDZ($A$1,$B92,BA$5,$B$1)</f>
        <v>0</v>
      </c>
      <c r="BB92" s="55">
        <f>_xll.EQNXTDZ($A$1,$B92,BB$5,$B$1)</f>
        <v>1475</v>
      </c>
      <c r="BC92" s="55">
        <f>_xll.EQNXTDZ($A$1,$B92,BC$5,$B$1)</f>
        <v>0</v>
      </c>
      <c r="BD92" s="55">
        <f>_xll.EQNXTDZ($A$1,$B92,BD$5,$B$1)</f>
        <v>1632</v>
      </c>
      <c r="BE92" s="55">
        <f>_xll.EQNXTDZ($A$1,$B92,BE$5,$B$1)</f>
        <v>0</v>
      </c>
      <c r="BF92" s="55">
        <f>_xll.EQNXTDZ($A$1,$B92,BF$5,$B$1)</f>
        <v>1512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0</v>
      </c>
      <c r="D93" s="55">
        <f>_xll.EQNXTDZ($A$1,$B93,D$5,$B$1)</f>
        <v>5509</v>
      </c>
      <c r="E93" s="55">
        <f>_xll.EQNXTDZ($A$1,$B93,E$5,$B$1)</f>
        <v>0</v>
      </c>
      <c r="F93" s="55">
        <f>_xll.EQNXTDZ($A$1,$B93,F$5,$B$1)</f>
        <v>6286</v>
      </c>
      <c r="G93" s="55">
        <f>_xll.EQNXTDZ($A$1,$B93,G$5,$B$1)</f>
        <v>0</v>
      </c>
      <c r="H93" s="55">
        <f>_xll.EQNXTDZ($A$1,$B93,H$5,$B$1)</f>
        <v>9030</v>
      </c>
      <c r="I93" s="55">
        <f>_xll.EQNXTDZ($A$1,$B93,I$5,$B$1)</f>
        <v>0</v>
      </c>
      <c r="J93" s="55">
        <f>_xll.EQNXTDZ($A$1,$B93,J$5,$B$1)</f>
        <v>9138</v>
      </c>
      <c r="K93" s="55">
        <f>_xll.EQNXTDZ($A$1,$B93,K$5,$B$1)</f>
        <v>0</v>
      </c>
      <c r="L93" s="55">
        <f>_xll.EQNXTDZ($A$1,$B93,L$5,$B$1)</f>
        <v>10651</v>
      </c>
      <c r="M93" s="55">
        <f>_xll.EQNXTDZ($A$1,$B93,M$5,$B$1)</f>
        <v>0</v>
      </c>
      <c r="N93" s="55">
        <f>_xll.EQNXTDZ($A$1,$B93,N$5,$B$1)</f>
        <v>11383</v>
      </c>
      <c r="O93" s="55">
        <f>_xll.EQNXTDZ($A$1,$B93,O$5,$B$1)</f>
        <v>0</v>
      </c>
      <c r="P93" s="55">
        <f>_xll.EQNXTDZ($A$1,$B93,P$5,$B$1)</f>
        <v>13157</v>
      </c>
      <c r="Q93" s="55">
        <f>_xll.EQNXTDZ($A$1,$B93,Q$5,$B$1)</f>
        <v>0</v>
      </c>
      <c r="R93" s="55">
        <f>_xll.EQNXTDZ($A$1,$B93,R$5,$B$1)</f>
        <v>13239</v>
      </c>
      <c r="S93" s="55">
        <f>_xll.EQNXTDZ($A$1,$B93,S$5,$B$1)</f>
        <v>0</v>
      </c>
      <c r="T93" s="55">
        <f>_xll.EQNXTDZ($A$1,$B93,T$5,$B$1)</f>
        <v>13895</v>
      </c>
      <c r="U93" s="55">
        <f>_xll.EQNXTDZ($A$1,$B93,U$5,$B$1)</f>
        <v>0</v>
      </c>
      <c r="V93" s="55">
        <f>_xll.EQNXTDZ($A$1,$B93,V$5,$B$1)</f>
        <v>14013</v>
      </c>
      <c r="W93" s="55">
        <f>_xll.EQNXTDZ($A$1,$B93,W$5,$B$1)</f>
        <v>16297</v>
      </c>
      <c r="X93" s="55">
        <f>_xll.EQNXTDZ($A$1,$B93,X$5,$B$1)</f>
        <v>15786</v>
      </c>
      <c r="Y93" s="55">
        <f>_xll.EQNXTDZ($A$1,$B93,Y$5,$B$1)</f>
        <v>0</v>
      </c>
      <c r="Z93" s="55">
        <f>_xll.EQNXTDZ($A$1,$B93,Z$5,$B$1)</f>
        <v>14105</v>
      </c>
      <c r="AA93" s="55">
        <f>_xll.EQNXTDZ($A$1,$B93,AA$5,$B$1)</f>
        <v>0</v>
      </c>
      <c r="AB93" s="55">
        <f>_xll.EQNXTDZ($A$1,$B93,AB$5,$B$1)</f>
        <v>15795</v>
      </c>
      <c r="AC93" s="55">
        <f>_xll.EQNXTDZ($A$1,$B93,AC$5,$B$1)</f>
        <v>0</v>
      </c>
      <c r="AD93" s="55">
        <f>_xll.EQNXTDZ($A$1,$B93,AD$5,$B$1)</f>
        <v>18638</v>
      </c>
      <c r="AE93" s="55">
        <f>_xll.EQNXTDZ($A$1,$B93,AE$5,$B$1)</f>
        <v>0</v>
      </c>
      <c r="AF93" s="55">
        <f>_xll.EQNXTDZ($A$1,$B93,AF$5,$B$1)</f>
        <v>19211</v>
      </c>
      <c r="AG93" s="55">
        <f>_xll.EQNXTDZ($A$1,$B93,AG$5,$B$1)</f>
        <v>0</v>
      </c>
      <c r="AH93" s="55">
        <f>_xll.EQNXTDZ($A$1,$B93,AH$5,$B$1)</f>
        <v>20856</v>
      </c>
      <c r="AI93" s="55">
        <f>_xll.EQNXTDZ($A$1,$B93,AI$5,$B$1)</f>
        <v>0</v>
      </c>
      <c r="AJ93" s="55">
        <f>_xll.EQNXTDZ($A$1,$B93,AJ$5,$B$1)</f>
        <v>20686</v>
      </c>
      <c r="AK93" s="55">
        <f>_xll.EQNXTDZ($A$1,$B93,AK$5,$B$1)</f>
        <v>0</v>
      </c>
      <c r="AL93" s="55">
        <f>_xll.EQNXTDZ($A$1,$B93,AL$5,$B$1)</f>
        <v>23865</v>
      </c>
      <c r="AM93" s="55">
        <f>_xll.EQNXTDZ($A$1,$B93,AM$5,$B$1)</f>
        <v>0</v>
      </c>
      <c r="AN93" s="55">
        <f>_xll.EQNXTDZ($A$1,$B93,AN$5,$B$1)</f>
        <v>27688</v>
      </c>
      <c r="AO93" s="55">
        <f>_xll.EQNXTDZ($A$1,$B93,AO$5,$B$1)</f>
        <v>0</v>
      </c>
      <c r="AP93" s="55">
        <f>_xll.EQNXTDZ($A$1,$B93,AP$5,$B$1)</f>
        <v>33603</v>
      </c>
      <c r="AQ93" s="55">
        <f>_xll.EQNXTDZ($A$1,$B93,AQ$5,$B$1)</f>
        <v>0</v>
      </c>
      <c r="AR93" s="55">
        <f>_xll.EQNXTDZ($A$1,$B93,AR$5,$B$1)</f>
        <v>37335</v>
      </c>
      <c r="AS93" s="55">
        <f>_xll.EQNXTDZ($A$1,$B93,AS$5,$B$1)</f>
        <v>0</v>
      </c>
      <c r="AT93" s="55">
        <f>_xll.EQNXTDZ($A$1,$B93,AT$5,$B$1)</f>
        <v>39186</v>
      </c>
      <c r="AU93" s="55">
        <f>_xll.EQNXTDZ($A$1,$B93,AU$5,$B$1)</f>
        <v>0</v>
      </c>
      <c r="AV93" s="55">
        <f>_xll.EQNXTDZ($A$1,$B93,AV$5,$B$1)</f>
        <v>38857</v>
      </c>
      <c r="AW93" s="55">
        <f>_xll.EQNXTDZ($A$1,$B93,AW$5,$B$1)</f>
        <v>0</v>
      </c>
      <c r="AX93" s="55">
        <f>_xll.EQNXTDZ($A$1,$B93,AX$5,$B$1)</f>
        <v>38794</v>
      </c>
      <c r="AY93" s="55">
        <f>_xll.EQNXTDZ($A$1,$B93,AY$5,$B$1)</f>
        <v>0</v>
      </c>
      <c r="AZ93" s="55">
        <f>_xll.EQNXTDZ($A$1,$B93,AZ$5,$B$1)</f>
        <v>40830</v>
      </c>
      <c r="BA93" s="55">
        <f>_xll.EQNXTDZ($A$1,$B93,BA$5,$B$1)</f>
        <v>0</v>
      </c>
      <c r="BB93" s="55">
        <f>_xll.EQNXTDZ($A$1,$B93,BB$5,$B$1)</f>
        <v>42850</v>
      </c>
      <c r="BC93" s="55">
        <f>_xll.EQNXTDZ($A$1,$B93,BC$5,$B$1)</f>
        <v>0</v>
      </c>
      <c r="BD93" s="55">
        <f>_xll.EQNXTDZ($A$1,$B93,BD$5,$B$1)</f>
        <v>46398</v>
      </c>
      <c r="BE93" s="55">
        <f>_xll.EQNXTDZ($A$1,$B93,BE$5,$B$1)</f>
        <v>0</v>
      </c>
      <c r="BF93" s="55">
        <f>_xll.EQNXTDZ($A$1,$B93,BF$5,$B$1)</f>
        <v>52322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0</v>
      </c>
      <c r="D94" s="55">
        <f>_xll.EQNXTDZ($A$1,$B94,D$5,$B$1)</f>
        <v>27508</v>
      </c>
      <c r="E94" s="55">
        <f>_xll.EQNXTDZ($A$1,$B94,E$5,$B$1)</f>
        <v>0</v>
      </c>
      <c r="F94" s="55">
        <f>_xll.EQNXTDZ($A$1,$B94,F$5,$B$1)</f>
        <v>29027</v>
      </c>
      <c r="G94" s="55">
        <f>_xll.EQNXTDZ($A$1,$B94,G$5,$B$1)</f>
        <v>0</v>
      </c>
      <c r="H94" s="55">
        <f>_xll.EQNXTDZ($A$1,$B94,H$5,$B$1)</f>
        <v>30780</v>
      </c>
      <c r="I94" s="55">
        <f>_xll.EQNXTDZ($A$1,$B94,I$5,$B$1)</f>
        <v>0</v>
      </c>
      <c r="J94" s="55">
        <f>_xll.EQNXTDZ($A$1,$B94,J$5,$B$1)</f>
        <v>33881</v>
      </c>
      <c r="K94" s="55">
        <f>_xll.EQNXTDZ($A$1,$B94,K$5,$B$1)</f>
        <v>0</v>
      </c>
      <c r="L94" s="55">
        <f>_xll.EQNXTDZ($A$1,$B94,L$5,$B$1)</f>
        <v>36449</v>
      </c>
      <c r="M94" s="55">
        <f>_xll.EQNXTDZ($A$1,$B94,M$5,$B$1)</f>
        <v>0</v>
      </c>
      <c r="N94" s="55">
        <f>_xll.EQNXTDZ($A$1,$B94,N$5,$B$1)</f>
        <v>35813</v>
      </c>
      <c r="O94" s="55">
        <f>_xll.EQNXTDZ($A$1,$B94,O$5,$B$1)</f>
        <v>0</v>
      </c>
      <c r="P94" s="55">
        <f>_xll.EQNXTDZ($A$1,$B94,P$5,$B$1)</f>
        <v>35922</v>
      </c>
      <c r="Q94" s="55">
        <f>_xll.EQNXTDZ($A$1,$B94,Q$5,$B$1)</f>
        <v>0</v>
      </c>
      <c r="R94" s="55">
        <f>_xll.EQNXTDZ($A$1,$B94,R$5,$B$1)</f>
        <v>38514</v>
      </c>
      <c r="S94" s="55">
        <f>_xll.EQNXTDZ($A$1,$B94,S$5,$B$1)</f>
        <v>0</v>
      </c>
      <c r="T94" s="55">
        <f>_xll.EQNXTDZ($A$1,$B94,T$5,$B$1)</f>
        <v>40714</v>
      </c>
      <c r="U94" s="55">
        <f>_xll.EQNXTDZ($A$1,$B94,U$5,$B$1)</f>
        <v>0</v>
      </c>
      <c r="V94" s="55">
        <f>_xll.EQNXTDZ($A$1,$B94,V$5,$B$1)</f>
        <v>39692</v>
      </c>
      <c r="W94" s="55">
        <f>_xll.EQNXTDZ($A$1,$B94,W$5,$B$1)</f>
        <v>38977</v>
      </c>
      <c r="X94" s="55">
        <f>_xll.EQNXTDZ($A$1,$B94,X$5,$B$1)</f>
        <v>42449</v>
      </c>
      <c r="Y94" s="55">
        <f>_xll.EQNXTDZ($A$1,$B94,Y$5,$B$1)</f>
        <v>0</v>
      </c>
      <c r="Z94" s="55">
        <f>_xll.EQNXTDZ($A$1,$B94,Z$5,$B$1)</f>
        <v>35912</v>
      </c>
      <c r="AA94" s="55">
        <f>_xll.EQNXTDZ($A$1,$B94,AA$5,$B$1)</f>
        <v>0</v>
      </c>
      <c r="AB94" s="55">
        <f>_xll.EQNXTDZ($A$1,$B94,AB$5,$B$1)</f>
        <v>36378</v>
      </c>
      <c r="AC94" s="55">
        <f>_xll.EQNXTDZ($A$1,$B94,AC$5,$B$1)</f>
        <v>0</v>
      </c>
      <c r="AD94" s="55">
        <f>_xll.EQNXTDZ($A$1,$B94,AD$5,$B$1)</f>
        <v>34240</v>
      </c>
      <c r="AE94" s="55">
        <f>_xll.EQNXTDZ($A$1,$B94,AE$5,$B$1)</f>
        <v>0</v>
      </c>
      <c r="AF94" s="55">
        <f>_xll.EQNXTDZ($A$1,$B94,AF$5,$B$1)</f>
        <v>29638</v>
      </c>
      <c r="AG94" s="55">
        <f>_xll.EQNXTDZ($A$1,$B94,AG$5,$B$1)</f>
        <v>0</v>
      </c>
      <c r="AH94" s="55">
        <f>_xll.EQNXTDZ($A$1,$B94,AH$5,$B$1)</f>
        <v>33720</v>
      </c>
      <c r="AI94" s="55">
        <f>_xll.EQNXTDZ($A$1,$B94,AI$5,$B$1)</f>
        <v>0</v>
      </c>
      <c r="AJ94" s="55">
        <f>_xll.EQNXTDZ($A$1,$B94,AJ$5,$B$1)</f>
        <v>36639</v>
      </c>
      <c r="AK94" s="55">
        <f>_xll.EQNXTDZ($A$1,$B94,AK$5,$B$1)</f>
        <v>0</v>
      </c>
      <c r="AL94" s="55">
        <f>_xll.EQNXTDZ($A$1,$B94,AL$5,$B$1)</f>
        <v>36868</v>
      </c>
      <c r="AM94" s="55">
        <f>_xll.EQNXTDZ($A$1,$B94,AM$5,$B$1)</f>
        <v>0</v>
      </c>
      <c r="AN94" s="55">
        <f>_xll.EQNXTDZ($A$1,$B94,AN$5,$B$1)</f>
        <v>32320</v>
      </c>
      <c r="AO94" s="55">
        <f>_xll.EQNXTDZ($A$1,$B94,AO$5,$B$1)</f>
        <v>0</v>
      </c>
      <c r="AP94" s="55">
        <f>_xll.EQNXTDZ($A$1,$B94,AP$5,$B$1)</f>
        <v>33582</v>
      </c>
      <c r="AQ94" s="55">
        <f>_xll.EQNXTDZ($A$1,$B94,AQ$5,$B$1)</f>
        <v>0</v>
      </c>
      <c r="AR94" s="55">
        <f>_xll.EQNXTDZ($A$1,$B94,AR$5,$B$1)</f>
        <v>37596</v>
      </c>
      <c r="AS94" s="55">
        <f>_xll.EQNXTDZ($A$1,$B94,AS$5,$B$1)</f>
        <v>0</v>
      </c>
      <c r="AT94" s="55">
        <f>_xll.EQNXTDZ($A$1,$B94,AT$5,$B$1)</f>
        <v>31695</v>
      </c>
      <c r="AU94" s="55">
        <f>_xll.EQNXTDZ($A$1,$B94,AU$5,$B$1)</f>
        <v>0</v>
      </c>
      <c r="AV94" s="55">
        <f>_xll.EQNXTDZ($A$1,$B94,AV$5,$B$1)</f>
        <v>38210</v>
      </c>
      <c r="AW94" s="55">
        <f>_xll.EQNXTDZ($A$1,$B94,AW$5,$B$1)</f>
        <v>0</v>
      </c>
      <c r="AX94" s="55">
        <f>_xll.EQNXTDZ($A$1,$B94,AX$5,$B$1)</f>
        <v>50638</v>
      </c>
      <c r="AY94" s="55">
        <f>_xll.EQNXTDZ($A$1,$B94,AY$5,$B$1)</f>
        <v>0</v>
      </c>
      <c r="AZ94" s="55">
        <f>_xll.EQNXTDZ($A$1,$B94,AZ$5,$B$1)</f>
        <v>48701</v>
      </c>
      <c r="BA94" s="55">
        <f>_xll.EQNXTDZ($A$1,$B94,BA$5,$B$1)</f>
        <v>0</v>
      </c>
      <c r="BB94" s="55">
        <f>_xll.EQNXTDZ($A$1,$B94,BB$5,$B$1)</f>
        <v>54249</v>
      </c>
      <c r="BC94" s="55">
        <f>_xll.EQNXTDZ($A$1,$B94,BC$5,$B$1)</f>
        <v>0</v>
      </c>
      <c r="BD94" s="55">
        <f>_xll.EQNXTDZ($A$1,$B94,BD$5,$B$1)</f>
        <v>59369</v>
      </c>
      <c r="BE94" s="55">
        <f>_xll.EQNXTDZ($A$1,$B94,BE$5,$B$1)</f>
        <v>0</v>
      </c>
      <c r="BF94" s="55">
        <f>_xll.EQNXTDZ($A$1,$B94,BF$5,$B$1)</f>
        <v>51167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0</v>
      </c>
      <c r="D96" s="55">
        <f>_xll.EQNXTDZ($A$1,$B96,D$5,$B$1)</f>
        <v>298</v>
      </c>
      <c r="E96" s="55">
        <f>_xll.EQNXTDZ($A$1,$B96,E$5,$B$1)</f>
        <v>0</v>
      </c>
      <c r="F96" s="55">
        <f>_xll.EQNXTDZ($A$1,$B96,F$5,$B$1)</f>
        <v>384</v>
      </c>
      <c r="G96" s="55">
        <f>_xll.EQNXTDZ($A$1,$B96,G$5,$B$1)</f>
        <v>0</v>
      </c>
      <c r="H96" s="55">
        <f>_xll.EQNXTDZ($A$1,$B96,H$5,$B$1)</f>
        <v>485</v>
      </c>
      <c r="I96" s="55">
        <f>_xll.EQNXTDZ($A$1,$B96,I$5,$B$1)</f>
        <v>0</v>
      </c>
      <c r="J96" s="55">
        <f>_xll.EQNXTDZ($A$1,$B96,J$5,$B$1)</f>
        <v>592</v>
      </c>
      <c r="K96" s="55">
        <f>_xll.EQNXTDZ($A$1,$B96,K$5,$B$1)</f>
        <v>0</v>
      </c>
      <c r="L96" s="55">
        <f>_xll.EQNXTDZ($A$1,$B96,L$5,$B$1)</f>
        <v>610</v>
      </c>
      <c r="M96" s="55">
        <f>_xll.EQNXTDZ($A$1,$B96,M$5,$B$1)</f>
        <v>0</v>
      </c>
      <c r="N96" s="55">
        <f>_xll.EQNXTDZ($A$1,$B96,N$5,$B$1)</f>
        <v>377</v>
      </c>
      <c r="O96" s="55">
        <f>_xll.EQNXTDZ($A$1,$B96,O$5,$B$1)</f>
        <v>0</v>
      </c>
      <c r="P96" s="55">
        <f>_xll.EQNXTDZ($A$1,$B96,P$5,$B$1)</f>
        <v>234</v>
      </c>
      <c r="Q96" s="55">
        <f>_xll.EQNXTDZ($A$1,$B96,Q$5,$B$1)</f>
        <v>0</v>
      </c>
      <c r="R96" s="55">
        <f>_xll.EQNXTDZ($A$1,$B96,R$5,$B$1)</f>
        <v>284</v>
      </c>
      <c r="S96" s="55">
        <f>_xll.EQNXTDZ($A$1,$B96,S$5,$B$1)</f>
        <v>0</v>
      </c>
      <c r="T96" s="55">
        <f>_xll.EQNXTDZ($A$1,$B96,T$5,$B$1)</f>
        <v>393</v>
      </c>
      <c r="U96" s="55">
        <f>_xll.EQNXTDZ($A$1,$B96,U$5,$B$1)</f>
        <v>0</v>
      </c>
      <c r="V96" s="55">
        <f>_xll.EQNXTDZ($A$1,$B96,V$5,$B$1)</f>
        <v>333</v>
      </c>
      <c r="W96" s="55">
        <f>_xll.EQNXTDZ($A$1,$B96,W$5,$B$1)</f>
        <v>482</v>
      </c>
      <c r="X96" s="55">
        <f>_xll.EQNXTDZ($A$1,$B96,X$5,$B$1)</f>
        <v>536</v>
      </c>
      <c r="Y96" s="55">
        <f>_xll.EQNXTDZ($A$1,$B96,Y$5,$B$1)</f>
        <v>0</v>
      </c>
      <c r="Z96" s="55">
        <f>_xll.EQNXTDZ($A$1,$B96,Z$5,$B$1)</f>
        <v>741</v>
      </c>
      <c r="AA96" s="55">
        <f>_xll.EQNXTDZ($A$1,$B96,AA$5,$B$1)</f>
        <v>0</v>
      </c>
      <c r="AB96" s="55">
        <f>_xll.EQNXTDZ($A$1,$B96,AB$5,$B$1)</f>
        <v>886</v>
      </c>
      <c r="AC96" s="55">
        <f>_xll.EQNXTDZ($A$1,$B96,AC$5,$B$1)</f>
        <v>0</v>
      </c>
      <c r="AD96" s="55">
        <f>_xll.EQNXTDZ($A$1,$B96,AD$5,$B$1)</f>
        <v>700</v>
      </c>
      <c r="AE96" s="55">
        <f>_xll.EQNXTDZ($A$1,$B96,AE$5,$B$1)</f>
        <v>0</v>
      </c>
      <c r="AF96" s="55">
        <f>_xll.EQNXTDZ($A$1,$B96,AF$5,$B$1)</f>
        <v>656</v>
      </c>
      <c r="AG96" s="55">
        <f>_xll.EQNXTDZ($A$1,$B96,AG$5,$B$1)</f>
        <v>0</v>
      </c>
      <c r="AH96" s="55">
        <f>_xll.EQNXTDZ($A$1,$B96,AH$5,$B$1)</f>
        <v>776</v>
      </c>
      <c r="AI96" s="55">
        <f>_xll.EQNXTDZ($A$1,$B96,AI$5,$B$1)</f>
        <v>0</v>
      </c>
      <c r="AJ96" s="55">
        <f>_xll.EQNXTDZ($A$1,$B96,AJ$5,$B$1)</f>
        <v>442</v>
      </c>
      <c r="AK96" s="55">
        <f>_xll.EQNXTDZ($A$1,$B96,AK$5,$B$1)</f>
        <v>0</v>
      </c>
      <c r="AL96" s="55">
        <f>_xll.EQNXTDZ($A$1,$B96,AL$5,$B$1)</f>
        <v>223</v>
      </c>
      <c r="AM96" s="55">
        <f>_xll.EQNXTDZ($A$1,$B96,AM$5,$B$1)</f>
        <v>0</v>
      </c>
      <c r="AN96" s="55">
        <f>_xll.EQNXTDZ($A$1,$B96,AN$5,$B$1)</f>
        <v>118</v>
      </c>
      <c r="AO96" s="55">
        <f>_xll.EQNXTDZ($A$1,$B96,AO$5,$B$1)</f>
        <v>0</v>
      </c>
      <c r="AP96" s="55">
        <f>_xll.EQNXTDZ($A$1,$B96,AP$5,$B$1)</f>
        <v>56</v>
      </c>
      <c r="AQ96" s="55">
        <f>_xll.EQNXTDZ($A$1,$B96,AQ$5,$B$1)</f>
        <v>0</v>
      </c>
      <c r="AR96" s="55">
        <f>_xll.EQNXTDZ($A$1,$B96,AR$5,$B$1)</f>
        <v>257</v>
      </c>
      <c r="AS96" s="55">
        <f>_xll.EQNXTDZ($A$1,$B96,AS$5,$B$1)</f>
        <v>0</v>
      </c>
      <c r="AT96" s="55">
        <f>_xll.EQNXTDZ($A$1,$B96,AT$5,$B$1)</f>
        <v>25</v>
      </c>
      <c r="AU96" s="55">
        <f>_xll.EQNXTDZ($A$1,$B96,AU$5,$B$1)</f>
        <v>0</v>
      </c>
      <c r="AV96" s="55">
        <f>_xll.EQNXTDZ($A$1,$B96,AV$5,$B$1)</f>
        <v>-160</v>
      </c>
      <c r="AW96" s="55">
        <f>_xll.EQNXTDZ($A$1,$B96,AW$5,$B$1)</f>
        <v>0</v>
      </c>
      <c r="AX96" s="55">
        <f>_xll.EQNXTDZ($A$1,$B96,AX$5,$B$1)</f>
        <v>-1340</v>
      </c>
      <c r="AY96" s="55">
        <f>_xll.EQNXTDZ($A$1,$B96,AY$5,$B$1)</f>
        <v>0</v>
      </c>
      <c r="AZ96" s="55">
        <f>_xll.EQNXTDZ($A$1,$B96,AZ$5,$B$1)</f>
        <v>-1130</v>
      </c>
      <c r="BA96" s="55">
        <f>_xll.EQNXTDZ($A$1,$B96,BA$5,$B$1)</f>
        <v>0</v>
      </c>
      <c r="BB96" s="55">
        <f>_xll.EQNXTDZ($A$1,$B96,BB$5,$B$1)</f>
        <v>-614</v>
      </c>
      <c r="BC96" s="55">
        <f>_xll.EQNXTDZ($A$1,$B96,BC$5,$B$1)</f>
        <v>0</v>
      </c>
      <c r="BD96" s="55">
        <f>_xll.EQNXTDZ($A$1,$B96,BD$5,$B$1)</f>
        <v>-162</v>
      </c>
      <c r="BE96" s="55">
        <f>_xll.EQNXTDZ($A$1,$B96,BE$5,$B$1)</f>
        <v>0</v>
      </c>
      <c r="BF96" s="55">
        <f>_xll.EQNXTDZ($A$1,$B96,BF$5,$B$1)</f>
        <v>585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0</v>
      </c>
      <c r="D97" s="55">
        <f>_xll.EQNXTDZ($A$1,$B97,D$5,$B$1)</f>
        <v>36087</v>
      </c>
      <c r="E97" s="55">
        <f>_xll.EQNXTDZ($A$1,$B97,E$5,$B$1)</f>
        <v>0</v>
      </c>
      <c r="F97" s="55">
        <f>_xll.EQNXTDZ($A$1,$B97,F$5,$B$1)</f>
        <v>39946</v>
      </c>
      <c r="G97" s="55">
        <f>_xll.EQNXTDZ($A$1,$B97,G$5,$B$1)</f>
        <v>0</v>
      </c>
      <c r="H97" s="55">
        <f>_xll.EQNXTDZ($A$1,$B97,H$5,$B$1)</f>
        <v>43475</v>
      </c>
      <c r="I97" s="55">
        <f>_xll.EQNXTDZ($A$1,$B97,I$5,$B$1)</f>
        <v>0</v>
      </c>
      <c r="J97" s="55">
        <f>_xll.EQNXTDZ($A$1,$B97,J$5,$B$1)</f>
        <v>47853</v>
      </c>
      <c r="K97" s="55">
        <f>_xll.EQNXTDZ($A$1,$B97,K$5,$B$1)</f>
        <v>0</v>
      </c>
      <c r="L97" s="55">
        <f>_xll.EQNXTDZ($A$1,$B97,L$5,$B$1)</f>
        <v>50973</v>
      </c>
      <c r="M97" s="55">
        <f>_xll.EQNXTDZ($A$1,$B97,M$5,$B$1)</f>
        <v>0</v>
      </c>
      <c r="N97" s="55">
        <f>_xll.EQNXTDZ($A$1,$B97,N$5,$B$1)</f>
        <v>54809</v>
      </c>
      <c r="O97" s="55">
        <f>_xll.EQNXTDZ($A$1,$B97,O$5,$B$1)</f>
        <v>0</v>
      </c>
      <c r="P97" s="55">
        <f>_xll.EQNXTDZ($A$1,$B97,P$5,$B$1)</f>
        <v>57472</v>
      </c>
      <c r="Q97" s="55">
        <f>_xll.EQNXTDZ($A$1,$B97,Q$5,$B$1)</f>
        <v>0</v>
      </c>
      <c r="R97" s="55">
        <f>_xll.EQNXTDZ($A$1,$B97,R$5,$B$1)</f>
        <v>61859</v>
      </c>
      <c r="S97" s="55">
        <f>_xll.EQNXTDZ($A$1,$B97,S$5,$B$1)</f>
        <v>0</v>
      </c>
      <c r="T97" s="55">
        <f>_xll.EQNXTDZ($A$1,$B97,T$5,$B$1)</f>
        <v>64976</v>
      </c>
      <c r="U97" s="55">
        <f>_xll.EQNXTDZ($A$1,$B97,U$5,$B$1)</f>
        <v>0</v>
      </c>
      <c r="V97" s="55">
        <f>_xll.EQNXTDZ($A$1,$B97,V$5,$B$1)</f>
        <v>69135</v>
      </c>
      <c r="W97" s="55">
        <f>_xll.EQNXTDZ($A$1,$B97,W$5,$B$1)</f>
        <v>68631</v>
      </c>
      <c r="X97" s="55">
        <f>_xll.EQNXTDZ($A$1,$B97,X$5,$B$1)</f>
        <v>72504</v>
      </c>
      <c r="Y97" s="55">
        <f>_xll.EQNXTDZ($A$1,$B97,Y$5,$B$1)</f>
        <v>0</v>
      </c>
      <c r="Z97" s="55">
        <f>_xll.EQNXTDZ($A$1,$B97,Z$5,$B$1)</f>
        <v>65244</v>
      </c>
      <c r="AA97" s="55">
        <f>_xll.EQNXTDZ($A$1,$B97,AA$5,$B$1)</f>
        <v>0</v>
      </c>
      <c r="AB97" s="55">
        <f>_xll.EQNXTDZ($A$1,$B97,AB$5,$B$1)</f>
        <v>65556</v>
      </c>
      <c r="AC97" s="55">
        <f>_xll.EQNXTDZ($A$1,$B97,AC$5,$B$1)</f>
        <v>0</v>
      </c>
      <c r="AD97" s="55">
        <f>_xll.EQNXTDZ($A$1,$B97,AD$5,$B$1)</f>
        <v>65428</v>
      </c>
      <c r="AE97" s="55">
        <f>_xll.EQNXTDZ($A$1,$B97,AE$5,$B$1)</f>
        <v>0</v>
      </c>
      <c r="AF97" s="55">
        <f>_xll.EQNXTDZ($A$1,$B97,AF$5,$B$1)</f>
        <v>65293</v>
      </c>
      <c r="AG97" s="55">
        <f>_xll.EQNXTDZ($A$1,$B97,AG$5,$B$1)</f>
        <v>0</v>
      </c>
      <c r="AH97" s="55">
        <f>_xll.EQNXTDZ($A$1,$B97,AH$5,$B$1)</f>
        <v>70944</v>
      </c>
      <c r="AI97" s="55">
        <f>_xll.EQNXTDZ($A$1,$B97,AI$5,$B$1)</f>
        <v>0</v>
      </c>
      <c r="AJ97" s="55">
        <f>_xll.EQNXTDZ($A$1,$B97,AJ$5,$B$1)</f>
        <v>77029</v>
      </c>
      <c r="AK97" s="55">
        <f>_xll.EQNXTDZ($A$1,$B97,AK$5,$B$1)</f>
        <v>0</v>
      </c>
      <c r="AL97" s="55">
        <f>_xll.EQNXTDZ($A$1,$B97,AL$5,$B$1)</f>
        <v>83646</v>
      </c>
      <c r="AM97" s="55">
        <f>_xll.EQNXTDZ($A$1,$B97,AM$5,$B$1)</f>
        <v>0</v>
      </c>
      <c r="AN97" s="55">
        <f>_xll.EQNXTDZ($A$1,$B97,AN$5,$B$1)</f>
        <v>77564</v>
      </c>
      <c r="AO97" s="55">
        <f>_xll.EQNXTDZ($A$1,$B97,AO$5,$B$1)</f>
        <v>0</v>
      </c>
      <c r="AP97" s="55">
        <f>_xll.EQNXTDZ($A$1,$B97,AP$5,$B$1)</f>
        <v>83126</v>
      </c>
      <c r="AQ97" s="55">
        <f>_xll.EQNXTDZ($A$1,$B97,AQ$5,$B$1)</f>
        <v>0</v>
      </c>
      <c r="AR97" s="55">
        <f>_xll.EQNXTDZ($A$1,$B97,AR$5,$B$1)</f>
        <v>88776</v>
      </c>
      <c r="AS97" s="55">
        <f>_xll.EQNXTDZ($A$1,$B97,AS$5,$B$1)</f>
        <v>0</v>
      </c>
      <c r="AT97" s="55">
        <f>_xll.EQNXTDZ($A$1,$B97,AT$5,$B$1)</f>
        <v>85410</v>
      </c>
      <c r="AU97" s="55">
        <f>_xll.EQNXTDZ($A$1,$B97,AU$5,$B$1)</f>
        <v>0</v>
      </c>
      <c r="AV97" s="55">
        <f>_xll.EQNXTDZ($A$1,$B97,AV$5,$B$1)</f>
        <v>90414</v>
      </c>
      <c r="AW97" s="55">
        <f>_xll.EQNXTDZ($A$1,$B97,AW$5,$B$1)</f>
        <v>0</v>
      </c>
      <c r="AX97" s="55">
        <f>_xll.EQNXTDZ($A$1,$B97,AX$5,$B$1)</f>
        <v>97226</v>
      </c>
      <c r="AY97" s="55">
        <f>_xll.EQNXTDZ($A$1,$B97,AY$5,$B$1)</f>
        <v>0</v>
      </c>
      <c r="AZ97" s="55">
        <f>_xll.EQNXTDZ($A$1,$B97,AZ$5,$B$1)</f>
        <v>99354</v>
      </c>
      <c r="BA97" s="55">
        <f>_xll.EQNXTDZ($A$1,$B97,BA$5,$B$1)</f>
        <v>0</v>
      </c>
      <c r="BB97" s="55">
        <f>_xll.EQNXTDZ($A$1,$B97,BB$5,$B$1)</f>
        <v>104331</v>
      </c>
      <c r="BC97" s="55">
        <f>_xll.EQNXTDZ($A$1,$B97,BC$5,$B$1)</f>
        <v>0</v>
      </c>
      <c r="BD97" s="55">
        <f>_xll.EQNXTDZ($A$1,$B97,BD$5,$B$1)</f>
        <v>112294</v>
      </c>
      <c r="BE97" s="55">
        <f>_xll.EQNXTDZ($A$1,$B97,BE$5,$B$1)</f>
        <v>0</v>
      </c>
      <c r="BF97" s="55">
        <f>_xll.EQNXTDZ($A$1,$B97,BF$5,$B$1)</f>
        <v>101966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100209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Infosys Ltd.</v>
      </c>
    </row>
    <row r="5" spans="1:32" x14ac:dyDescent="0.25">
      <c r="A5" t="s">
        <v>113</v>
      </c>
      <c r="B5" t="s">
        <v>130</v>
      </c>
      <c r="C5">
        <f>_xll.EQNXTDZ($A$1,$B5,C$1,$B$1)</f>
        <v>200103</v>
      </c>
      <c r="D5">
        <f>_xll.EQNXTDZ($A$1,$B5,D$1,$B$1)</f>
        <v>200203</v>
      </c>
      <c r="E5">
        <f>_xll.EQNXTDZ($A$1,$B5,E$1,$B$1)</f>
        <v>200303</v>
      </c>
      <c r="F5">
        <f>_xll.EQNXTDZ($A$1,$B5,F$1,$B$1)</f>
        <v>200403</v>
      </c>
      <c r="G5">
        <f>_xll.EQNXTDZ($A$1,$B5,G$1,$B$1)</f>
        <v>200503</v>
      </c>
      <c r="H5">
        <f>_xll.EQNXTDZ($A$1,$B5,H$1,$B$1)</f>
        <v>200603</v>
      </c>
      <c r="I5">
        <f>_xll.EQNXTDZ($A$1,$B5,I$1,$B$1)</f>
        <v>200703</v>
      </c>
      <c r="J5">
        <f>_xll.EQNXTDZ($A$1,$B5,J$1,$B$1)</f>
        <v>200803</v>
      </c>
      <c r="K5">
        <f>_xll.EQNXTDZ($A$1,$B5,K$1,$B$1)</f>
        <v>200903</v>
      </c>
      <c r="L5">
        <f>_xll.EQNXTDZ($A$1,$B5,L$1,$B$1)</f>
        <v>201003</v>
      </c>
      <c r="M5">
        <f>_xll.EQNXTDZ($A$1,$B5,M$1,$B$1)</f>
        <v>201103</v>
      </c>
      <c r="N5">
        <f>_xll.EQNXTDZ($A$1,$B5,N$1,$B$1)</f>
        <v>201203</v>
      </c>
      <c r="O5">
        <f>_xll.EQNXTDZ($A$1,$B5,O$1,$B$1)</f>
        <v>201303</v>
      </c>
      <c r="P5">
        <f>_xll.EQNXTDZ($A$1,$B5,P$1,$B$1)</f>
        <v>201403</v>
      </c>
      <c r="Q5">
        <f>_xll.EQNXTDZ($A$1,$B5,Q$1,$B$1)</f>
        <v>201503</v>
      </c>
      <c r="R5">
        <f>_xll.EQNXTDZ($A$1,$B5,R$1,$B$1)</f>
        <v>201603</v>
      </c>
      <c r="S5">
        <f>_xll.EQNXTDZ($A$1,$B5,S$1,$B$1)</f>
        <v>201703</v>
      </c>
      <c r="T5">
        <f>_xll.EQNXTDZ($A$1,$B5,T$1,$B$1)</f>
        <v>201803</v>
      </c>
      <c r="U5">
        <f>_xll.EQNXTDZ($A$1,$B5,U$1,$B$1)</f>
        <v>201903</v>
      </c>
      <c r="V5">
        <f>_xll.EQNXTDZ($A$1,$B5,V$1,$B$1)</f>
        <v>202003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1900.5658807</v>
      </c>
      <c r="D6" s="100">
        <f>_xll.EQNXTDZ($A$1,$B6,D$1,$B$1)</f>
        <v>2603.59</v>
      </c>
      <c r="E6" s="100">
        <f>_xll.EQNXTDZ($A$1,$B6,E$1,$B$1)</f>
        <v>3639.98</v>
      </c>
      <c r="F6" s="100">
        <f>_xll.EQNXTDZ($A$1,$B6,F$1,$B$1)</f>
        <v>4852.95</v>
      </c>
      <c r="G6" s="100">
        <f>_xll.EQNXTDZ($A$1,$B6,G$1,$B$1)</f>
        <v>7130</v>
      </c>
      <c r="H6" s="100">
        <f>_xll.EQNXTDZ($A$1,$B6,H$1,$B$1)</f>
        <v>9521</v>
      </c>
      <c r="I6" s="100">
        <f>_xll.EQNXTDZ($A$1,$B6,I$1,$B$1)</f>
        <v>13893</v>
      </c>
      <c r="J6" s="100">
        <f>_xll.EQNXTDZ($A$1,$B6,J$1,$B$1)</f>
        <v>16692</v>
      </c>
      <c r="K6" s="100">
        <f>_xll.EQNXTDZ($A$1,$B6,K$1,$B$1)</f>
        <v>21693</v>
      </c>
      <c r="L6" s="100">
        <f>_xll.EQNXTDZ($A$1,$B6,L$1,$B$1)</f>
        <v>22742</v>
      </c>
      <c r="M6" s="100">
        <f>_xll.EQNXTDZ($A$1,$B6,M$1,$B$1)</f>
        <v>27501</v>
      </c>
      <c r="N6" s="100">
        <f>_xll.EQNXTDZ($A$1,$B6,N$1,$B$1)</f>
        <v>33734</v>
      </c>
      <c r="O6" s="100">
        <f>_xll.EQNXTDZ($A$1,$B6,O$1,$B$1)</f>
        <v>40352</v>
      </c>
      <c r="P6" s="100">
        <f>_xll.EQNXTDZ($A$1,$B6,P$1,$B$1)</f>
        <v>50133</v>
      </c>
      <c r="Q6" s="100">
        <f>_xll.EQNXTDZ($A$1,$B6,Q$1,$B$1)</f>
        <v>53319</v>
      </c>
      <c r="R6" s="100">
        <f>_xll.EQNXTDZ($A$1,$B6,R$1,$B$1)</f>
        <v>62441</v>
      </c>
      <c r="S6" s="100">
        <f>_xll.EQNXTDZ($A$1,$B6,S$1,$B$1)</f>
        <v>68484</v>
      </c>
      <c r="T6" s="100">
        <f>_xll.EQNXTDZ($A$1,$B6,T$1,$B$1)</f>
        <v>70522</v>
      </c>
      <c r="U6" s="100">
        <f>_xll.EQNXTDZ($A$1,$B6,U$1,$B$1)</f>
        <v>82675</v>
      </c>
      <c r="V6" s="100">
        <f>_xll.EQNXTDZ($A$1,$B6,V$1,$B$1)</f>
        <v>90791</v>
      </c>
      <c r="W6" s="100">
        <f>_xll.EQNXTDZ($A$1,$B6,W$1,$B$1)</f>
        <v>100472</v>
      </c>
      <c r="X6" s="100">
        <f>_xll.EQNXTDZ($A$1,$B6,X$1,$B$1)</f>
        <v>121641</v>
      </c>
      <c r="Y6" s="100">
        <f>_xll.EQNXTDZ($A$1,$B6,Y$1,$B$1)</f>
        <v>146767</v>
      </c>
      <c r="Z6" s="100">
        <f>_xll.EQNXTDZ($A$1,$B6,Z$1,$B$1)</f>
        <v>153670</v>
      </c>
      <c r="AA6" s="100">
        <f>_xll.EQNXTDZ($A$1,$B6,AA$1,$B$1)</f>
        <v>162990</v>
      </c>
      <c r="AB6" s="100">
        <f>_xll.EQNXTDZ($A$1,$B6,AB$1,$B$1)</f>
        <v>178650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0</v>
      </c>
      <c r="U8" s="100">
        <f>_xll.EQNXTDZ($A$1,$B8,U$1,$B$1)</f>
        <v>0</v>
      </c>
      <c r="V8" s="100">
        <f>_xll.EQNXTDZ($A$1,$B8,V$1,$B$1)</f>
        <v>0</v>
      </c>
      <c r="W8" s="100">
        <f>_xll.EQNXTDZ($A$1,$B8,W$1,$B$1)</f>
        <v>0</v>
      </c>
      <c r="X8" s="100">
        <f>_xll.EQNXTDZ($A$1,$B8,X$1,$B$1)</f>
        <v>0</v>
      </c>
      <c r="Y8" s="100">
        <f>_xll.EQNXTDZ($A$1,$B8,Y$1,$B$1)</f>
        <v>0</v>
      </c>
      <c r="Z8" s="100">
        <f>_xll.EQNXTDZ($A$1,$B8,Z$1,$B$1)</f>
        <v>0</v>
      </c>
      <c r="AA8" s="100">
        <f>_xll.EQNXTDZ($A$1,$B8,AA$1,$B$1)</f>
        <v>0</v>
      </c>
      <c r="AB8" s="100">
        <f>_xll.EQNXTDZ($A$1,$B8,AB$1,$B$1)</f>
        <v>0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0</v>
      </c>
      <c r="D9" s="100">
        <f>_xll.EQNXTDZ($A$1,$B9,D$1,$B$1)</f>
        <v>0</v>
      </c>
      <c r="E9" s="100">
        <f>_xll.EQNXTDZ($A$1,$B9,E$1,$B$1)</f>
        <v>0</v>
      </c>
      <c r="F9" s="100">
        <f>_xll.EQNXTDZ($A$1,$B9,F$1,$B$1)</f>
        <v>0</v>
      </c>
      <c r="G9" s="100">
        <f>_xll.EQNXTDZ($A$1,$B9,G$1,$B$1)</f>
        <v>0</v>
      </c>
      <c r="H9" s="100">
        <f>_xll.EQNXTDZ($A$1,$B9,H$1,$B$1)</f>
        <v>0</v>
      </c>
      <c r="I9" s="100">
        <f>_xll.EQNXTDZ($A$1,$B9,I$1,$B$1)</f>
        <v>0</v>
      </c>
      <c r="J9" s="100">
        <f>_xll.EQNXTDZ($A$1,$B9,J$1,$B$1)</f>
        <v>0</v>
      </c>
      <c r="K9" s="100">
        <f>_xll.EQNXTDZ($A$1,$B9,K$1,$B$1)</f>
        <v>0</v>
      </c>
      <c r="L9" s="100">
        <f>_xll.EQNXTDZ($A$1,$B9,L$1,$B$1)</f>
        <v>0</v>
      </c>
      <c r="M9" s="100">
        <f>_xll.EQNXTDZ($A$1,$B9,M$1,$B$1)</f>
        <v>0</v>
      </c>
      <c r="N9" s="100">
        <f>_xll.EQNXTDZ($A$1,$B9,N$1,$B$1)</f>
        <v>0</v>
      </c>
      <c r="O9" s="100">
        <f>_xll.EQNXTDZ($A$1,$B9,O$1,$B$1)</f>
        <v>0</v>
      </c>
      <c r="P9" s="100">
        <f>_xll.EQNXTDZ($A$1,$B9,P$1,$B$1)</f>
        <v>0</v>
      </c>
      <c r="Q9" s="100">
        <f>_xll.EQNXTDZ($A$1,$B9,Q$1,$B$1)</f>
        <v>0</v>
      </c>
      <c r="R9" s="100">
        <f>_xll.EQNXTDZ($A$1,$B9,R$1,$B$1)</f>
        <v>0</v>
      </c>
      <c r="S9" s="100">
        <f>_xll.EQNXTDZ($A$1,$B9,S$1,$B$1)</f>
        <v>0</v>
      </c>
      <c r="T9" s="100">
        <f>_xll.EQNXTDZ($A$1,$B9,T$1,$B$1)</f>
        <v>0</v>
      </c>
      <c r="U9" s="100">
        <f>_xll.EQNXTDZ($A$1,$B9,U$1,$B$1)</f>
        <v>0</v>
      </c>
      <c r="V9" s="100">
        <f>_xll.EQNXTDZ($A$1,$B9,V$1,$B$1)</f>
        <v>0</v>
      </c>
      <c r="W9" s="100">
        <f>_xll.EQNXTDZ($A$1,$B9,W$1,$B$1)</f>
        <v>0</v>
      </c>
      <c r="X9" s="100">
        <f>_xll.EQNXTDZ($A$1,$B9,X$1,$B$1)</f>
        <v>0</v>
      </c>
      <c r="Y9" s="100">
        <f>_xll.EQNXTDZ($A$1,$B9,Y$1,$B$1)</f>
        <v>0</v>
      </c>
      <c r="Z9" s="100">
        <f>_xll.EQNXTDZ($A$1,$B9,Z$1,$B$1)</f>
        <v>0</v>
      </c>
      <c r="AA9" s="100">
        <f>_xll.EQNXTDZ($A$1,$B9,AA$1,$B$1)</f>
        <v>0</v>
      </c>
      <c r="AB9" s="100">
        <f>_xll.EQNXTDZ($A$1,$B9,AB$1,$B$1)</f>
        <v>0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1900.5658807</v>
      </c>
      <c r="D10" s="100">
        <f>_xll.EQNXTDZ($A$1,$B10,D$1,$B$1)</f>
        <v>2603.59</v>
      </c>
      <c r="E10" s="100">
        <f>_xll.EQNXTDZ($A$1,$B10,E$1,$B$1)</f>
        <v>3639.98</v>
      </c>
      <c r="F10" s="100">
        <f>_xll.EQNXTDZ($A$1,$B10,F$1,$B$1)</f>
        <v>4852.95</v>
      </c>
      <c r="G10" s="100">
        <f>_xll.EQNXTDZ($A$1,$B10,G$1,$B$1)</f>
        <v>7130</v>
      </c>
      <c r="H10" s="100">
        <f>_xll.EQNXTDZ($A$1,$B10,H$1,$B$1)</f>
        <v>9521</v>
      </c>
      <c r="I10" s="100">
        <f>_xll.EQNXTDZ($A$1,$B10,I$1,$B$1)</f>
        <v>13893</v>
      </c>
      <c r="J10" s="100">
        <f>_xll.EQNXTDZ($A$1,$B10,J$1,$B$1)</f>
        <v>16692</v>
      </c>
      <c r="K10" s="100">
        <f>_xll.EQNXTDZ($A$1,$B10,K$1,$B$1)</f>
        <v>21693</v>
      </c>
      <c r="L10" s="100">
        <f>_xll.EQNXTDZ($A$1,$B10,L$1,$B$1)</f>
        <v>22742</v>
      </c>
      <c r="M10" s="100">
        <f>_xll.EQNXTDZ($A$1,$B10,M$1,$B$1)</f>
        <v>27501</v>
      </c>
      <c r="N10" s="100">
        <f>_xll.EQNXTDZ($A$1,$B10,N$1,$B$1)</f>
        <v>33734</v>
      </c>
      <c r="O10" s="100">
        <f>_xll.EQNXTDZ($A$1,$B10,O$1,$B$1)</f>
        <v>40352</v>
      </c>
      <c r="P10" s="100">
        <f>_xll.EQNXTDZ($A$1,$B10,P$1,$B$1)</f>
        <v>50133</v>
      </c>
      <c r="Q10" s="100">
        <f>_xll.EQNXTDZ($A$1,$B10,Q$1,$B$1)</f>
        <v>53319</v>
      </c>
      <c r="R10" s="100">
        <f>_xll.EQNXTDZ($A$1,$B10,R$1,$B$1)</f>
        <v>62441</v>
      </c>
      <c r="S10" s="100">
        <f>_xll.EQNXTDZ($A$1,$B10,S$1,$B$1)</f>
        <v>68484</v>
      </c>
      <c r="T10" s="100">
        <f>_xll.EQNXTDZ($A$1,$B10,T$1,$B$1)</f>
        <v>70522</v>
      </c>
      <c r="U10" s="100">
        <f>_xll.EQNXTDZ($A$1,$B10,U$1,$B$1)</f>
        <v>82675</v>
      </c>
      <c r="V10" s="100">
        <f>_xll.EQNXTDZ($A$1,$B10,V$1,$B$1)</f>
        <v>90791</v>
      </c>
      <c r="W10" s="100">
        <f>_xll.EQNXTDZ($A$1,$B10,W$1,$B$1)</f>
        <v>100472</v>
      </c>
      <c r="X10" s="100">
        <f>_xll.EQNXTDZ($A$1,$B10,X$1,$B$1)</f>
        <v>121641</v>
      </c>
      <c r="Y10" s="100">
        <f>_xll.EQNXTDZ($A$1,$B10,Y$1,$B$1)</f>
        <v>146767</v>
      </c>
      <c r="Z10" s="100">
        <f>_xll.EQNXTDZ($A$1,$B10,Z$1,$B$1)</f>
        <v>153670</v>
      </c>
      <c r="AA10" s="100">
        <f>_xll.EQNXTDZ($A$1,$B10,AA$1,$B$1)</f>
        <v>162990</v>
      </c>
      <c r="AB10" s="100">
        <f>_xll.EQNXTDZ($A$1,$B10,AB$1,$B$1)</f>
        <v>178650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0</v>
      </c>
      <c r="D11" s="100">
        <f>_xll.EQNXTDZ($A$1,$B11,D$1,$B$1)</f>
        <v>0</v>
      </c>
      <c r="E11" s="100">
        <f>_xll.EQNXTDZ($A$1,$B11,E$1,$B$1)</f>
        <v>0</v>
      </c>
      <c r="F11" s="100">
        <f>_xll.EQNXTDZ($A$1,$B11,F$1,$B$1)</f>
        <v>0</v>
      </c>
      <c r="G11" s="100">
        <f>_xll.EQNXTDZ($A$1,$B11,G$1,$B$1)</f>
        <v>0</v>
      </c>
      <c r="H11" s="100">
        <f>_xll.EQNXTDZ($A$1,$B11,H$1,$B$1)</f>
        <v>0</v>
      </c>
      <c r="I11" s="100">
        <f>_xll.EQNXTDZ($A$1,$B11,I$1,$B$1)</f>
        <v>0</v>
      </c>
      <c r="J11" s="100">
        <f>_xll.EQNXTDZ($A$1,$B11,J$1,$B$1)</f>
        <v>0</v>
      </c>
      <c r="K11" s="100">
        <f>_xll.EQNXTDZ($A$1,$B11,K$1,$B$1)</f>
        <v>0</v>
      </c>
      <c r="L11" s="100">
        <f>_xll.EQNXTDZ($A$1,$B11,L$1,$B$1)</f>
        <v>0</v>
      </c>
      <c r="M11" s="100">
        <f>_xll.EQNXTDZ($A$1,$B11,M$1,$B$1)</f>
        <v>0</v>
      </c>
      <c r="N11" s="100">
        <f>_xll.EQNXTDZ($A$1,$B11,N$1,$B$1)</f>
        <v>0</v>
      </c>
      <c r="O11" s="100">
        <f>_xll.EQNXTDZ($A$1,$B11,O$1,$B$1)</f>
        <v>0</v>
      </c>
      <c r="P11" s="100">
        <f>_xll.EQNXTDZ($A$1,$B11,P$1,$B$1)</f>
        <v>0</v>
      </c>
      <c r="Q11" s="100">
        <f>_xll.EQNXTDZ($A$1,$B11,Q$1,$B$1)</f>
        <v>0</v>
      </c>
      <c r="R11" s="100">
        <f>_xll.EQNXTDZ($A$1,$B11,R$1,$B$1)</f>
        <v>0</v>
      </c>
      <c r="S11" s="100">
        <f>_xll.EQNXTDZ($A$1,$B11,S$1,$B$1)</f>
        <v>0</v>
      </c>
      <c r="T11" s="100">
        <f>_xll.EQNXTDZ($A$1,$B11,T$1,$B$1)</f>
        <v>0</v>
      </c>
      <c r="U11" s="100">
        <f>_xll.EQNXTDZ($A$1,$B11,U$1,$B$1)</f>
        <v>0</v>
      </c>
      <c r="V11" s="100">
        <f>_xll.EQNXTDZ($A$1,$B11,V$1,$B$1)</f>
        <v>0</v>
      </c>
      <c r="W11" s="100">
        <f>_xll.EQNXTDZ($A$1,$B11,W$1,$B$1)</f>
        <v>0</v>
      </c>
      <c r="X11" s="100">
        <f>_xll.EQNXTDZ($A$1,$B11,X$1,$B$1)</f>
        <v>0</v>
      </c>
      <c r="Y11" s="100">
        <f>_xll.EQNXTDZ($A$1,$B11,Y$1,$B$1)</f>
        <v>0</v>
      </c>
      <c r="Z11" s="100">
        <f>_xll.EQNXTDZ($A$1,$B11,Z$1,$B$1)</f>
        <v>0</v>
      </c>
      <c r="AA11" s="100">
        <f>_xll.EQNXTDZ($A$1,$B11,AA$1,$B$1)</f>
        <v>0</v>
      </c>
      <c r="AB11" s="100">
        <f>_xll.EQNXTDZ($A$1,$B11,AB$1,$B$1)</f>
        <v>0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0</v>
      </c>
      <c r="D12" s="100">
        <f>_xll.EQNXTDZ($A$1,$B12,D$1,$B$1)</f>
        <v>0</v>
      </c>
      <c r="E12" s="100">
        <f>_xll.EQNXTDZ($A$1,$B12,E$1,$B$1)</f>
        <v>0</v>
      </c>
      <c r="F12" s="100">
        <f>_xll.EQNXTDZ($A$1,$B12,F$1,$B$1)</f>
        <v>0</v>
      </c>
      <c r="G12" s="100">
        <f>_xll.EQNXTDZ($A$1,$B12,G$1,$B$1)</f>
        <v>0</v>
      </c>
      <c r="H12" s="100">
        <f>_xll.EQNXTDZ($A$1,$B12,H$1,$B$1)</f>
        <v>0</v>
      </c>
      <c r="I12" s="100">
        <f>_xll.EQNXTDZ($A$1,$B12,I$1,$B$1)</f>
        <v>0</v>
      </c>
      <c r="J12" s="100">
        <f>_xll.EQNXTDZ($A$1,$B12,J$1,$B$1)</f>
        <v>0</v>
      </c>
      <c r="K12" s="100">
        <f>_xll.EQNXTDZ($A$1,$B12,K$1,$B$1)</f>
        <v>0</v>
      </c>
      <c r="L12" s="100">
        <f>_xll.EQNXTDZ($A$1,$B12,L$1,$B$1)</f>
        <v>0</v>
      </c>
      <c r="M12" s="100">
        <f>_xll.EQNXTDZ($A$1,$B12,M$1,$B$1)</f>
        <v>0</v>
      </c>
      <c r="N12" s="100">
        <f>_xll.EQNXTDZ($A$1,$B12,N$1,$B$1)</f>
        <v>0</v>
      </c>
      <c r="O12" s="100">
        <f>_xll.EQNXTDZ($A$1,$B12,O$1,$B$1)</f>
        <v>0</v>
      </c>
      <c r="P12" s="100">
        <f>_xll.EQNXTDZ($A$1,$B12,P$1,$B$1)</f>
        <v>0</v>
      </c>
      <c r="Q12" s="100">
        <f>_xll.EQNXTDZ($A$1,$B12,Q$1,$B$1)</f>
        <v>0</v>
      </c>
      <c r="R12" s="100">
        <f>_xll.EQNXTDZ($A$1,$B12,R$1,$B$1)</f>
        <v>0</v>
      </c>
      <c r="S12" s="100">
        <f>_xll.EQNXTDZ($A$1,$B12,S$1,$B$1)</f>
        <v>0</v>
      </c>
      <c r="T12" s="100">
        <f>_xll.EQNXTDZ($A$1,$B12,T$1,$B$1)</f>
        <v>0</v>
      </c>
      <c r="U12" s="100">
        <f>_xll.EQNXTDZ($A$1,$B12,U$1,$B$1)</f>
        <v>0</v>
      </c>
      <c r="V12" s="100">
        <f>_xll.EQNXTDZ($A$1,$B12,V$1,$B$1)</f>
        <v>0</v>
      </c>
      <c r="W12" s="100">
        <f>_xll.EQNXTDZ($A$1,$B12,W$1,$B$1)</f>
        <v>0</v>
      </c>
      <c r="X12" s="100">
        <f>_xll.EQNXTDZ($A$1,$B12,X$1,$B$1)</f>
        <v>0</v>
      </c>
      <c r="Y12" s="100">
        <f>_xll.EQNXTDZ($A$1,$B12,Y$1,$B$1)</f>
        <v>0</v>
      </c>
      <c r="Z12" s="100">
        <f>_xll.EQNXTDZ($A$1,$B12,Z$1,$B$1)</f>
        <v>0</v>
      </c>
      <c r="AA12" s="100">
        <f>_xll.EQNXTDZ($A$1,$B12,AA$1,$B$1)</f>
        <v>0</v>
      </c>
      <c r="AB12" s="100">
        <f>_xll.EQNXTDZ($A$1,$B12,AB$1,$B$1)</f>
        <v>0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11.784525800000001</v>
      </c>
      <c r="D13" s="100">
        <f>_xll.EQNXTDZ($A$1,$B13,D$1,$B$1)</f>
        <v>18.96</v>
      </c>
      <c r="E13" s="100">
        <f>_xll.EQNXTDZ($A$1,$B13,E$1,$B$1)</f>
        <v>22.99</v>
      </c>
      <c r="F13" s="100">
        <f>_xll.EQNXTDZ($A$1,$B13,F$1,$B$1)</f>
        <v>30.18</v>
      </c>
      <c r="G13" s="100">
        <f>_xll.EQNXTDZ($A$1,$B13,G$1,$B$1)</f>
        <v>44</v>
      </c>
      <c r="H13" s="100">
        <f>_xll.EQNXTDZ($A$1,$B13,H$1,$B$1)</f>
        <v>68</v>
      </c>
      <c r="I13" s="100">
        <f>_xll.EQNXTDZ($A$1,$B13,I$1,$B$1)</f>
        <v>97</v>
      </c>
      <c r="J13" s="100">
        <f>_xll.EQNXTDZ($A$1,$B13,J$1,$B$1)</f>
        <v>122</v>
      </c>
      <c r="K13" s="100">
        <f>_xll.EQNXTDZ($A$1,$B13,K$1,$B$1)</f>
        <v>147</v>
      </c>
      <c r="L13" s="100">
        <f>_xll.EQNXTDZ($A$1,$B13,L$1,$B$1)</f>
        <v>145</v>
      </c>
      <c r="M13" s="100">
        <f>_xll.EQNXTDZ($A$1,$B13,M$1,$B$1)</f>
        <v>167</v>
      </c>
      <c r="N13" s="100">
        <f>_xll.EQNXTDZ($A$1,$B13,N$1,$B$1)</f>
        <v>184</v>
      </c>
      <c r="O13" s="100">
        <f>_xll.EQNXTDZ($A$1,$B13,O$1,$B$1)</f>
        <v>215</v>
      </c>
      <c r="P13" s="100">
        <f>_xll.EQNXTDZ($A$1,$B13,P$1,$B$1)</f>
        <v>219</v>
      </c>
      <c r="Q13" s="100">
        <f>_xll.EQNXTDZ($A$1,$B13,Q$1,$B$1)</f>
        <v>219</v>
      </c>
      <c r="R13" s="100">
        <f>_xll.EQNXTDZ($A$1,$B13,R$1,$B$1)</f>
        <v>217</v>
      </c>
      <c r="S13" s="100">
        <f>_xll.EQNXTDZ($A$1,$B13,S$1,$B$1)</f>
        <v>228</v>
      </c>
      <c r="T13" s="100">
        <f>_xll.EQNXTDZ($A$1,$B13,T$1,$B$1)</f>
        <v>207</v>
      </c>
      <c r="U13" s="100">
        <f>_xll.EQNXTDZ($A$1,$B13,U$1,$B$1)</f>
        <v>221</v>
      </c>
      <c r="V13" s="100">
        <f>_xll.EQNXTDZ($A$1,$B13,V$1,$B$1)</f>
        <v>229</v>
      </c>
      <c r="W13" s="100">
        <f>_xll.EQNXTDZ($A$1,$B13,W$1,$B$1)</f>
        <v>143</v>
      </c>
      <c r="X13" s="100">
        <f>_xll.EQNXTDZ($A$1,$B13,X$1,$B$1)</f>
        <v>132</v>
      </c>
      <c r="Y13" s="100">
        <f>_xll.EQNXTDZ($A$1,$B13,Y$1,$B$1)</f>
        <v>176</v>
      </c>
      <c r="Z13" s="100">
        <f>_xll.EQNXTDZ($A$1,$B13,Z$1,$B$1)</f>
        <v>199</v>
      </c>
      <c r="AA13" s="100">
        <f>_xll.EQNXTDZ($A$1,$B13,AA$1,$B$1)</f>
        <v>222</v>
      </c>
      <c r="AB13" s="100">
        <f>_xll.EQNXTDZ($A$1,$B13,AB$1,$B$1)</f>
        <v>223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715.13365769999996</v>
      </c>
      <c r="D14" s="100">
        <f>_xll.EQNXTDZ($A$1,$B14,D$1,$B$1)</f>
        <v>1114.54</v>
      </c>
      <c r="E14" s="100">
        <f>_xll.EQNXTDZ($A$1,$B14,E$1,$B$1)</f>
        <v>1680.14</v>
      </c>
      <c r="F14" s="100">
        <f>_xll.EQNXTDZ($A$1,$B14,F$1,$B$1)</f>
        <v>2448.0700000000002</v>
      </c>
      <c r="G14" s="100">
        <f>_xll.EQNXTDZ($A$1,$B14,G$1,$B$1)</f>
        <v>3536</v>
      </c>
      <c r="H14" s="100">
        <f>_xll.EQNXTDZ($A$1,$B14,H$1,$B$1)</f>
        <v>4797</v>
      </c>
      <c r="I14" s="100">
        <f>_xll.EQNXTDZ($A$1,$B14,I$1,$B$1)</f>
        <v>7108</v>
      </c>
      <c r="J14" s="100">
        <f>_xll.EQNXTDZ($A$1,$B14,J$1,$B$1)</f>
        <v>8853</v>
      </c>
      <c r="K14" s="100">
        <f>_xll.EQNXTDZ($A$1,$B14,K$1,$B$1)</f>
        <v>11245</v>
      </c>
      <c r="L14" s="100">
        <f>_xll.EQNXTDZ($A$1,$B14,L$1,$B$1)</f>
        <v>12075</v>
      </c>
      <c r="M14" s="100">
        <f>_xll.EQNXTDZ($A$1,$B14,M$1,$B$1)</f>
        <v>14856</v>
      </c>
      <c r="N14" s="100">
        <f>_xll.EQNXTDZ($A$1,$B14,N$1,$B$1)</f>
        <v>18340</v>
      </c>
      <c r="O14" s="100">
        <f>_xll.EQNXTDZ($A$1,$B14,O$1,$B$1)</f>
        <v>22565</v>
      </c>
      <c r="P14" s="100">
        <f>_xll.EQNXTDZ($A$1,$B14,P$1,$B$1)</f>
        <v>28831</v>
      </c>
      <c r="Q14" s="100">
        <f>_xll.EQNXTDZ($A$1,$B14,Q$1,$B$1)</f>
        <v>29802</v>
      </c>
      <c r="R14" s="100">
        <f>_xll.EQNXTDZ($A$1,$B14,R$1,$B$1)</f>
        <v>34406</v>
      </c>
      <c r="S14" s="100">
        <f>_xll.EQNXTDZ($A$1,$B14,S$1,$B$1)</f>
        <v>37659</v>
      </c>
      <c r="T14" s="100">
        <f>_xll.EQNXTDZ($A$1,$B14,T$1,$B$1)</f>
        <v>38893</v>
      </c>
      <c r="U14" s="100">
        <f>_xll.EQNXTDZ($A$1,$B14,U$1,$B$1)</f>
        <v>45315</v>
      </c>
      <c r="V14" s="100">
        <f>_xll.EQNXTDZ($A$1,$B14,V$1,$B$1)</f>
        <v>50887</v>
      </c>
      <c r="W14" s="100">
        <f>_xll.EQNXTDZ($A$1,$B14,W$1,$B$1)</f>
        <v>55541</v>
      </c>
      <c r="X14" s="100">
        <f>_xll.EQNXTDZ($A$1,$B14,X$1,$B$1)</f>
        <v>63986</v>
      </c>
      <c r="Y14" s="100">
        <f>_xll.EQNXTDZ($A$1,$B14,Y$1,$B$1)</f>
        <v>78359</v>
      </c>
      <c r="Z14" s="100">
        <f>_xll.EQNXTDZ($A$1,$B14,Z$1,$B$1)</f>
        <v>82620</v>
      </c>
      <c r="AA14" s="100">
        <f>_xll.EQNXTDZ($A$1,$B14,AA$1,$B$1)</f>
        <v>85950</v>
      </c>
      <c r="AB14" s="100">
        <f>_xll.EQNXTDZ($A$1,$B14,AB$1,$B$1)</f>
        <v>95094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178.5263885</v>
      </c>
      <c r="D15" s="100">
        <f>_xll.EQNXTDZ($A$1,$B15,D$1,$B$1)</f>
        <v>172.45</v>
      </c>
      <c r="E15" s="100">
        <f>_xll.EQNXTDZ($A$1,$B15,E$1,$B$1)</f>
        <v>323.8</v>
      </c>
      <c r="F15" s="100">
        <f>_xll.EQNXTDZ($A$1,$B15,F$1,$B$1)</f>
        <v>263.64999999999998</v>
      </c>
      <c r="G15" s="100">
        <f>_xll.EQNXTDZ($A$1,$B15,G$1,$B$1)</f>
        <v>408</v>
      </c>
      <c r="H15" s="100">
        <f>_xll.EQNXTDZ($A$1,$B15,H$1,$B$1)</f>
        <v>514</v>
      </c>
      <c r="I15" s="100">
        <f>_xll.EQNXTDZ($A$1,$B15,I$1,$B$1)</f>
        <v>707</v>
      </c>
      <c r="J15" s="100">
        <f>_xll.EQNXTDZ($A$1,$B15,J$1,$B$1)</f>
        <v>794</v>
      </c>
      <c r="K15" s="100">
        <f>_xll.EQNXTDZ($A$1,$B15,K$1,$B$1)</f>
        <v>1066</v>
      </c>
      <c r="L15" s="100">
        <f>_xll.EQNXTDZ($A$1,$B15,L$1,$B$1)</f>
        <v>755</v>
      </c>
      <c r="M15" s="100">
        <f>_xll.EQNXTDZ($A$1,$B15,M$1,$B$1)</f>
        <v>1025</v>
      </c>
      <c r="N15" s="100">
        <f>_xll.EQNXTDZ($A$1,$B15,N$1,$B$1)</f>
        <v>1240</v>
      </c>
      <c r="O15" s="100">
        <f>_xll.EQNXTDZ($A$1,$B15,O$1,$B$1)</f>
        <v>1680</v>
      </c>
      <c r="P15" s="100">
        <f>_xll.EQNXTDZ($A$1,$B15,P$1,$B$1)</f>
        <v>278</v>
      </c>
      <c r="Q15" s="100">
        <f>_xll.EQNXTDZ($A$1,$B15,Q$1,$B$1)</f>
        <v>383</v>
      </c>
      <c r="R15" s="100">
        <f>_xll.EQNXTDZ($A$1,$B15,R$1,$B$1)</f>
        <v>49</v>
      </c>
      <c r="S15" s="100">
        <f>_xll.EQNXTDZ($A$1,$B15,S$1,$B$1)</f>
        <v>120</v>
      </c>
      <c r="T15" s="100">
        <f>_xll.EQNXTDZ($A$1,$B15,T$1,$B$1)</f>
        <v>172</v>
      </c>
      <c r="U15" s="100">
        <f>_xll.EQNXTDZ($A$1,$B15,U$1,$B$1)</f>
        <v>48</v>
      </c>
      <c r="V15" s="100">
        <f>_xll.EQNXTDZ($A$1,$B15,V$1,$B$1)</f>
        <v>100</v>
      </c>
      <c r="W15" s="100">
        <f>_xll.EQNXTDZ($A$1,$B15,W$1,$B$1)</f>
        <v>150</v>
      </c>
      <c r="X15" s="100">
        <f>_xll.EQNXTDZ($A$1,$B15,X$1,$B$1)</f>
        <v>224</v>
      </c>
      <c r="Y15" s="100">
        <f>_xll.EQNXTDZ($A$1,$B15,Y$1,$B$1)</f>
        <v>278</v>
      </c>
      <c r="Z15" s="100">
        <f>_xll.EQNXTDZ($A$1,$B15,Z$1,$B$1)</f>
        <v>245</v>
      </c>
      <c r="AA15" s="100">
        <f>_xll.EQNXTDZ($A$1,$B15,AA$1,$B$1)</f>
        <v>227</v>
      </c>
      <c r="AB15" s="100">
        <f>_xll.EQNXTDZ($A$1,$B15,AB$1,$B$1)</f>
        <v>248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37.559550399999999</v>
      </c>
      <c r="D16" s="100">
        <f>_xll.EQNXTDZ($A$1,$B16,D$1,$B$1)</f>
        <v>44.19</v>
      </c>
      <c r="E16" s="100">
        <f>_xll.EQNXTDZ($A$1,$B16,E$1,$B$1)</f>
        <v>94.75</v>
      </c>
      <c r="F16" s="100">
        <f>_xll.EQNXTDZ($A$1,$B16,F$1,$B$1)</f>
        <v>191.39</v>
      </c>
      <c r="G16" s="100">
        <f>_xll.EQNXTDZ($A$1,$B16,G$1,$B$1)</f>
        <v>296</v>
      </c>
      <c r="H16" s="100">
        <f>_xll.EQNXTDZ($A$1,$B16,H$1,$B$1)</f>
        <v>333</v>
      </c>
      <c r="I16" s="100">
        <f>_xll.EQNXTDZ($A$1,$B16,I$1,$B$1)</f>
        <v>518</v>
      </c>
      <c r="J16" s="100">
        <f>_xll.EQNXTDZ($A$1,$B16,J$1,$B$1)</f>
        <v>516</v>
      </c>
      <c r="K16" s="100">
        <f>_xll.EQNXTDZ($A$1,$B16,K$1,$B$1)</f>
        <v>757</v>
      </c>
      <c r="L16" s="100">
        <f>_xll.EQNXTDZ($A$1,$B16,L$1,$B$1)</f>
        <v>725</v>
      </c>
      <c r="M16" s="100">
        <f>_xll.EQNXTDZ($A$1,$B16,M$1,$B$1)</f>
        <v>1092</v>
      </c>
      <c r="N16" s="100">
        <f>_xll.EQNXTDZ($A$1,$B16,N$1,$B$1)</f>
        <v>1431</v>
      </c>
      <c r="O16" s="100">
        <f>_xll.EQNXTDZ($A$1,$B16,O$1,$B$1)</f>
        <v>2236</v>
      </c>
      <c r="P16" s="100">
        <f>_xll.EQNXTDZ($A$1,$B16,P$1,$B$1)</f>
        <v>2933</v>
      </c>
      <c r="Q16" s="100">
        <f>_xll.EQNXTDZ($A$1,$B16,Q$1,$B$1)</f>
        <v>3215</v>
      </c>
      <c r="R16" s="100">
        <f>_xll.EQNXTDZ($A$1,$B16,R$1,$B$1)</f>
        <v>4805</v>
      </c>
      <c r="S16" s="100">
        <f>_xll.EQNXTDZ($A$1,$B16,S$1,$B$1)</f>
        <v>5430</v>
      </c>
      <c r="T16" s="100">
        <f>_xll.EQNXTDZ($A$1,$B16,T$1,$B$1)</f>
        <v>6167</v>
      </c>
      <c r="U16" s="100">
        <f>_xll.EQNXTDZ($A$1,$B16,U$1,$B$1)</f>
        <v>8586</v>
      </c>
      <c r="V16" s="100">
        <f>_xll.EQNXTDZ($A$1,$B16,V$1,$B$1)</f>
        <v>9417</v>
      </c>
      <c r="W16" s="100">
        <f>_xll.EQNXTDZ($A$1,$B16,W$1,$B$1)</f>
        <v>11307</v>
      </c>
      <c r="X16" s="100">
        <f>_xll.EQNXTDZ($A$1,$B16,X$1,$B$1)</f>
        <v>19417</v>
      </c>
      <c r="Y16" s="100">
        <f>_xll.EQNXTDZ($A$1,$B16,Y$1,$B$1)</f>
        <v>24964</v>
      </c>
      <c r="Z16" s="100">
        <f>_xll.EQNXTDZ($A$1,$B16,Z$1,$B$1)</f>
        <v>25747</v>
      </c>
      <c r="AA16" s="100">
        <f>_xll.EQNXTDZ($A$1,$B16,AA$1,$B$1)</f>
        <v>28848</v>
      </c>
      <c r="AB16" s="100">
        <f>_xll.EQNXTDZ($A$1,$B16,AB$1,$B$1)</f>
        <v>31143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139.0900183</v>
      </c>
      <c r="D17" s="100">
        <f>_xll.EQNXTDZ($A$1,$B17,D$1,$B$1)</f>
        <v>158.03</v>
      </c>
      <c r="E17" s="100">
        <f>_xll.EQNXTDZ($A$1,$B17,E$1,$B$1)</f>
        <v>186.71</v>
      </c>
      <c r="F17" s="100">
        <f>_xll.EQNXTDZ($A$1,$B17,F$1,$B$1)</f>
        <v>228.47</v>
      </c>
      <c r="G17" s="100">
        <f>_xll.EQNXTDZ($A$1,$B17,G$1,$B$1)</f>
        <v>367</v>
      </c>
      <c r="H17" s="100">
        <f>_xll.EQNXTDZ($A$1,$B17,H$1,$B$1)</f>
        <v>577</v>
      </c>
      <c r="I17" s="100">
        <f>_xll.EQNXTDZ($A$1,$B17,I$1,$B$1)</f>
        <v>758</v>
      </c>
      <c r="J17" s="100">
        <f>_xll.EQNXTDZ($A$1,$B17,J$1,$B$1)</f>
        <v>881</v>
      </c>
      <c r="K17" s="100">
        <f>_xll.EQNXTDZ($A$1,$B17,K$1,$B$1)</f>
        <v>1030</v>
      </c>
      <c r="L17" s="100">
        <f>_xll.EQNXTDZ($A$1,$B17,L$1,$B$1)</f>
        <v>997</v>
      </c>
      <c r="M17" s="100">
        <f>_xll.EQNXTDZ($A$1,$B17,M$1,$B$1)</f>
        <v>1213</v>
      </c>
      <c r="N17" s="100">
        <f>_xll.EQNXTDZ($A$1,$B17,N$1,$B$1)</f>
        <v>1519</v>
      </c>
      <c r="O17" s="100">
        <f>_xll.EQNXTDZ($A$1,$B17,O$1,$B$1)</f>
        <v>1747</v>
      </c>
      <c r="P17" s="100">
        <f>_xll.EQNXTDZ($A$1,$B17,P$1,$B$1)</f>
        <v>4024</v>
      </c>
      <c r="Q17" s="100">
        <f>_xll.EQNXTDZ($A$1,$B17,Q$1,$B$1)</f>
        <v>4011</v>
      </c>
      <c r="R17" s="100">
        <f>_xll.EQNXTDZ($A$1,$B17,R$1,$B$1)</f>
        <v>5368</v>
      </c>
      <c r="S17" s="100">
        <f>_xll.EQNXTDZ($A$1,$B17,S$1,$B$1)</f>
        <v>5731</v>
      </c>
      <c r="T17" s="100">
        <f>_xll.EQNXTDZ($A$1,$B17,T$1,$B$1)</f>
        <v>5540</v>
      </c>
      <c r="U17" s="100">
        <f>_xll.EQNXTDZ($A$1,$B17,U$1,$B$1)</f>
        <v>6611</v>
      </c>
      <c r="V17" s="100">
        <f>_xll.EQNXTDZ($A$1,$B17,V$1,$B$1)</f>
        <v>6806</v>
      </c>
      <c r="W17" s="100">
        <f>_xll.EQNXTDZ($A$1,$B17,W$1,$B$1)</f>
        <v>4458</v>
      </c>
      <c r="X17" s="100">
        <f>_xll.EQNXTDZ($A$1,$B17,X$1,$B$1)</f>
        <v>5242</v>
      </c>
      <c r="Y17" s="100">
        <f>_xll.EQNXTDZ($A$1,$B17,Y$1,$B$1)</f>
        <v>6201</v>
      </c>
      <c r="Z17" s="100">
        <f>_xll.EQNXTDZ($A$1,$B17,Z$1,$B$1)</f>
        <v>6773</v>
      </c>
      <c r="AA17" s="100">
        <f>_xll.EQNXTDZ($A$1,$B17,AA$1,$B$1)</f>
        <v>6761</v>
      </c>
      <c r="AB17" s="100">
        <f>_xll.EQNXTDZ($A$1,$B17,AB$1,$B$1)</f>
        <v>7822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23.588720800000001</v>
      </c>
      <c r="D18" s="100">
        <f>_xll.EQNXTDZ($A$1,$B18,D$1,$B$1)</f>
        <v>32.18</v>
      </c>
      <c r="E18" s="100">
        <f>_xll.EQNXTDZ($A$1,$B18,E$1,$B$1)</f>
        <v>53.54</v>
      </c>
      <c r="F18" s="100">
        <f>_xll.EQNXTDZ($A$1,$B18,F$1,$B$1)</f>
        <v>54.82</v>
      </c>
      <c r="G18" s="100">
        <f>_xll.EQNXTDZ($A$1,$B18,G$1,$B$1)</f>
        <v>85</v>
      </c>
      <c r="H18" s="100">
        <f>_xll.EQNXTDZ($A$1,$B18,H$1,$B$1)</f>
        <v>109</v>
      </c>
      <c r="I18" s="100">
        <f>_xll.EQNXTDZ($A$1,$B18,I$1,$B$1)</f>
        <v>210</v>
      </c>
      <c r="J18" s="100">
        <f>_xll.EQNXTDZ($A$1,$B18,J$1,$B$1)</f>
        <v>155</v>
      </c>
      <c r="K18" s="100">
        <f>_xll.EQNXTDZ($A$1,$B18,K$1,$B$1)</f>
        <v>101</v>
      </c>
      <c r="L18" s="100">
        <f>_xll.EQNXTDZ($A$1,$B18,L$1,$B$1)</f>
        <v>92</v>
      </c>
      <c r="M18" s="100">
        <f>_xll.EQNXTDZ($A$1,$B18,M$1,$B$1)</f>
        <v>118</v>
      </c>
      <c r="N18" s="100">
        <f>_xll.EQNXTDZ($A$1,$B18,N$1,$B$1)</f>
        <v>152</v>
      </c>
      <c r="O18" s="100">
        <f>_xll.EQNXTDZ($A$1,$B18,O$1,$B$1)</f>
        <v>170</v>
      </c>
      <c r="P18" s="100">
        <f>_xll.EQNXTDZ($A$1,$B18,P$1,$B$1)</f>
        <v>88</v>
      </c>
      <c r="Q18" s="100">
        <f>_xll.EQNXTDZ($A$1,$B18,Q$1,$B$1)</f>
        <v>158</v>
      </c>
      <c r="R18" s="100">
        <f>_xll.EQNXTDZ($A$1,$B18,R$1,$B$1)</f>
        <v>198</v>
      </c>
      <c r="S18" s="100">
        <f>_xll.EQNXTDZ($A$1,$B18,S$1,$B$1)</f>
        <v>342</v>
      </c>
      <c r="T18" s="100">
        <f>_xll.EQNXTDZ($A$1,$B18,T$1,$B$1)</f>
        <v>305</v>
      </c>
      <c r="U18" s="100">
        <f>_xll.EQNXTDZ($A$1,$B18,U$1,$B$1)</f>
        <v>489</v>
      </c>
      <c r="V18" s="100">
        <f>_xll.EQNXTDZ($A$1,$B18,V$1,$B$1)</f>
        <v>528</v>
      </c>
      <c r="W18" s="100">
        <f>_xll.EQNXTDZ($A$1,$B18,W$1,$B$1)</f>
        <v>355</v>
      </c>
      <c r="X18" s="100">
        <f>_xll.EQNXTDZ($A$1,$B18,X$1,$B$1)</f>
        <v>553</v>
      </c>
      <c r="Y18" s="100">
        <f>_xll.EQNXTDZ($A$1,$B18,Y$1,$B$1)</f>
        <v>905</v>
      </c>
      <c r="Z18" s="100">
        <f>_xll.EQNXTDZ($A$1,$B18,Z$1,$B$1)</f>
        <v>1007</v>
      </c>
      <c r="AA18" s="100">
        <f>_xll.EQNXTDZ($A$1,$B18,AA$1,$B$1)</f>
        <v>1223</v>
      </c>
      <c r="AB18" s="100">
        <f>_xll.EQNXTDZ($A$1,$B18,AB$1,$B$1)</f>
        <v>1351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44.736813099999999</v>
      </c>
      <c r="D19" s="100">
        <f>_xll.EQNXTDZ($A$1,$B19,D$1,$B$1)</f>
        <v>24.9</v>
      </c>
      <c r="E19" s="100">
        <f>_xll.EQNXTDZ($A$1,$B19,E$1,$B$1)</f>
        <v>37.69</v>
      </c>
      <c r="F19" s="100">
        <f>_xll.EQNXTDZ($A$1,$B19,F$1,$B$1)</f>
        <v>51.1</v>
      </c>
      <c r="G19" s="100">
        <f>_xll.EQNXTDZ($A$1,$B19,G$1,$B$1)</f>
        <v>58</v>
      </c>
      <c r="H19" s="100">
        <f>_xll.EQNXTDZ($A$1,$B19,H$1,$B$1)</f>
        <v>125</v>
      </c>
      <c r="I19" s="100">
        <f>_xll.EQNXTDZ($A$1,$B19,I$1,$B$1)</f>
        <v>105</v>
      </c>
      <c r="J19" s="100">
        <f>_xll.EQNXTDZ($A$1,$B19,J$1,$B$1)</f>
        <v>134</v>
      </c>
      <c r="K19" s="100">
        <f>_xll.EQNXTDZ($A$1,$B19,K$1,$B$1)</f>
        <v>590</v>
      </c>
      <c r="L19" s="100">
        <f>_xll.EQNXTDZ($A$1,$B19,L$1,$B$1)</f>
        <v>92</v>
      </c>
      <c r="M19" s="100">
        <f>_xll.EQNXTDZ($A$1,$B19,M$1,$B$1)</f>
        <v>60</v>
      </c>
      <c r="N19" s="100">
        <f>_xll.EQNXTDZ($A$1,$B19,N$1,$B$1)</f>
        <v>141</v>
      </c>
      <c r="O19" s="100">
        <f>_xll.EQNXTDZ($A$1,$B19,O$1,$B$1)</f>
        <v>201</v>
      </c>
      <c r="P19" s="100">
        <f>_xll.EQNXTDZ($A$1,$B19,P$1,$B$1)</f>
        <v>370</v>
      </c>
      <c r="Q19" s="100">
        <f>_xll.EQNXTDZ($A$1,$B19,Q$1,$B$1)</f>
        <v>648</v>
      </c>
      <c r="R19" s="100">
        <f>_xll.EQNXTDZ($A$1,$B19,R$1,$B$1)</f>
        <v>365</v>
      </c>
      <c r="S19" s="100">
        <f>_xll.EQNXTDZ($A$1,$B19,S$1,$B$1)</f>
        <v>729</v>
      </c>
      <c r="T19" s="100">
        <f>_xll.EQNXTDZ($A$1,$B19,T$1,$B$1)</f>
        <v>345</v>
      </c>
      <c r="U19" s="100">
        <f>_xll.EQNXTDZ($A$1,$B19,U$1,$B$1)</f>
        <v>1235</v>
      </c>
      <c r="V19" s="100">
        <f>_xll.EQNXTDZ($A$1,$B19,V$1,$B$1)</f>
        <v>1068</v>
      </c>
      <c r="W19" s="100">
        <f>_xll.EQNXTDZ($A$1,$B19,W$1,$B$1)</f>
        <v>975</v>
      </c>
      <c r="X19" s="100">
        <f>_xll.EQNXTDZ($A$1,$B19,X$1,$B$1)</f>
        <v>596</v>
      </c>
      <c r="Y19" s="100">
        <f>_xll.EQNXTDZ($A$1,$B19,Y$1,$B$1)</f>
        <v>1401</v>
      </c>
      <c r="Z19" s="100">
        <f>_xll.EQNXTDZ($A$1,$B19,Z$1,$B$1)</f>
        <v>654</v>
      </c>
      <c r="AA19" s="100">
        <f>_xll.EQNXTDZ($A$1,$B19,AA$1,$B$1)</f>
        <v>838</v>
      </c>
      <c r="AB19" s="100">
        <f>_xll.EQNXTDZ($A$1,$B19,AB$1,$B$1)</f>
        <v>3107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0</v>
      </c>
      <c r="E20" s="100">
        <f>_xll.EQNXTDZ($A$1,$B20,E$1,$B$1)</f>
        <v>0</v>
      </c>
      <c r="F20" s="100">
        <f>_xll.EQNXTDZ($A$1,$B20,F$1,$B$1)</f>
        <v>0</v>
      </c>
      <c r="G20" s="100">
        <f>_xll.EQNXTDZ($A$1,$B20,G$1,$B$1)</f>
        <v>0</v>
      </c>
      <c r="H20" s="100">
        <f>_xll.EQNXTDZ($A$1,$B20,H$1,$B$1)</f>
        <v>0</v>
      </c>
      <c r="I20" s="100">
        <f>_xll.EQNXTDZ($A$1,$B20,I$1,$B$1)</f>
        <v>0</v>
      </c>
      <c r="J20" s="100">
        <f>_xll.EQNXTDZ($A$1,$B20,J$1,$B$1)</f>
        <v>0</v>
      </c>
      <c r="K20" s="100">
        <f>_xll.EQNXTDZ($A$1,$B20,K$1,$B$1)</f>
        <v>0</v>
      </c>
      <c r="L20" s="100">
        <f>_xll.EQNXTDZ($A$1,$B20,L$1,$B$1)</f>
        <v>0</v>
      </c>
      <c r="M20" s="100">
        <f>_xll.EQNXTDZ($A$1,$B20,M$1,$B$1)</f>
        <v>0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1150.4196746</v>
      </c>
      <c r="D21" s="100">
        <f>_xll.EQNXTDZ($A$1,$B21,D$1,$B$1)</f>
        <v>1565.25</v>
      </c>
      <c r="E21" s="100">
        <f>_xll.EQNXTDZ($A$1,$B21,E$1,$B$1)</f>
        <v>2399.62</v>
      </c>
      <c r="F21" s="100">
        <f>_xll.EQNXTDZ($A$1,$B21,F$1,$B$1)</f>
        <v>3267.68</v>
      </c>
      <c r="G21" s="100">
        <f>_xll.EQNXTDZ($A$1,$B21,G$1,$B$1)</f>
        <v>4794</v>
      </c>
      <c r="H21" s="100">
        <f>_xll.EQNXTDZ($A$1,$B21,H$1,$B$1)</f>
        <v>6523</v>
      </c>
      <c r="I21" s="100">
        <f>_xll.EQNXTDZ($A$1,$B21,I$1,$B$1)</f>
        <v>9503</v>
      </c>
      <c r="J21" s="100">
        <f>_xll.EQNXTDZ($A$1,$B21,J$1,$B$1)</f>
        <v>11455</v>
      </c>
      <c r="K21" s="100">
        <f>_xll.EQNXTDZ($A$1,$B21,K$1,$B$1)</f>
        <v>14936</v>
      </c>
      <c r="L21" s="100">
        <f>_xll.EQNXTDZ($A$1,$B21,L$1,$B$1)</f>
        <v>14881</v>
      </c>
      <c r="M21" s="100">
        <f>_xll.EQNXTDZ($A$1,$B21,M$1,$B$1)</f>
        <v>18531</v>
      </c>
      <c r="N21" s="100">
        <f>_xll.EQNXTDZ($A$1,$B21,N$1,$B$1)</f>
        <v>23007</v>
      </c>
      <c r="O21" s="100">
        <f>_xll.EQNXTDZ($A$1,$B21,O$1,$B$1)</f>
        <v>28814</v>
      </c>
      <c r="P21" s="100">
        <f>_xll.EQNXTDZ($A$1,$B21,P$1,$B$1)</f>
        <v>36743</v>
      </c>
      <c r="Q21" s="100">
        <f>_xll.EQNXTDZ($A$1,$B21,Q$1,$B$1)</f>
        <v>38436</v>
      </c>
      <c r="R21" s="100">
        <f>_xll.EQNXTDZ($A$1,$B21,R$1,$B$1)</f>
        <v>45408</v>
      </c>
      <c r="S21" s="100">
        <f>_xll.EQNXTDZ($A$1,$B21,S$1,$B$1)</f>
        <v>50239</v>
      </c>
      <c r="T21" s="100">
        <f>_xll.EQNXTDZ($A$1,$B21,T$1,$B$1)</f>
        <v>51629</v>
      </c>
      <c r="U21" s="100">
        <f>_xll.EQNXTDZ($A$1,$B21,U$1,$B$1)</f>
        <v>62505</v>
      </c>
      <c r="V21" s="100">
        <f>_xll.EQNXTDZ($A$1,$B21,V$1,$B$1)</f>
        <v>69035</v>
      </c>
      <c r="W21" s="100">
        <f>_xll.EQNXTDZ($A$1,$B21,W$1,$B$1)</f>
        <v>72929</v>
      </c>
      <c r="X21" s="100">
        <f>_xll.EQNXTDZ($A$1,$B21,X$1,$B$1)</f>
        <v>90150</v>
      </c>
      <c r="Y21" s="100">
        <f>_xll.EQNXTDZ($A$1,$B21,Y$1,$B$1)</f>
        <v>112284</v>
      </c>
      <c r="Z21" s="100">
        <f>_xll.EQNXTDZ($A$1,$B21,Z$1,$B$1)</f>
        <v>117245</v>
      </c>
      <c r="AA21" s="100">
        <f>_xll.EQNXTDZ($A$1,$B21,AA$1,$B$1)</f>
        <v>124069</v>
      </c>
      <c r="AB21" s="100">
        <f>_xll.EQNXTDZ($A$1,$B21,AB$1,$B$1)</f>
        <v>138988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750.14620609999997</v>
      </c>
      <c r="D22" s="100">
        <f>_xll.EQNXTDZ($A$1,$B22,D$1,$B$1)</f>
        <v>1038.3399999999999</v>
      </c>
      <c r="E22" s="100">
        <f>_xll.EQNXTDZ($A$1,$B22,E$1,$B$1)</f>
        <v>1240.3599999999999</v>
      </c>
      <c r="F22" s="100">
        <f>_xll.EQNXTDZ($A$1,$B22,F$1,$B$1)</f>
        <v>1585.27</v>
      </c>
      <c r="G22" s="100">
        <f>_xll.EQNXTDZ($A$1,$B22,G$1,$B$1)</f>
        <v>2336</v>
      </c>
      <c r="H22" s="100">
        <f>_xll.EQNXTDZ($A$1,$B22,H$1,$B$1)</f>
        <v>2998</v>
      </c>
      <c r="I22" s="100">
        <f>_xll.EQNXTDZ($A$1,$B22,I$1,$B$1)</f>
        <v>4390</v>
      </c>
      <c r="J22" s="100">
        <f>_xll.EQNXTDZ($A$1,$B22,J$1,$B$1)</f>
        <v>5237</v>
      </c>
      <c r="K22" s="100">
        <f>_xll.EQNXTDZ($A$1,$B22,K$1,$B$1)</f>
        <v>6757</v>
      </c>
      <c r="L22" s="100">
        <f>_xll.EQNXTDZ($A$1,$B22,L$1,$B$1)</f>
        <v>7861</v>
      </c>
      <c r="M22" s="100">
        <f>_xll.EQNXTDZ($A$1,$B22,M$1,$B$1)</f>
        <v>8970</v>
      </c>
      <c r="N22" s="100">
        <f>_xll.EQNXTDZ($A$1,$B22,N$1,$B$1)</f>
        <v>10727</v>
      </c>
      <c r="O22" s="100">
        <f>_xll.EQNXTDZ($A$1,$B22,O$1,$B$1)</f>
        <v>11538</v>
      </c>
      <c r="P22" s="100">
        <f>_xll.EQNXTDZ($A$1,$B22,P$1,$B$1)</f>
        <v>13390</v>
      </c>
      <c r="Q22" s="100">
        <f>_xll.EQNXTDZ($A$1,$B22,Q$1,$B$1)</f>
        <v>14883</v>
      </c>
      <c r="R22" s="100">
        <f>_xll.EQNXTDZ($A$1,$B22,R$1,$B$1)</f>
        <v>17033</v>
      </c>
      <c r="S22" s="100">
        <f>_xll.EQNXTDZ($A$1,$B22,S$1,$B$1)</f>
        <v>18245</v>
      </c>
      <c r="T22" s="100">
        <f>_xll.EQNXTDZ($A$1,$B22,T$1,$B$1)</f>
        <v>18893</v>
      </c>
      <c r="U22" s="100">
        <f>_xll.EQNXTDZ($A$1,$B22,U$1,$B$1)</f>
        <v>20170</v>
      </c>
      <c r="V22" s="100">
        <f>_xll.EQNXTDZ($A$1,$B22,V$1,$B$1)</f>
        <v>21756</v>
      </c>
      <c r="W22" s="100">
        <f>_xll.EQNXTDZ($A$1,$B22,W$1,$B$1)</f>
        <v>27543</v>
      </c>
      <c r="X22" s="100">
        <f>_xll.EQNXTDZ($A$1,$B22,X$1,$B$1)</f>
        <v>31491</v>
      </c>
      <c r="Y22" s="100">
        <f>_xll.EQNXTDZ($A$1,$B22,Y$1,$B$1)</f>
        <v>34483</v>
      </c>
      <c r="Z22" s="100">
        <f>_xll.EQNXTDZ($A$1,$B22,Z$1,$B$1)</f>
        <v>36425</v>
      </c>
      <c r="AA22" s="100">
        <f>_xll.EQNXTDZ($A$1,$B22,AA$1,$B$1)</f>
        <v>38921</v>
      </c>
      <c r="AB22" s="100">
        <f>_xll.EQNXTDZ($A$1,$B22,AB$1,$B$1)</f>
        <v>39662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59.371491499999998</v>
      </c>
      <c r="D23" s="100">
        <f>_xll.EQNXTDZ($A$1,$B23,D$1,$B$1)</f>
        <v>66.41</v>
      </c>
      <c r="E23" s="100">
        <f>_xll.EQNXTDZ($A$1,$B23,E$1,$B$1)</f>
        <v>106.51</v>
      </c>
      <c r="F23" s="100">
        <f>_xll.EQNXTDZ($A$1,$B23,F$1,$B$1)</f>
        <v>123.38</v>
      </c>
      <c r="G23" s="100">
        <f>_xll.EQNXTDZ($A$1,$B23,G$1,$B$1)</f>
        <v>124</v>
      </c>
      <c r="H23" s="100">
        <f>_xll.EQNXTDZ($A$1,$B23,H$1,$B$1)</f>
        <v>232</v>
      </c>
      <c r="I23" s="100">
        <f>_xll.EQNXTDZ($A$1,$B23,I$1,$B$1)</f>
        <v>372</v>
      </c>
      <c r="J23" s="100">
        <f>_xll.EQNXTDZ($A$1,$B23,J$1,$B$1)</f>
        <v>706</v>
      </c>
      <c r="K23" s="100">
        <f>_xll.EQNXTDZ($A$1,$B23,K$1,$B$1)</f>
        <v>914</v>
      </c>
      <c r="L23" s="100">
        <f>_xll.EQNXTDZ($A$1,$B23,L$1,$B$1)</f>
        <v>945</v>
      </c>
      <c r="M23" s="100">
        <f>_xll.EQNXTDZ($A$1,$B23,M$1,$B$1)</f>
        <v>1211</v>
      </c>
      <c r="N23" s="100">
        <f>_xll.EQNXTDZ($A$1,$B23,N$1,$B$1)</f>
        <v>1904</v>
      </c>
      <c r="O23" s="100">
        <f>_xll.EQNXTDZ($A$1,$B23,O$1,$B$1)</f>
        <v>2365</v>
      </c>
      <c r="P23" s="100">
        <f>_xll.EQNXTDZ($A$1,$B23,P$1,$B$1)</f>
        <v>2664</v>
      </c>
      <c r="Q23" s="100">
        <f>_xll.EQNXTDZ($A$1,$B23,Q$1,$B$1)</f>
        <v>3430</v>
      </c>
      <c r="R23" s="100">
        <f>_xll.EQNXTDZ($A$1,$B23,R$1,$B$1)</f>
        <v>3169</v>
      </c>
      <c r="S23" s="100">
        <f>_xll.EQNXTDZ($A$1,$B23,S$1,$B$1)</f>
        <v>3439</v>
      </c>
      <c r="T23" s="100">
        <f>_xll.EQNXTDZ($A$1,$B23,T$1,$B$1)</f>
        <v>3311</v>
      </c>
      <c r="U23" s="100">
        <f>_xll.EQNXTDZ($A$1,$B23,U$1,$B$1)</f>
        <v>2882</v>
      </c>
      <c r="V23" s="100">
        <f>_xll.EQNXTDZ($A$1,$B23,V$1,$B$1)</f>
        <v>3314</v>
      </c>
      <c r="W23" s="100">
        <f>_xll.EQNXTDZ($A$1,$B23,W$1,$B$1)</f>
        <v>2547</v>
      </c>
      <c r="X23" s="100">
        <f>_xll.EQNXTDZ($A$1,$B23,X$1,$B$1)</f>
        <v>2295</v>
      </c>
      <c r="Y23" s="100">
        <f>_xll.EQNXTDZ($A$1,$B23,Y$1,$B$1)</f>
        <v>3348</v>
      </c>
      <c r="Z23" s="100">
        <f>_xll.EQNXTDZ($A$1,$B23,Z$1,$B$1)</f>
        <v>4711</v>
      </c>
      <c r="AA23" s="100">
        <f>_xll.EQNXTDZ($A$1,$B23,AA$1,$B$1)</f>
        <v>3915</v>
      </c>
      <c r="AB23" s="100">
        <f>_xll.EQNXTDZ($A$1,$B23,AB$1,$B$1)</f>
        <v>6940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809.51769760000002</v>
      </c>
      <c r="D24" s="100">
        <f>_xll.EQNXTDZ($A$1,$B24,D$1,$B$1)</f>
        <v>1104.75</v>
      </c>
      <c r="E24" s="100">
        <f>_xll.EQNXTDZ($A$1,$B24,E$1,$B$1)</f>
        <v>1346.87</v>
      </c>
      <c r="F24" s="100">
        <f>_xll.EQNXTDZ($A$1,$B24,F$1,$B$1)</f>
        <v>1708.65</v>
      </c>
      <c r="G24" s="100">
        <f>_xll.EQNXTDZ($A$1,$B24,G$1,$B$1)</f>
        <v>2460</v>
      </c>
      <c r="H24" s="100">
        <f>_xll.EQNXTDZ($A$1,$B24,H$1,$B$1)</f>
        <v>3230</v>
      </c>
      <c r="I24" s="100">
        <f>_xll.EQNXTDZ($A$1,$B24,I$1,$B$1)</f>
        <v>4762</v>
      </c>
      <c r="J24" s="100">
        <f>_xll.EQNXTDZ($A$1,$B24,J$1,$B$1)</f>
        <v>5943</v>
      </c>
      <c r="K24" s="100">
        <f>_xll.EQNXTDZ($A$1,$B24,K$1,$B$1)</f>
        <v>7671</v>
      </c>
      <c r="L24" s="100">
        <f>_xll.EQNXTDZ($A$1,$B24,L$1,$B$1)</f>
        <v>8806</v>
      </c>
      <c r="M24" s="100">
        <f>_xll.EQNXTDZ($A$1,$B24,M$1,$B$1)</f>
        <v>10181</v>
      </c>
      <c r="N24" s="100">
        <f>_xll.EQNXTDZ($A$1,$B24,N$1,$B$1)</f>
        <v>12631</v>
      </c>
      <c r="O24" s="100">
        <f>_xll.EQNXTDZ($A$1,$B24,O$1,$B$1)</f>
        <v>13903</v>
      </c>
      <c r="P24" s="100">
        <f>_xll.EQNXTDZ($A$1,$B24,P$1,$B$1)</f>
        <v>16054</v>
      </c>
      <c r="Q24" s="100">
        <f>_xll.EQNXTDZ($A$1,$B24,Q$1,$B$1)</f>
        <v>18313</v>
      </c>
      <c r="R24" s="100">
        <f>_xll.EQNXTDZ($A$1,$B24,R$1,$B$1)</f>
        <v>20202</v>
      </c>
      <c r="S24" s="100">
        <f>_xll.EQNXTDZ($A$1,$B24,S$1,$B$1)</f>
        <v>21684</v>
      </c>
      <c r="T24" s="100">
        <f>_xll.EQNXTDZ($A$1,$B24,T$1,$B$1)</f>
        <v>22204</v>
      </c>
      <c r="U24" s="100">
        <f>_xll.EQNXTDZ($A$1,$B24,U$1,$B$1)</f>
        <v>23052</v>
      </c>
      <c r="V24" s="100">
        <f>_xll.EQNXTDZ($A$1,$B24,V$1,$B$1)</f>
        <v>25070</v>
      </c>
      <c r="W24" s="100">
        <f>_xll.EQNXTDZ($A$1,$B24,W$1,$B$1)</f>
        <v>30090</v>
      </c>
      <c r="X24" s="100">
        <f>_xll.EQNXTDZ($A$1,$B24,X$1,$B$1)</f>
        <v>33786</v>
      </c>
      <c r="Y24" s="100">
        <f>_xll.EQNXTDZ($A$1,$B24,Y$1,$B$1)</f>
        <v>37831</v>
      </c>
      <c r="Z24" s="100">
        <f>_xll.EQNXTDZ($A$1,$B24,Z$1,$B$1)</f>
        <v>41136</v>
      </c>
      <c r="AA24" s="100">
        <f>_xll.EQNXTDZ($A$1,$B24,AA$1,$B$1)</f>
        <v>42836</v>
      </c>
      <c r="AB24" s="100">
        <f>_xll.EQNXTDZ($A$1,$B24,AB$1,$B$1)</f>
        <v>46602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0.59394829999999998</v>
      </c>
      <c r="D25" s="100">
        <f>_xll.EQNXTDZ($A$1,$B25,D$1,$B$1)</f>
        <v>0.71</v>
      </c>
      <c r="E25" s="100">
        <f>_xll.EQNXTDZ($A$1,$B25,E$1,$B$1)</f>
        <v>0.76</v>
      </c>
      <c r="F25" s="100">
        <f>_xll.EQNXTDZ($A$1,$B25,F$1,$B$1)</f>
        <v>0.75</v>
      </c>
      <c r="G25" s="100">
        <f>_xll.EQNXTDZ($A$1,$B25,G$1,$B$1)</f>
        <v>1</v>
      </c>
      <c r="H25" s="100">
        <f>_xll.EQNXTDZ($A$1,$B25,H$1,$B$1)</f>
        <v>1</v>
      </c>
      <c r="I25" s="100">
        <f>_xll.EQNXTDZ($A$1,$B25,I$1,$B$1)</f>
        <v>1</v>
      </c>
      <c r="J25" s="100">
        <f>_xll.EQNXTDZ($A$1,$B25,J$1,$B$1)</f>
        <v>1</v>
      </c>
      <c r="K25" s="100">
        <f>_xll.EQNXTDZ($A$1,$B25,K$1,$B$1)</f>
        <v>3</v>
      </c>
      <c r="L25" s="100">
        <f>_xll.EQNXTDZ($A$1,$B25,L$1,$B$1)</f>
        <v>2</v>
      </c>
      <c r="M25" s="100">
        <f>_xll.EQNXTDZ($A$1,$B25,M$1,$B$1)</f>
        <v>2</v>
      </c>
      <c r="N25" s="100">
        <f>_xll.EQNXTDZ($A$1,$B25,N$1,$B$1)</f>
        <v>4</v>
      </c>
      <c r="O25" s="100">
        <f>_xll.EQNXTDZ($A$1,$B25,O$1,$B$1)</f>
        <v>5</v>
      </c>
      <c r="P25" s="100">
        <f>_xll.EQNXTDZ($A$1,$B25,P$1,$B$1)</f>
        <v>9</v>
      </c>
      <c r="Q25" s="100">
        <f>_xll.EQNXTDZ($A$1,$B25,Q$1,$B$1)</f>
        <v>12</v>
      </c>
      <c r="R25" s="100">
        <f>_xll.EQNXTDZ($A$1,$B25,R$1,$B$1)</f>
        <v>0</v>
      </c>
      <c r="S25" s="100">
        <f>_xll.EQNXTDZ($A$1,$B25,S$1,$B$1)</f>
        <v>0</v>
      </c>
      <c r="T25" s="100">
        <f>_xll.EQNXTDZ($A$1,$B25,T$1,$B$1)</f>
        <v>0</v>
      </c>
      <c r="U25" s="100">
        <f>_xll.EQNXTDZ($A$1,$B25,U$1,$B$1)</f>
        <v>0</v>
      </c>
      <c r="V25" s="100">
        <f>_xll.EQNXTDZ($A$1,$B25,V$1,$B$1)</f>
        <v>170</v>
      </c>
      <c r="W25" s="100">
        <f>_xll.EQNXTDZ($A$1,$B25,W$1,$B$1)</f>
        <v>195</v>
      </c>
      <c r="X25" s="100">
        <f>_xll.EQNXTDZ($A$1,$B25,X$1,$B$1)</f>
        <v>200</v>
      </c>
      <c r="Y25" s="100">
        <f>_xll.EQNXTDZ($A$1,$B25,Y$1,$B$1)</f>
        <v>284</v>
      </c>
      <c r="Z25" s="100">
        <f>_xll.EQNXTDZ($A$1,$B25,Z$1,$B$1)</f>
        <v>470</v>
      </c>
      <c r="AA25" s="100">
        <f>_xll.EQNXTDZ($A$1,$B25,AA$1,$B$1)</f>
        <v>416</v>
      </c>
      <c r="AB25" s="100">
        <f>_xll.EQNXTDZ($A$1,$B25,AB$1,$B$1)</f>
        <v>416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808.92374930000005</v>
      </c>
      <c r="D26" s="100">
        <f>_xll.EQNXTDZ($A$1,$B26,D$1,$B$1)</f>
        <v>1104.04</v>
      </c>
      <c r="E26" s="100">
        <f>_xll.EQNXTDZ($A$1,$B26,E$1,$B$1)</f>
        <v>1346.11</v>
      </c>
      <c r="F26" s="100">
        <f>_xll.EQNXTDZ($A$1,$B26,F$1,$B$1)</f>
        <v>1707.9</v>
      </c>
      <c r="G26" s="100">
        <f>_xll.EQNXTDZ($A$1,$B26,G$1,$B$1)</f>
        <v>2459</v>
      </c>
      <c r="H26" s="100">
        <f>_xll.EQNXTDZ($A$1,$B26,H$1,$B$1)</f>
        <v>3229</v>
      </c>
      <c r="I26" s="100">
        <f>_xll.EQNXTDZ($A$1,$B26,I$1,$B$1)</f>
        <v>4761</v>
      </c>
      <c r="J26" s="100">
        <f>_xll.EQNXTDZ($A$1,$B26,J$1,$B$1)</f>
        <v>5942</v>
      </c>
      <c r="K26" s="100">
        <f>_xll.EQNXTDZ($A$1,$B26,K$1,$B$1)</f>
        <v>7668</v>
      </c>
      <c r="L26" s="100">
        <f>_xll.EQNXTDZ($A$1,$B26,L$1,$B$1)</f>
        <v>8804</v>
      </c>
      <c r="M26" s="100">
        <f>_xll.EQNXTDZ($A$1,$B26,M$1,$B$1)</f>
        <v>10179</v>
      </c>
      <c r="N26" s="100">
        <f>_xll.EQNXTDZ($A$1,$B26,N$1,$B$1)</f>
        <v>12627</v>
      </c>
      <c r="O26" s="100">
        <f>_xll.EQNXTDZ($A$1,$B26,O$1,$B$1)</f>
        <v>13898</v>
      </c>
      <c r="P26" s="100">
        <f>_xll.EQNXTDZ($A$1,$B26,P$1,$B$1)</f>
        <v>16045</v>
      </c>
      <c r="Q26" s="100">
        <f>_xll.EQNXTDZ($A$1,$B26,Q$1,$B$1)</f>
        <v>18301</v>
      </c>
      <c r="R26" s="100">
        <f>_xll.EQNXTDZ($A$1,$B26,R$1,$B$1)</f>
        <v>20202</v>
      </c>
      <c r="S26" s="100">
        <f>_xll.EQNXTDZ($A$1,$B26,S$1,$B$1)</f>
        <v>21684</v>
      </c>
      <c r="T26" s="100">
        <f>_xll.EQNXTDZ($A$1,$B26,T$1,$B$1)</f>
        <v>22204</v>
      </c>
      <c r="U26" s="100">
        <f>_xll.EQNXTDZ($A$1,$B26,U$1,$B$1)</f>
        <v>23052</v>
      </c>
      <c r="V26" s="100">
        <f>_xll.EQNXTDZ($A$1,$B26,V$1,$B$1)</f>
        <v>24900</v>
      </c>
      <c r="W26" s="100">
        <f>_xll.EQNXTDZ($A$1,$B26,W$1,$B$1)</f>
        <v>29895</v>
      </c>
      <c r="X26" s="100">
        <f>_xll.EQNXTDZ($A$1,$B26,X$1,$B$1)</f>
        <v>33586</v>
      </c>
      <c r="Y26" s="100">
        <f>_xll.EQNXTDZ($A$1,$B26,Y$1,$B$1)</f>
        <v>37547</v>
      </c>
      <c r="Z26" s="100">
        <f>_xll.EQNXTDZ($A$1,$B26,Z$1,$B$1)</f>
        <v>40666</v>
      </c>
      <c r="AA26" s="100">
        <f>_xll.EQNXTDZ($A$1,$B26,AA$1,$B$1)</f>
        <v>42420</v>
      </c>
      <c r="AB26" s="100">
        <f>_xll.EQNXTDZ($A$1,$B26,AB$1,$B$1)</f>
        <v>46186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112.8945152</v>
      </c>
      <c r="D27" s="100">
        <f>_xll.EQNXTDZ($A$1,$B27,D$1,$B$1)</f>
        <v>160.65</v>
      </c>
      <c r="E27" s="100">
        <f>_xll.EQNXTDZ($A$1,$B27,E$1,$B$1)</f>
        <v>190.34</v>
      </c>
      <c r="F27" s="100">
        <f>_xll.EQNXTDZ($A$1,$B27,F$1,$B$1)</f>
        <v>236.73</v>
      </c>
      <c r="G27" s="100">
        <f>_xll.EQNXTDZ($A$1,$B27,G$1,$B$1)</f>
        <v>287</v>
      </c>
      <c r="H27" s="100">
        <f>_xll.EQNXTDZ($A$1,$B27,H$1,$B$1)</f>
        <v>437</v>
      </c>
      <c r="I27" s="100">
        <f>_xll.EQNXTDZ($A$1,$B27,I$1,$B$1)</f>
        <v>514</v>
      </c>
      <c r="J27" s="100">
        <f>_xll.EQNXTDZ($A$1,$B27,J$1,$B$1)</f>
        <v>598</v>
      </c>
      <c r="K27" s="100">
        <f>_xll.EQNXTDZ($A$1,$B27,K$1,$B$1)</f>
        <v>761</v>
      </c>
      <c r="L27" s="100">
        <f>_xll.EQNXTDZ($A$1,$B27,L$1,$B$1)</f>
        <v>905</v>
      </c>
      <c r="M27" s="100">
        <f>_xll.EQNXTDZ($A$1,$B27,M$1,$B$1)</f>
        <v>854</v>
      </c>
      <c r="N27" s="100">
        <f>_xll.EQNXTDZ($A$1,$B27,N$1,$B$1)</f>
        <v>928</v>
      </c>
      <c r="O27" s="100">
        <f>_xll.EQNXTDZ($A$1,$B27,O$1,$B$1)</f>
        <v>1099</v>
      </c>
      <c r="P27" s="100">
        <f>_xll.EQNXTDZ($A$1,$B27,P$1,$B$1)</f>
        <v>1317</v>
      </c>
      <c r="Q27" s="100">
        <f>_xll.EQNXTDZ($A$1,$B27,Q$1,$B$1)</f>
        <v>1017</v>
      </c>
      <c r="R27" s="100">
        <f>_xll.EQNXTDZ($A$1,$B27,R$1,$B$1)</f>
        <v>1459</v>
      </c>
      <c r="S27" s="100">
        <f>_xll.EQNXTDZ($A$1,$B27,S$1,$B$1)</f>
        <v>1703</v>
      </c>
      <c r="T27" s="100">
        <f>_xll.EQNXTDZ($A$1,$B27,T$1,$B$1)</f>
        <v>1863</v>
      </c>
      <c r="U27" s="100">
        <f>_xll.EQNXTDZ($A$1,$B27,U$1,$B$1)</f>
        <v>2011</v>
      </c>
      <c r="V27" s="100">
        <f>_xll.EQNXTDZ($A$1,$B27,V$1,$B$1)</f>
        <v>2893</v>
      </c>
      <c r="W27" s="100">
        <f>_xll.EQNXTDZ($A$1,$B27,W$1,$B$1)</f>
        <v>3267</v>
      </c>
      <c r="X27" s="100">
        <f>_xll.EQNXTDZ($A$1,$B27,X$1,$B$1)</f>
        <v>3476</v>
      </c>
      <c r="Y27" s="100">
        <f>_xll.EQNXTDZ($A$1,$B27,Y$1,$B$1)</f>
        <v>4225</v>
      </c>
      <c r="Z27" s="100">
        <f>_xll.EQNXTDZ($A$1,$B27,Z$1,$B$1)</f>
        <v>4678</v>
      </c>
      <c r="AA27" s="100">
        <f>_xll.EQNXTDZ($A$1,$B27,AA$1,$B$1)</f>
        <v>4812</v>
      </c>
      <c r="AB27" s="100">
        <f>_xll.EQNXTDZ($A$1,$B27,AB$1,$B$1)</f>
        <v>4902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-3</v>
      </c>
      <c r="S28" s="100">
        <f>_xll.EQNXTDZ($A$1,$B28,S$1,$B$1)</f>
        <v>-30</v>
      </c>
      <c r="T28" s="100">
        <f>_xll.EQNXTDZ($A$1,$B28,T$1,$B$1)</f>
        <v>-71</v>
      </c>
      <c r="U28" s="100">
        <f>_xll.EQNXTDZ($A$1,$B28,U$1,$B$1)</f>
        <v>0</v>
      </c>
      <c r="V28" s="100">
        <f>_xll.EQNXTDZ($A$1,$B28,V$1,$B$1)</f>
        <v>0</v>
      </c>
      <c r="W28" s="100">
        <f>_xll.EQNXTDZ($A$1,$B28,W$1,$B$1)</f>
        <v>0</v>
      </c>
      <c r="X28" s="100">
        <f>_xll.EQNXTDZ($A$1,$B28,X$1,$B$1)</f>
        <v>0</v>
      </c>
      <c r="Y28" s="100">
        <f>_xll.EQNXTDZ($A$1,$B28,Y$1,$B$1)</f>
        <v>0</v>
      </c>
      <c r="Z28" s="100">
        <f>_xll.EQNXTDZ($A$1,$B28,Z$1,$B$1)</f>
        <v>0</v>
      </c>
      <c r="AA28" s="100">
        <f>_xll.EQNXTDZ($A$1,$B28,AA$1,$B$1)</f>
        <v>0</v>
      </c>
      <c r="AB28" s="100">
        <f>_xll.EQNXTDZ($A$1,$B28,AB$1,$B$1)</f>
        <v>0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0</v>
      </c>
      <c r="D29" s="100">
        <f>_xll.EQNXTDZ($A$1,$B29,D$1,$B$1)</f>
        <v>0</v>
      </c>
      <c r="E29" s="100">
        <f>_xll.EQNXTDZ($A$1,$B29,E$1,$B$1)</f>
        <v>0</v>
      </c>
      <c r="F29" s="100">
        <f>_xll.EQNXTDZ($A$1,$B29,F$1,$B$1)</f>
        <v>0</v>
      </c>
      <c r="G29" s="100">
        <f>_xll.EQNXTDZ($A$1,$B29,G$1,$B$1)</f>
        <v>0</v>
      </c>
      <c r="H29" s="100">
        <f>_xll.EQNXTDZ($A$1,$B29,H$1,$B$1)</f>
        <v>0</v>
      </c>
      <c r="I29" s="100">
        <f>_xll.EQNXTDZ($A$1,$B29,I$1,$B$1)</f>
        <v>0</v>
      </c>
      <c r="J29" s="100">
        <f>_xll.EQNXTDZ($A$1,$B29,J$1,$B$1)</f>
        <v>0</v>
      </c>
      <c r="K29" s="100">
        <f>_xll.EQNXTDZ($A$1,$B29,K$1,$B$1)</f>
        <v>0</v>
      </c>
      <c r="L29" s="100">
        <f>_xll.EQNXTDZ($A$1,$B29,L$1,$B$1)</f>
        <v>0</v>
      </c>
      <c r="M29" s="100">
        <f>_xll.EQNXTDZ($A$1,$B29,M$1,$B$1)</f>
        <v>0</v>
      </c>
      <c r="N29" s="100">
        <f>_xll.EQNXTDZ($A$1,$B29,N$1,$B$1)</f>
        <v>0</v>
      </c>
      <c r="O29" s="100">
        <f>_xll.EQNXTDZ($A$1,$B29,O$1,$B$1)</f>
        <v>0</v>
      </c>
      <c r="P29" s="100">
        <f>_xll.EQNXTDZ($A$1,$B29,P$1,$B$1)</f>
        <v>0</v>
      </c>
      <c r="Q29" s="100">
        <f>_xll.EQNXTDZ($A$1,$B29,Q$1,$B$1)</f>
        <v>0</v>
      </c>
      <c r="R29" s="100">
        <f>_xll.EQNXTDZ($A$1,$B29,R$1,$B$1)</f>
        <v>0</v>
      </c>
      <c r="S29" s="100">
        <f>_xll.EQNXTDZ($A$1,$B29,S$1,$B$1)</f>
        <v>0</v>
      </c>
      <c r="T29" s="100">
        <f>_xll.EQNXTDZ($A$1,$B29,T$1,$B$1)</f>
        <v>0</v>
      </c>
      <c r="U29" s="100">
        <f>_xll.EQNXTDZ($A$1,$B29,U$1,$B$1)</f>
        <v>0</v>
      </c>
      <c r="V29" s="100">
        <f>_xll.EQNXTDZ($A$1,$B29,V$1,$B$1)</f>
        <v>0</v>
      </c>
      <c r="W29" s="100">
        <f>_xll.EQNXTDZ($A$1,$B29,W$1,$B$1)</f>
        <v>0</v>
      </c>
      <c r="X29" s="100">
        <f>_xll.EQNXTDZ($A$1,$B29,X$1,$B$1)</f>
        <v>0</v>
      </c>
      <c r="Y29" s="100">
        <f>_xll.EQNXTDZ($A$1,$B29,Y$1,$B$1)</f>
        <v>0</v>
      </c>
      <c r="Z29" s="100">
        <f>_xll.EQNXTDZ($A$1,$B29,Z$1,$B$1)</f>
        <v>0</v>
      </c>
      <c r="AA29" s="100">
        <f>_xll.EQNXTDZ($A$1,$B29,AA$1,$B$1)</f>
        <v>0</v>
      </c>
      <c r="AB29" s="100">
        <f>_xll.EQNXTDZ($A$1,$B29,AB$1,$B$1)</f>
        <v>-1289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72.709999999999994</v>
      </c>
      <c r="D30" s="100">
        <f>_xll.EQNXTDZ($A$1,$B30,D$1,$B$1)</f>
        <v>135.43</v>
      </c>
      <c r="E30" s="100">
        <f>_xll.EQNXTDZ($A$1,$B30,E$1,$B$1)</f>
        <v>201</v>
      </c>
      <c r="F30" s="100">
        <f>_xll.EQNXTDZ($A$1,$B30,F$1,$B$1)</f>
        <v>227.54</v>
      </c>
      <c r="G30" s="100">
        <f>_xll.EQNXTDZ($A$1,$B30,G$1,$B$1)</f>
        <v>326</v>
      </c>
      <c r="H30" s="100">
        <f>_xll.EQNXTDZ($A$1,$B30,H$1,$B$1)</f>
        <v>313</v>
      </c>
      <c r="I30" s="100">
        <f>_xll.EQNXTDZ($A$1,$B30,I$1,$B$1)</f>
        <v>386</v>
      </c>
      <c r="J30" s="100">
        <f>_xll.EQNXTDZ($A$1,$B30,J$1,$B$1)</f>
        <v>685</v>
      </c>
      <c r="K30" s="100">
        <f>_xll.EQNXTDZ($A$1,$B30,K$1,$B$1)</f>
        <v>919</v>
      </c>
      <c r="L30" s="100">
        <f>_xll.EQNXTDZ($A$1,$B30,L$1,$B$1)</f>
        <v>1681</v>
      </c>
      <c r="M30" s="100">
        <f>_xll.EQNXTDZ($A$1,$B30,M$1,$B$1)</f>
        <v>2490</v>
      </c>
      <c r="N30" s="100">
        <f>_xll.EQNXTDZ($A$1,$B30,N$1,$B$1)</f>
        <v>3367</v>
      </c>
      <c r="O30" s="100">
        <f>_xll.EQNXTDZ($A$1,$B30,O$1,$B$1)</f>
        <v>3370</v>
      </c>
      <c r="P30" s="100">
        <f>_xll.EQNXTDZ($A$1,$B30,P$1,$B$1)</f>
        <v>4072</v>
      </c>
      <c r="Q30" s="100">
        <f>_xll.EQNXTDZ($A$1,$B30,Q$1,$B$1)</f>
        <v>4911</v>
      </c>
      <c r="R30" s="100">
        <f>_xll.EQNXTDZ($A$1,$B30,R$1,$B$1)</f>
        <v>5251</v>
      </c>
      <c r="S30" s="100">
        <f>_xll.EQNXTDZ($A$1,$B30,S$1,$B$1)</f>
        <v>5598</v>
      </c>
      <c r="T30" s="100">
        <f>_xll.EQNXTDZ($A$1,$B30,T$1,$B$1)</f>
        <v>4241</v>
      </c>
      <c r="U30" s="100">
        <f>_xll.EQNXTDZ($A$1,$B30,U$1,$B$1)</f>
        <v>5631</v>
      </c>
      <c r="V30" s="100">
        <f>_xll.EQNXTDZ($A$1,$B30,V$1,$B$1)</f>
        <v>5368</v>
      </c>
      <c r="W30" s="100">
        <f>_xll.EQNXTDZ($A$1,$B30,W$1,$B$1)</f>
        <v>7205</v>
      </c>
      <c r="X30" s="100">
        <f>_xll.EQNXTDZ($A$1,$B30,X$1,$B$1)</f>
        <v>7964</v>
      </c>
      <c r="Y30" s="100">
        <f>_xll.EQNXTDZ($A$1,$B30,Y$1,$B$1)</f>
        <v>9214</v>
      </c>
      <c r="Z30" s="100">
        <f>_xll.EQNXTDZ($A$1,$B30,Z$1,$B$1)</f>
        <v>9740</v>
      </c>
      <c r="AA30" s="100">
        <f>_xll.EQNXTDZ($A$1,$B30,AA$1,$B$1)</f>
        <v>10858</v>
      </c>
      <c r="AB30" s="100">
        <f>_xll.EQNXTDZ($A$1,$B30,AB$1,$B$1)</f>
        <v>10521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5.4943999999999997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45</v>
      </c>
      <c r="H31" s="100">
        <f>_xll.EQNXTDZ($A$1,$B31,H$1,$B$1)</f>
        <v>0</v>
      </c>
      <c r="I31" s="100">
        <f>_xll.EQNXTDZ($A$1,$B31,I$1,$B$1)</f>
        <v>6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48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0</v>
      </c>
      <c r="E32" s="100">
        <f>_xll.EQNXTDZ($A$1,$B32,E$1,$B$1)</f>
        <v>0</v>
      </c>
      <c r="F32" s="100">
        <f>_xll.EQNXTDZ($A$1,$B32,F$1,$B$1)</f>
        <v>0</v>
      </c>
      <c r="G32" s="100">
        <f>_xll.EQNXTDZ($A$1,$B32,G$1,$B$1)</f>
        <v>0</v>
      </c>
      <c r="H32" s="100">
        <f>_xll.EQNXTDZ($A$1,$B32,H$1,$B$1)</f>
        <v>-21</v>
      </c>
      <c r="I32" s="100">
        <f>_xll.EQNXTDZ($A$1,$B32,I$1,$B$1)</f>
        <v>-11</v>
      </c>
      <c r="J32" s="100">
        <f>_xll.EQNXTDZ($A$1,$B32,J$1,$B$1)</f>
        <v>0</v>
      </c>
      <c r="K32" s="100">
        <f>_xll.EQNXTDZ($A$1,$B32,K$1,$B$1)</f>
        <v>0</v>
      </c>
      <c r="L32" s="100">
        <f>_xll.EQNXTDZ($A$1,$B32,L$1,$B$1)</f>
        <v>0</v>
      </c>
      <c r="M32" s="100">
        <f>_xll.EQNXTDZ($A$1,$B32,M$1,$B$1)</f>
        <v>0</v>
      </c>
      <c r="N32" s="100">
        <f>_xll.EQNXTDZ($A$1,$B32,N$1,$B$1)</f>
        <v>0</v>
      </c>
      <c r="O32" s="100">
        <f>_xll.EQNXTDZ($A$1,$B32,O$1,$B$1)</f>
        <v>0</v>
      </c>
      <c r="P32" s="100">
        <f>_xll.EQNXTDZ($A$1,$B32,P$1,$B$1)</f>
        <v>0</v>
      </c>
      <c r="Q32" s="100">
        <f>_xll.EQNXTDZ($A$1,$B32,Q$1,$B$1)</f>
        <v>0</v>
      </c>
      <c r="R32" s="100">
        <f>_xll.EQNXTDZ($A$1,$B32,R$1,$B$1)</f>
        <v>0</v>
      </c>
      <c r="S32" s="100">
        <f>_xll.EQNXTDZ($A$1,$B32,S$1,$B$1)</f>
        <v>0</v>
      </c>
      <c r="T32" s="100">
        <f>_xll.EQNXTDZ($A$1,$B32,T$1,$B$1)</f>
        <v>0</v>
      </c>
      <c r="U32" s="100">
        <f>_xll.EQNXTDZ($A$1,$B32,U$1,$B$1)</f>
        <v>-6</v>
      </c>
      <c r="V32" s="100">
        <f>_xll.EQNXTDZ($A$1,$B32,V$1,$B$1)</f>
        <v>-45</v>
      </c>
      <c r="W32" s="100">
        <f>_xll.EQNXTDZ($A$1,$B32,W$1,$B$1)</f>
        <v>-72</v>
      </c>
      <c r="X32" s="100">
        <f>_xll.EQNXTDZ($A$1,$B32,X$1,$B$1)</f>
        <v>-36</v>
      </c>
      <c r="Y32" s="100">
        <f>_xll.EQNXTDZ($A$1,$B32,Y$1,$B$1)</f>
        <v>-13</v>
      </c>
      <c r="Z32" s="100">
        <f>_xll.EQNXTDZ($A$1,$B32,Z$1,$B$1)</f>
        <v>-15</v>
      </c>
      <c r="AA32" s="100">
        <f>_xll.EQNXTDZ($A$1,$B32,AA$1,$B$1)</f>
        <v>-37</v>
      </c>
      <c r="AB32" s="100">
        <f>_xll.EQNXTDZ($A$1,$B32,AB$1,$B$1)</f>
        <v>-34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0</v>
      </c>
      <c r="F33" s="100">
        <f>_xll.EQNXTDZ($A$1,$B33,F$1,$B$1)</f>
        <v>0</v>
      </c>
      <c r="G33" s="100">
        <f>_xll.EQNXTDZ($A$1,$B33,G$1,$B$1)</f>
        <v>0</v>
      </c>
      <c r="H33" s="100">
        <f>_xll.EQNXTDZ($A$1,$B33,H$1,$B$1)</f>
        <v>0</v>
      </c>
      <c r="I33" s="100">
        <f>_xll.EQNXTDZ($A$1,$B33,I$1,$B$1)</f>
        <v>0</v>
      </c>
      <c r="J33" s="100">
        <f>_xll.EQNXTDZ($A$1,$B33,J$1,$B$1)</f>
        <v>0</v>
      </c>
      <c r="K33" s="100">
        <f>_xll.EQNXTDZ($A$1,$B33,K$1,$B$1)</f>
        <v>0</v>
      </c>
      <c r="L33" s="100">
        <f>_xll.EQNXTDZ($A$1,$B33,L$1,$B$1)</f>
        <v>0</v>
      </c>
      <c r="M33" s="100">
        <f>_xll.EQNXTDZ($A$1,$B33,M$1,$B$1)</f>
        <v>0</v>
      </c>
      <c r="N33" s="100">
        <f>_xll.EQNXTDZ($A$1,$B33,N$1,$B$1)</f>
        <v>0</v>
      </c>
      <c r="O33" s="100">
        <f>_xll.EQNXTDZ($A$1,$B33,O$1,$B$1)</f>
        <v>0</v>
      </c>
      <c r="P33" s="100">
        <f>_xll.EQNXTDZ($A$1,$B33,P$1,$B$1)</f>
        <v>0</v>
      </c>
      <c r="Q33" s="100">
        <f>_xll.EQNXTDZ($A$1,$B33,Q$1,$B$1)</f>
        <v>-1</v>
      </c>
      <c r="R33" s="100">
        <f>_xll.EQNXTDZ($A$1,$B33,R$1,$B$1)</f>
        <v>0</v>
      </c>
      <c r="S33" s="100">
        <f>_xll.EQNXTDZ($A$1,$B33,S$1,$B$1)</f>
        <v>0</v>
      </c>
      <c r="T33" s="100">
        <f>_xll.EQNXTDZ($A$1,$B33,T$1,$B$1)</f>
        <v>0</v>
      </c>
      <c r="U33" s="100">
        <f>_xll.EQNXTDZ($A$1,$B33,U$1,$B$1)</f>
        <v>0</v>
      </c>
      <c r="V33" s="100">
        <f>_xll.EQNXTDZ($A$1,$B33,V$1,$B$1)</f>
        <v>0</v>
      </c>
      <c r="W33" s="100">
        <f>_xll.EQNXTDZ($A$1,$B33,W$1,$B$1)</f>
        <v>0</v>
      </c>
      <c r="X33" s="100">
        <f>_xll.EQNXTDZ($A$1,$B33,X$1,$B$1)</f>
        <v>0</v>
      </c>
      <c r="Y33" s="100">
        <f>_xll.EQNXTDZ($A$1,$B33,Y$1,$B$1)</f>
        <v>0</v>
      </c>
      <c r="Z33" s="100">
        <f>_xll.EQNXTDZ($A$1,$B33,Z$1,$B$1)</f>
        <v>0</v>
      </c>
      <c r="AA33" s="100">
        <f>_xll.EQNXTDZ($A$1,$B33,AA$1,$B$1)</f>
        <v>0</v>
      </c>
      <c r="AB33" s="100">
        <f>_xll.EQNXTDZ($A$1,$B33,AB$1,$B$1)</f>
        <v>0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0</v>
      </c>
      <c r="G34" s="100">
        <f>_xll.EQNXTDZ($A$1,$B34,G$1,$B$1)</f>
        <v>0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0</v>
      </c>
      <c r="X34" s="100">
        <f>_xll.EQNXTDZ($A$1,$B34,X$1,$B$1)</f>
        <v>0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623.31923410000002</v>
      </c>
      <c r="D35" s="100">
        <f>_xll.EQNXTDZ($A$1,$B35,D$1,$B$1)</f>
        <v>807.96</v>
      </c>
      <c r="E35" s="100">
        <f>_xll.EQNXTDZ($A$1,$B35,E$1,$B$1)</f>
        <v>954.77</v>
      </c>
      <c r="F35" s="100">
        <f>_xll.EQNXTDZ($A$1,$B35,F$1,$B$1)</f>
        <v>1243.6300000000001</v>
      </c>
      <c r="G35" s="100">
        <f>_xll.EQNXTDZ($A$1,$B35,G$1,$B$1)</f>
        <v>1891</v>
      </c>
      <c r="H35" s="100">
        <f>_xll.EQNXTDZ($A$1,$B35,H$1,$B$1)</f>
        <v>2458</v>
      </c>
      <c r="I35" s="100">
        <f>_xll.EQNXTDZ($A$1,$B35,I$1,$B$1)</f>
        <v>3856</v>
      </c>
      <c r="J35" s="100">
        <f>_xll.EQNXTDZ($A$1,$B35,J$1,$B$1)</f>
        <v>4659</v>
      </c>
      <c r="K35" s="100">
        <f>_xll.EQNXTDZ($A$1,$B35,K$1,$B$1)</f>
        <v>5988</v>
      </c>
      <c r="L35" s="100">
        <f>_xll.EQNXTDZ($A$1,$B35,L$1,$B$1)</f>
        <v>6266</v>
      </c>
      <c r="M35" s="100">
        <f>_xll.EQNXTDZ($A$1,$B35,M$1,$B$1)</f>
        <v>6835</v>
      </c>
      <c r="N35" s="100">
        <f>_xll.EQNXTDZ($A$1,$B35,N$1,$B$1)</f>
        <v>8332</v>
      </c>
      <c r="O35" s="100">
        <f>_xll.EQNXTDZ($A$1,$B35,O$1,$B$1)</f>
        <v>9429</v>
      </c>
      <c r="P35" s="100">
        <f>_xll.EQNXTDZ($A$1,$B35,P$1,$B$1)</f>
        <v>10656</v>
      </c>
      <c r="Q35" s="100">
        <f>_xll.EQNXTDZ($A$1,$B35,Q$1,$B$1)</f>
        <v>12372</v>
      </c>
      <c r="R35" s="100">
        <f>_xll.EQNXTDZ($A$1,$B35,R$1,$B$1)</f>
        <v>13489</v>
      </c>
      <c r="S35" s="100">
        <f>_xll.EQNXTDZ($A$1,$B35,S$1,$B$1)</f>
        <v>14353</v>
      </c>
      <c r="T35" s="100">
        <f>_xll.EQNXTDZ($A$1,$B35,T$1,$B$1)</f>
        <v>16029</v>
      </c>
      <c r="U35" s="100">
        <f>_xll.EQNXTDZ($A$1,$B35,U$1,$B$1)</f>
        <v>15404</v>
      </c>
      <c r="V35" s="100">
        <f>_xll.EQNXTDZ($A$1,$B35,V$1,$B$1)</f>
        <v>16594</v>
      </c>
      <c r="W35" s="100">
        <f>_xll.EQNXTDZ($A$1,$B35,W$1,$B$1)</f>
        <v>19351</v>
      </c>
      <c r="X35" s="100">
        <f>_xll.EQNXTDZ($A$1,$B35,X$1,$B$1)</f>
        <v>22110</v>
      </c>
      <c r="Y35" s="100">
        <f>_xll.EQNXTDZ($A$1,$B35,Y$1,$B$1)</f>
        <v>24095</v>
      </c>
      <c r="Z35" s="100">
        <f>_xll.EQNXTDZ($A$1,$B35,Z$1,$B$1)</f>
        <v>26233</v>
      </c>
      <c r="AA35" s="100">
        <f>_xll.EQNXTDZ($A$1,$B35,AA$1,$B$1)</f>
        <v>26713</v>
      </c>
      <c r="AB35" s="100">
        <f>_xll.EQNXTDZ($A$1,$B35,AB$1,$B$1)</f>
        <v>29440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0</v>
      </c>
      <c r="R36" s="100">
        <f>_xll.EQNXTDZ($A$1,$B36,R$1,$B$1)</f>
        <v>0</v>
      </c>
      <c r="S36" s="100">
        <f>_xll.EQNXTDZ($A$1,$B36,S$1,$B$1)</f>
        <v>0</v>
      </c>
      <c r="T36" s="100">
        <f>_xll.EQNXTDZ($A$1,$B36,T$1,$B$1)</f>
        <v>0</v>
      </c>
      <c r="U36" s="100">
        <f>_xll.EQNXTDZ($A$1,$B36,U$1,$B$1)</f>
        <v>0</v>
      </c>
      <c r="V36" s="100">
        <f>_xll.EQNXTDZ($A$1,$B36,V$1,$B$1)</f>
        <v>0</v>
      </c>
      <c r="W36" s="100">
        <f>_xll.EQNXTDZ($A$1,$B36,W$1,$B$1)</f>
        <v>0</v>
      </c>
      <c r="X36" s="100">
        <f>_xll.EQNXTDZ($A$1,$B36,X$1,$B$1)</f>
        <v>0</v>
      </c>
      <c r="Y36" s="100">
        <f>_xll.EQNXTDZ($A$1,$B36,Y$1,$B$1)</f>
        <v>0</v>
      </c>
      <c r="Z36" s="100">
        <f>_xll.EQNXTDZ($A$1,$B36,Z$1,$B$1)</f>
        <v>0</v>
      </c>
      <c r="AA36" s="100">
        <f>_xll.EQNXTDZ($A$1,$B36,AA$1,$B$1)</f>
        <v>0</v>
      </c>
      <c r="AB36" s="100">
        <f>_xll.EQNXTDZ($A$1,$B36,AB$1,$B$1)</f>
        <v>0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200103</v>
      </c>
      <c r="D40">
        <f>_xll.EQNXTDZ($A$1,$B40,D$1,$B$1)</f>
        <v>200203</v>
      </c>
      <c r="E40">
        <f>_xll.EQNXTDZ($A$1,$B40,E$1,$B$1)</f>
        <v>200303</v>
      </c>
      <c r="F40">
        <f>_xll.EQNXTDZ($A$1,$B40,F$1,$B$1)</f>
        <v>200403</v>
      </c>
      <c r="G40">
        <f>_xll.EQNXTDZ($A$1,$B40,G$1,$B$1)</f>
        <v>200503</v>
      </c>
      <c r="H40">
        <f>_xll.EQNXTDZ($A$1,$B40,H$1,$B$1)</f>
        <v>200603</v>
      </c>
      <c r="I40">
        <f>_xll.EQNXTDZ($A$1,$B40,I$1,$B$1)</f>
        <v>200703</v>
      </c>
      <c r="J40">
        <f>_xll.EQNXTDZ($A$1,$B40,J$1,$B$1)</f>
        <v>200803</v>
      </c>
      <c r="K40">
        <f>_xll.EQNXTDZ($A$1,$B40,K$1,$B$1)</f>
        <v>200903</v>
      </c>
      <c r="L40">
        <f>_xll.EQNXTDZ($A$1,$B40,L$1,$B$1)</f>
        <v>201003</v>
      </c>
      <c r="M40">
        <f>_xll.EQNXTDZ($A$1,$B40,M$1,$B$1)</f>
        <v>201103</v>
      </c>
      <c r="N40">
        <f>_xll.EQNXTDZ($A$1,$B40,N$1,$B$1)</f>
        <v>201203</v>
      </c>
      <c r="O40">
        <f>_xll.EQNXTDZ($A$1,$B40,O$1,$B$1)</f>
        <v>201303</v>
      </c>
      <c r="P40">
        <f>_xll.EQNXTDZ($A$1,$B40,P$1,$B$1)</f>
        <v>201403</v>
      </c>
      <c r="Q40">
        <f>_xll.EQNXTDZ($A$1,$B40,Q$1,$B$1)</f>
        <v>201503</v>
      </c>
      <c r="R40">
        <f>_xll.EQNXTDZ($A$1,$B40,R$1,$B$1)</f>
        <v>201603</v>
      </c>
      <c r="S40">
        <f>_xll.EQNXTDZ($A$1,$B40,S$1,$B$1)</f>
        <v>201703</v>
      </c>
      <c r="T40">
        <f>_xll.EQNXTDZ($A$1,$B40,T$1,$B$1)</f>
        <v>201803</v>
      </c>
      <c r="U40">
        <f>_xll.EQNXTDZ($A$1,$B40,U$1,$B$1)</f>
        <v>201903</v>
      </c>
      <c r="V40">
        <f>_xll.EQNXTDZ($A$1,$B40,V$1,$B$1)</f>
        <v>202003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33.0792085</v>
      </c>
      <c r="D41" s="55">
        <f>_xll.EQNXTDZ($A$1,$B41,D$1,$B$1)</f>
        <v>33.090000000000003</v>
      </c>
      <c r="E41" s="55">
        <f>_xll.EQNXTDZ($A$1,$B41,E$1,$B$1)</f>
        <v>82.12</v>
      </c>
      <c r="F41" s="55">
        <f>_xll.EQNXTDZ($A$1,$B41,F$1,$B$1)</f>
        <v>126.88</v>
      </c>
      <c r="G41" s="55">
        <f>_xll.EQNXTDZ($A$1,$B41,G$1,$B$1)</f>
        <v>229</v>
      </c>
      <c r="H41" s="55">
        <f>_xll.EQNXTDZ($A$1,$B41,H$1,$B$1)</f>
        <v>138</v>
      </c>
      <c r="I41" s="55">
        <f>_xll.EQNXTDZ($A$1,$B41,I$1,$B$1)</f>
        <v>286</v>
      </c>
      <c r="J41" s="55">
        <f>_xll.EQNXTDZ($A$1,$B41,J$1,$B$1)</f>
        <v>286</v>
      </c>
      <c r="K41" s="55">
        <f>_xll.EQNXTDZ($A$1,$B41,K$1,$B$1)</f>
        <v>286</v>
      </c>
      <c r="L41" s="55">
        <f>_xll.EQNXTDZ($A$1,$B41,L$1,$B$1)</f>
        <v>286</v>
      </c>
      <c r="M41" s="55">
        <f>_xll.EQNXTDZ($A$1,$B41,M$1,$B$1)</f>
        <v>286</v>
      </c>
      <c r="N41" s="55">
        <f>_xll.EQNXTDZ($A$1,$B41,N$1,$B$1)</f>
        <v>286</v>
      </c>
      <c r="O41" s="55">
        <f>_xll.EQNXTDZ($A$1,$B41,O$1,$B$1)</f>
        <v>286</v>
      </c>
      <c r="P41" s="55">
        <f>_xll.EQNXTDZ($A$1,$B41,P$1,$B$1)</f>
        <v>286</v>
      </c>
      <c r="Q41" s="55">
        <f>_xll.EQNXTDZ($A$1,$B41,Q$1,$B$1)</f>
        <v>572</v>
      </c>
      <c r="R41" s="55">
        <f>_xll.EQNXTDZ($A$1,$B41,R$1,$B$1)</f>
        <v>1144</v>
      </c>
      <c r="S41" s="55">
        <f>_xll.EQNXTDZ($A$1,$B41,S$1,$B$1)</f>
        <v>1144</v>
      </c>
      <c r="T41" s="55">
        <f>_xll.EQNXTDZ($A$1,$B41,T$1,$B$1)</f>
        <v>1088</v>
      </c>
      <c r="U41" s="55">
        <f>_xll.EQNXTDZ($A$1,$B41,U$1,$B$1)</f>
        <v>2170</v>
      </c>
      <c r="V41" s="55">
        <f>_xll.EQNXTDZ($A$1,$B41,V$1,$B$1)</f>
        <v>2122</v>
      </c>
      <c r="W41" s="55">
        <f>_xll.EQNXTDZ($A$1,$B41,W$1,$B$1)</f>
        <v>2124</v>
      </c>
      <c r="X41" s="55">
        <f>_xll.EQNXTDZ($A$1,$B41,X$1,$B$1)</f>
        <v>2098</v>
      </c>
      <c r="Y41" s="55">
        <f>_xll.EQNXTDZ($A$1,$B41,Y$1,$B$1)</f>
        <v>2069</v>
      </c>
      <c r="Z41" s="55">
        <f>_xll.EQNXTDZ($A$1,$B41,Z$1,$B$1)</f>
        <v>2071</v>
      </c>
      <c r="AA41" s="55">
        <f>_xll.EQNXTDZ($A$1,$B41,AA$1,$B$1)</f>
        <v>2073</v>
      </c>
      <c r="AB41" s="55">
        <f>_xll.EQNXTDZ($A$1,$B41,AB$1,$B$1)</f>
        <v>2024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0</v>
      </c>
      <c r="E42" s="55">
        <f>_xll.EQNXTDZ($A$1,$B42,E$1,$B$1)</f>
        <v>0</v>
      </c>
      <c r="F42" s="55">
        <f>_xll.EQNXTDZ($A$1,$B42,F$1,$B$1)</f>
        <v>0</v>
      </c>
      <c r="G42" s="55">
        <f>_xll.EQNXTDZ($A$1,$B42,G$1,$B$1)</f>
        <v>0</v>
      </c>
      <c r="H42" s="55">
        <f>_xll.EQNXTDZ($A$1,$B42,H$1,$B$1)</f>
        <v>0</v>
      </c>
      <c r="I42" s="55">
        <f>_xll.EQNXTDZ($A$1,$B42,I$1,$B$1)</f>
        <v>0</v>
      </c>
      <c r="J42" s="55">
        <f>_xll.EQNXTDZ($A$1,$B42,J$1,$B$1)</f>
        <v>0</v>
      </c>
      <c r="K42" s="55">
        <f>_xll.EQNXTDZ($A$1,$B42,K$1,$B$1)</f>
        <v>0</v>
      </c>
      <c r="L42" s="55">
        <f>_xll.EQNXTDZ($A$1,$B42,L$1,$B$1)</f>
        <v>0</v>
      </c>
      <c r="M42" s="55">
        <f>_xll.EQNXTDZ($A$1,$B42,M$1,$B$1)</f>
        <v>0</v>
      </c>
      <c r="N42" s="55">
        <f>_xll.EQNXTDZ($A$1,$B42,N$1,$B$1)</f>
        <v>0</v>
      </c>
      <c r="O42" s="55">
        <f>_xll.EQNXTDZ($A$1,$B42,O$1,$B$1)</f>
        <v>0</v>
      </c>
      <c r="P42" s="55">
        <f>_xll.EQNXTDZ($A$1,$B42,P$1,$B$1)</f>
        <v>0</v>
      </c>
      <c r="Q42" s="55">
        <f>_xll.EQNXTDZ($A$1,$B42,Q$1,$B$1)</f>
        <v>2</v>
      </c>
      <c r="R42" s="55">
        <f>_xll.EQNXTDZ($A$1,$B42,R$1,$B$1)</f>
        <v>8</v>
      </c>
      <c r="S42" s="55">
        <f>_xll.EQNXTDZ($A$1,$B42,S$1,$B$1)</f>
        <v>120</v>
      </c>
      <c r="T42" s="55">
        <f>_xll.EQNXTDZ($A$1,$B42,T$1,$B$1)</f>
        <v>130</v>
      </c>
      <c r="U42" s="55">
        <f>_xll.EQNXTDZ($A$1,$B42,U$1,$B$1)</f>
        <v>227</v>
      </c>
      <c r="V42" s="55">
        <f>_xll.EQNXTDZ($A$1,$B42,V$1,$B$1)</f>
        <v>297</v>
      </c>
      <c r="W42" s="55">
        <f>_xll.EQNXTDZ($A$1,$B42,W$1,$B$1)</f>
        <v>372</v>
      </c>
      <c r="X42" s="55">
        <f>_xll.EQNXTDZ($A$1,$B42,X$1,$B$1)</f>
        <v>606</v>
      </c>
      <c r="Y42" s="55">
        <f>_xll.EQNXTDZ($A$1,$B42,Y$1,$B$1)</f>
        <v>878</v>
      </c>
      <c r="Z42" s="55">
        <f>_xll.EQNXTDZ($A$1,$B42,Z$1,$B$1)</f>
        <v>913</v>
      </c>
      <c r="AA42" s="55">
        <f>_xll.EQNXTDZ($A$1,$B42,AA$1,$B$1)</f>
        <v>1068</v>
      </c>
      <c r="AB42" s="55">
        <f>_xll.EQNXTDZ($A$1,$B42,AB$1,$B$1)</f>
        <v>1538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1356.5599903</v>
      </c>
      <c r="D43" s="55">
        <f>_xll.EQNXTDZ($A$1,$B43,D$1,$B$1)</f>
        <v>2047.22</v>
      </c>
      <c r="E43" s="55">
        <f>_xll.EQNXTDZ($A$1,$B43,E$1,$B$1)</f>
        <v>2824.37</v>
      </c>
      <c r="F43" s="55">
        <f>_xll.EQNXTDZ($A$1,$B43,F$1,$B$1)</f>
        <v>3216.26</v>
      </c>
      <c r="G43" s="55">
        <f>_xll.EQNXTDZ($A$1,$B43,G$1,$B$1)</f>
        <v>5090</v>
      </c>
      <c r="H43" s="55">
        <f>_xll.EQNXTDZ($A$1,$B43,H$1,$B$1)</f>
        <v>6828</v>
      </c>
      <c r="I43" s="55">
        <f>_xll.EQNXTDZ($A$1,$B43,I$1,$B$1)</f>
        <v>10969</v>
      </c>
      <c r="J43" s="55">
        <f>_xll.EQNXTDZ($A$1,$B43,J$1,$B$1)</f>
        <v>13509</v>
      </c>
      <c r="K43" s="55">
        <f>_xll.EQNXTDZ($A$1,$B43,K$1,$B$1)</f>
        <v>17968</v>
      </c>
      <c r="L43" s="55">
        <f>_xll.EQNXTDZ($A$1,$B43,L$1,$B$1)</f>
        <v>22763</v>
      </c>
      <c r="M43" s="55">
        <f>_xll.EQNXTDZ($A$1,$B43,M$1,$B$1)</f>
        <v>25690</v>
      </c>
      <c r="N43" s="55">
        <f>_xll.EQNXTDZ($A$1,$B43,N$1,$B$1)</f>
        <v>31046</v>
      </c>
      <c r="O43" s="55">
        <f>_xll.EQNXTDZ($A$1,$B43,O$1,$B$1)</f>
        <v>37708</v>
      </c>
      <c r="P43" s="55">
        <f>_xll.EQNXTDZ($A$1,$B43,P$1,$B$1)</f>
        <v>44244</v>
      </c>
      <c r="Q43" s="55">
        <f>_xll.EQNXTDZ($A$1,$B43,Q$1,$B$1)</f>
        <v>50162</v>
      </c>
      <c r="R43" s="55">
        <f>_xll.EQNXTDZ($A$1,$B43,R$1,$B$1)</f>
        <v>60592</v>
      </c>
      <c r="S43" s="55">
        <f>_xll.EQNXTDZ($A$1,$B43,S$1,$B$1)</f>
        <v>67718</v>
      </c>
      <c r="T43" s="55">
        <f>_xll.EQNXTDZ($A$1,$B43,T$1,$B$1)</f>
        <v>63705</v>
      </c>
      <c r="U43" s="55">
        <f>_xll.EQNXTDZ($A$1,$B43,U$1,$B$1)</f>
        <v>62551</v>
      </c>
      <c r="V43" s="55">
        <f>_xll.EQNXTDZ($A$1,$B43,V$1,$B$1)</f>
        <v>63031</v>
      </c>
      <c r="W43" s="55">
        <f>_xll.EQNXTDZ($A$1,$B43,W$1,$B$1)</f>
        <v>73855</v>
      </c>
      <c r="X43" s="55">
        <f>_xll.EQNXTDZ($A$1,$B43,X$1,$B$1)</f>
        <v>72646</v>
      </c>
      <c r="Y43" s="55">
        <f>_xll.EQNXTDZ($A$1,$B43,Y$1,$B$1)</f>
        <v>72460</v>
      </c>
      <c r="Z43" s="55">
        <f>_xll.EQNXTDZ($A$1,$B43,Z$1,$B$1)</f>
        <v>85132</v>
      </c>
      <c r="AA43" s="55">
        <f>_xll.EQNXTDZ($A$1,$B43,AA$1,$B$1)</f>
        <v>92677</v>
      </c>
      <c r="AB43" s="55">
        <f>_xll.EQNXTDZ($A$1,$B43,AB$1,$B$1)</f>
        <v>89290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1389.6391988</v>
      </c>
      <c r="D44" s="55">
        <f>_xll.EQNXTDZ($A$1,$B44,D$1,$B$1)</f>
        <v>2080.31</v>
      </c>
      <c r="E44" s="55">
        <f>_xll.EQNXTDZ($A$1,$B44,E$1,$B$1)</f>
        <v>2906.49</v>
      </c>
      <c r="F44" s="55">
        <f>_xll.EQNXTDZ($A$1,$B44,F$1,$B$1)</f>
        <v>3343.14</v>
      </c>
      <c r="G44" s="55">
        <f>_xll.EQNXTDZ($A$1,$B44,G$1,$B$1)</f>
        <v>5319</v>
      </c>
      <c r="H44" s="55">
        <f>_xll.EQNXTDZ($A$1,$B44,H$1,$B$1)</f>
        <v>6966</v>
      </c>
      <c r="I44" s="55">
        <f>_xll.EQNXTDZ($A$1,$B44,I$1,$B$1)</f>
        <v>11255</v>
      </c>
      <c r="J44" s="55">
        <f>_xll.EQNXTDZ($A$1,$B44,J$1,$B$1)</f>
        <v>13795</v>
      </c>
      <c r="K44" s="55">
        <f>_xll.EQNXTDZ($A$1,$B44,K$1,$B$1)</f>
        <v>18254</v>
      </c>
      <c r="L44" s="55">
        <f>_xll.EQNXTDZ($A$1,$B44,L$1,$B$1)</f>
        <v>23049</v>
      </c>
      <c r="M44" s="55">
        <f>_xll.EQNXTDZ($A$1,$B44,M$1,$B$1)</f>
        <v>25976</v>
      </c>
      <c r="N44" s="55">
        <f>_xll.EQNXTDZ($A$1,$B44,N$1,$B$1)</f>
        <v>31332</v>
      </c>
      <c r="O44" s="55">
        <f>_xll.EQNXTDZ($A$1,$B44,O$1,$B$1)</f>
        <v>37994</v>
      </c>
      <c r="P44" s="55">
        <f>_xll.EQNXTDZ($A$1,$B44,P$1,$B$1)</f>
        <v>44530</v>
      </c>
      <c r="Q44" s="55">
        <f>_xll.EQNXTDZ($A$1,$B44,Q$1,$B$1)</f>
        <v>50736</v>
      </c>
      <c r="R44" s="55">
        <f>_xll.EQNXTDZ($A$1,$B44,R$1,$B$1)</f>
        <v>61744</v>
      </c>
      <c r="S44" s="55">
        <f>_xll.EQNXTDZ($A$1,$B44,S$1,$B$1)</f>
        <v>68982</v>
      </c>
      <c r="T44" s="55">
        <f>_xll.EQNXTDZ($A$1,$B44,T$1,$B$1)</f>
        <v>64923</v>
      </c>
      <c r="U44" s="55">
        <f>_xll.EQNXTDZ($A$1,$B44,U$1,$B$1)</f>
        <v>64948</v>
      </c>
      <c r="V44" s="55">
        <f>_xll.EQNXTDZ($A$1,$B44,V$1,$B$1)</f>
        <v>65450</v>
      </c>
      <c r="W44" s="55">
        <f>_xll.EQNXTDZ($A$1,$B44,W$1,$B$1)</f>
        <v>76351</v>
      </c>
      <c r="X44" s="55">
        <f>_xll.EQNXTDZ($A$1,$B44,X$1,$B$1)</f>
        <v>75350</v>
      </c>
      <c r="Y44" s="55">
        <f>_xll.EQNXTDZ($A$1,$B44,Y$1,$B$1)</f>
        <v>75407</v>
      </c>
      <c r="Z44" s="55">
        <f>_xll.EQNXTDZ($A$1,$B44,Z$1,$B$1)</f>
        <v>88116</v>
      </c>
      <c r="AA44" s="55">
        <f>_xll.EQNXTDZ($A$1,$B44,AA$1,$B$1)</f>
        <v>95818</v>
      </c>
      <c r="AB44" s="55">
        <f>_xll.EQNXTDZ($A$1,$B44,AB$1,$B$1)</f>
        <v>92852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0</v>
      </c>
      <c r="E45" s="55">
        <f>_xll.EQNXTDZ($A$1,$B45,E$1,$B$1)</f>
        <v>0</v>
      </c>
      <c r="F45" s="55">
        <f>_xll.EQNXTDZ($A$1,$B45,F$1,$B$1)</f>
        <v>0</v>
      </c>
      <c r="G45" s="55">
        <f>_xll.EQNXTDZ($A$1,$B45,G$1,$B$1)</f>
        <v>0</v>
      </c>
      <c r="H45" s="55">
        <f>_xll.EQNXTDZ($A$1,$B45,H$1,$B$1)</f>
        <v>68</v>
      </c>
      <c r="I45" s="55">
        <f>_xll.EQNXTDZ($A$1,$B45,I$1,$B$1)</f>
        <v>4</v>
      </c>
      <c r="J45" s="55">
        <f>_xll.EQNXTDZ($A$1,$B45,J$1,$B$1)</f>
        <v>0</v>
      </c>
      <c r="K45" s="55">
        <f>_xll.EQNXTDZ($A$1,$B45,K$1,$B$1)</f>
        <v>0</v>
      </c>
      <c r="L45" s="55">
        <f>_xll.EQNXTDZ($A$1,$B45,L$1,$B$1)</f>
        <v>0</v>
      </c>
      <c r="M45" s="55">
        <f>_xll.EQNXTDZ($A$1,$B45,M$1,$B$1)</f>
        <v>0</v>
      </c>
      <c r="N45" s="55">
        <f>_xll.EQNXTDZ($A$1,$B45,N$1,$B$1)</f>
        <v>0</v>
      </c>
      <c r="O45" s="55">
        <f>_xll.EQNXTDZ($A$1,$B45,O$1,$B$1)</f>
        <v>0</v>
      </c>
      <c r="P45" s="55">
        <f>_xll.EQNXTDZ($A$1,$B45,P$1,$B$1)</f>
        <v>0</v>
      </c>
      <c r="Q45" s="55">
        <f>_xll.EQNXTDZ($A$1,$B45,Q$1,$B$1)</f>
        <v>0</v>
      </c>
      <c r="R45" s="55">
        <f>_xll.EQNXTDZ($A$1,$B45,R$1,$B$1)</f>
        <v>0</v>
      </c>
      <c r="S45" s="55">
        <f>_xll.EQNXTDZ($A$1,$B45,S$1,$B$1)</f>
        <v>0</v>
      </c>
      <c r="T45" s="55">
        <f>_xll.EQNXTDZ($A$1,$B45,T$1,$B$1)</f>
        <v>1</v>
      </c>
      <c r="U45" s="55">
        <f>_xll.EQNXTDZ($A$1,$B45,U$1,$B$1)</f>
        <v>58</v>
      </c>
      <c r="V45" s="55">
        <f>_xll.EQNXTDZ($A$1,$B45,V$1,$B$1)</f>
        <v>394</v>
      </c>
      <c r="W45" s="55">
        <f>_xll.EQNXTDZ($A$1,$B45,W$1,$B$1)</f>
        <v>431</v>
      </c>
      <c r="X45" s="55">
        <f>_xll.EQNXTDZ($A$1,$B45,X$1,$B$1)</f>
        <v>386</v>
      </c>
      <c r="Y45" s="55">
        <f>_xll.EQNXTDZ($A$1,$B45,Y$1,$B$1)</f>
        <v>388</v>
      </c>
      <c r="Z45" s="55">
        <f>_xll.EQNXTDZ($A$1,$B45,Z$1,$B$1)</f>
        <v>345</v>
      </c>
      <c r="AA45" s="55">
        <f>_xll.EQNXTDZ($A$1,$B45,AA$1,$B$1)</f>
        <v>385</v>
      </c>
      <c r="AB45" s="55">
        <f>_xll.EQNXTDZ($A$1,$B45,AB$1,$B$1)</f>
        <v>445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0</v>
      </c>
      <c r="D47" s="55">
        <f>_xll.EQNXTDZ($A$1,$B47,D$1,$B$1)</f>
        <v>0</v>
      </c>
      <c r="E47" s="55">
        <f>_xll.EQNXTDZ($A$1,$B47,E$1,$B$1)</f>
        <v>0</v>
      </c>
      <c r="F47" s="55">
        <f>_xll.EQNXTDZ($A$1,$B47,F$1,$B$1)</f>
        <v>0</v>
      </c>
      <c r="G47" s="55">
        <f>_xll.EQNXTDZ($A$1,$B47,G$1,$B$1)</f>
        <v>0</v>
      </c>
      <c r="H47" s="55">
        <f>_xll.EQNXTDZ($A$1,$B47,H$1,$B$1)</f>
        <v>0</v>
      </c>
      <c r="I47" s="55">
        <f>_xll.EQNXTDZ($A$1,$B47,I$1,$B$1)</f>
        <v>0</v>
      </c>
      <c r="J47" s="55">
        <f>_xll.EQNXTDZ($A$1,$B47,J$1,$B$1)</f>
        <v>0</v>
      </c>
      <c r="K47" s="55">
        <f>_xll.EQNXTDZ($A$1,$B47,K$1,$B$1)</f>
        <v>0</v>
      </c>
      <c r="L47" s="55">
        <f>_xll.EQNXTDZ($A$1,$B47,L$1,$B$1)</f>
        <v>0</v>
      </c>
      <c r="M47" s="55">
        <f>_xll.EQNXTDZ($A$1,$B47,M$1,$B$1)</f>
        <v>0</v>
      </c>
      <c r="N47" s="55">
        <f>_xll.EQNXTDZ($A$1,$B47,N$1,$B$1)</f>
        <v>0</v>
      </c>
      <c r="O47" s="55">
        <f>_xll.EQNXTDZ($A$1,$B47,O$1,$B$1)</f>
        <v>0</v>
      </c>
      <c r="P47" s="55">
        <f>_xll.EQNXTDZ($A$1,$B47,P$1,$B$1)</f>
        <v>0</v>
      </c>
      <c r="Q47" s="55">
        <f>_xll.EQNXTDZ($A$1,$B47,Q$1,$B$1)</f>
        <v>0</v>
      </c>
      <c r="R47" s="55">
        <f>_xll.EQNXTDZ($A$1,$B47,R$1,$B$1)</f>
        <v>0</v>
      </c>
      <c r="S47" s="55">
        <f>_xll.EQNXTDZ($A$1,$B47,S$1,$B$1)</f>
        <v>0</v>
      </c>
      <c r="T47" s="55">
        <f>_xll.EQNXTDZ($A$1,$B47,T$1,$B$1)</f>
        <v>0</v>
      </c>
      <c r="U47" s="55">
        <f>_xll.EQNXTDZ($A$1,$B47,U$1,$B$1)</f>
        <v>0</v>
      </c>
      <c r="V47" s="55">
        <f>_xll.EQNXTDZ($A$1,$B47,V$1,$B$1)</f>
        <v>0</v>
      </c>
      <c r="W47" s="55">
        <f>_xll.EQNXTDZ($A$1,$B47,W$1,$B$1)</f>
        <v>0</v>
      </c>
      <c r="X47" s="55">
        <f>_xll.EQNXTDZ($A$1,$B47,X$1,$B$1)</f>
        <v>0</v>
      </c>
      <c r="Y47" s="55">
        <f>_xll.EQNXTDZ($A$1,$B47,Y$1,$B$1)</f>
        <v>0</v>
      </c>
      <c r="Z47" s="55">
        <f>_xll.EQNXTDZ($A$1,$B47,Z$1,$B$1)</f>
        <v>0</v>
      </c>
      <c r="AA47" s="55">
        <f>_xll.EQNXTDZ($A$1,$B47,AA$1,$B$1)</f>
        <v>0</v>
      </c>
      <c r="AB47" s="55">
        <f>_xll.EQNXTDZ($A$1,$B47,AB$1,$B$1)</f>
        <v>0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0</v>
      </c>
      <c r="D48" s="55">
        <f>_xll.EQNXTDZ($A$1,$B48,D$1,$B$1)</f>
        <v>0</v>
      </c>
      <c r="E48" s="55">
        <f>_xll.EQNXTDZ($A$1,$B48,E$1,$B$1)</f>
        <v>0</v>
      </c>
      <c r="F48" s="55">
        <f>_xll.EQNXTDZ($A$1,$B48,F$1,$B$1)</f>
        <v>0</v>
      </c>
      <c r="G48" s="55">
        <f>_xll.EQNXTDZ($A$1,$B48,G$1,$B$1)</f>
        <v>0</v>
      </c>
      <c r="H48" s="55">
        <f>_xll.EQNXTDZ($A$1,$B48,H$1,$B$1)</f>
        <v>0</v>
      </c>
      <c r="I48" s="55">
        <f>_xll.EQNXTDZ($A$1,$B48,I$1,$B$1)</f>
        <v>0</v>
      </c>
      <c r="J48" s="55">
        <f>_xll.EQNXTDZ($A$1,$B48,J$1,$B$1)</f>
        <v>0</v>
      </c>
      <c r="K48" s="55">
        <f>_xll.EQNXTDZ($A$1,$B48,K$1,$B$1)</f>
        <v>0</v>
      </c>
      <c r="L48" s="55">
        <f>_xll.EQNXTDZ($A$1,$B48,L$1,$B$1)</f>
        <v>0</v>
      </c>
      <c r="M48" s="55">
        <f>_xll.EQNXTDZ($A$1,$B48,M$1,$B$1)</f>
        <v>0</v>
      </c>
      <c r="N48" s="55">
        <f>_xll.EQNXTDZ($A$1,$B48,N$1,$B$1)</f>
        <v>0</v>
      </c>
      <c r="O48" s="55">
        <f>_xll.EQNXTDZ($A$1,$B48,O$1,$B$1)</f>
        <v>0</v>
      </c>
      <c r="P48" s="55">
        <f>_xll.EQNXTDZ($A$1,$B48,P$1,$B$1)</f>
        <v>0</v>
      </c>
      <c r="Q48" s="55">
        <f>_xll.EQNXTDZ($A$1,$B48,Q$1,$B$1)</f>
        <v>0</v>
      </c>
      <c r="R48" s="55">
        <f>_xll.EQNXTDZ($A$1,$B48,R$1,$B$1)</f>
        <v>0</v>
      </c>
      <c r="S48" s="55">
        <f>_xll.EQNXTDZ($A$1,$B48,S$1,$B$1)</f>
        <v>0</v>
      </c>
      <c r="T48" s="55">
        <f>_xll.EQNXTDZ($A$1,$B48,T$1,$B$1)</f>
        <v>0</v>
      </c>
      <c r="U48" s="55">
        <f>_xll.EQNXTDZ($A$1,$B48,U$1,$B$1)</f>
        <v>0</v>
      </c>
      <c r="V48" s="55">
        <f>_xll.EQNXTDZ($A$1,$B48,V$1,$B$1)</f>
        <v>0</v>
      </c>
      <c r="W48" s="55">
        <f>_xll.EQNXTDZ($A$1,$B48,W$1,$B$1)</f>
        <v>0</v>
      </c>
      <c r="X48" s="55">
        <f>_xll.EQNXTDZ($A$1,$B48,X$1,$B$1)</f>
        <v>0</v>
      </c>
      <c r="Y48" s="55">
        <f>_xll.EQNXTDZ($A$1,$B48,Y$1,$B$1)</f>
        <v>0</v>
      </c>
      <c r="Z48" s="55">
        <f>_xll.EQNXTDZ($A$1,$B48,Z$1,$B$1)</f>
        <v>0</v>
      </c>
      <c r="AA48" s="55">
        <f>_xll.EQNXTDZ($A$1,$B48,AA$1,$B$1)</f>
        <v>0</v>
      </c>
      <c r="AB48" s="55">
        <f>_xll.EQNXTDZ($A$1,$B48,AB$1,$B$1)</f>
        <v>0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-24.22</v>
      </c>
      <c r="E49" s="55">
        <f>_xll.EQNXTDZ($A$1,$B49,E$1,$B$1)</f>
        <v>-36.81</v>
      </c>
      <c r="F49" s="55">
        <f>_xll.EQNXTDZ($A$1,$B49,F$1,$B$1)</f>
        <v>-39.97</v>
      </c>
      <c r="G49" s="55">
        <f>_xll.EQNXTDZ($A$1,$B49,G$1,$B$1)</f>
        <v>-45</v>
      </c>
      <c r="H49" s="55">
        <f>_xll.EQNXTDZ($A$1,$B49,H$1,$B$1)</f>
        <v>-65</v>
      </c>
      <c r="I49" s="55">
        <f>_xll.EQNXTDZ($A$1,$B49,I$1,$B$1)</f>
        <v>-92</v>
      </c>
      <c r="J49" s="55">
        <f>_xll.EQNXTDZ($A$1,$B49,J$1,$B$1)</f>
        <v>-119</v>
      </c>
      <c r="K49" s="55">
        <f>_xll.EQNXTDZ($A$1,$B49,K$1,$B$1)</f>
        <v>-126</v>
      </c>
      <c r="L49" s="55">
        <f>_xll.EQNXTDZ($A$1,$B49,L$1,$B$1)</f>
        <v>-200</v>
      </c>
      <c r="M49" s="55">
        <f>_xll.EQNXTDZ($A$1,$B49,M$1,$B$1)</f>
        <v>-321</v>
      </c>
      <c r="N49" s="55">
        <f>_xll.EQNXTDZ($A$1,$B49,N$1,$B$1)</f>
        <v>-265</v>
      </c>
      <c r="O49" s="55">
        <f>_xll.EQNXTDZ($A$1,$B49,O$1,$B$1)</f>
        <v>-413</v>
      </c>
      <c r="P49" s="55">
        <f>_xll.EQNXTDZ($A$1,$B49,P$1,$B$1)</f>
        <v>-629</v>
      </c>
      <c r="Q49" s="55">
        <f>_xll.EQNXTDZ($A$1,$B49,Q$1,$B$1)</f>
        <v>-536</v>
      </c>
      <c r="R49" s="55">
        <f>_xll.EQNXTDZ($A$1,$B49,R$1,$B$1)</f>
        <v>-284</v>
      </c>
      <c r="S49" s="55">
        <f>_xll.EQNXTDZ($A$1,$B49,S$1,$B$1)</f>
        <v>-333</v>
      </c>
      <c r="T49" s="55">
        <f>_xll.EQNXTDZ($A$1,$B49,T$1,$B$1)</f>
        <v>-741</v>
      </c>
      <c r="U49" s="55">
        <f>_xll.EQNXTDZ($A$1,$B49,U$1,$B$1)</f>
        <v>-700</v>
      </c>
      <c r="V49" s="55">
        <f>_xll.EQNXTDZ($A$1,$B49,V$1,$B$1)</f>
        <v>-776</v>
      </c>
      <c r="W49" s="55">
        <f>_xll.EQNXTDZ($A$1,$B49,W$1,$B$1)</f>
        <v>-223</v>
      </c>
      <c r="X49" s="55">
        <f>_xll.EQNXTDZ($A$1,$B49,X$1,$B$1)</f>
        <v>-56</v>
      </c>
      <c r="Y49" s="55">
        <f>_xll.EQNXTDZ($A$1,$B49,Y$1,$B$1)</f>
        <v>-25</v>
      </c>
      <c r="Z49" s="55">
        <f>_xll.EQNXTDZ($A$1,$B49,Z$1,$B$1)</f>
        <v>1340</v>
      </c>
      <c r="AA49" s="55">
        <f>_xll.EQNXTDZ($A$1,$B49,AA$1,$B$1)</f>
        <v>614</v>
      </c>
      <c r="AB49" s="55">
        <f>_xll.EQNXTDZ($A$1,$B49,AB$1,$B$1)</f>
        <v>-585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93</v>
      </c>
      <c r="N50" s="55">
        <f>_xll.EQNXTDZ($A$1,$B50,N$1,$B$1)</f>
        <v>123</v>
      </c>
      <c r="O50" s="55">
        <f>_xll.EQNXTDZ($A$1,$B50,O$1,$B$1)</f>
        <v>182</v>
      </c>
      <c r="P50" s="55">
        <f>_xll.EQNXTDZ($A$1,$B50,P$1,$B$1)</f>
        <v>405</v>
      </c>
      <c r="Q50" s="55">
        <f>_xll.EQNXTDZ($A$1,$B50,Q$1,$B$1)</f>
        <v>50</v>
      </c>
      <c r="R50" s="55">
        <f>_xll.EQNXTDZ($A$1,$B50,R$1,$B$1)</f>
        <v>115</v>
      </c>
      <c r="S50" s="55">
        <f>_xll.EQNXTDZ($A$1,$B50,S$1,$B$1)</f>
        <v>153</v>
      </c>
      <c r="T50" s="55">
        <f>_xll.EQNXTDZ($A$1,$B50,T$1,$B$1)</f>
        <v>320</v>
      </c>
      <c r="U50" s="55">
        <f>_xll.EQNXTDZ($A$1,$B50,U$1,$B$1)</f>
        <v>422</v>
      </c>
      <c r="V50" s="55">
        <f>_xll.EQNXTDZ($A$1,$B50,V$1,$B$1)</f>
        <v>5100</v>
      </c>
      <c r="W50" s="55">
        <f>_xll.EQNXTDZ($A$1,$B50,W$1,$B$1)</f>
        <v>6864</v>
      </c>
      <c r="X50" s="55">
        <f>_xll.EQNXTDZ($A$1,$B50,X$1,$B$1)</f>
        <v>7390</v>
      </c>
      <c r="Y50" s="55">
        <f>_xll.EQNXTDZ($A$1,$B50,Y$1,$B$1)</f>
        <v>9615</v>
      </c>
      <c r="Z50" s="55">
        <f>_xll.EQNXTDZ($A$1,$B50,Z$1,$B$1)</f>
        <v>8765</v>
      </c>
      <c r="AA50" s="55">
        <f>_xll.EQNXTDZ($A$1,$B50,AA$1,$B$1)</f>
        <v>8128</v>
      </c>
      <c r="AB50" s="55">
        <f>_xll.EQNXTDZ($A$1,$B50,AB$1,$B$1)</f>
        <v>8669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0</v>
      </c>
      <c r="N51" s="55">
        <f>_xll.EQNXTDZ($A$1,$B51,N$1,$B$1)</f>
        <v>0</v>
      </c>
      <c r="O51" s="55">
        <f>_xll.EQNXTDZ($A$1,$B51,O$1,$B$1)</f>
        <v>0</v>
      </c>
      <c r="P51" s="55">
        <f>_xll.EQNXTDZ($A$1,$B51,P$1,$B$1)</f>
        <v>0</v>
      </c>
      <c r="Q51" s="55">
        <f>_xll.EQNXTDZ($A$1,$B51,Q$1,$B$1)</f>
        <v>0</v>
      </c>
      <c r="R51" s="55">
        <f>_xll.EQNXTDZ($A$1,$B51,R$1,$B$1)</f>
        <v>0</v>
      </c>
      <c r="S51" s="55">
        <f>_xll.EQNXTDZ($A$1,$B51,S$1,$B$1)</f>
        <v>0</v>
      </c>
      <c r="T51" s="55">
        <f>_xll.EQNXTDZ($A$1,$B51,T$1,$B$1)</f>
        <v>0</v>
      </c>
      <c r="U51" s="55">
        <f>_xll.EQNXTDZ($A$1,$B51,U$1,$B$1)</f>
        <v>0</v>
      </c>
      <c r="V51" s="55">
        <f>_xll.EQNXTDZ($A$1,$B51,V$1,$B$1)</f>
        <v>0</v>
      </c>
      <c r="W51" s="55">
        <f>_xll.EQNXTDZ($A$1,$B51,W$1,$B$1)</f>
        <v>0</v>
      </c>
      <c r="X51" s="55">
        <f>_xll.EQNXTDZ($A$1,$B51,X$1,$B$1)</f>
        <v>0</v>
      </c>
      <c r="Y51" s="55">
        <f>_xll.EQNXTDZ($A$1,$B51,Y$1,$B$1)</f>
        <v>0</v>
      </c>
      <c r="Z51" s="55">
        <f>_xll.EQNXTDZ($A$1,$B51,Z$1,$B$1)</f>
        <v>0</v>
      </c>
      <c r="AA51" s="55">
        <f>_xll.EQNXTDZ($A$1,$B51,AA$1,$B$1)</f>
        <v>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0</v>
      </c>
      <c r="N52" s="55">
        <f>_xll.EQNXTDZ($A$1,$B52,N$1,$B$1)</f>
        <v>0</v>
      </c>
      <c r="O52" s="55">
        <f>_xll.EQNXTDZ($A$1,$B52,O$1,$B$1)</f>
        <v>0</v>
      </c>
      <c r="P52" s="55">
        <f>_xll.EQNXTDZ($A$1,$B52,P$1,$B$1)</f>
        <v>0</v>
      </c>
      <c r="Q52" s="55">
        <f>_xll.EQNXTDZ($A$1,$B52,Q$1,$B$1)</f>
        <v>0</v>
      </c>
      <c r="R52" s="55">
        <f>_xll.EQNXTDZ($A$1,$B52,R$1,$B$1)</f>
        <v>0</v>
      </c>
      <c r="S52" s="55">
        <f>_xll.EQNXTDZ($A$1,$B52,S$1,$B$1)</f>
        <v>0</v>
      </c>
      <c r="T52" s="55">
        <f>_xll.EQNXTDZ($A$1,$B52,T$1,$B$1)</f>
        <v>0</v>
      </c>
      <c r="U52" s="55">
        <f>_xll.EQNXTDZ($A$1,$B52,U$1,$B$1)</f>
        <v>0</v>
      </c>
      <c r="V52" s="55">
        <f>_xll.EQNXTDZ($A$1,$B52,V$1,$B$1)</f>
        <v>0</v>
      </c>
      <c r="W52" s="55">
        <f>_xll.EQNXTDZ($A$1,$B52,W$1,$B$1)</f>
        <v>0</v>
      </c>
      <c r="X52" s="55">
        <f>_xll.EQNXTDZ($A$1,$B52,X$1,$B$1)</f>
        <v>0</v>
      </c>
      <c r="Y52" s="55">
        <f>_xll.EQNXTDZ($A$1,$B52,Y$1,$B$1)</f>
        <v>0</v>
      </c>
      <c r="Z52" s="55">
        <f>_xll.EQNXTDZ($A$1,$B52,Z$1,$B$1)</f>
        <v>0</v>
      </c>
      <c r="AA52" s="55">
        <f>_xll.EQNXTDZ($A$1,$B52,AA$1,$B$1)</f>
        <v>0</v>
      </c>
      <c r="AB52" s="55">
        <f>_xll.EQNXTDZ($A$1,$B52,AB$1,$B$1)</f>
        <v>0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0</v>
      </c>
      <c r="D53" s="55">
        <f>_xll.EQNXTDZ($A$1,$B53,D$1,$B$1)</f>
        <v>-24.22</v>
      </c>
      <c r="E53" s="55">
        <f>_xll.EQNXTDZ($A$1,$B53,E$1,$B$1)</f>
        <v>-36.81</v>
      </c>
      <c r="F53" s="55">
        <f>_xll.EQNXTDZ($A$1,$B53,F$1,$B$1)</f>
        <v>-39.97</v>
      </c>
      <c r="G53" s="55">
        <f>_xll.EQNXTDZ($A$1,$B53,G$1,$B$1)</f>
        <v>-45</v>
      </c>
      <c r="H53" s="55">
        <f>_xll.EQNXTDZ($A$1,$B53,H$1,$B$1)</f>
        <v>-65</v>
      </c>
      <c r="I53" s="55">
        <f>_xll.EQNXTDZ($A$1,$B53,I$1,$B$1)</f>
        <v>-92</v>
      </c>
      <c r="J53" s="55">
        <f>_xll.EQNXTDZ($A$1,$B53,J$1,$B$1)</f>
        <v>-119</v>
      </c>
      <c r="K53" s="55">
        <f>_xll.EQNXTDZ($A$1,$B53,K$1,$B$1)</f>
        <v>-126</v>
      </c>
      <c r="L53" s="55">
        <f>_xll.EQNXTDZ($A$1,$B53,L$1,$B$1)</f>
        <v>-200</v>
      </c>
      <c r="M53" s="55">
        <f>_xll.EQNXTDZ($A$1,$B53,M$1,$B$1)</f>
        <v>-228</v>
      </c>
      <c r="N53" s="55">
        <f>_xll.EQNXTDZ($A$1,$B53,N$1,$B$1)</f>
        <v>-142</v>
      </c>
      <c r="O53" s="55">
        <f>_xll.EQNXTDZ($A$1,$B53,O$1,$B$1)</f>
        <v>-231</v>
      </c>
      <c r="P53" s="55">
        <f>_xll.EQNXTDZ($A$1,$B53,P$1,$B$1)</f>
        <v>-224</v>
      </c>
      <c r="Q53" s="55">
        <f>_xll.EQNXTDZ($A$1,$B53,Q$1,$B$1)</f>
        <v>-486</v>
      </c>
      <c r="R53" s="55">
        <f>_xll.EQNXTDZ($A$1,$B53,R$1,$B$1)</f>
        <v>-169</v>
      </c>
      <c r="S53" s="55">
        <f>_xll.EQNXTDZ($A$1,$B53,S$1,$B$1)</f>
        <v>-180</v>
      </c>
      <c r="T53" s="55">
        <f>_xll.EQNXTDZ($A$1,$B53,T$1,$B$1)</f>
        <v>-421</v>
      </c>
      <c r="U53" s="55">
        <f>_xll.EQNXTDZ($A$1,$B53,U$1,$B$1)</f>
        <v>-278</v>
      </c>
      <c r="V53" s="55">
        <f>_xll.EQNXTDZ($A$1,$B53,V$1,$B$1)</f>
        <v>4324</v>
      </c>
      <c r="W53" s="55">
        <f>_xll.EQNXTDZ($A$1,$B53,W$1,$B$1)</f>
        <v>6641</v>
      </c>
      <c r="X53" s="55">
        <f>_xll.EQNXTDZ($A$1,$B53,X$1,$B$1)</f>
        <v>7334</v>
      </c>
      <c r="Y53" s="55">
        <f>_xll.EQNXTDZ($A$1,$B53,Y$1,$B$1)</f>
        <v>9590</v>
      </c>
      <c r="Z53" s="55">
        <f>_xll.EQNXTDZ($A$1,$B53,Z$1,$B$1)</f>
        <v>10105</v>
      </c>
      <c r="AA53" s="55">
        <f>_xll.EQNXTDZ($A$1,$B53,AA$1,$B$1)</f>
        <v>8742</v>
      </c>
      <c r="AB53" s="55">
        <f>_xll.EQNXTDZ($A$1,$B53,AB$1,$B$1)</f>
        <v>8084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0.13074769999999999</v>
      </c>
      <c r="D54" s="55">
        <f>_xll.EQNXTDZ($A$1,$B54,D$1,$B$1)</f>
        <v>0</v>
      </c>
      <c r="E54" s="55">
        <f>_xll.EQNXTDZ($A$1,$B54,E$1,$B$1)</f>
        <v>147.24</v>
      </c>
      <c r="F54" s="55">
        <f>_xll.EQNXTDZ($A$1,$B54,F$1,$B$1)</f>
        <v>334.16</v>
      </c>
      <c r="G54" s="55">
        <f>_xll.EQNXTDZ($A$1,$B54,G$1,$B$1)</f>
        <v>315</v>
      </c>
      <c r="H54" s="55">
        <f>_xll.EQNXTDZ($A$1,$B54,H$1,$B$1)</f>
        <v>382</v>
      </c>
      <c r="I54" s="55">
        <f>_xll.EQNXTDZ($A$1,$B54,I$1,$B$1)</f>
        <v>477</v>
      </c>
      <c r="J54" s="55">
        <f>_xll.EQNXTDZ($A$1,$B54,J$1,$B$1)</f>
        <v>546</v>
      </c>
      <c r="K54" s="55">
        <f>_xll.EQNXTDZ($A$1,$B54,K$1,$B$1)</f>
        <v>570</v>
      </c>
      <c r="L54" s="55">
        <f>_xll.EQNXTDZ($A$1,$B54,L$1,$B$1)</f>
        <v>659</v>
      </c>
      <c r="M54" s="55">
        <f>_xll.EQNXTDZ($A$1,$B54,M$1,$B$1)</f>
        <v>44</v>
      </c>
      <c r="N54" s="55">
        <f>_xll.EQNXTDZ($A$1,$B54,N$1,$B$1)</f>
        <v>23</v>
      </c>
      <c r="O54" s="55">
        <f>_xll.EQNXTDZ($A$1,$B54,O$1,$B$1)</f>
        <v>189</v>
      </c>
      <c r="P54" s="55">
        <f>_xll.EQNXTDZ($A$1,$B54,P$1,$B$1)</f>
        <v>173</v>
      </c>
      <c r="Q54" s="55">
        <f>_xll.EQNXTDZ($A$1,$B54,Q$1,$B$1)</f>
        <v>140</v>
      </c>
      <c r="R54" s="55">
        <f>_xll.EQNXTDZ($A$1,$B54,R$1,$B$1)</f>
        <v>386</v>
      </c>
      <c r="S54" s="55">
        <f>_xll.EQNXTDZ($A$1,$B54,S$1,$B$1)</f>
        <v>367</v>
      </c>
      <c r="T54" s="55">
        <f>_xll.EQNXTDZ($A$1,$B54,T$1,$B$1)</f>
        <v>694</v>
      </c>
      <c r="U54" s="55">
        <f>_xll.EQNXTDZ($A$1,$B54,U$1,$B$1)</f>
        <v>1655</v>
      </c>
      <c r="V54" s="55">
        <f>_xll.EQNXTDZ($A$1,$B54,V$1,$B$1)</f>
        <v>2852</v>
      </c>
      <c r="W54" s="55">
        <f>_xll.EQNXTDZ($A$1,$B54,W$1,$B$1)</f>
        <v>2645</v>
      </c>
      <c r="X54" s="55">
        <f>_xll.EQNXTDZ($A$1,$B54,X$1,$B$1)</f>
        <v>4134</v>
      </c>
      <c r="Y54" s="55">
        <f>_xll.EQNXTDZ($A$1,$B54,Y$1,$B$1)</f>
        <v>3865</v>
      </c>
      <c r="Z54" s="55">
        <f>_xll.EQNXTDZ($A$1,$B54,Z$1,$B$1)</f>
        <v>3956</v>
      </c>
      <c r="AA54" s="55">
        <f>_xll.EQNXTDZ($A$1,$B54,AA$1,$B$1)</f>
        <v>4164</v>
      </c>
      <c r="AB54" s="55">
        <f>_xll.EQNXTDZ($A$1,$B54,AB$1,$B$1)</f>
        <v>4744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134.78736989999999</v>
      </c>
      <c r="D55" s="55">
        <f>_xll.EQNXTDZ($A$1,$B55,D$1,$B$1)</f>
        <v>126.11</v>
      </c>
      <c r="E55" s="55">
        <f>_xll.EQNXTDZ($A$1,$B55,E$1,$B$1)</f>
        <v>172.36</v>
      </c>
      <c r="F55" s="55">
        <f>_xll.EQNXTDZ($A$1,$B55,F$1,$B$1)</f>
        <v>247.56</v>
      </c>
      <c r="G55" s="55">
        <f>_xll.EQNXTDZ($A$1,$B55,G$1,$B$1)</f>
        <v>341</v>
      </c>
      <c r="H55" s="55">
        <f>_xll.EQNXTDZ($A$1,$B55,H$1,$B$1)</f>
        <v>552</v>
      </c>
      <c r="I55" s="55">
        <f>_xll.EQNXTDZ($A$1,$B55,I$1,$B$1)</f>
        <v>992</v>
      </c>
      <c r="J55" s="55">
        <f>_xll.EQNXTDZ($A$1,$B55,J$1,$B$1)</f>
        <v>1176</v>
      </c>
      <c r="K55" s="55">
        <f>_xll.EQNXTDZ($A$1,$B55,K$1,$B$1)</f>
        <v>1434</v>
      </c>
      <c r="L55" s="55">
        <f>_xll.EQNXTDZ($A$1,$B55,L$1,$B$1)</f>
        <v>1684</v>
      </c>
      <c r="M55" s="55">
        <f>_xll.EQNXTDZ($A$1,$B55,M$1,$B$1)</f>
        <v>2540</v>
      </c>
      <c r="N55" s="55">
        <f>_xll.EQNXTDZ($A$1,$B55,N$1,$B$1)</f>
        <v>3059</v>
      </c>
      <c r="O55" s="55">
        <f>_xll.EQNXTDZ($A$1,$B55,O$1,$B$1)</f>
        <v>3941</v>
      </c>
      <c r="P55" s="55">
        <f>_xll.EQNXTDZ($A$1,$B55,P$1,$B$1)</f>
        <v>5449</v>
      </c>
      <c r="Q55" s="55">
        <f>_xll.EQNXTDZ($A$1,$B55,Q$1,$B$1)</f>
        <v>6920</v>
      </c>
      <c r="R55" s="55">
        <f>_xll.EQNXTDZ($A$1,$B55,R$1,$B$1)</f>
        <v>7590</v>
      </c>
      <c r="S55" s="55">
        <f>_xll.EQNXTDZ($A$1,$B55,S$1,$B$1)</f>
        <v>7997</v>
      </c>
      <c r="T55" s="55">
        <f>_xll.EQNXTDZ($A$1,$B55,T$1,$B$1)</f>
        <v>9131</v>
      </c>
      <c r="U55" s="55">
        <f>_xll.EQNXTDZ($A$1,$B55,U$1,$B$1)</f>
        <v>13221</v>
      </c>
      <c r="V55" s="55">
        <f>_xll.EQNXTDZ($A$1,$B55,V$1,$B$1)</f>
        <v>14110</v>
      </c>
      <c r="W55" s="55">
        <f>_xll.EQNXTDZ($A$1,$B55,W$1,$B$1)</f>
        <v>16341</v>
      </c>
      <c r="X55" s="55">
        <f>_xll.EQNXTDZ($A$1,$B55,X$1,$B$1)</f>
        <v>23705</v>
      </c>
      <c r="Y55" s="55">
        <f>_xll.EQNXTDZ($A$1,$B55,Y$1,$B$1)</f>
        <v>28231</v>
      </c>
      <c r="Z55" s="55">
        <f>_xll.EQNXTDZ($A$1,$B55,Z$1,$B$1)</f>
        <v>26835</v>
      </c>
      <c r="AA55" s="55">
        <f>_xll.EQNXTDZ($A$1,$B55,AA$1,$B$1)</f>
        <v>29450</v>
      </c>
      <c r="AB55" s="55">
        <f>_xll.EQNXTDZ($A$1,$B55,AB$1,$B$1)</f>
        <v>36898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0</v>
      </c>
      <c r="N56" s="55">
        <f>_xll.EQNXTDZ($A$1,$B56,N$1,$B$1)</f>
        <v>0</v>
      </c>
      <c r="O56" s="55">
        <f>_xll.EQNXTDZ($A$1,$B56,O$1,$B$1)</f>
        <v>0</v>
      </c>
      <c r="P56" s="55">
        <f>_xll.EQNXTDZ($A$1,$B56,P$1,$B$1)</f>
        <v>0</v>
      </c>
      <c r="Q56" s="55">
        <f>_xll.EQNXTDZ($A$1,$B56,Q$1,$B$1)</f>
        <v>0</v>
      </c>
      <c r="R56" s="55">
        <f>_xll.EQNXTDZ($A$1,$B56,R$1,$B$1)</f>
        <v>0</v>
      </c>
      <c r="S56" s="55">
        <f>_xll.EQNXTDZ($A$1,$B56,S$1,$B$1)</f>
        <v>0</v>
      </c>
      <c r="T56" s="55">
        <f>_xll.EQNXTDZ($A$1,$B56,T$1,$B$1)</f>
        <v>0</v>
      </c>
      <c r="U56" s="55">
        <f>_xll.EQNXTDZ($A$1,$B56,U$1,$B$1)</f>
        <v>0</v>
      </c>
      <c r="V56" s="55">
        <f>_xll.EQNXTDZ($A$1,$B56,V$1,$B$1)</f>
        <v>0</v>
      </c>
      <c r="W56" s="55">
        <f>_xll.EQNXTDZ($A$1,$B56,W$1,$B$1)</f>
        <v>0</v>
      </c>
      <c r="X56" s="55">
        <f>_xll.EQNXTDZ($A$1,$B56,X$1,$B$1)</f>
        <v>0</v>
      </c>
      <c r="Y56" s="55">
        <f>_xll.EQNXTDZ($A$1,$B56,Y$1,$B$1)</f>
        <v>0</v>
      </c>
      <c r="Z56" s="55">
        <f>_xll.EQNXTDZ($A$1,$B56,Z$1,$B$1)</f>
        <v>0</v>
      </c>
      <c r="AA56" s="55">
        <f>_xll.EQNXTDZ($A$1,$B56,AA$1,$B$1)</f>
        <v>0</v>
      </c>
      <c r="AB56" s="55">
        <f>_xll.EQNXTDZ($A$1,$B56,AB$1,$B$1)</f>
        <v>0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184.9320275</v>
      </c>
      <c r="D57" s="55">
        <f>_xll.EQNXTDZ($A$1,$B57,D$1,$B$1)</f>
        <v>333.3</v>
      </c>
      <c r="E57" s="55">
        <f>_xll.EQNXTDZ($A$1,$B57,E$1,$B$1)</f>
        <v>388.21</v>
      </c>
      <c r="F57" s="55">
        <f>_xll.EQNXTDZ($A$1,$B57,F$1,$B$1)</f>
        <v>1186.43</v>
      </c>
      <c r="G57" s="55">
        <f>_xll.EQNXTDZ($A$1,$B57,G$1,$B$1)</f>
        <v>777</v>
      </c>
      <c r="H57" s="55">
        <f>_xll.EQNXTDZ($A$1,$B57,H$1,$B$1)</f>
        <v>1412</v>
      </c>
      <c r="I57" s="55">
        <f>_xll.EQNXTDZ($A$1,$B57,I$1,$B$1)</f>
        <v>681</v>
      </c>
      <c r="J57" s="55">
        <f>_xll.EQNXTDZ($A$1,$B57,J$1,$B$1)</f>
        <v>2469</v>
      </c>
      <c r="K57" s="55">
        <f>_xll.EQNXTDZ($A$1,$B57,K$1,$B$1)</f>
        <v>1868</v>
      </c>
      <c r="L57" s="55">
        <f>_xll.EQNXTDZ($A$1,$B57,L$1,$B$1)</f>
        <v>2112</v>
      </c>
      <c r="M57" s="55">
        <f>_xll.EQNXTDZ($A$1,$B57,M$1,$B$1)</f>
        <v>2640</v>
      </c>
      <c r="N57" s="55">
        <f>_xll.EQNXTDZ($A$1,$B57,N$1,$B$1)</f>
        <v>3820</v>
      </c>
      <c r="O57" s="55">
        <f>_xll.EQNXTDZ($A$1,$B57,O$1,$B$1)</f>
        <v>3969</v>
      </c>
      <c r="P57" s="55">
        <f>_xll.EQNXTDZ($A$1,$B57,P$1,$B$1)</f>
        <v>6409</v>
      </c>
      <c r="Q57" s="55">
        <f>_xll.EQNXTDZ($A$1,$B57,Q$1,$B$1)</f>
        <v>8443</v>
      </c>
      <c r="R57" s="55">
        <f>_xll.EQNXTDZ($A$1,$B57,R$1,$B$1)</f>
        <v>5263</v>
      </c>
      <c r="S57" s="55">
        <f>_xll.EQNXTDZ($A$1,$B57,S$1,$B$1)</f>
        <v>5649</v>
      </c>
      <c r="T57" s="55">
        <f>_xll.EQNXTDZ($A$1,$B57,T$1,$B$1)</f>
        <v>3956</v>
      </c>
      <c r="U57" s="55">
        <f>_xll.EQNXTDZ($A$1,$B57,U$1,$B$1)</f>
        <v>3762</v>
      </c>
      <c r="V57" s="55">
        <f>_xll.EQNXTDZ($A$1,$B57,V$1,$B$1)</f>
        <v>3894</v>
      </c>
      <c r="W57" s="55">
        <f>_xll.EQNXTDZ($A$1,$B57,W$1,$B$1)</f>
        <v>4879</v>
      </c>
      <c r="X57" s="55">
        <f>_xll.EQNXTDZ($A$1,$B57,X$1,$B$1)</f>
        <v>5764</v>
      </c>
      <c r="Y57" s="55">
        <f>_xll.EQNXTDZ($A$1,$B57,Y$1,$B$1)</f>
        <v>7090</v>
      </c>
      <c r="Z57" s="55">
        <f>_xll.EQNXTDZ($A$1,$B57,Z$1,$B$1)</f>
        <v>8003</v>
      </c>
      <c r="AA57" s="55">
        <f>_xll.EQNXTDZ($A$1,$B57,AA$1,$B$1)</f>
        <v>9236</v>
      </c>
      <c r="AB57" s="55">
        <f>_xll.EQNXTDZ($A$1,$B57,AB$1,$B$1)</f>
        <v>10680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0</v>
      </c>
      <c r="T58" s="55">
        <f>_xll.EQNXTDZ($A$1,$B58,T$1,$B$1)</f>
        <v>324</v>
      </c>
      <c r="U58" s="55">
        <f>_xll.EQNXTDZ($A$1,$B58,U$1,$B$1)</f>
        <v>0</v>
      </c>
      <c r="V58" s="55">
        <f>_xll.EQNXTDZ($A$1,$B58,V$1,$B$1)</f>
        <v>0</v>
      </c>
      <c r="W58" s="55">
        <f>_xll.EQNXTDZ($A$1,$B58,W$1,$B$1)</f>
        <v>0</v>
      </c>
      <c r="X58" s="55">
        <f>_xll.EQNXTDZ($A$1,$B58,X$1,$B$1)</f>
        <v>0</v>
      </c>
      <c r="Y58" s="55">
        <f>_xll.EQNXTDZ($A$1,$B58,Y$1,$B$1)</f>
        <v>0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319.85014510000002</v>
      </c>
      <c r="D59" s="55">
        <f>_xll.EQNXTDZ($A$1,$B59,D$1,$B$1)</f>
        <v>459.41</v>
      </c>
      <c r="E59" s="55">
        <f>_xll.EQNXTDZ($A$1,$B59,E$1,$B$1)</f>
        <v>707.81</v>
      </c>
      <c r="F59" s="55">
        <f>_xll.EQNXTDZ($A$1,$B59,F$1,$B$1)</f>
        <v>1768.15</v>
      </c>
      <c r="G59" s="55">
        <f>_xll.EQNXTDZ($A$1,$B59,G$1,$B$1)</f>
        <v>1433</v>
      </c>
      <c r="H59" s="55">
        <f>_xll.EQNXTDZ($A$1,$B59,H$1,$B$1)</f>
        <v>2346</v>
      </c>
      <c r="I59" s="55">
        <f>_xll.EQNXTDZ($A$1,$B59,I$1,$B$1)</f>
        <v>2150</v>
      </c>
      <c r="J59" s="55">
        <f>_xll.EQNXTDZ($A$1,$B59,J$1,$B$1)</f>
        <v>4191</v>
      </c>
      <c r="K59" s="55">
        <f>_xll.EQNXTDZ($A$1,$B59,K$1,$B$1)</f>
        <v>3872</v>
      </c>
      <c r="L59" s="55">
        <f>_xll.EQNXTDZ($A$1,$B59,L$1,$B$1)</f>
        <v>4455</v>
      </c>
      <c r="M59" s="55">
        <f>_xll.EQNXTDZ($A$1,$B59,M$1,$B$1)</f>
        <v>5224</v>
      </c>
      <c r="N59" s="55">
        <f>_xll.EQNXTDZ($A$1,$B59,N$1,$B$1)</f>
        <v>6902</v>
      </c>
      <c r="O59" s="55">
        <f>_xll.EQNXTDZ($A$1,$B59,O$1,$B$1)</f>
        <v>8099</v>
      </c>
      <c r="P59" s="55">
        <f>_xll.EQNXTDZ($A$1,$B59,P$1,$B$1)</f>
        <v>12031</v>
      </c>
      <c r="Q59" s="55">
        <f>_xll.EQNXTDZ($A$1,$B59,Q$1,$B$1)</f>
        <v>15503</v>
      </c>
      <c r="R59" s="55">
        <f>_xll.EQNXTDZ($A$1,$B59,R$1,$B$1)</f>
        <v>13239</v>
      </c>
      <c r="S59" s="55">
        <f>_xll.EQNXTDZ($A$1,$B59,S$1,$B$1)</f>
        <v>14013</v>
      </c>
      <c r="T59" s="55">
        <f>_xll.EQNXTDZ($A$1,$B59,T$1,$B$1)</f>
        <v>13781</v>
      </c>
      <c r="U59" s="55">
        <f>_xll.EQNXTDZ($A$1,$B59,U$1,$B$1)</f>
        <v>18638</v>
      </c>
      <c r="V59" s="55">
        <f>_xll.EQNXTDZ($A$1,$B59,V$1,$B$1)</f>
        <v>20856</v>
      </c>
      <c r="W59" s="55">
        <f>_xll.EQNXTDZ($A$1,$B59,W$1,$B$1)</f>
        <v>23865</v>
      </c>
      <c r="X59" s="55">
        <f>_xll.EQNXTDZ($A$1,$B59,X$1,$B$1)</f>
        <v>33603</v>
      </c>
      <c r="Y59" s="55">
        <f>_xll.EQNXTDZ($A$1,$B59,Y$1,$B$1)</f>
        <v>39186</v>
      </c>
      <c r="Z59" s="55">
        <f>_xll.EQNXTDZ($A$1,$B59,Z$1,$B$1)</f>
        <v>38794</v>
      </c>
      <c r="AA59" s="55">
        <f>_xll.EQNXTDZ($A$1,$B59,AA$1,$B$1)</f>
        <v>42850</v>
      </c>
      <c r="AB59" s="55">
        <f>_xll.EQNXTDZ($A$1,$B59,AB$1,$B$1)</f>
        <v>52322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1709.4893439</v>
      </c>
      <c r="D60" s="55">
        <f>_xll.EQNXTDZ($A$1,$B60,D$1,$B$1)</f>
        <v>2515.5</v>
      </c>
      <c r="E60" s="55">
        <f>_xll.EQNXTDZ($A$1,$B60,E$1,$B$1)</f>
        <v>3577.49</v>
      </c>
      <c r="F60" s="55">
        <f>_xll.EQNXTDZ($A$1,$B60,F$1,$B$1)</f>
        <v>5071.32</v>
      </c>
      <c r="G60" s="55">
        <f>_xll.EQNXTDZ($A$1,$B60,G$1,$B$1)</f>
        <v>6707</v>
      </c>
      <c r="H60" s="55">
        <f>_xll.EQNXTDZ($A$1,$B60,H$1,$B$1)</f>
        <v>9315</v>
      </c>
      <c r="I60" s="55">
        <f>_xll.EQNXTDZ($A$1,$B60,I$1,$B$1)</f>
        <v>13317</v>
      </c>
      <c r="J60" s="55">
        <f>_xll.EQNXTDZ($A$1,$B60,J$1,$B$1)</f>
        <v>17867</v>
      </c>
      <c r="K60" s="55">
        <f>_xll.EQNXTDZ($A$1,$B60,K$1,$B$1)</f>
        <v>22000</v>
      </c>
      <c r="L60" s="55">
        <f>_xll.EQNXTDZ($A$1,$B60,L$1,$B$1)</f>
        <v>27304</v>
      </c>
      <c r="M60" s="55">
        <f>_xll.EQNXTDZ($A$1,$B60,M$1,$B$1)</f>
        <v>30972</v>
      </c>
      <c r="N60" s="55">
        <f>_xll.EQNXTDZ($A$1,$B60,N$1,$B$1)</f>
        <v>38092</v>
      </c>
      <c r="O60" s="55">
        <f>_xll.EQNXTDZ($A$1,$B60,O$1,$B$1)</f>
        <v>45862</v>
      </c>
      <c r="P60" s="55">
        <f>_xll.EQNXTDZ($A$1,$B60,P$1,$B$1)</f>
        <v>56337</v>
      </c>
      <c r="Q60" s="55">
        <f>_xll.EQNXTDZ($A$1,$B60,Q$1,$B$1)</f>
        <v>65753</v>
      </c>
      <c r="R60" s="55">
        <f>_xll.EQNXTDZ($A$1,$B60,R$1,$B$1)</f>
        <v>74814</v>
      </c>
      <c r="S60" s="55">
        <f>_xll.EQNXTDZ($A$1,$B60,S$1,$B$1)</f>
        <v>82815</v>
      </c>
      <c r="T60" s="55">
        <f>_xll.EQNXTDZ($A$1,$B60,T$1,$B$1)</f>
        <v>78608</v>
      </c>
      <c r="U60" s="55">
        <f>_xll.EQNXTDZ($A$1,$B60,U$1,$B$1)</f>
        <v>83366</v>
      </c>
      <c r="V60" s="55">
        <f>_xll.EQNXTDZ($A$1,$B60,V$1,$B$1)</f>
        <v>91024</v>
      </c>
      <c r="W60" s="55">
        <f>_xll.EQNXTDZ($A$1,$B60,W$1,$B$1)</f>
        <v>107288</v>
      </c>
      <c r="X60" s="55">
        <f>_xll.EQNXTDZ($A$1,$B60,X$1,$B$1)</f>
        <v>116673</v>
      </c>
      <c r="Y60" s="55">
        <f>_xll.EQNXTDZ($A$1,$B60,Y$1,$B$1)</f>
        <v>124571</v>
      </c>
      <c r="Z60" s="55">
        <f>_xll.EQNXTDZ($A$1,$B60,Z$1,$B$1)</f>
        <v>137360</v>
      </c>
      <c r="AA60" s="55">
        <f>_xll.EQNXTDZ($A$1,$B60,AA$1,$B$1)</f>
        <v>147795</v>
      </c>
      <c r="AB60" s="55">
        <f>_xll.EQNXTDZ($A$1,$B60,AB$1,$B$1)</f>
        <v>153703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631.14440249999996</v>
      </c>
      <c r="D62" s="55">
        <f>_xll.EQNXTDZ($A$1,$B62,D$1,$B$1)</f>
        <v>960.6</v>
      </c>
      <c r="E62" s="55">
        <f>_xll.EQNXTDZ($A$1,$B62,E$1,$B$1)</f>
        <v>1279.04</v>
      </c>
      <c r="F62" s="55">
        <f>_xll.EQNXTDZ($A$1,$B62,F$1,$B$1)</f>
        <v>1633.65</v>
      </c>
      <c r="G62" s="55">
        <f>_xll.EQNXTDZ($A$1,$B62,G$1,$B$1)</f>
        <v>2287</v>
      </c>
      <c r="H62" s="55">
        <f>_xll.EQNXTDZ($A$1,$B62,H$1,$B$1)</f>
        <v>2983</v>
      </c>
      <c r="I62" s="55">
        <f>_xll.EQNXTDZ($A$1,$B62,I$1,$B$1)</f>
        <v>4642</v>
      </c>
      <c r="J62" s="55">
        <f>_xll.EQNXTDZ($A$1,$B62,J$1,$B$1)</f>
        <v>5439</v>
      </c>
      <c r="K62" s="55">
        <f>_xll.EQNXTDZ($A$1,$B62,K$1,$B$1)</f>
        <v>7093</v>
      </c>
      <c r="L62" s="55">
        <f>_xll.EQNXTDZ($A$1,$B62,L$1,$B$1)</f>
        <v>7839</v>
      </c>
      <c r="M62" s="55">
        <f>_xll.EQNXTDZ($A$1,$B62,M$1,$B$1)</f>
        <v>8501</v>
      </c>
      <c r="N62" s="55">
        <f>_xll.EQNXTDZ($A$1,$B62,N$1,$B$1)</f>
        <v>9194</v>
      </c>
      <c r="O62" s="55">
        <f>_xll.EQNXTDZ($A$1,$B62,O$1,$B$1)</f>
        <v>11381</v>
      </c>
      <c r="P62" s="55">
        <f>_xll.EQNXTDZ($A$1,$B62,P$1,$B$1)</f>
        <v>13950</v>
      </c>
      <c r="Q62" s="55">
        <f>_xll.EQNXTDZ($A$1,$B62,Q$1,$B$1)</f>
        <v>17816</v>
      </c>
      <c r="R62" s="55">
        <f>_xll.EQNXTDZ($A$1,$B62,R$1,$B$1)</f>
        <v>21293</v>
      </c>
      <c r="S62" s="55">
        <f>_xll.EQNXTDZ($A$1,$B62,S$1,$B$1)</f>
        <v>23379</v>
      </c>
      <c r="T62" s="55">
        <f>_xll.EQNXTDZ($A$1,$B62,T$1,$B$1)</f>
        <v>22980</v>
      </c>
      <c r="U62" s="55">
        <f>_xll.EQNXTDZ($A$1,$B62,U$1,$B$1)</f>
        <v>28065</v>
      </c>
      <c r="V62" s="55">
        <f>_xll.EQNXTDZ($A$1,$B62,V$1,$B$1)</f>
        <v>38323</v>
      </c>
      <c r="W62" s="55">
        <f>_xll.EQNXTDZ($A$1,$B62,W$1,$B$1)</f>
        <v>42372</v>
      </c>
      <c r="X62" s="55">
        <f>_xll.EQNXTDZ($A$1,$B62,X$1,$B$1)</f>
        <v>44374</v>
      </c>
      <c r="Y62" s="55">
        <f>_xll.EQNXTDZ($A$1,$B62,Y$1,$B$1)</f>
        <v>49911</v>
      </c>
      <c r="Z62" s="55">
        <f>_xll.EQNXTDZ($A$1,$B62,Z$1,$B$1)</f>
        <v>50791</v>
      </c>
      <c r="AA62" s="55">
        <f>_xll.EQNXTDZ($A$1,$B62,AA$1,$B$1)</f>
        <v>56333</v>
      </c>
      <c r="AB62" s="55">
        <f>_xll.EQNXTDZ($A$1,$B62,AB$1,$B$1)</f>
        <v>61652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244.13159820000001</v>
      </c>
      <c r="D63" s="55">
        <f>_xll.EQNXTDZ($A$1,$B63,D$1,$B$1)</f>
        <v>393.03</v>
      </c>
      <c r="E63" s="55">
        <f>_xll.EQNXTDZ($A$1,$B63,E$1,$B$1)</f>
        <v>578.54</v>
      </c>
      <c r="F63" s="55">
        <f>_xll.EQNXTDZ($A$1,$B63,F$1,$B$1)</f>
        <v>809.84</v>
      </c>
      <c r="G63" s="55">
        <f>_xll.EQNXTDZ($A$1,$B63,G$1,$B$1)</f>
        <v>1031</v>
      </c>
      <c r="H63" s="55">
        <f>_xll.EQNXTDZ($A$1,$B63,H$1,$B$1)</f>
        <v>1328</v>
      </c>
      <c r="I63" s="55">
        <f>_xll.EQNXTDZ($A$1,$B63,I$1,$B$1)</f>
        <v>1836</v>
      </c>
      <c r="J63" s="55">
        <f>_xll.EQNXTDZ($A$1,$B63,J$1,$B$1)</f>
        <v>1986</v>
      </c>
      <c r="K63" s="55">
        <f>_xll.EQNXTDZ($A$1,$B63,K$1,$B$1)</f>
        <v>2416</v>
      </c>
      <c r="L63" s="55">
        <f>_xll.EQNXTDZ($A$1,$B63,L$1,$B$1)</f>
        <v>2893</v>
      </c>
      <c r="M63" s="55">
        <f>_xll.EQNXTDZ($A$1,$B63,M$1,$B$1)</f>
        <v>3266</v>
      </c>
      <c r="N63" s="55">
        <f>_xll.EQNXTDZ($A$1,$B63,N$1,$B$1)</f>
        <v>3639</v>
      </c>
      <c r="O63" s="55">
        <f>_xll.EQNXTDZ($A$1,$B63,O$1,$B$1)</f>
        <v>4242</v>
      </c>
      <c r="P63" s="55">
        <f>_xll.EQNXTDZ($A$1,$B63,P$1,$B$1)</f>
        <v>5572</v>
      </c>
      <c r="Q63" s="55">
        <f>_xll.EQNXTDZ($A$1,$B63,Q$1,$B$1)</f>
        <v>6470</v>
      </c>
      <c r="R63" s="55">
        <f>_xll.EQNXTDZ($A$1,$B63,R$1,$B$1)</f>
        <v>7907</v>
      </c>
      <c r="S63" s="55">
        <f>_xll.EQNXTDZ($A$1,$B63,S$1,$B$1)</f>
        <v>9200</v>
      </c>
      <c r="T63" s="55">
        <f>_xll.EQNXTDZ($A$1,$B63,T$1,$B$1)</f>
        <v>10406</v>
      </c>
      <c r="U63" s="55">
        <f>_xll.EQNXTDZ($A$1,$B63,U$1,$B$1)</f>
        <v>12355</v>
      </c>
      <c r="V63" s="55">
        <f>_xll.EQNXTDZ($A$1,$B63,V$1,$B$1)</f>
        <v>14534</v>
      </c>
      <c r="W63" s="55">
        <f>_xll.EQNXTDZ($A$1,$B63,W$1,$B$1)</f>
        <v>16867</v>
      </c>
      <c r="X63" s="55">
        <f>_xll.EQNXTDZ($A$1,$B63,X$1,$B$1)</f>
        <v>18574</v>
      </c>
      <c r="Y63" s="55">
        <f>_xll.EQNXTDZ($A$1,$B63,Y$1,$B$1)</f>
        <v>20686</v>
      </c>
      <c r="Z63" s="55">
        <f>_xll.EQNXTDZ($A$1,$B63,Z$1,$B$1)</f>
        <v>23169</v>
      </c>
      <c r="AA63" s="55">
        <f>_xll.EQNXTDZ($A$1,$B63,AA$1,$B$1)</f>
        <v>25372</v>
      </c>
      <c r="AB63" s="55">
        <f>_xll.EQNXTDZ($A$1,$B63,AB$1,$B$1)</f>
        <v>27882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0</v>
      </c>
      <c r="L64" s="55">
        <f>_xll.EQNXTDZ($A$1,$B64,L$1,$B$1)</f>
        <v>0</v>
      </c>
      <c r="M64" s="55">
        <f>_xll.EQNXTDZ($A$1,$B64,M$1,$B$1)</f>
        <v>0</v>
      </c>
      <c r="N64" s="55">
        <f>_xll.EQNXTDZ($A$1,$B64,N$1,$B$1)</f>
        <v>0</v>
      </c>
      <c r="O64" s="55">
        <f>_xll.EQNXTDZ($A$1,$B64,O$1,$B$1)</f>
        <v>0</v>
      </c>
      <c r="P64" s="55">
        <f>_xll.EQNXTDZ($A$1,$B64,P$1,$B$1)</f>
        <v>0</v>
      </c>
      <c r="Q64" s="55">
        <f>_xll.EQNXTDZ($A$1,$B64,Q$1,$B$1)</f>
        <v>0</v>
      </c>
      <c r="R64" s="55">
        <f>_xll.EQNXTDZ($A$1,$B64,R$1,$B$1)</f>
        <v>0</v>
      </c>
      <c r="S64" s="55">
        <f>_xll.EQNXTDZ($A$1,$B64,S$1,$B$1)</f>
        <v>0</v>
      </c>
      <c r="T64" s="55">
        <f>_xll.EQNXTDZ($A$1,$B64,T$1,$B$1)</f>
        <v>0</v>
      </c>
      <c r="U64" s="55">
        <f>_xll.EQNXTDZ($A$1,$B64,U$1,$B$1)</f>
        <v>0</v>
      </c>
      <c r="V64" s="55">
        <f>_xll.EQNXTDZ($A$1,$B64,V$1,$B$1)</f>
        <v>0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0</v>
      </c>
      <c r="Z64" s="55">
        <f>_xll.EQNXTDZ($A$1,$B64,Z$1,$B$1)</f>
        <v>0</v>
      </c>
      <c r="AA64" s="55">
        <f>_xll.EQNXTDZ($A$1,$B64,AA$1,$B$1)</f>
        <v>0</v>
      </c>
      <c r="AB64" s="55">
        <f>_xll.EQNXTDZ($A$1,$B64,AB$1,$B$1)</f>
        <v>0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387.01280430000003</v>
      </c>
      <c r="D65" s="55">
        <f>_xll.EQNXTDZ($A$1,$B65,D$1,$B$1)</f>
        <v>567.57000000000005</v>
      </c>
      <c r="E65" s="55">
        <f>_xll.EQNXTDZ($A$1,$B65,E$1,$B$1)</f>
        <v>700.5</v>
      </c>
      <c r="F65" s="55">
        <f>_xll.EQNXTDZ($A$1,$B65,F$1,$B$1)</f>
        <v>823.81</v>
      </c>
      <c r="G65" s="55">
        <f>_xll.EQNXTDZ($A$1,$B65,G$1,$B$1)</f>
        <v>1256</v>
      </c>
      <c r="H65" s="55">
        <f>_xll.EQNXTDZ($A$1,$B65,H$1,$B$1)</f>
        <v>1655</v>
      </c>
      <c r="I65" s="55">
        <f>_xll.EQNXTDZ($A$1,$B65,I$1,$B$1)</f>
        <v>2806</v>
      </c>
      <c r="J65" s="55">
        <f>_xll.EQNXTDZ($A$1,$B65,J$1,$B$1)</f>
        <v>3453</v>
      </c>
      <c r="K65" s="55">
        <f>_xll.EQNXTDZ($A$1,$B65,K$1,$B$1)</f>
        <v>4677</v>
      </c>
      <c r="L65" s="55">
        <f>_xll.EQNXTDZ($A$1,$B65,L$1,$B$1)</f>
        <v>4946</v>
      </c>
      <c r="M65" s="55">
        <f>_xll.EQNXTDZ($A$1,$B65,M$1,$B$1)</f>
        <v>5235</v>
      </c>
      <c r="N65" s="55">
        <f>_xll.EQNXTDZ($A$1,$B65,N$1,$B$1)</f>
        <v>5555</v>
      </c>
      <c r="O65" s="55">
        <f>_xll.EQNXTDZ($A$1,$B65,O$1,$B$1)</f>
        <v>7139</v>
      </c>
      <c r="P65" s="55">
        <f>_xll.EQNXTDZ($A$1,$B65,P$1,$B$1)</f>
        <v>8378</v>
      </c>
      <c r="Q65" s="55">
        <f>_xll.EQNXTDZ($A$1,$B65,Q$1,$B$1)</f>
        <v>11346</v>
      </c>
      <c r="R65" s="55">
        <f>_xll.EQNXTDZ($A$1,$B65,R$1,$B$1)</f>
        <v>13386</v>
      </c>
      <c r="S65" s="55">
        <f>_xll.EQNXTDZ($A$1,$B65,S$1,$B$1)</f>
        <v>14179</v>
      </c>
      <c r="T65" s="55">
        <f>_xll.EQNXTDZ($A$1,$B65,T$1,$B$1)</f>
        <v>12574</v>
      </c>
      <c r="U65" s="55">
        <f>_xll.EQNXTDZ($A$1,$B65,U$1,$B$1)</f>
        <v>15710</v>
      </c>
      <c r="V65" s="55">
        <f>_xll.EQNXTDZ($A$1,$B65,V$1,$B$1)</f>
        <v>23789</v>
      </c>
      <c r="W65" s="55">
        <f>_xll.EQNXTDZ($A$1,$B65,W$1,$B$1)</f>
        <v>25505</v>
      </c>
      <c r="X65" s="55">
        <f>_xll.EQNXTDZ($A$1,$B65,X$1,$B$1)</f>
        <v>25800</v>
      </c>
      <c r="Y65" s="55">
        <f>_xll.EQNXTDZ($A$1,$B65,Y$1,$B$1)</f>
        <v>29225</v>
      </c>
      <c r="Z65" s="55">
        <f>_xll.EQNXTDZ($A$1,$B65,Z$1,$B$1)</f>
        <v>27622</v>
      </c>
      <c r="AA65" s="55">
        <f>_xll.EQNXTDZ($A$1,$B65,AA$1,$B$1)</f>
        <v>30961</v>
      </c>
      <c r="AB65" s="55">
        <f>_xll.EQNXTDZ($A$1,$B65,AB$1,$B$1)</f>
        <v>33770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170.65042500000001</v>
      </c>
      <c r="D67" s="55">
        <f>_xll.EQNXTDZ($A$1,$B67,D$1,$B$1)</f>
        <v>150.66999999999999</v>
      </c>
      <c r="E67" s="55">
        <f>_xll.EQNXTDZ($A$1,$B67,E$1,$B$1)</f>
        <v>77.39</v>
      </c>
      <c r="F67" s="55">
        <f>_xll.EQNXTDZ($A$1,$B67,F$1,$B$1)</f>
        <v>208.05</v>
      </c>
      <c r="G67" s="55">
        <f>_xll.EQNXTDZ($A$1,$B67,G$1,$B$1)</f>
        <v>318</v>
      </c>
      <c r="H67" s="55">
        <f>_xll.EQNXTDZ($A$1,$B67,H$1,$B$1)</f>
        <v>571</v>
      </c>
      <c r="I67" s="55">
        <f>_xll.EQNXTDZ($A$1,$B67,I$1,$B$1)</f>
        <v>965</v>
      </c>
      <c r="J67" s="55">
        <f>_xll.EQNXTDZ($A$1,$B67,J$1,$B$1)</f>
        <v>1324</v>
      </c>
      <c r="K67" s="55">
        <f>_xll.EQNXTDZ($A$1,$B67,K$1,$B$1)</f>
        <v>677</v>
      </c>
      <c r="L67" s="55">
        <f>_xll.EQNXTDZ($A$1,$B67,L$1,$B$1)</f>
        <v>409</v>
      </c>
      <c r="M67" s="55">
        <f>_xll.EQNXTDZ($A$1,$B67,M$1,$B$1)</f>
        <v>264</v>
      </c>
      <c r="N67" s="55">
        <f>_xll.EQNXTDZ($A$1,$B67,N$1,$B$1)</f>
        <v>590</v>
      </c>
      <c r="O67" s="55">
        <f>_xll.EQNXTDZ($A$1,$B67,O$1,$B$1)</f>
        <v>1140</v>
      </c>
      <c r="P67" s="55">
        <f>_xll.EQNXTDZ($A$1,$B67,P$1,$B$1)</f>
        <v>961</v>
      </c>
      <c r="Q67" s="55">
        <f>_xll.EQNXTDZ($A$1,$B67,Q$1,$B$1)</f>
        <v>776</v>
      </c>
      <c r="R67" s="55">
        <f>_xll.EQNXTDZ($A$1,$B67,R$1,$B$1)</f>
        <v>960</v>
      </c>
      <c r="S67" s="55">
        <f>_xll.EQNXTDZ($A$1,$B67,S$1,$B$1)</f>
        <v>1365</v>
      </c>
      <c r="T67" s="55">
        <f>_xll.EQNXTDZ($A$1,$B67,T$1,$B$1)</f>
        <v>1606</v>
      </c>
      <c r="U67" s="55">
        <f>_xll.EQNXTDZ($A$1,$B67,U$1,$B$1)</f>
        <v>1388</v>
      </c>
      <c r="V67" s="55">
        <f>_xll.EQNXTDZ($A$1,$B67,V$1,$B$1)</f>
        <v>954</v>
      </c>
      <c r="W67" s="55">
        <f>_xll.EQNXTDZ($A$1,$B67,W$1,$B$1)</f>
        <v>922</v>
      </c>
      <c r="X67" s="55">
        <f>_xll.EQNXTDZ($A$1,$B67,X$1,$B$1)</f>
        <v>416</v>
      </c>
      <c r="Y67" s="55">
        <f>_xll.EQNXTDZ($A$1,$B67,Y$1,$B$1)</f>
        <v>288</v>
      </c>
      <c r="Z67" s="55">
        <f>_xll.EQNXTDZ($A$1,$B67,Z$1,$B$1)</f>
        <v>293</v>
      </c>
      <c r="AA67" s="55">
        <f>_xll.EQNXTDZ($A$1,$B67,AA$1,$B$1)</f>
        <v>814</v>
      </c>
      <c r="AB67" s="55">
        <f>_xll.EQNXTDZ($A$1,$B67,AB$1,$B$1)</f>
        <v>526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0</v>
      </c>
      <c r="N68" s="55">
        <f>_xll.EQNXTDZ($A$1,$B68,N$1,$B$1)</f>
        <v>0</v>
      </c>
      <c r="O68" s="55">
        <f>_xll.EQNXTDZ($A$1,$B68,O$1,$B$1)</f>
        <v>0</v>
      </c>
      <c r="P68" s="55">
        <f>_xll.EQNXTDZ($A$1,$B68,P$1,$B$1)</f>
        <v>0</v>
      </c>
      <c r="Q68" s="55">
        <f>_xll.EQNXTDZ($A$1,$B68,Q$1,$B$1)</f>
        <v>0</v>
      </c>
      <c r="R68" s="55">
        <f>_xll.EQNXTDZ($A$1,$B68,R$1,$B$1)</f>
        <v>0</v>
      </c>
      <c r="S68" s="55">
        <f>_xll.EQNXTDZ($A$1,$B68,S$1,$B$1)</f>
        <v>0</v>
      </c>
      <c r="T68" s="55">
        <f>_xll.EQNXTDZ($A$1,$B68,T$1,$B$1)</f>
        <v>0</v>
      </c>
      <c r="U68" s="55">
        <f>_xll.EQNXTDZ($A$1,$B68,U$1,$B$1)</f>
        <v>0</v>
      </c>
      <c r="V68" s="55">
        <f>_xll.EQNXTDZ($A$1,$B68,V$1,$B$1)</f>
        <v>0</v>
      </c>
      <c r="W68" s="55">
        <f>_xll.EQNXTDZ($A$1,$B68,W$1,$B$1)</f>
        <v>0</v>
      </c>
      <c r="X68" s="55">
        <f>_xll.EQNXTDZ($A$1,$B68,X$1,$B$1)</f>
        <v>0</v>
      </c>
      <c r="Y68" s="55">
        <f>_xll.EQNXTDZ($A$1,$B68,Y$1,$B$1)</f>
        <v>0</v>
      </c>
      <c r="Z68" s="55">
        <f>_xll.EQNXTDZ($A$1,$B68,Z$1,$B$1)</f>
        <v>0</v>
      </c>
      <c r="AA68" s="55">
        <f>_xll.EQNXTDZ($A$1,$B68,AA$1,$B$1)</f>
        <v>0</v>
      </c>
      <c r="AB68" s="55">
        <f>_xll.EQNXTDZ($A$1,$B68,AB$1,$B$1)</f>
        <v>0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0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0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0</v>
      </c>
      <c r="S70" s="55">
        <f>_xll.EQNXTDZ($A$1,$B70,S$1,$B$1)</f>
        <v>0</v>
      </c>
      <c r="T70" s="55">
        <f>_xll.EQNXTDZ($A$1,$B70,T$1,$B$1)</f>
        <v>0</v>
      </c>
      <c r="U70" s="55">
        <f>_xll.EQNXTDZ($A$1,$B70,U$1,$B$1)</f>
        <v>0</v>
      </c>
      <c r="V70" s="55">
        <f>_xll.EQNXTDZ($A$1,$B70,V$1,$B$1)</f>
        <v>0</v>
      </c>
      <c r="W70" s="55">
        <f>_xll.EQNXTDZ($A$1,$B70,W$1,$B$1)</f>
        <v>0</v>
      </c>
      <c r="X70" s="55">
        <f>_xll.EQNXTDZ($A$1,$B70,X$1,$B$1)</f>
        <v>0</v>
      </c>
      <c r="Y70" s="55">
        <f>_xll.EQNXTDZ($A$1,$B70,Y$1,$B$1)</f>
        <v>0</v>
      </c>
      <c r="Z70" s="55">
        <f>_xll.EQNXTDZ($A$1,$B70,Z$1,$B$1)</f>
        <v>0</v>
      </c>
      <c r="AA70" s="55">
        <f>_xll.EQNXTDZ($A$1,$B70,AA$1,$B$1)</f>
        <v>0</v>
      </c>
      <c r="AB70" s="55">
        <f>_xll.EQNXTDZ($A$1,$B70,AB$1,$B$1)</f>
        <v>0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34.115482100000001</v>
      </c>
      <c r="D71" s="55">
        <f>_xll.EQNXTDZ($A$1,$B71,D$1,$B$1)</f>
        <v>44.44</v>
      </c>
      <c r="E71" s="55">
        <f>_xll.EQNXTDZ($A$1,$B71,E$1,$B$1)</f>
        <v>20.95</v>
      </c>
      <c r="F71" s="55">
        <f>_xll.EQNXTDZ($A$1,$B71,F$1,$B$1)</f>
        <v>2.04000000000008</v>
      </c>
      <c r="G71" s="55">
        <f>_xll.EQNXTDZ($A$1,$B71,G$1,$B$1)</f>
        <v>2</v>
      </c>
      <c r="H71" s="55">
        <f>_xll.EQNXTDZ($A$1,$B71,H$1,$B$1)</f>
        <v>2</v>
      </c>
      <c r="I71" s="55">
        <f>_xll.EQNXTDZ($A$1,$B71,I$1,$B$1)</f>
        <v>0</v>
      </c>
      <c r="J71" s="55">
        <f>_xll.EQNXTDZ($A$1,$B71,J$1,$B$1)</f>
        <v>0</v>
      </c>
      <c r="K71" s="55">
        <f>_xll.EQNXTDZ($A$1,$B71,K$1,$B$1)</f>
        <v>0</v>
      </c>
      <c r="L71" s="55">
        <f>_xll.EQNXTDZ($A$1,$B71,L$1,$B$1)</f>
        <v>4</v>
      </c>
      <c r="M71" s="55">
        <f>_xll.EQNXTDZ($A$1,$B71,M$1,$B$1)</f>
        <v>4</v>
      </c>
      <c r="N71" s="55">
        <f>_xll.EQNXTDZ($A$1,$B71,N$1,$B$1)</f>
        <v>4</v>
      </c>
      <c r="O71" s="55">
        <f>_xll.EQNXTDZ($A$1,$B71,O$1,$B$1)</f>
        <v>377</v>
      </c>
      <c r="P71" s="55">
        <f>_xll.EQNXTDZ($A$1,$B71,P$1,$B$1)</f>
        <v>1307</v>
      </c>
      <c r="Q71" s="55">
        <f>_xll.EQNXTDZ($A$1,$B71,Q$1,$B$1)</f>
        <v>1398</v>
      </c>
      <c r="R71" s="55">
        <f>_xll.EQNXTDZ($A$1,$B71,R$1,$B$1)</f>
        <v>1817</v>
      </c>
      <c r="S71" s="55">
        <f>_xll.EQNXTDZ($A$1,$B71,S$1,$B$1)</f>
        <v>6453</v>
      </c>
      <c r="T71" s="55">
        <f>_xll.EQNXTDZ($A$1,$B71,T$1,$B$1)</f>
        <v>5756</v>
      </c>
      <c r="U71" s="55">
        <f>_xll.EQNXTDZ($A$1,$B71,U$1,$B$1)</f>
        <v>4634</v>
      </c>
      <c r="V71" s="55">
        <f>_xll.EQNXTDZ($A$1,$B71,V$1,$B$1)</f>
        <v>4137</v>
      </c>
      <c r="W71" s="55">
        <f>_xll.EQNXTDZ($A$1,$B71,W$1,$B$1)</f>
        <v>11863</v>
      </c>
      <c r="X71" s="55">
        <f>_xll.EQNXTDZ($A$1,$B71,X$1,$B$1)</f>
        <v>13651</v>
      </c>
      <c r="Y71" s="55">
        <f>_xll.EQNXTDZ($A$1,$B71,Y$1,$B$1)</f>
        <v>12569</v>
      </c>
      <c r="Z71" s="55">
        <f>_xll.EQNXTDZ($A$1,$B71,Z$1,$B$1)</f>
        <v>11708</v>
      </c>
      <c r="AA71" s="55">
        <f>_xll.EQNXTDZ($A$1,$B71,AA$1,$B$1)</f>
        <v>11059</v>
      </c>
      <c r="AB71" s="55">
        <f>_xll.EQNXTDZ($A$1,$B71,AB$1,$B$1)</f>
        <v>8930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1446</v>
      </c>
      <c r="N72" s="55">
        <f>_xll.EQNXTDZ($A$1,$B72,N$1,$B$1)</f>
        <v>1652</v>
      </c>
      <c r="O72" s="55">
        <f>_xll.EQNXTDZ($A$1,$B72,O$1,$B$1)</f>
        <v>1822</v>
      </c>
      <c r="P72" s="55">
        <f>_xll.EQNXTDZ($A$1,$B72,P$1,$B$1)</f>
        <v>2594</v>
      </c>
      <c r="Q72" s="55">
        <f>_xll.EQNXTDZ($A$1,$B72,Q$1,$B$1)</f>
        <v>4957</v>
      </c>
      <c r="R72" s="55">
        <f>_xll.EQNXTDZ($A$1,$B72,R$1,$B$1)</f>
        <v>6474</v>
      </c>
      <c r="S72" s="55">
        <f>_xll.EQNXTDZ($A$1,$B72,S$1,$B$1)</f>
        <v>6654</v>
      </c>
      <c r="T72" s="55">
        <f>_xll.EQNXTDZ($A$1,$B72,T$1,$B$1)</f>
        <v>8239</v>
      </c>
      <c r="U72" s="55">
        <f>_xll.EQNXTDZ($A$1,$B72,U$1,$B$1)</f>
        <v>8275</v>
      </c>
      <c r="V72" s="55">
        <f>_xll.EQNXTDZ($A$1,$B72,V$1,$B$1)</f>
        <v>6818</v>
      </c>
      <c r="W72" s="55">
        <f>_xll.EQNXTDZ($A$1,$B72,W$1,$B$1)</f>
        <v>7591</v>
      </c>
      <c r="X72" s="55">
        <f>_xll.EQNXTDZ($A$1,$B72,X$1,$B$1)</f>
        <v>8101</v>
      </c>
      <c r="Y72" s="55">
        <f>_xll.EQNXTDZ($A$1,$B72,Y$1,$B$1)</f>
        <v>9167</v>
      </c>
      <c r="Z72" s="55">
        <f>_xll.EQNXTDZ($A$1,$B72,Z$1,$B$1)</f>
        <v>5993</v>
      </c>
      <c r="AA72" s="55">
        <f>_xll.EQNXTDZ($A$1,$B72,AA$1,$B$1)</f>
        <v>4967</v>
      </c>
      <c r="AB72" s="55">
        <f>_xll.EQNXTDZ($A$1,$B72,AB$1,$B$1)</f>
        <v>3550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20</v>
      </c>
      <c r="N73" s="55">
        <f>_xll.EQNXTDZ($A$1,$B73,N$1,$B$1)</f>
        <v>30</v>
      </c>
      <c r="O73" s="55">
        <f>_xll.EQNXTDZ($A$1,$B73,O$1,$B$1)</f>
        <v>41</v>
      </c>
      <c r="P73" s="55">
        <f>_xll.EQNXTDZ($A$1,$B73,P$1,$B$1)</f>
        <v>19</v>
      </c>
      <c r="Q73" s="55">
        <f>_xll.EQNXTDZ($A$1,$B73,Q$1,$B$1)</f>
        <v>34</v>
      </c>
      <c r="R73" s="55">
        <f>_xll.EQNXTDZ($A$1,$B73,R$1,$B$1)</f>
        <v>424</v>
      </c>
      <c r="S73" s="55">
        <f>_xll.EQNXTDZ($A$1,$B73,S$1,$B$1)</f>
        <v>459</v>
      </c>
      <c r="T73" s="55">
        <f>_xll.EQNXTDZ($A$1,$B73,T$1,$B$1)</f>
        <v>416</v>
      </c>
      <c r="U73" s="55">
        <f>_xll.EQNXTDZ($A$1,$B73,U$1,$B$1)</f>
        <v>481</v>
      </c>
      <c r="V73" s="55">
        <f>_xll.EQNXTDZ($A$1,$B73,V$1,$B$1)</f>
        <v>750</v>
      </c>
      <c r="W73" s="55">
        <f>_xll.EQNXTDZ($A$1,$B73,W$1,$B$1)</f>
        <v>674</v>
      </c>
      <c r="X73" s="55">
        <f>_xll.EQNXTDZ($A$1,$B73,X$1,$B$1)</f>
        <v>1520</v>
      </c>
      <c r="Y73" s="55">
        <f>_xll.EQNXTDZ($A$1,$B73,Y$1,$B$1)</f>
        <v>2441</v>
      </c>
      <c r="Z73" s="55">
        <f>_xll.EQNXTDZ($A$1,$B73,Z$1,$B$1)</f>
        <v>2312</v>
      </c>
      <c r="AA73" s="55">
        <f>_xll.EQNXTDZ($A$1,$B73,AA$1,$B$1)</f>
        <v>2895</v>
      </c>
      <c r="AB73" s="55">
        <f>_xll.EQNXTDZ($A$1,$B73,AB$1,$B$1)</f>
        <v>3438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591.77871140000002</v>
      </c>
      <c r="D74" s="55">
        <f>_xll.EQNXTDZ($A$1,$B74,D$1,$B$1)</f>
        <v>762.68</v>
      </c>
      <c r="E74" s="55">
        <f>_xll.EQNXTDZ($A$1,$B74,E$1,$B$1)</f>
        <v>798.84</v>
      </c>
      <c r="F74" s="55">
        <f>_xll.EQNXTDZ($A$1,$B74,F$1,$B$1)</f>
        <v>1033.9000000000001</v>
      </c>
      <c r="G74" s="55">
        <f>_xll.EQNXTDZ($A$1,$B74,G$1,$B$1)</f>
        <v>1576</v>
      </c>
      <c r="H74" s="55">
        <f>_xll.EQNXTDZ($A$1,$B74,H$1,$B$1)</f>
        <v>2228</v>
      </c>
      <c r="I74" s="55">
        <f>_xll.EQNXTDZ($A$1,$B74,I$1,$B$1)</f>
        <v>3771</v>
      </c>
      <c r="J74" s="55">
        <f>_xll.EQNXTDZ($A$1,$B74,J$1,$B$1)</f>
        <v>4777</v>
      </c>
      <c r="K74" s="55">
        <f>_xll.EQNXTDZ($A$1,$B74,K$1,$B$1)</f>
        <v>5354</v>
      </c>
      <c r="L74" s="55">
        <f>_xll.EQNXTDZ($A$1,$B74,L$1,$B$1)</f>
        <v>5359</v>
      </c>
      <c r="M74" s="55">
        <f>_xll.EQNXTDZ($A$1,$B74,M$1,$B$1)</f>
        <v>6969</v>
      </c>
      <c r="N74" s="55">
        <f>_xll.EQNXTDZ($A$1,$B74,N$1,$B$1)</f>
        <v>7831</v>
      </c>
      <c r="O74" s="55">
        <f>_xll.EQNXTDZ($A$1,$B74,O$1,$B$1)</f>
        <v>10519</v>
      </c>
      <c r="P74" s="55">
        <f>_xll.EQNXTDZ($A$1,$B74,P$1,$B$1)</f>
        <v>13259</v>
      </c>
      <c r="Q74" s="55">
        <f>_xll.EQNXTDZ($A$1,$B74,Q$1,$B$1)</f>
        <v>18511</v>
      </c>
      <c r="R74" s="55">
        <f>_xll.EQNXTDZ($A$1,$B74,R$1,$B$1)</f>
        <v>23061</v>
      </c>
      <c r="S74" s="55">
        <f>_xll.EQNXTDZ($A$1,$B74,S$1,$B$1)</f>
        <v>29110</v>
      </c>
      <c r="T74" s="55">
        <f>_xll.EQNXTDZ($A$1,$B74,T$1,$B$1)</f>
        <v>28591</v>
      </c>
      <c r="U74" s="55">
        <f>_xll.EQNXTDZ($A$1,$B74,U$1,$B$1)</f>
        <v>30488</v>
      </c>
      <c r="V74" s="55">
        <f>_xll.EQNXTDZ($A$1,$B74,V$1,$B$1)</f>
        <v>36448</v>
      </c>
      <c r="W74" s="55">
        <f>_xll.EQNXTDZ($A$1,$B74,W$1,$B$1)</f>
        <v>46555</v>
      </c>
      <c r="X74" s="55">
        <f>_xll.EQNXTDZ($A$1,$B74,X$1,$B$1)</f>
        <v>49488</v>
      </c>
      <c r="Y74" s="55">
        <f>_xll.EQNXTDZ($A$1,$B74,Y$1,$B$1)</f>
        <v>53690</v>
      </c>
      <c r="Z74" s="55">
        <f>_xll.EQNXTDZ($A$1,$B74,Z$1,$B$1)</f>
        <v>47928</v>
      </c>
      <c r="AA74" s="55">
        <f>_xll.EQNXTDZ($A$1,$B74,AA$1,$B$1)</f>
        <v>50696</v>
      </c>
      <c r="AB74" s="55">
        <f>_xll.EQNXTDZ($A$1,$B74,AB$1,$B$1)</f>
        <v>50214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0</v>
      </c>
      <c r="D75" s="55">
        <f>_xll.EQNXTDZ($A$1,$B75,D$1,$B$1)</f>
        <v>0</v>
      </c>
      <c r="E75" s="55">
        <f>_xll.EQNXTDZ($A$1,$B75,E$1,$B$1)</f>
        <v>0</v>
      </c>
      <c r="F75" s="55">
        <f>_xll.EQNXTDZ($A$1,$B75,F$1,$B$1)</f>
        <v>943.41</v>
      </c>
      <c r="G75" s="55">
        <f>_xll.EQNXTDZ($A$1,$B75,G$1,$B$1)</f>
        <v>1209</v>
      </c>
      <c r="H75" s="55">
        <f>_xll.EQNXTDZ($A$1,$B75,H$1,$B$1)</f>
        <v>753</v>
      </c>
      <c r="I75" s="55">
        <f>_xll.EQNXTDZ($A$1,$B75,I$1,$B$1)</f>
        <v>25</v>
      </c>
      <c r="J75" s="55">
        <f>_xll.EQNXTDZ($A$1,$B75,J$1,$B$1)</f>
        <v>72</v>
      </c>
      <c r="K75" s="55">
        <f>_xll.EQNXTDZ($A$1,$B75,K$1,$B$1)</f>
        <v>0</v>
      </c>
      <c r="L75" s="55">
        <f>_xll.EQNXTDZ($A$1,$B75,L$1,$B$1)</f>
        <v>3698</v>
      </c>
      <c r="M75" s="55">
        <f>_xll.EQNXTDZ($A$1,$B75,M$1,$B$1)</f>
        <v>140</v>
      </c>
      <c r="N75" s="55">
        <f>_xll.EQNXTDZ($A$1,$B75,N$1,$B$1)</f>
        <v>368</v>
      </c>
      <c r="O75" s="55">
        <f>_xll.EQNXTDZ($A$1,$B75,O$1,$B$1)</f>
        <v>1739</v>
      </c>
      <c r="P75" s="55">
        <f>_xll.EQNXTDZ($A$1,$B75,P$1,$B$1)</f>
        <v>3024</v>
      </c>
      <c r="Q75" s="55">
        <f>_xll.EQNXTDZ($A$1,$B75,Q$1,$B$1)</f>
        <v>872</v>
      </c>
      <c r="R75" s="55">
        <f>_xll.EQNXTDZ($A$1,$B75,R$1,$B$1)</f>
        <v>75</v>
      </c>
      <c r="S75" s="55">
        <f>_xll.EQNXTDZ($A$1,$B75,S$1,$B$1)</f>
        <v>9970</v>
      </c>
      <c r="T75" s="55">
        <f>_xll.EQNXTDZ($A$1,$B75,T$1,$B$1)</f>
        <v>6407</v>
      </c>
      <c r="U75" s="55">
        <f>_xll.EQNXTDZ($A$1,$B75,U$1,$B$1)</f>
        <v>6627</v>
      </c>
      <c r="V75" s="55">
        <f>_xll.EQNXTDZ($A$1,$B75,V$1,$B$1)</f>
        <v>4655</v>
      </c>
      <c r="W75" s="55">
        <f>_xll.EQNXTDZ($A$1,$B75,W$1,$B$1)</f>
        <v>2342</v>
      </c>
      <c r="X75" s="55">
        <f>_xll.EQNXTDZ($A$1,$B75,X$1,$B$1)</f>
        <v>6673</v>
      </c>
      <c r="Y75" s="55">
        <f>_xll.EQNXTDZ($A$1,$B75,Y$1,$B$1)</f>
        <v>6909</v>
      </c>
      <c r="Z75" s="55">
        <f>_xll.EQNXTDZ($A$1,$B75,Z$1,$B$1)</f>
        <v>12915</v>
      </c>
      <c r="AA75" s="55">
        <f>_xll.EQNXTDZ($A$1,$B75,AA$1,$B$1)</f>
        <v>12482</v>
      </c>
      <c r="AB75" s="55">
        <f>_xll.EQNXTDZ($A$1,$B75,AB$1,$B$1)</f>
        <v>12950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0</v>
      </c>
      <c r="D76" s="55">
        <f>_xll.EQNXTDZ($A$1,$B76,D$1,$B$1)</f>
        <v>0</v>
      </c>
      <c r="E76" s="55">
        <f>_xll.EQNXTDZ($A$1,$B76,E$1,$B$1)</f>
        <v>0</v>
      </c>
      <c r="F76" s="55">
        <f>_xll.EQNXTDZ($A$1,$B76,F$1,$B$1)</f>
        <v>0</v>
      </c>
      <c r="G76" s="55">
        <f>_xll.EQNXTDZ($A$1,$B76,G$1,$B$1)</f>
        <v>0</v>
      </c>
      <c r="H76" s="55">
        <f>_xll.EQNXTDZ($A$1,$B76,H$1,$B$1)</f>
        <v>0</v>
      </c>
      <c r="I76" s="55">
        <f>_xll.EQNXTDZ($A$1,$B76,I$1,$B$1)</f>
        <v>0</v>
      </c>
      <c r="J76" s="55">
        <f>_xll.EQNXTDZ($A$1,$B76,J$1,$B$1)</f>
        <v>0</v>
      </c>
      <c r="K76" s="55">
        <f>_xll.EQNXTDZ($A$1,$B76,K$1,$B$1)</f>
        <v>0</v>
      </c>
      <c r="L76" s="55">
        <f>_xll.EQNXTDZ($A$1,$B76,L$1,$B$1)</f>
        <v>0</v>
      </c>
      <c r="M76" s="55">
        <f>_xll.EQNXTDZ($A$1,$B76,M$1,$B$1)</f>
        <v>0</v>
      </c>
      <c r="N76" s="55">
        <f>_xll.EQNXTDZ($A$1,$B76,N$1,$B$1)</f>
        <v>0</v>
      </c>
      <c r="O76" s="55">
        <f>_xll.EQNXTDZ($A$1,$B76,O$1,$B$1)</f>
        <v>0</v>
      </c>
      <c r="P76" s="55">
        <f>_xll.EQNXTDZ($A$1,$B76,P$1,$B$1)</f>
        <v>0</v>
      </c>
      <c r="Q76" s="55">
        <f>_xll.EQNXTDZ($A$1,$B76,Q$1,$B$1)</f>
        <v>0</v>
      </c>
      <c r="R76" s="55">
        <f>_xll.EQNXTDZ($A$1,$B76,R$1,$B$1)</f>
        <v>0</v>
      </c>
      <c r="S76" s="55">
        <f>_xll.EQNXTDZ($A$1,$B76,S$1,$B$1)</f>
        <v>0</v>
      </c>
      <c r="T76" s="55">
        <f>_xll.EQNXTDZ($A$1,$B76,T$1,$B$1)</f>
        <v>0</v>
      </c>
      <c r="U76" s="55">
        <f>_xll.EQNXTDZ($A$1,$B76,U$1,$B$1)</f>
        <v>0</v>
      </c>
      <c r="V76" s="55">
        <f>_xll.EQNXTDZ($A$1,$B76,V$1,$B$1)</f>
        <v>0</v>
      </c>
      <c r="W76" s="55">
        <f>_xll.EQNXTDZ($A$1,$B76,W$1,$B$1)</f>
        <v>0</v>
      </c>
      <c r="X76" s="55">
        <f>_xll.EQNXTDZ($A$1,$B76,X$1,$B$1)</f>
        <v>0</v>
      </c>
      <c r="Y76" s="55">
        <f>_xll.EQNXTDZ($A$1,$B76,Y$1,$B$1)</f>
        <v>0</v>
      </c>
      <c r="Z76" s="55">
        <f>_xll.EQNXTDZ($A$1,$B76,Z$1,$B$1)</f>
        <v>0</v>
      </c>
      <c r="AA76" s="55">
        <f>_xll.EQNXTDZ($A$1,$B76,AA$1,$B$1)</f>
        <v>0</v>
      </c>
      <c r="AB76" s="55">
        <f>_xll.EQNXTDZ($A$1,$B76,AB$1,$B$1)</f>
        <v>0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302.37024170000001</v>
      </c>
      <c r="D77" s="55">
        <f>_xll.EQNXTDZ($A$1,$B77,D$1,$B$1)</f>
        <v>336.73</v>
      </c>
      <c r="E77" s="55">
        <f>_xll.EQNXTDZ($A$1,$B77,E$1,$B$1)</f>
        <v>518.65</v>
      </c>
      <c r="F77" s="55">
        <f>_xll.EQNXTDZ($A$1,$B77,F$1,$B$1)</f>
        <v>651.45000000000005</v>
      </c>
      <c r="G77" s="55">
        <f>_xll.EQNXTDZ($A$1,$B77,G$1,$B$1)</f>
        <v>1322</v>
      </c>
      <c r="H77" s="55">
        <f>_xll.EQNXTDZ($A$1,$B77,H$1,$B$1)</f>
        <v>1608</v>
      </c>
      <c r="I77" s="55">
        <f>_xll.EQNXTDZ($A$1,$B77,I$1,$B$1)</f>
        <v>2436</v>
      </c>
      <c r="J77" s="55">
        <f>_xll.EQNXTDZ($A$1,$B77,J$1,$B$1)</f>
        <v>3297</v>
      </c>
      <c r="K77" s="55">
        <f>_xll.EQNXTDZ($A$1,$B77,K$1,$B$1)</f>
        <v>3672</v>
      </c>
      <c r="L77" s="55">
        <f>_xll.EQNXTDZ($A$1,$B77,L$1,$B$1)</f>
        <v>3494</v>
      </c>
      <c r="M77" s="55">
        <f>_xll.EQNXTDZ($A$1,$B77,M$1,$B$1)</f>
        <v>4653</v>
      </c>
      <c r="N77" s="55">
        <f>_xll.EQNXTDZ($A$1,$B77,N$1,$B$1)</f>
        <v>5882</v>
      </c>
      <c r="O77" s="55">
        <f>_xll.EQNXTDZ($A$1,$B77,O$1,$B$1)</f>
        <v>7083</v>
      </c>
      <c r="P77" s="55">
        <f>_xll.EQNXTDZ($A$1,$B77,P$1,$B$1)</f>
        <v>8351</v>
      </c>
      <c r="Q77" s="55">
        <f>_xll.EQNXTDZ($A$1,$B77,Q$1,$B$1)</f>
        <v>9713</v>
      </c>
      <c r="R77" s="55">
        <f>_xll.EQNXTDZ($A$1,$B77,R$1,$B$1)</f>
        <v>11330</v>
      </c>
      <c r="S77" s="55">
        <f>_xll.EQNXTDZ($A$1,$B77,S$1,$B$1)</f>
        <v>12322</v>
      </c>
      <c r="T77" s="55">
        <f>_xll.EQNXTDZ($A$1,$B77,T$1,$B$1)</f>
        <v>13142</v>
      </c>
      <c r="U77" s="55">
        <f>_xll.EQNXTDZ($A$1,$B77,U$1,$B$1)</f>
        <v>14827</v>
      </c>
      <c r="V77" s="55">
        <f>_xll.EQNXTDZ($A$1,$B77,V$1,$B$1)</f>
        <v>18487</v>
      </c>
      <c r="W77" s="55">
        <f>_xll.EQNXTDZ($A$1,$B77,W$1,$B$1)</f>
        <v>19294</v>
      </c>
      <c r="X77" s="55">
        <f>_xll.EQNXTDZ($A$1,$B77,X$1,$B$1)</f>
        <v>22698</v>
      </c>
      <c r="Y77" s="55">
        <f>_xll.EQNXTDZ($A$1,$B77,Y$1,$B$1)</f>
        <v>25424</v>
      </c>
      <c r="Z77" s="55">
        <f>_xll.EQNXTDZ($A$1,$B77,Z$1,$B$1)</f>
        <v>30193</v>
      </c>
      <c r="AA77" s="55">
        <f>_xll.EQNXTDZ($A$1,$B77,AA$1,$B$1)</f>
        <v>31158</v>
      </c>
      <c r="AB77" s="55">
        <f>_xll.EQNXTDZ($A$1,$B77,AB$1,$B$1)</f>
        <v>35234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385.06102850000002</v>
      </c>
      <c r="D78" s="55">
        <f>_xll.EQNXTDZ($A$1,$B78,D$1,$B$1)</f>
        <v>772.22</v>
      </c>
      <c r="E78" s="55">
        <f>_xll.EQNXTDZ($A$1,$B78,E$1,$B$1)</f>
        <v>1346.54</v>
      </c>
      <c r="F78" s="55">
        <f>_xll.EQNXTDZ($A$1,$B78,F$1,$B$1)</f>
        <v>1721.51</v>
      </c>
      <c r="G78" s="55">
        <f>_xll.EQNXTDZ($A$1,$B78,G$1,$B$1)</f>
        <v>1576</v>
      </c>
      <c r="H78" s="55">
        <f>_xll.EQNXTDZ($A$1,$B78,H$1,$B$1)</f>
        <v>3429</v>
      </c>
      <c r="I78" s="55">
        <f>_xll.EQNXTDZ($A$1,$B78,I$1,$B$1)</f>
        <v>5834</v>
      </c>
      <c r="J78" s="55">
        <f>_xll.EQNXTDZ($A$1,$B78,J$1,$B$1)</f>
        <v>6950</v>
      </c>
      <c r="K78" s="55">
        <f>_xll.EQNXTDZ($A$1,$B78,K$1,$B$1)</f>
        <v>9695</v>
      </c>
      <c r="L78" s="55">
        <f>_xll.EQNXTDZ($A$1,$B78,L$1,$B$1)</f>
        <v>10556</v>
      </c>
      <c r="M78" s="55">
        <f>_xll.EQNXTDZ($A$1,$B78,M$1,$B$1)</f>
        <v>16666</v>
      </c>
      <c r="N78" s="55">
        <f>_xll.EQNXTDZ($A$1,$B78,N$1,$B$1)</f>
        <v>20591</v>
      </c>
      <c r="O78" s="55">
        <f>_xll.EQNXTDZ($A$1,$B78,O$1,$B$1)</f>
        <v>21832</v>
      </c>
      <c r="P78" s="55">
        <f>_xll.EQNXTDZ($A$1,$B78,P$1,$B$1)</f>
        <v>25950</v>
      </c>
      <c r="Q78" s="55">
        <f>_xll.EQNXTDZ($A$1,$B78,Q$1,$B$1)</f>
        <v>30367</v>
      </c>
      <c r="R78" s="55">
        <f>_xll.EQNXTDZ($A$1,$B78,R$1,$B$1)</f>
        <v>32697</v>
      </c>
      <c r="S78" s="55">
        <f>_xll.EQNXTDZ($A$1,$B78,S$1,$B$1)</f>
        <v>22625</v>
      </c>
      <c r="T78" s="55">
        <f>_xll.EQNXTDZ($A$1,$B78,T$1,$B$1)</f>
        <v>19818</v>
      </c>
      <c r="U78" s="55">
        <f>_xll.EQNXTDZ($A$1,$B78,U$1,$B$1)</f>
        <v>19568</v>
      </c>
      <c r="V78" s="55">
        <f>_xll.EQNXTDZ($A$1,$B78,V$1,$B$1)</f>
        <v>18649</v>
      </c>
      <c r="W78" s="55">
        <f>_xll.EQNXTDZ($A$1,$B78,W$1,$B$1)</f>
        <v>24714</v>
      </c>
      <c r="X78" s="55">
        <f>_xll.EQNXTDZ($A$1,$B78,X$1,$B$1)</f>
        <v>17472</v>
      </c>
      <c r="Y78" s="55">
        <f>_xll.EQNXTDZ($A$1,$B78,Y$1,$B$1)</f>
        <v>12173</v>
      </c>
      <c r="Z78" s="55">
        <f>_xll.EQNXTDZ($A$1,$B78,Z$1,$B$1)</f>
        <v>14786</v>
      </c>
      <c r="AA78" s="55">
        <f>_xll.EQNXTDZ($A$1,$B78,AA$1,$B$1)</f>
        <v>24455</v>
      </c>
      <c r="AB78" s="55">
        <f>_xll.EQNXTDZ($A$1,$B78,AB$1,$B$1)</f>
        <v>22201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16.0976985</v>
      </c>
      <c r="D79" s="55">
        <f>_xll.EQNXTDZ($A$1,$B79,D$1,$B$1)</f>
        <v>31.66</v>
      </c>
      <c r="E79" s="55">
        <f>_xll.EQNXTDZ($A$1,$B79,E$1,$B$1)</f>
        <v>115.66</v>
      </c>
      <c r="F79" s="55">
        <f>_xll.EQNXTDZ($A$1,$B79,F$1,$B$1)</f>
        <v>149.24</v>
      </c>
      <c r="G79" s="55">
        <f>_xll.EQNXTDZ($A$1,$B79,G$1,$B$1)</f>
        <v>189</v>
      </c>
      <c r="H79" s="55">
        <f>_xll.EQNXTDZ($A$1,$B79,H$1,$B$1)</f>
        <v>254</v>
      </c>
      <c r="I79" s="55">
        <f>_xll.EQNXTDZ($A$1,$B79,I$1,$B$1)</f>
        <v>426</v>
      </c>
      <c r="J79" s="55">
        <f>_xll.EQNXTDZ($A$1,$B79,J$1,$B$1)</f>
        <v>701</v>
      </c>
      <c r="K79" s="55">
        <f>_xll.EQNXTDZ($A$1,$B79,K$1,$B$1)</f>
        <v>791</v>
      </c>
      <c r="L79" s="55">
        <f>_xll.EQNXTDZ($A$1,$B79,L$1,$B$1)</f>
        <v>994</v>
      </c>
      <c r="M79" s="55">
        <f>_xll.EQNXTDZ($A$1,$B79,M$1,$B$1)</f>
        <v>138</v>
      </c>
      <c r="N79" s="55">
        <f>_xll.EQNXTDZ($A$1,$B79,N$1,$B$1)</f>
        <v>99</v>
      </c>
      <c r="O79" s="55">
        <f>_xll.EQNXTDZ($A$1,$B79,O$1,$B$1)</f>
        <v>280</v>
      </c>
      <c r="P79" s="55">
        <f>_xll.EQNXTDZ($A$1,$B79,P$1,$B$1)</f>
        <v>429</v>
      </c>
      <c r="Q79" s="55">
        <f>_xll.EQNXTDZ($A$1,$B79,Q$1,$B$1)</f>
        <v>643</v>
      </c>
      <c r="R79" s="55">
        <f>_xll.EQNXTDZ($A$1,$B79,R$1,$B$1)</f>
        <v>1127</v>
      </c>
      <c r="S79" s="55">
        <f>_xll.EQNXTDZ($A$1,$B79,S$1,$B$1)</f>
        <v>1416</v>
      </c>
      <c r="T79" s="55">
        <f>_xll.EQNXTDZ($A$1,$B79,T$1,$B$1)</f>
        <v>1382</v>
      </c>
      <c r="U79" s="55">
        <f>_xll.EQNXTDZ($A$1,$B79,U$1,$B$1)</f>
        <v>2531</v>
      </c>
      <c r="V79" s="55">
        <f>_xll.EQNXTDZ($A$1,$B79,V$1,$B$1)</f>
        <v>1860</v>
      </c>
      <c r="W79" s="55">
        <f>_xll.EQNXTDZ($A$1,$B79,W$1,$B$1)</f>
        <v>2413</v>
      </c>
      <c r="X79" s="55">
        <f>_xll.EQNXTDZ($A$1,$B79,X$1,$B$1)</f>
        <v>4096</v>
      </c>
      <c r="Y79" s="55">
        <f>_xll.EQNXTDZ($A$1,$B79,Y$1,$B$1)</f>
        <v>4931</v>
      </c>
      <c r="Z79" s="55">
        <f>_xll.EQNXTDZ($A$1,$B79,Z$1,$B$1)</f>
        <v>5619</v>
      </c>
      <c r="AA79" s="55">
        <f>_xll.EQNXTDZ($A$1,$B79,AA$1,$B$1)</f>
        <v>6661</v>
      </c>
      <c r="AB79" s="55">
        <f>_xll.EQNXTDZ($A$1,$B79,AB$1,$B$1)</f>
        <v>7932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414.18166380000002</v>
      </c>
      <c r="D80" s="55">
        <f>_xll.EQNXTDZ($A$1,$B80,D$1,$B$1)</f>
        <v>612.21</v>
      </c>
      <c r="E80" s="55">
        <f>_xll.EQNXTDZ($A$1,$B80,E$1,$B$1)</f>
        <v>797.8</v>
      </c>
      <c r="F80" s="55">
        <f>_xll.EQNXTDZ($A$1,$B80,F$1,$B$1)</f>
        <v>571.80999999999995</v>
      </c>
      <c r="G80" s="55">
        <f>_xll.EQNXTDZ($A$1,$B80,G$1,$B$1)</f>
        <v>835</v>
      </c>
      <c r="H80" s="55">
        <f>_xll.EQNXTDZ($A$1,$B80,H$1,$B$1)</f>
        <v>1043</v>
      </c>
      <c r="I80" s="55">
        <f>_xll.EQNXTDZ($A$1,$B80,I$1,$B$1)</f>
        <v>825</v>
      </c>
      <c r="J80" s="55">
        <f>_xll.EQNXTDZ($A$1,$B80,J$1,$B$1)</f>
        <v>2070</v>
      </c>
      <c r="K80" s="55">
        <f>_xll.EQNXTDZ($A$1,$B80,K$1,$B$1)</f>
        <v>2488</v>
      </c>
      <c r="L80" s="55">
        <f>_xll.EQNXTDZ($A$1,$B80,L$1,$B$1)</f>
        <v>3203</v>
      </c>
      <c r="M80" s="55">
        <f>_xll.EQNXTDZ($A$1,$B80,M$1,$B$1)</f>
        <v>2406</v>
      </c>
      <c r="N80" s="55">
        <f>_xll.EQNXTDZ($A$1,$B80,N$1,$B$1)</f>
        <v>3321</v>
      </c>
      <c r="O80" s="55">
        <f>_xll.EQNXTDZ($A$1,$B80,O$1,$B$1)</f>
        <v>4409</v>
      </c>
      <c r="P80" s="55">
        <f>_xll.EQNXTDZ($A$1,$B80,P$1,$B$1)</f>
        <v>5324</v>
      </c>
      <c r="Q80" s="55">
        <f>_xll.EQNXTDZ($A$1,$B80,Q$1,$B$1)</f>
        <v>5647</v>
      </c>
      <c r="R80" s="55">
        <f>_xll.EQNXTDZ($A$1,$B80,R$1,$B$1)</f>
        <v>6524</v>
      </c>
      <c r="S80" s="55">
        <f>_xll.EQNXTDZ($A$1,$B80,S$1,$B$1)</f>
        <v>7372</v>
      </c>
      <c r="T80" s="55">
        <f>_xll.EQNXTDZ($A$1,$B80,T$1,$B$1)</f>
        <v>7208</v>
      </c>
      <c r="U80" s="55">
        <f>_xll.EQNXTDZ($A$1,$B80,U$1,$B$1)</f>
        <v>9325</v>
      </c>
      <c r="V80" s="55">
        <f>_xll.EQNXTDZ($A$1,$B80,V$1,$B$1)</f>
        <v>10925</v>
      </c>
      <c r="W80" s="55">
        <f>_xll.EQNXTDZ($A$1,$B80,W$1,$B$1)</f>
        <v>11970</v>
      </c>
      <c r="X80" s="55">
        <f>_xll.EQNXTDZ($A$1,$B80,X$1,$B$1)</f>
        <v>16246</v>
      </c>
      <c r="Y80" s="55">
        <f>_xll.EQNXTDZ($A$1,$B80,Y$1,$B$1)</f>
        <v>21444</v>
      </c>
      <c r="Z80" s="55">
        <f>_xll.EQNXTDZ($A$1,$B80,Z$1,$B$1)</f>
        <v>25919</v>
      </c>
      <c r="AA80" s="55">
        <f>_xll.EQNXTDZ($A$1,$B80,AA$1,$B$1)</f>
        <v>22343</v>
      </c>
      <c r="AB80" s="55">
        <f>_xll.EQNXTDZ($A$1,$B80,AB$1,$B$1)</f>
        <v>25172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0</v>
      </c>
      <c r="S81" s="55">
        <f>_xll.EQNXTDZ($A$1,$B81,S$1,$B$1)</f>
        <v>0</v>
      </c>
      <c r="T81" s="55">
        <f>_xll.EQNXTDZ($A$1,$B81,T$1,$B$1)</f>
        <v>2060</v>
      </c>
      <c r="U81" s="55">
        <f>_xll.EQNXTDZ($A$1,$B81,U$1,$B$1)</f>
        <v>0</v>
      </c>
      <c r="V81" s="55">
        <f>_xll.EQNXTDZ($A$1,$B81,V$1,$B$1)</f>
        <v>0</v>
      </c>
      <c r="W81" s="55">
        <f>_xll.EQNXTDZ($A$1,$B81,W$1,$B$1)</f>
        <v>0</v>
      </c>
      <c r="X81" s="55">
        <f>_xll.EQNXTDZ($A$1,$B81,X$1,$B$1)</f>
        <v>0</v>
      </c>
      <c r="Y81" s="55">
        <f>_xll.EQNXTDZ($A$1,$B81,Y$1,$B$1)</f>
        <v>0</v>
      </c>
      <c r="Z81" s="55">
        <f>_xll.EQNXTDZ($A$1,$B81,Z$1,$B$1)</f>
        <v>0</v>
      </c>
      <c r="AA81" s="55">
        <f>_xll.EQNXTDZ($A$1,$B81,AA$1,$B$1)</f>
        <v>0</v>
      </c>
      <c r="AB81" s="55">
        <f>_xll.EQNXTDZ($A$1,$B81,AB$1,$B$1)</f>
        <v>0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1117.7106325</v>
      </c>
      <c r="D82" s="55">
        <f>_xll.EQNXTDZ($A$1,$B82,D$1,$B$1)</f>
        <v>1752.82</v>
      </c>
      <c r="E82" s="55">
        <f>_xll.EQNXTDZ($A$1,$B82,E$1,$B$1)</f>
        <v>2778.65</v>
      </c>
      <c r="F82" s="55">
        <f>_xll.EQNXTDZ($A$1,$B82,F$1,$B$1)</f>
        <v>4037.42</v>
      </c>
      <c r="G82" s="55">
        <f>_xll.EQNXTDZ($A$1,$B82,G$1,$B$1)</f>
        <v>5131</v>
      </c>
      <c r="H82" s="55">
        <f>_xll.EQNXTDZ($A$1,$B82,H$1,$B$1)</f>
        <v>7087</v>
      </c>
      <c r="I82" s="55">
        <f>_xll.EQNXTDZ($A$1,$B82,I$1,$B$1)</f>
        <v>9546</v>
      </c>
      <c r="J82" s="55">
        <f>_xll.EQNXTDZ($A$1,$B82,J$1,$B$1)</f>
        <v>13090</v>
      </c>
      <c r="K82" s="55">
        <f>_xll.EQNXTDZ($A$1,$B82,K$1,$B$1)</f>
        <v>16646</v>
      </c>
      <c r="L82" s="55">
        <f>_xll.EQNXTDZ($A$1,$B82,L$1,$B$1)</f>
        <v>21945</v>
      </c>
      <c r="M82" s="55">
        <f>_xll.EQNXTDZ($A$1,$B82,M$1,$B$1)</f>
        <v>24003</v>
      </c>
      <c r="N82" s="55">
        <f>_xll.EQNXTDZ($A$1,$B82,N$1,$B$1)</f>
        <v>30261</v>
      </c>
      <c r="O82" s="55">
        <f>_xll.EQNXTDZ($A$1,$B82,O$1,$B$1)</f>
        <v>35343</v>
      </c>
      <c r="P82" s="55">
        <f>_xll.EQNXTDZ($A$1,$B82,P$1,$B$1)</f>
        <v>43078</v>
      </c>
      <c r="Q82" s="55">
        <f>_xll.EQNXTDZ($A$1,$B82,Q$1,$B$1)</f>
        <v>47242</v>
      </c>
      <c r="R82" s="55">
        <f>_xll.EQNXTDZ($A$1,$B82,R$1,$B$1)</f>
        <v>51753</v>
      </c>
      <c r="S82" s="55">
        <f>_xll.EQNXTDZ($A$1,$B82,S$1,$B$1)</f>
        <v>53705</v>
      </c>
      <c r="T82" s="55">
        <f>_xll.EQNXTDZ($A$1,$B82,T$1,$B$1)</f>
        <v>47957</v>
      </c>
      <c r="U82" s="55">
        <f>_xll.EQNXTDZ($A$1,$B82,U$1,$B$1)</f>
        <v>52878</v>
      </c>
      <c r="V82" s="55">
        <f>_xll.EQNXTDZ($A$1,$B82,V$1,$B$1)</f>
        <v>54576</v>
      </c>
      <c r="W82" s="55">
        <f>_xll.EQNXTDZ($A$1,$B82,W$1,$B$1)</f>
        <v>60733</v>
      </c>
      <c r="X82" s="55">
        <f>_xll.EQNXTDZ($A$1,$B82,X$1,$B$1)</f>
        <v>67185</v>
      </c>
      <c r="Y82" s="55">
        <f>_xll.EQNXTDZ($A$1,$B82,Y$1,$B$1)</f>
        <v>70881</v>
      </c>
      <c r="Z82" s="55">
        <f>_xll.EQNXTDZ($A$1,$B82,Z$1,$B$1)</f>
        <v>89432</v>
      </c>
      <c r="AA82" s="55">
        <f>_xll.EQNXTDZ($A$1,$B82,AA$1,$B$1)</f>
        <v>97099</v>
      </c>
      <c r="AB82" s="55">
        <f>_xll.EQNXTDZ($A$1,$B82,AB$1,$B$1)</f>
        <v>103489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0</v>
      </c>
      <c r="D83" s="55">
        <f>_xll.EQNXTDZ($A$1,$B83,D$1,$B$1)</f>
        <v>0</v>
      </c>
      <c r="E83" s="55">
        <f>_xll.EQNXTDZ($A$1,$B83,E$1,$B$1)</f>
        <v>0</v>
      </c>
      <c r="F83" s="55">
        <f>_xll.EQNXTDZ($A$1,$B83,F$1,$B$1)</f>
        <v>0</v>
      </c>
      <c r="G83" s="55">
        <f>_xll.EQNXTDZ($A$1,$B83,G$1,$B$1)</f>
        <v>0</v>
      </c>
      <c r="H83" s="55">
        <f>_xll.EQNXTDZ($A$1,$B83,H$1,$B$1)</f>
        <v>0</v>
      </c>
      <c r="I83" s="55">
        <f>_xll.EQNXTDZ($A$1,$B83,I$1,$B$1)</f>
        <v>0</v>
      </c>
      <c r="J83" s="55">
        <f>_xll.EQNXTDZ($A$1,$B83,J$1,$B$1)</f>
        <v>0</v>
      </c>
      <c r="K83" s="55">
        <f>_xll.EQNXTDZ($A$1,$B83,K$1,$B$1)</f>
        <v>0</v>
      </c>
      <c r="L83" s="55">
        <f>_xll.EQNXTDZ($A$1,$B83,L$1,$B$1)</f>
        <v>0</v>
      </c>
      <c r="M83" s="55">
        <f>_xll.EQNXTDZ($A$1,$B83,M$1,$B$1)</f>
        <v>0</v>
      </c>
      <c r="N83" s="55">
        <f>_xll.EQNXTDZ($A$1,$B83,N$1,$B$1)</f>
        <v>0</v>
      </c>
      <c r="O83" s="55">
        <f>_xll.EQNXTDZ($A$1,$B83,O$1,$B$1)</f>
        <v>0</v>
      </c>
      <c r="P83" s="55">
        <f>_xll.EQNXTDZ($A$1,$B83,P$1,$B$1)</f>
        <v>0</v>
      </c>
      <c r="Q83" s="55">
        <f>_xll.EQNXTDZ($A$1,$B83,Q$1,$B$1)</f>
        <v>0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1709.4893439</v>
      </c>
      <c r="D84" s="55">
        <f>_xll.EQNXTDZ($A$1,$B84,D$1,$B$1)</f>
        <v>2515.5</v>
      </c>
      <c r="E84" s="55">
        <f>_xll.EQNXTDZ($A$1,$B84,E$1,$B$1)</f>
        <v>3577.49</v>
      </c>
      <c r="F84" s="55">
        <f>_xll.EQNXTDZ($A$1,$B84,F$1,$B$1)</f>
        <v>5071.32</v>
      </c>
      <c r="G84" s="55">
        <f>_xll.EQNXTDZ($A$1,$B84,G$1,$B$1)</f>
        <v>6707</v>
      </c>
      <c r="H84" s="55">
        <f>_xll.EQNXTDZ($A$1,$B84,H$1,$B$1)</f>
        <v>9315</v>
      </c>
      <c r="I84" s="55">
        <f>_xll.EQNXTDZ($A$1,$B84,I$1,$B$1)</f>
        <v>13317</v>
      </c>
      <c r="J84" s="55">
        <f>_xll.EQNXTDZ($A$1,$B84,J$1,$B$1)</f>
        <v>17867</v>
      </c>
      <c r="K84" s="55">
        <f>_xll.EQNXTDZ($A$1,$B84,K$1,$B$1)</f>
        <v>22000</v>
      </c>
      <c r="L84" s="55">
        <f>_xll.EQNXTDZ($A$1,$B84,L$1,$B$1)</f>
        <v>27304</v>
      </c>
      <c r="M84" s="55">
        <f>_xll.EQNXTDZ($A$1,$B84,M$1,$B$1)</f>
        <v>30972</v>
      </c>
      <c r="N84" s="55">
        <f>_xll.EQNXTDZ($A$1,$B84,N$1,$B$1)</f>
        <v>38092</v>
      </c>
      <c r="O84" s="55">
        <f>_xll.EQNXTDZ($A$1,$B84,O$1,$B$1)</f>
        <v>45862</v>
      </c>
      <c r="P84" s="55">
        <f>_xll.EQNXTDZ($A$1,$B84,P$1,$B$1)</f>
        <v>56337</v>
      </c>
      <c r="Q84" s="55">
        <f>_xll.EQNXTDZ($A$1,$B84,Q$1,$B$1)</f>
        <v>65753</v>
      </c>
      <c r="R84" s="55">
        <f>_xll.EQNXTDZ($A$1,$B84,R$1,$B$1)</f>
        <v>74814</v>
      </c>
      <c r="S84" s="55">
        <f>_xll.EQNXTDZ($A$1,$B84,S$1,$B$1)</f>
        <v>82815</v>
      </c>
      <c r="T84" s="55">
        <f>_xll.EQNXTDZ($A$1,$B84,T$1,$B$1)</f>
        <v>78608</v>
      </c>
      <c r="U84" s="55">
        <f>_xll.EQNXTDZ($A$1,$B84,U$1,$B$1)</f>
        <v>83366</v>
      </c>
      <c r="V84" s="55">
        <f>_xll.EQNXTDZ($A$1,$B84,V$1,$B$1)</f>
        <v>91024</v>
      </c>
      <c r="W84" s="55">
        <f>_xll.EQNXTDZ($A$1,$B84,W$1,$B$1)</f>
        <v>107288</v>
      </c>
      <c r="X84" s="55">
        <f>_xll.EQNXTDZ($A$1,$B84,X$1,$B$1)</f>
        <v>116673</v>
      </c>
      <c r="Y84" s="55">
        <f>_xll.EQNXTDZ($A$1,$B84,Y$1,$B$1)</f>
        <v>124571</v>
      </c>
      <c r="Z84" s="55">
        <f>_xll.EQNXTDZ($A$1,$B84,Z$1,$B$1)</f>
        <v>137360</v>
      </c>
      <c r="AA84" s="55">
        <f>_xll.EQNXTDZ($A$1,$B84,AA$1,$B$1)</f>
        <v>147795</v>
      </c>
      <c r="AB84" s="55">
        <f>_xll.EQNXTDZ($A$1,$B84,AB$1,$B$1)</f>
        <v>153703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258.29157029999999</v>
      </c>
      <c r="D85" s="55">
        <f>_xll.EQNXTDZ($A$1,$B85,D$1,$B$1)</f>
        <v>93.38</v>
      </c>
      <c r="E85" s="55">
        <f>_xll.EQNXTDZ($A$1,$B85,E$1,$B$1)</f>
        <v>539.99</v>
      </c>
      <c r="F85" s="55">
        <f>_xll.EQNXTDZ($A$1,$B85,F$1,$B$1)</f>
        <v>891.32</v>
      </c>
      <c r="G85" s="55">
        <f>_xll.EQNXTDZ($A$1,$B85,G$1,$B$1)</f>
        <v>1865</v>
      </c>
      <c r="H85" s="55">
        <f>_xll.EQNXTDZ($A$1,$B85,H$1,$B$1)</f>
        <v>2097</v>
      </c>
      <c r="I85" s="55">
        <f>_xll.EQNXTDZ($A$1,$B85,I$1,$B$1)</f>
        <v>2730</v>
      </c>
      <c r="J85" s="55">
        <f>_xll.EQNXTDZ($A$1,$B85,J$1,$B$1)</f>
        <v>3705</v>
      </c>
      <c r="K85" s="55">
        <f>_xll.EQNXTDZ($A$1,$B85,K$1,$B$1)</f>
        <v>3005</v>
      </c>
      <c r="L85" s="55">
        <f>_xll.EQNXTDZ($A$1,$B85,L$1,$B$1)</f>
        <v>2657</v>
      </c>
      <c r="M85" s="55">
        <f>_xll.EQNXTDZ($A$1,$B85,M$1,$B$1)</f>
        <v>292</v>
      </c>
      <c r="N85" s="55">
        <f>_xll.EQNXTDZ($A$1,$B85,N$1,$B$1)</f>
        <v>95</v>
      </c>
      <c r="O85" s="55">
        <f>_xll.EQNXTDZ($A$1,$B85,O$1,$B$1)</f>
        <v>554</v>
      </c>
      <c r="P85" s="55">
        <f>_xll.EQNXTDZ($A$1,$B85,P$1,$B$1)</f>
        <v>219</v>
      </c>
      <c r="Q85" s="55">
        <f>_xll.EQNXTDZ($A$1,$B85,Q$1,$B$1)</f>
        <v>307</v>
      </c>
      <c r="R85" s="55">
        <f>_xll.EQNXTDZ($A$1,$B85,R$1,$B$1)</f>
        <v>284</v>
      </c>
      <c r="S85" s="55">
        <f>_xll.EQNXTDZ($A$1,$B85,S$1,$B$1)</f>
        <v>6714</v>
      </c>
      <c r="T85" s="55">
        <f>_xll.EQNXTDZ($A$1,$B85,T$1,$B$1)</f>
        <v>4802</v>
      </c>
      <c r="U85" s="55">
        <f>_xll.EQNXTDZ($A$1,$B85,U$1,$B$1)</f>
        <v>3081</v>
      </c>
      <c r="V85" s="55">
        <f>_xll.EQNXTDZ($A$1,$B85,V$1,$B$1)</f>
        <v>3583</v>
      </c>
      <c r="W85" s="55">
        <f>_xll.EQNXTDZ($A$1,$B85,W$1,$B$1)</f>
        <v>4061</v>
      </c>
      <c r="X85" s="55">
        <f>_xll.EQNXTDZ($A$1,$B85,X$1,$B$1)</f>
        <v>4641</v>
      </c>
      <c r="Y85" s="55">
        <f>_xll.EQNXTDZ($A$1,$B85,Y$1,$B$1)</f>
        <v>4762</v>
      </c>
      <c r="Z85" s="55">
        <f>_xll.EQNXTDZ($A$1,$B85,Z$1,$B$1)</f>
        <v>3583</v>
      </c>
      <c r="AA85" s="55">
        <f>_xll.EQNXTDZ($A$1,$B85,AA$1,$B$1)</f>
        <v>2953</v>
      </c>
      <c r="AB85" s="55">
        <f>_xll.EQNXTDZ($A$1,$B85,AB$1,$B$1)</f>
        <v>3117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0</v>
      </c>
      <c r="D86" s="55">
        <f>_xll.EQNXTDZ($A$1,$B86,D$1,$B$1)</f>
        <v>0</v>
      </c>
      <c r="E86" s="55">
        <f>_xll.EQNXTDZ($A$1,$B86,E$1,$B$1)</f>
        <v>0</v>
      </c>
      <c r="F86" s="55">
        <f>_xll.EQNXTDZ($A$1,$B86,F$1,$B$1)</f>
        <v>40.520000000000003</v>
      </c>
      <c r="G86" s="55">
        <f>_xll.EQNXTDZ($A$1,$B86,G$1,$B$1)</f>
        <v>41</v>
      </c>
      <c r="H86" s="55">
        <f>_xll.EQNXTDZ($A$1,$B86,H$1,$B$1)</f>
        <v>41</v>
      </c>
      <c r="I86" s="55">
        <f>_xll.EQNXTDZ($A$1,$B86,I$1,$B$1)</f>
        <v>589</v>
      </c>
      <c r="J86" s="55">
        <f>_xll.EQNXTDZ($A$1,$B86,J$1,$B$1)</f>
        <v>689</v>
      </c>
      <c r="K86" s="55">
        <f>_xll.EQNXTDZ($A$1,$B86,K$1,$B$1)</f>
        <v>689</v>
      </c>
      <c r="L86" s="55">
        <f>_xll.EQNXTDZ($A$1,$B86,L$1,$B$1)</f>
        <v>916</v>
      </c>
      <c r="M86" s="55">
        <f>_xll.EQNXTDZ($A$1,$B86,M$1,$B$1)</f>
        <v>916</v>
      </c>
      <c r="N86" s="55">
        <f>_xll.EQNXTDZ($A$1,$B86,N$1,$B$1)</f>
        <v>1091</v>
      </c>
      <c r="O86" s="55">
        <f>_xll.EQNXTDZ($A$1,$B86,O$1,$B$1)</f>
        <v>2244</v>
      </c>
      <c r="P86" s="55">
        <f>_xll.EQNXTDZ($A$1,$B86,P$1,$B$1)</f>
        <v>2244</v>
      </c>
      <c r="Q86" s="55">
        <f>_xll.EQNXTDZ($A$1,$B86,Q$1,$B$1)</f>
        <v>3595</v>
      </c>
      <c r="R86" s="55">
        <f>_xll.EQNXTDZ($A$1,$B86,R$1,$B$1)</f>
        <v>3764</v>
      </c>
      <c r="S86" s="55">
        <f>_xll.EQNXTDZ($A$1,$B86,S$1,$B$1)</f>
        <v>3652</v>
      </c>
      <c r="T86" s="55">
        <f>_xll.EQNXTDZ($A$1,$B86,T$1,$B$1)</f>
        <v>2211</v>
      </c>
      <c r="U86" s="55">
        <f>_xll.EQNXTDZ($A$1,$B86,U$1,$B$1)</f>
        <v>3540</v>
      </c>
      <c r="V86" s="55">
        <f>_xll.EQNXTDZ($A$1,$B86,V$1,$B$1)</f>
        <v>6409</v>
      </c>
      <c r="W86" s="55">
        <f>_xll.EQNXTDZ($A$1,$B86,W$1,$B$1)</f>
        <v>7122</v>
      </c>
      <c r="X86" s="55">
        <f>_xll.EQNXTDZ($A$1,$B86,X$1,$B$1)</f>
        <v>6996</v>
      </c>
      <c r="Y86" s="55">
        <f>_xll.EQNXTDZ($A$1,$B86,Y$1,$B$1)</f>
        <v>8155</v>
      </c>
      <c r="Z86" s="55">
        <f>_xll.EQNXTDZ($A$1,$B86,Z$1,$B$1)</f>
        <v>8015</v>
      </c>
      <c r="AA86" s="55">
        <f>_xll.EQNXTDZ($A$1,$B86,AA$1,$B$1)</f>
        <v>12112</v>
      </c>
      <c r="AB86" s="55">
        <f>_xll.EQNXTDZ($A$1,$B86,AB$1,$B$1)</f>
        <v>14060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0</v>
      </c>
      <c r="N87" s="55">
        <f>_xll.EQNXTDZ($A$1,$B87,N$1,$B$1)</f>
        <v>0</v>
      </c>
      <c r="O87" s="55">
        <f>_xll.EQNXTDZ($A$1,$B87,O$1,$B$1)</f>
        <v>0</v>
      </c>
      <c r="P87" s="55">
        <f>_xll.EQNXTDZ($A$1,$B87,P$1,$B$1)</f>
        <v>0</v>
      </c>
      <c r="Q87" s="55">
        <f>_xll.EQNXTDZ($A$1,$B87,Q$1,$B$1)</f>
        <v>0</v>
      </c>
      <c r="R87" s="55">
        <f>_xll.EQNXTDZ($A$1,$B87,R$1,$B$1)</f>
        <v>0</v>
      </c>
      <c r="S87" s="55">
        <f>_xll.EQNXTDZ($A$1,$B87,S$1,$B$1)</f>
        <v>0</v>
      </c>
      <c r="T87" s="55">
        <f>_xll.EQNXTDZ($A$1,$B87,T$1,$B$1)</f>
        <v>0</v>
      </c>
      <c r="U87" s="55">
        <f>_xll.EQNXTDZ($A$1,$B87,U$1,$B$1)</f>
        <v>0</v>
      </c>
      <c r="V87" s="55">
        <f>_xll.EQNXTDZ($A$1,$B87,V$1,$B$1)</f>
        <v>0</v>
      </c>
      <c r="W87" s="55">
        <f>_xll.EQNXTDZ($A$1,$B87,W$1,$B$1)</f>
        <v>0</v>
      </c>
      <c r="X87" s="55">
        <f>_xll.EQNXTDZ($A$1,$B87,X$1,$B$1)</f>
        <v>0</v>
      </c>
      <c r="Y87" s="55">
        <f>_xll.EQNXTDZ($A$1,$B87,Y$1,$B$1)</f>
        <v>0</v>
      </c>
      <c r="Z87" s="55">
        <f>_xll.EQNXTDZ($A$1,$B87,Z$1,$B$1)</f>
        <v>0</v>
      </c>
      <c r="AA87" s="55">
        <f>_xll.EQNXTDZ($A$1,$B87,AA$1,$B$1)</f>
        <v>0</v>
      </c>
      <c r="AB87" s="55">
        <f>_xll.EQNXTDZ($A$1,$B87,AB$1,$B$1)</f>
        <v>0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0</v>
      </c>
      <c r="N88" s="55">
        <f>_xll.EQNXTDZ($A$1,$B88,N$1,$B$1)</f>
        <v>0</v>
      </c>
      <c r="O88" s="55">
        <f>_xll.EQNXTDZ($A$1,$B88,O$1,$B$1)</f>
        <v>0</v>
      </c>
      <c r="P88" s="55">
        <f>_xll.EQNXTDZ($A$1,$B88,P$1,$B$1)</f>
        <v>0</v>
      </c>
      <c r="Q88" s="55">
        <f>_xll.EQNXTDZ($A$1,$B88,Q$1,$B$1)</f>
        <v>0</v>
      </c>
      <c r="R88" s="55">
        <f>_xll.EQNXTDZ($A$1,$B88,R$1,$B$1)</f>
        <v>0</v>
      </c>
      <c r="S88" s="55">
        <f>_xll.EQNXTDZ($A$1,$B88,S$1,$B$1)</f>
        <v>0</v>
      </c>
      <c r="T88" s="55">
        <f>_xll.EQNXTDZ($A$1,$B88,T$1,$B$1)</f>
        <v>0</v>
      </c>
      <c r="U88" s="55">
        <f>_xll.EQNXTDZ($A$1,$B88,U$1,$B$1)</f>
        <v>0</v>
      </c>
      <c r="V88" s="55">
        <f>_xll.EQNXTDZ($A$1,$B88,V$1,$B$1)</f>
        <v>0</v>
      </c>
      <c r="W88" s="55">
        <f>_xll.EQNXTDZ($A$1,$B88,W$1,$B$1)</f>
        <v>0</v>
      </c>
      <c r="X88" s="55">
        <f>_xll.EQNXTDZ($A$1,$B88,X$1,$B$1)</f>
        <v>0</v>
      </c>
      <c r="Y88" s="55">
        <f>_xll.EQNXTDZ($A$1,$B88,Y$1,$B$1)</f>
        <v>0</v>
      </c>
      <c r="Z88" s="55">
        <f>_xll.EQNXTDZ($A$1,$B88,Z$1,$B$1)</f>
        <v>0</v>
      </c>
      <c r="AA88" s="55">
        <f>_xll.EQNXTDZ($A$1,$B88,AA$1,$B$1)</f>
        <v>0</v>
      </c>
      <c r="AB88" s="55">
        <f>_xll.EQNXTDZ($A$1,$B88,AB$1,$B$1)</f>
        <v>0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0</v>
      </c>
      <c r="O89" s="55">
        <f>_xll.EQNXTDZ($A$1,$B89,O$1,$B$1)</f>
        <v>0</v>
      </c>
      <c r="P89" s="55">
        <f>_xll.EQNXTDZ($A$1,$B89,P$1,$B$1)</f>
        <v>0</v>
      </c>
      <c r="Q89" s="55">
        <f>_xll.EQNXTDZ($A$1,$B89,Q$1,$B$1)</f>
        <v>0</v>
      </c>
      <c r="R89" s="55">
        <f>_xll.EQNXTDZ($A$1,$B89,R$1,$B$1)</f>
        <v>0</v>
      </c>
      <c r="S89" s="55">
        <f>_xll.EQNXTDZ($A$1,$B89,S$1,$B$1)</f>
        <v>0</v>
      </c>
      <c r="T89" s="55">
        <f>_xll.EQNXTDZ($A$1,$B89,T$1,$B$1)</f>
        <v>0</v>
      </c>
      <c r="U89" s="55">
        <f>_xll.EQNXTDZ($A$1,$B89,U$1,$B$1)</f>
        <v>0</v>
      </c>
      <c r="V89" s="55">
        <f>_xll.EQNXTDZ($A$1,$B89,V$1,$B$1)</f>
        <v>0</v>
      </c>
      <c r="W89" s="55">
        <f>_xll.EQNXTDZ($A$1,$B89,W$1,$B$1)</f>
        <v>0</v>
      </c>
      <c r="X89" s="55">
        <f>_xll.EQNXTDZ($A$1,$B89,X$1,$B$1)</f>
        <v>0</v>
      </c>
      <c r="Y89" s="55">
        <f>_xll.EQNXTDZ($A$1,$B89,Y$1,$B$1)</f>
        <v>0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0</v>
      </c>
      <c r="N90" s="55">
        <f>_xll.EQNXTDZ($A$1,$B90,N$1,$B$1)</f>
        <v>0</v>
      </c>
      <c r="O90" s="55">
        <f>_xll.EQNXTDZ($A$1,$B90,O$1,$B$1)</f>
        <v>0</v>
      </c>
      <c r="P90" s="55">
        <f>_xll.EQNXTDZ($A$1,$B90,P$1,$B$1)</f>
        <v>0</v>
      </c>
      <c r="Q90" s="55">
        <f>_xll.EQNXTDZ($A$1,$B90,Q$1,$B$1)</f>
        <v>0</v>
      </c>
      <c r="R90" s="55">
        <f>_xll.EQNXTDZ($A$1,$B90,R$1,$B$1)</f>
        <v>0</v>
      </c>
      <c r="S90" s="55">
        <f>_xll.EQNXTDZ($A$1,$B90,S$1,$B$1)</f>
        <v>0</v>
      </c>
      <c r="T90" s="55">
        <f>_xll.EQNXTDZ($A$1,$B90,T$1,$B$1)</f>
        <v>0</v>
      </c>
      <c r="U90" s="55">
        <f>_xll.EQNXTDZ($A$1,$B90,U$1,$B$1)</f>
        <v>0</v>
      </c>
      <c r="V90" s="55">
        <f>_xll.EQNXTDZ($A$1,$B90,V$1,$B$1)</f>
        <v>0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0</v>
      </c>
      <c r="D91" s="55">
        <f>_xll.EQNXTDZ($A$1,$B91,D$1,$B$1)</f>
        <v>0</v>
      </c>
      <c r="E91" s="55">
        <f>_xll.EQNXTDZ($A$1,$B91,E$1,$B$1)</f>
        <v>0</v>
      </c>
      <c r="F91" s="55">
        <f>_xll.EQNXTDZ($A$1,$B91,F$1,$B$1)</f>
        <v>40.520000000000003</v>
      </c>
      <c r="G91" s="55">
        <f>_xll.EQNXTDZ($A$1,$B91,G$1,$B$1)</f>
        <v>41</v>
      </c>
      <c r="H91" s="55">
        <f>_xll.EQNXTDZ($A$1,$B91,H$1,$B$1)</f>
        <v>41</v>
      </c>
      <c r="I91" s="55">
        <f>_xll.EQNXTDZ($A$1,$B91,I$1,$B$1)</f>
        <v>589</v>
      </c>
      <c r="J91" s="55">
        <f>_xll.EQNXTDZ($A$1,$B91,J$1,$B$1)</f>
        <v>689</v>
      </c>
      <c r="K91" s="55">
        <f>_xll.EQNXTDZ($A$1,$B91,K$1,$B$1)</f>
        <v>689</v>
      </c>
      <c r="L91" s="55">
        <f>_xll.EQNXTDZ($A$1,$B91,L$1,$B$1)</f>
        <v>916</v>
      </c>
      <c r="M91" s="55">
        <f>_xll.EQNXTDZ($A$1,$B91,M$1,$B$1)</f>
        <v>916</v>
      </c>
      <c r="N91" s="55">
        <f>_xll.EQNXTDZ($A$1,$B91,N$1,$B$1)</f>
        <v>1091</v>
      </c>
      <c r="O91" s="55">
        <f>_xll.EQNXTDZ($A$1,$B91,O$1,$B$1)</f>
        <v>2244</v>
      </c>
      <c r="P91" s="55">
        <f>_xll.EQNXTDZ($A$1,$B91,P$1,$B$1)</f>
        <v>2244</v>
      </c>
      <c r="Q91" s="55">
        <f>_xll.EQNXTDZ($A$1,$B91,Q$1,$B$1)</f>
        <v>3595</v>
      </c>
      <c r="R91" s="55">
        <f>_xll.EQNXTDZ($A$1,$B91,R$1,$B$1)</f>
        <v>3764</v>
      </c>
      <c r="S91" s="55">
        <f>_xll.EQNXTDZ($A$1,$B91,S$1,$B$1)</f>
        <v>3652</v>
      </c>
      <c r="T91" s="55">
        <f>_xll.EQNXTDZ($A$1,$B91,T$1,$B$1)</f>
        <v>2211</v>
      </c>
      <c r="U91" s="55">
        <f>_xll.EQNXTDZ($A$1,$B91,U$1,$B$1)</f>
        <v>3540</v>
      </c>
      <c r="V91" s="55">
        <f>_xll.EQNXTDZ($A$1,$B91,V$1,$B$1)</f>
        <v>7164</v>
      </c>
      <c r="W91" s="55">
        <f>_xll.EQNXTDZ($A$1,$B91,W$1,$B$1)</f>
        <v>8143</v>
      </c>
      <c r="X91" s="55">
        <f>_xll.EQNXTDZ($A$1,$B91,X$1,$B$1)</f>
        <v>8275</v>
      </c>
      <c r="Y91" s="55">
        <f>_xll.EQNXTDZ($A$1,$B91,Y$1,$B$1)</f>
        <v>9755</v>
      </c>
      <c r="Z91" s="55">
        <f>_xll.EQNXTDZ($A$1,$B91,Z$1,$B$1)</f>
        <v>9815</v>
      </c>
      <c r="AA91" s="55">
        <f>_xll.EQNXTDZ($A$1,$B91,AA$1,$B$1)</f>
        <v>14489</v>
      </c>
      <c r="AB91" s="55">
        <f>_xll.EQNXTDZ($A$1,$B91,AB$1,$B$1)</f>
        <v>17452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</v>
      </c>
      <c r="D92" s="55">
        <f>_xll.EQNXTDZ($A$1,$B92,D$1,$B$1)</f>
        <v>0</v>
      </c>
      <c r="E92" s="55">
        <f>_xll.EQNXTDZ($A$1,$B92,E$1,$B$1)</f>
        <v>0</v>
      </c>
      <c r="F92" s="55">
        <f>_xll.EQNXTDZ($A$1,$B92,F$1,$B$1)</f>
        <v>0</v>
      </c>
      <c r="G92" s="55">
        <f>_xll.EQNXTDZ($A$1,$B92,G$1,$B$1)</f>
        <v>0</v>
      </c>
      <c r="H92" s="55">
        <f>_xll.EQNXTDZ($A$1,$B92,H$1,$B$1)</f>
        <v>0</v>
      </c>
      <c r="I92" s="55">
        <f>_xll.EQNXTDZ($A$1,$B92,I$1,$B$1)</f>
        <v>0</v>
      </c>
      <c r="J92" s="55">
        <f>_xll.EQNXTDZ($A$1,$B92,J$1,$B$1)</f>
        <v>0</v>
      </c>
      <c r="K92" s="55">
        <f>_xll.EQNXTDZ($A$1,$B92,K$1,$B$1)</f>
        <v>0</v>
      </c>
      <c r="L92" s="55">
        <f>_xll.EQNXTDZ($A$1,$B92,L$1,$B$1)</f>
        <v>0</v>
      </c>
      <c r="M92" s="55">
        <f>_xll.EQNXTDZ($A$1,$B92,M$1,$B$1)</f>
        <v>0</v>
      </c>
      <c r="N92" s="55">
        <f>_xll.EQNXTDZ($A$1,$B92,N$1,$B$1)</f>
        <v>0</v>
      </c>
      <c r="O92" s="55">
        <f>_xll.EQNXTDZ($A$1,$B92,O$1,$B$1)</f>
        <v>0</v>
      </c>
      <c r="P92" s="55">
        <f>_xll.EQNXTDZ($A$1,$B92,P$1,$B$1)</f>
        <v>0</v>
      </c>
      <c r="Q92" s="55">
        <f>_xll.EQNXTDZ($A$1,$B92,Q$1,$B$1)</f>
        <v>0</v>
      </c>
      <c r="R92" s="55">
        <f>_xll.EQNXTDZ($A$1,$B92,R$1,$B$1)</f>
        <v>0</v>
      </c>
      <c r="S92" s="55">
        <f>_xll.EQNXTDZ($A$1,$B92,S$1,$B$1)</f>
        <v>0</v>
      </c>
      <c r="T92" s="55">
        <f>_xll.EQNXTDZ($A$1,$B92,T$1,$B$1)</f>
        <v>0</v>
      </c>
      <c r="U92" s="55">
        <f>_xll.EQNXTDZ($A$1,$B92,U$1,$B$1)</f>
        <v>0</v>
      </c>
      <c r="V92" s="55">
        <f>_xll.EQNXTDZ($A$1,$B92,V$1,$B$1)</f>
        <v>755</v>
      </c>
      <c r="W92" s="55">
        <f>_xll.EQNXTDZ($A$1,$B92,W$1,$B$1)</f>
        <v>1021</v>
      </c>
      <c r="X92" s="55">
        <f>_xll.EQNXTDZ($A$1,$B92,X$1,$B$1)</f>
        <v>1279</v>
      </c>
      <c r="Y92" s="55">
        <f>_xll.EQNXTDZ($A$1,$B92,Y$1,$B$1)</f>
        <v>1600</v>
      </c>
      <c r="Z92" s="55">
        <f>_xll.EQNXTDZ($A$1,$B92,Z$1,$B$1)</f>
        <v>1800</v>
      </c>
      <c r="AA92" s="55">
        <f>_xll.EQNXTDZ($A$1,$B92,AA$1,$B$1)</f>
        <v>2377</v>
      </c>
      <c r="AB92" s="55">
        <f>_xll.EQNXTDZ($A$1,$B92,AB$1,$B$1)</f>
        <v>3392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8.7553199999999998E-2</v>
      </c>
      <c r="D93" s="55">
        <f>_xll.EQNXTDZ($A$1,$B93,D$1,$B$1)</f>
        <v>3.77</v>
      </c>
      <c r="E93" s="55">
        <f>_xll.EQNXTDZ($A$1,$B93,E$1,$B$1)</f>
        <v>15.17</v>
      </c>
      <c r="F93" s="55">
        <f>_xll.EQNXTDZ($A$1,$B93,F$1,$B$1)</f>
        <v>4.53</v>
      </c>
      <c r="G93" s="55">
        <f>_xll.EQNXTDZ($A$1,$B93,G$1,$B$1)</f>
        <v>16</v>
      </c>
      <c r="H93" s="55">
        <f>_xll.EQNXTDZ($A$1,$B93,H$1,$B$1)</f>
        <v>14</v>
      </c>
      <c r="I93" s="55">
        <f>_xll.EQNXTDZ($A$1,$B93,I$1,$B$1)</f>
        <v>15</v>
      </c>
      <c r="J93" s="55">
        <f>_xll.EQNXTDZ($A$1,$B93,J$1,$B$1)</f>
        <v>3</v>
      </c>
      <c r="K93" s="55">
        <f>_xll.EQNXTDZ($A$1,$B93,K$1,$B$1)</f>
        <v>4</v>
      </c>
      <c r="L93" s="55">
        <f>_xll.EQNXTDZ($A$1,$B93,L$1,$B$1)</f>
        <v>28</v>
      </c>
      <c r="M93" s="55">
        <f>_xll.EQNXTDZ($A$1,$B93,M$1,$B$1)</f>
        <v>271</v>
      </c>
      <c r="N93" s="55">
        <f>_xll.EQNXTDZ($A$1,$B93,N$1,$B$1)</f>
        <v>72</v>
      </c>
      <c r="O93" s="55">
        <f>_xll.EQNXTDZ($A$1,$B93,O$1,$B$1)</f>
        <v>535</v>
      </c>
      <c r="P93" s="55">
        <f>_xll.EQNXTDZ($A$1,$B93,P$1,$B$1)</f>
        <v>182</v>
      </c>
      <c r="Q93" s="55">
        <f>_xll.EQNXTDZ($A$1,$B93,Q$1,$B$1)</f>
        <v>264</v>
      </c>
      <c r="R93" s="55">
        <f>_xll.EQNXTDZ($A$1,$B93,R$1,$B$1)</f>
        <v>284</v>
      </c>
      <c r="S93" s="55">
        <f>_xll.EQNXTDZ($A$1,$B93,S$1,$B$1)</f>
        <v>6714</v>
      </c>
      <c r="T93" s="55">
        <f>_xll.EQNXTDZ($A$1,$B93,T$1,$B$1)</f>
        <v>4802</v>
      </c>
      <c r="U93" s="55">
        <f>_xll.EQNXTDZ($A$1,$B93,U$1,$B$1)</f>
        <v>3081</v>
      </c>
      <c r="V93" s="55">
        <f>_xll.EQNXTDZ($A$1,$B93,V$1,$B$1)</f>
        <v>3583</v>
      </c>
      <c r="W93" s="55">
        <f>_xll.EQNXTDZ($A$1,$B93,W$1,$B$1)</f>
        <v>4061</v>
      </c>
      <c r="X93" s="55">
        <f>_xll.EQNXTDZ($A$1,$B93,X$1,$B$1)</f>
        <v>4641</v>
      </c>
      <c r="Y93" s="55">
        <f>_xll.EQNXTDZ($A$1,$B93,Y$1,$B$1)</f>
        <v>4762</v>
      </c>
      <c r="Z93" s="55">
        <f>_xll.EQNXTDZ($A$1,$B93,Z$1,$B$1)</f>
        <v>3583</v>
      </c>
      <c r="AA93" s="55">
        <f>_xll.EQNXTDZ($A$1,$B93,AA$1,$B$1)</f>
        <v>2953</v>
      </c>
      <c r="AB93" s="55">
        <f>_xll.EQNXTDZ($A$1,$B93,AB$1,$B$1)</f>
        <v>3117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6.8304999999999998</v>
      </c>
      <c r="D95" s="55">
        <f>_xll.EQNXTDZ($A$1,$B95,D$1,$B$1)</f>
        <v>16.27</v>
      </c>
      <c r="E95" s="55">
        <f>_xll.EQNXTDZ($A$1,$B95,E$1,$B$1)</f>
        <v>7.99</v>
      </c>
      <c r="F95" s="55">
        <f>_xll.EQNXTDZ($A$1,$B95,F$1,$B$1)</f>
        <v>11.58</v>
      </c>
      <c r="G95" s="55">
        <f>_xll.EQNXTDZ($A$1,$B95,G$1,$B$1)</f>
        <v>16</v>
      </c>
      <c r="H95" s="55">
        <f>_xll.EQNXTDZ($A$1,$B95,H$1,$B$1)</f>
        <v>8</v>
      </c>
      <c r="I95" s="55">
        <f>_xll.EQNXTDZ($A$1,$B95,I$1,$B$1)</f>
        <v>9</v>
      </c>
      <c r="J95" s="55">
        <f>_xll.EQNXTDZ($A$1,$B95,J$1,$B$1)</f>
        <v>7</v>
      </c>
      <c r="K95" s="55">
        <f>_xll.EQNXTDZ($A$1,$B95,K$1,$B$1)</f>
        <v>17</v>
      </c>
      <c r="L95" s="55">
        <f>_xll.EQNXTDZ($A$1,$B95,L$1,$B$1)</f>
        <v>18</v>
      </c>
      <c r="M95" s="55">
        <f>_xll.EQNXTDZ($A$1,$B95,M$1,$B$1)</f>
        <v>21</v>
      </c>
      <c r="N95" s="55">
        <f>_xll.EQNXTDZ($A$1,$B95,N$1,$B$1)</f>
        <v>23</v>
      </c>
      <c r="O95" s="55">
        <f>_xll.EQNXTDZ($A$1,$B95,O$1,$B$1)</f>
        <v>19</v>
      </c>
      <c r="P95" s="55">
        <f>_xll.EQNXTDZ($A$1,$B95,P$1,$B$1)</f>
        <v>37</v>
      </c>
      <c r="Q95" s="55">
        <f>_xll.EQNXTDZ($A$1,$B95,Q$1,$B$1)</f>
        <v>43</v>
      </c>
      <c r="R95" s="55">
        <f>_xll.EQNXTDZ($A$1,$B95,R$1,$B$1)</f>
        <v>0</v>
      </c>
      <c r="S95" s="55">
        <f>_xll.EQNXTDZ($A$1,$B95,S$1,$B$1)</f>
        <v>0</v>
      </c>
      <c r="T95" s="55">
        <f>_xll.EQNXTDZ($A$1,$B95,T$1,$B$1)</f>
        <v>0</v>
      </c>
      <c r="U95" s="55">
        <f>_xll.EQNXTDZ($A$1,$B95,U$1,$B$1)</f>
        <v>0</v>
      </c>
      <c r="V95" s="55">
        <f>_xll.EQNXTDZ($A$1,$B95,V$1,$B$1)</f>
        <v>0</v>
      </c>
      <c r="W95" s="55">
        <f>_xll.EQNXTDZ($A$1,$B95,W$1,$B$1)</f>
        <v>0</v>
      </c>
      <c r="X95" s="55">
        <f>_xll.EQNXTDZ($A$1,$B95,X$1,$B$1)</f>
        <v>0</v>
      </c>
      <c r="Y95" s="55">
        <f>_xll.EQNXTDZ($A$1,$B95,Y$1,$B$1)</f>
        <v>0</v>
      </c>
      <c r="Z95" s="55">
        <f>_xll.EQNXTDZ($A$1,$B95,Z$1,$B$1)</f>
        <v>0</v>
      </c>
      <c r="AA95" s="55">
        <f>_xll.EQNXTDZ($A$1,$B95,AA$1,$B$1)</f>
        <v>0</v>
      </c>
      <c r="AB95" s="55">
        <f>_xll.EQNXTDZ($A$1,$B95,AB$1,$B$1)</f>
        <v>0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0</v>
      </c>
      <c r="D97" s="55">
        <f>_xll.EQNXTDZ($A$1,$B97,D$1,$B$1)</f>
        <v>0</v>
      </c>
      <c r="E97" s="55">
        <f>_xll.EQNXTDZ($A$1,$B97,E$1,$B$1)</f>
        <v>0</v>
      </c>
      <c r="F97" s="55">
        <f>_xll.EQNXTDZ($A$1,$B97,F$1,$B$1)</f>
        <v>0</v>
      </c>
      <c r="G97" s="55">
        <f>_xll.EQNXTDZ($A$1,$B97,G$1,$B$1)</f>
        <v>0</v>
      </c>
      <c r="H97" s="55">
        <f>_xll.EQNXTDZ($A$1,$B97,H$1,$B$1)</f>
        <v>0</v>
      </c>
      <c r="I97" s="55">
        <f>_xll.EQNXTDZ($A$1,$B97,I$1,$B$1)</f>
        <v>0</v>
      </c>
      <c r="J97" s="55">
        <f>_xll.EQNXTDZ($A$1,$B97,J$1,$B$1)</f>
        <v>0</v>
      </c>
      <c r="K97" s="55">
        <f>_xll.EQNXTDZ($A$1,$B97,K$1,$B$1)</f>
        <v>0</v>
      </c>
      <c r="L97" s="55">
        <f>_xll.EQNXTDZ($A$1,$B97,L$1,$B$1)</f>
        <v>0</v>
      </c>
      <c r="M97" s="55">
        <f>_xll.EQNXTDZ($A$1,$B97,M$1,$B$1)</f>
        <v>0</v>
      </c>
      <c r="N97" s="55">
        <f>_xll.EQNXTDZ($A$1,$B97,N$1,$B$1)</f>
        <v>0</v>
      </c>
      <c r="O97" s="55">
        <f>_xll.EQNXTDZ($A$1,$B97,O$1,$B$1)</f>
        <v>0</v>
      </c>
      <c r="P97" s="55">
        <f>_xll.EQNXTDZ($A$1,$B97,P$1,$B$1)</f>
        <v>0</v>
      </c>
      <c r="Q97" s="55">
        <f>_xll.EQNXTDZ($A$1,$B97,Q$1,$B$1)</f>
        <v>0</v>
      </c>
      <c r="R97" s="55">
        <f>_xll.EQNXTDZ($A$1,$B97,R$1,$B$1)</f>
        <v>0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93.12</v>
      </c>
      <c r="D98" s="55">
        <f>_xll.EQNXTDZ($A$1,$B98,D$1,$B$1)</f>
        <v>9.81</v>
      </c>
      <c r="E98" s="55">
        <f>_xll.EQNXTDZ($A$1,$B98,E$1,$B$1)</f>
        <v>428.33</v>
      </c>
      <c r="F98" s="55">
        <f>_xll.EQNXTDZ($A$1,$B98,F$1,$B$1)</f>
        <v>674.29</v>
      </c>
      <c r="G98" s="55">
        <f>_xll.EQNXTDZ($A$1,$B98,G$1,$B$1)</f>
        <v>1558</v>
      </c>
      <c r="H98" s="55">
        <f>_xll.EQNXTDZ($A$1,$B98,H$1,$B$1)</f>
        <v>1556</v>
      </c>
      <c r="I98" s="55">
        <f>_xll.EQNXTDZ($A$1,$B98,I$1,$B$1)</f>
        <v>1136</v>
      </c>
      <c r="J98" s="55">
        <f>_xll.EQNXTDZ($A$1,$B98,J$1,$B$1)</f>
        <v>3031</v>
      </c>
      <c r="K98" s="55">
        <f>_xll.EQNXTDZ($A$1,$B98,K$1,$B$1)</f>
        <v>2612</v>
      </c>
      <c r="L98" s="55">
        <f>_xll.EQNXTDZ($A$1,$B98,L$1,$B$1)</f>
        <v>2310</v>
      </c>
      <c r="M98" s="55">
        <f>_xll.EQNXTDZ($A$1,$B98,M$1,$B$1)</f>
        <v>0</v>
      </c>
      <c r="N98" s="55">
        <f>_xll.EQNXTDZ($A$1,$B98,N$1,$B$1)</f>
        <v>0</v>
      </c>
      <c r="O98" s="55">
        <f>_xll.EQNXTDZ($A$1,$B98,O$1,$B$1)</f>
        <v>0</v>
      </c>
      <c r="P98" s="55">
        <f>_xll.EQNXTDZ($A$1,$B98,P$1,$B$1)</f>
        <v>0</v>
      </c>
      <c r="Q98" s="55">
        <f>_xll.EQNXTDZ($A$1,$B98,Q$1,$B$1)</f>
        <v>0</v>
      </c>
      <c r="R98" s="55">
        <f>_xll.EQNXTDZ($A$1,$B98,R$1,$B$1)</f>
        <v>0</v>
      </c>
      <c r="S98" s="55">
        <f>_xll.EQNXTDZ($A$1,$B98,S$1,$B$1)</f>
        <v>0</v>
      </c>
      <c r="T98" s="55">
        <f>_xll.EQNXTDZ($A$1,$B98,T$1,$B$1)</f>
        <v>0</v>
      </c>
      <c r="U98" s="55">
        <f>_xll.EQNXTDZ($A$1,$B98,U$1,$B$1)</f>
        <v>0</v>
      </c>
      <c r="V98" s="55">
        <f>_xll.EQNXTDZ($A$1,$B98,V$1,$B$1)</f>
        <v>0</v>
      </c>
      <c r="W98" s="55">
        <f>_xll.EQNXTDZ($A$1,$B98,W$1,$B$1)</f>
        <v>0</v>
      </c>
      <c r="X98" s="55">
        <f>_xll.EQNXTDZ($A$1,$B98,X$1,$B$1)</f>
        <v>0</v>
      </c>
      <c r="Y98" s="55">
        <f>_xll.EQNXTDZ($A$1,$B98,Y$1,$B$1)</f>
        <v>0</v>
      </c>
      <c r="Z98" s="55">
        <f>_xll.EQNXTDZ($A$1,$B98,Z$1,$B$1)</f>
        <v>0</v>
      </c>
      <c r="AA98" s="55">
        <f>_xll.EQNXTDZ($A$1,$B98,AA$1,$B$1)</f>
        <v>0</v>
      </c>
      <c r="AB98" s="55">
        <f>_xll.EQNXTDZ($A$1,$B98,AB$1,$B$1)</f>
        <v>0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158.25351710000001</v>
      </c>
      <c r="D99" s="55">
        <f>_xll.EQNXTDZ($A$1,$B99,D$1,$B$1)</f>
        <v>63.53</v>
      </c>
      <c r="E99" s="55">
        <f>_xll.EQNXTDZ($A$1,$B99,E$1,$B$1)</f>
        <v>88.5</v>
      </c>
      <c r="F99" s="55">
        <f>_xll.EQNXTDZ($A$1,$B99,F$1,$B$1)</f>
        <v>200.92</v>
      </c>
      <c r="G99" s="55">
        <f>_xll.EQNXTDZ($A$1,$B99,G$1,$B$1)</f>
        <v>275</v>
      </c>
      <c r="H99" s="55">
        <f>_xll.EQNXTDZ($A$1,$B99,H$1,$B$1)</f>
        <v>519</v>
      </c>
      <c r="I99" s="55">
        <f>_xll.EQNXTDZ($A$1,$B99,I$1,$B$1)</f>
        <v>1570</v>
      </c>
      <c r="J99" s="55">
        <f>_xll.EQNXTDZ($A$1,$B99,J$1,$B$1)</f>
        <v>664</v>
      </c>
      <c r="K99" s="55">
        <f>_xll.EQNXTDZ($A$1,$B99,K$1,$B$1)</f>
        <v>372</v>
      </c>
      <c r="L99" s="55">
        <f>_xll.EQNXTDZ($A$1,$B99,L$1,$B$1)</f>
        <v>301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33.079058500000002</v>
      </c>
      <c r="D104" s="55">
        <f>_xll.EQNXTDZ($A$1,$B104,D$1,$B$1)</f>
        <v>33.090000000000003</v>
      </c>
      <c r="E104" s="55">
        <f>_xll.EQNXTDZ($A$1,$B104,E$1,$B$1)</f>
        <v>33.119999999999997</v>
      </c>
      <c r="F104" s="55">
        <f>_xll.EQNXTDZ($A$1,$B104,F$1,$B$1)</f>
        <v>33.32</v>
      </c>
      <c r="G104" s="55">
        <f>_xll.EQNXTDZ($A$1,$B104,G$1,$B$1)</f>
        <v>135</v>
      </c>
      <c r="H104" s="55">
        <f>_xll.EQNXTDZ($A$1,$B104,H$1,$B$1)</f>
        <v>138</v>
      </c>
      <c r="I104" s="55">
        <f>_xll.EQNXTDZ($A$1,$B104,I$1,$B$1)</f>
        <v>286</v>
      </c>
      <c r="J104" s="55">
        <f>_xll.EQNXTDZ($A$1,$B104,J$1,$B$1)</f>
        <v>286</v>
      </c>
      <c r="K104" s="55">
        <f>_xll.EQNXTDZ($A$1,$B104,K$1,$B$1)</f>
        <v>286</v>
      </c>
      <c r="L104" s="55">
        <f>_xll.EQNXTDZ($A$1,$B104,L$1,$B$1)</f>
        <v>286</v>
      </c>
      <c r="M104" s="55">
        <f>_xll.EQNXTDZ($A$1,$B104,M$1,$B$1)</f>
        <v>286</v>
      </c>
      <c r="N104" s="55">
        <f>_xll.EQNXTDZ($A$1,$B104,N$1,$B$1)</f>
        <v>286</v>
      </c>
      <c r="O104" s="55">
        <f>_xll.EQNXTDZ($A$1,$B104,O$1,$B$1)</f>
        <v>286</v>
      </c>
      <c r="P104" s="55">
        <f>_xll.EQNXTDZ($A$1,$B104,P$1,$B$1)</f>
        <v>286</v>
      </c>
      <c r="Q104" s="55">
        <f>_xll.EQNXTDZ($A$1,$B104,Q$1,$B$1)</f>
        <v>572</v>
      </c>
      <c r="R104" s="55">
        <f>_xll.EQNXTDZ($A$1,$B104,R$1,$B$1)</f>
        <v>1144</v>
      </c>
      <c r="S104" s="55">
        <f>_xll.EQNXTDZ($A$1,$B104,S$1,$B$1)</f>
        <v>1144</v>
      </c>
      <c r="T104" s="55">
        <f>_xll.EQNXTDZ($A$1,$B104,T$1,$B$1)</f>
        <v>1088</v>
      </c>
      <c r="U104" s="55">
        <f>_xll.EQNXTDZ($A$1,$B104,U$1,$B$1)</f>
        <v>2168</v>
      </c>
      <c r="V104" s="55">
        <f>_xll.EQNXTDZ($A$1,$B104,V$1,$B$1)</f>
        <v>2120</v>
      </c>
      <c r="W104" s="55">
        <f>_xll.EQNXTDZ($A$1,$B104,W$1,$B$1)</f>
        <v>2124</v>
      </c>
      <c r="X104" s="55">
        <f>_xll.EQNXTDZ($A$1,$B104,X$1,$B$1)</f>
        <v>2096</v>
      </c>
      <c r="Y104" s="55">
        <f>_xll.EQNXTDZ($A$1,$B104,Y$1,$B$1)</f>
        <v>2069</v>
      </c>
      <c r="Z104" s="55">
        <f>_xll.EQNXTDZ($A$1,$B104,Z$1,$B$1)</f>
        <v>2071</v>
      </c>
      <c r="AA104" s="55">
        <f>_xll.EQNXTDZ($A$1,$B104,AA$1,$B$1)</f>
        <v>2073</v>
      </c>
      <c r="AB104" s="55">
        <f>_xll.EQNXTDZ($A$1,$B104,AB$1,$B$1)</f>
        <v>2024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5</v>
      </c>
      <c r="D105" s="55">
        <f>_xll.EQNXTDZ($A$1,$B105,D$1,$B$1)</f>
        <v>5</v>
      </c>
      <c r="E105" s="55">
        <f>_xll.EQNXTDZ($A$1,$B105,E$1,$B$1)</f>
        <v>5</v>
      </c>
      <c r="F105" s="55">
        <f>_xll.EQNXTDZ($A$1,$B105,F$1,$B$1)</f>
        <v>5</v>
      </c>
      <c r="G105" s="55">
        <f>_xll.EQNXTDZ($A$1,$B105,G$1,$B$1)</f>
        <v>5</v>
      </c>
      <c r="H105" s="55">
        <f>_xll.EQNXTDZ($A$1,$B105,H$1,$B$1)</f>
        <v>5</v>
      </c>
      <c r="I105" s="55">
        <f>_xll.EQNXTDZ($A$1,$B105,I$1,$B$1)</f>
        <v>5</v>
      </c>
      <c r="J105" s="55">
        <f>_xll.EQNXTDZ($A$1,$B105,J$1,$B$1)</f>
        <v>5</v>
      </c>
      <c r="K105" s="55">
        <f>_xll.EQNXTDZ($A$1,$B105,K$1,$B$1)</f>
        <v>5</v>
      </c>
      <c r="L105" s="55">
        <f>_xll.EQNXTDZ($A$1,$B105,L$1,$B$1)</f>
        <v>5</v>
      </c>
      <c r="M105" s="55">
        <f>_xll.EQNXTDZ($A$1,$B105,M$1,$B$1)</f>
        <v>5</v>
      </c>
      <c r="N105" s="55">
        <f>_xll.EQNXTDZ($A$1,$B105,N$1,$B$1)</f>
        <v>5</v>
      </c>
      <c r="O105" s="55">
        <f>_xll.EQNXTDZ($A$1,$B105,O$1,$B$1)</f>
        <v>5</v>
      </c>
      <c r="P105" s="55">
        <f>_xll.EQNXTDZ($A$1,$B105,P$1,$B$1)</f>
        <v>5</v>
      </c>
      <c r="Q105" s="55">
        <f>_xll.EQNXTDZ($A$1,$B105,Q$1,$B$1)</f>
        <v>5</v>
      </c>
      <c r="R105" s="55">
        <f>_xll.EQNXTDZ($A$1,$B105,R$1,$B$1)</f>
        <v>5</v>
      </c>
      <c r="S105" s="55">
        <f>_xll.EQNXTDZ($A$1,$B105,S$1,$B$1)</f>
        <v>5</v>
      </c>
      <c r="T105" s="55">
        <f>_xll.EQNXTDZ($A$1,$B105,T$1,$B$1)</f>
        <v>5</v>
      </c>
      <c r="U105" s="55">
        <f>_xll.EQNXTDZ($A$1,$B105,U$1,$B$1)</f>
        <v>5</v>
      </c>
      <c r="V105" s="55">
        <f>_xll.EQNXTDZ($A$1,$B105,V$1,$B$1)</f>
        <v>5</v>
      </c>
      <c r="W105" s="55">
        <f>_xll.EQNXTDZ($A$1,$B105,W$1,$B$1)</f>
        <v>5</v>
      </c>
      <c r="X105" s="55">
        <f>_xll.EQNXTDZ($A$1,$B105,X$1,$B$1)</f>
        <v>5</v>
      </c>
      <c r="Y105" s="55">
        <f>_xll.EQNXTDZ($A$1,$B105,Y$1,$B$1)</f>
        <v>5</v>
      </c>
      <c r="Z105" s="55">
        <f>_xll.EQNXTDZ($A$1,$B105,Z$1,$B$1)</f>
        <v>5</v>
      </c>
      <c r="AA105" s="55">
        <f>_xll.EQNXTDZ($A$1,$B105,AA$1,$B$1)</f>
        <v>5</v>
      </c>
      <c r="AB105" s="55">
        <f>_xll.EQNXTDZ($A$1,$B105,AB$1,$B$1)</f>
        <v>5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63.795312500000001</v>
      </c>
      <c r="D106" s="55">
        <f>_xll.EQNXTDZ($A$1,$B106,D$1,$B$1)</f>
        <v>58.366406249999997</v>
      </c>
      <c r="E106" s="55">
        <f>_xll.EQNXTDZ($A$1,$B106,E$1,$B$1)</f>
        <v>63.129687500000003</v>
      </c>
      <c r="F106" s="55">
        <f>_xll.EQNXTDZ($A$1,$B106,F$1,$B$1)</f>
        <v>77.158593749999994</v>
      </c>
      <c r="G106" s="55">
        <f>_xll.EQNXTDZ($A$1,$B106,G$1,$B$1)</f>
        <v>140.78437500000001</v>
      </c>
      <c r="H106" s="55">
        <f>_xll.EQNXTDZ($A$1,$B106,H$1,$B$1)</f>
        <v>186.30312499999999</v>
      </c>
      <c r="I106" s="55">
        <f>_xll.EQNXTDZ($A$1,$B106,I$1,$B$1)</f>
        <v>251.57499999999999</v>
      </c>
      <c r="J106" s="55">
        <f>_xll.EQNXTDZ($A$1,$B106,J$1,$B$1)</f>
        <v>178.76875000000001</v>
      </c>
      <c r="K106" s="55">
        <f>_xll.EQNXTDZ($A$1,$B106,K$1,$B$1)</f>
        <v>165.51249999999999</v>
      </c>
      <c r="L106" s="55">
        <f>_xll.EQNXTDZ($A$1,$B106,L$1,$B$1)</f>
        <v>326.88749999999999</v>
      </c>
      <c r="M106" s="55">
        <f>_xll.EQNXTDZ($A$1,$B106,M$1,$B$1)</f>
        <v>404.59375</v>
      </c>
      <c r="N106" s="55">
        <f>_xll.EQNXTDZ($A$1,$B106,N$1,$B$1)</f>
        <v>358.11874999999998</v>
      </c>
      <c r="O106" s="55">
        <f>_xll.EQNXTDZ($A$1,$B106,O$1,$B$1)</f>
        <v>361.23750000000001</v>
      </c>
      <c r="P106" s="55">
        <f>_xll.EQNXTDZ($A$1,$B106,P$1,$B$1)</f>
        <v>409.85624999999999</v>
      </c>
      <c r="Q106" s="55">
        <f>_xll.EQNXTDZ($A$1,$B106,Q$1,$B$1)</f>
        <v>554.15</v>
      </c>
      <c r="R106" s="55">
        <f>_xll.EQNXTDZ($A$1,$B106,R$1,$B$1)</f>
        <v>608.97500000000002</v>
      </c>
      <c r="S106" s="55">
        <f>_xll.EQNXTDZ($A$1,$B106,S$1,$B$1)</f>
        <v>510.4</v>
      </c>
      <c r="T106" s="55">
        <f>_xll.EQNXTDZ($A$1,$B106,T$1,$B$1)</f>
        <v>567.20000000000005</v>
      </c>
      <c r="U106" s="55">
        <f>_xll.EQNXTDZ($A$1,$B106,U$1,$B$1)</f>
        <v>742.3</v>
      </c>
      <c r="V106" s="55">
        <f>_xll.EQNXTDZ($A$1,$B106,V$1,$B$1)</f>
        <v>640.29999999999995</v>
      </c>
      <c r="W106" s="55">
        <f>_xll.EQNXTDZ($A$1,$B106,W$1,$B$1)</f>
        <v>1367.75</v>
      </c>
      <c r="X106" s="55">
        <f>_xll.EQNXTDZ($A$1,$B106,X$1,$B$1)</f>
        <v>1907.2</v>
      </c>
      <c r="Y106" s="55">
        <f>_xll.EQNXTDZ($A$1,$B106,Y$1,$B$1)</f>
        <v>1427.7</v>
      </c>
      <c r="Z106" s="55">
        <f>_xll.EQNXTDZ($A$1,$B106,Z$1,$B$1)</f>
        <v>1498.8</v>
      </c>
      <c r="AA106" s="55">
        <f>_xll.EQNXTDZ($A$1,$B106,AA$1,$B$1)</f>
        <v>1570.4</v>
      </c>
      <c r="AB106" s="55">
        <f>_xll.EQNXTDZ($A$1,$B106,AB$1,$B$1)</f>
        <v>1251.2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166.02968749999999</v>
      </c>
      <c r="D107" s="55">
        <f>_xll.EQNXTDZ($A$1,$B107,D$1,$B$1)</f>
        <v>75.956249999999997</v>
      </c>
      <c r="E107" s="55">
        <f>_xll.EQNXTDZ($A$1,$B107,E$1,$B$1)</f>
        <v>76.140625</v>
      </c>
      <c r="F107" s="55">
        <f>_xll.EQNXTDZ($A$1,$B107,F$1,$B$1)</f>
        <v>95.765625</v>
      </c>
      <c r="G107" s="55">
        <f>_xll.EQNXTDZ($A$1,$B107,G$1,$B$1)</f>
        <v>143.40625</v>
      </c>
      <c r="H107" s="55">
        <f>_xll.EQNXTDZ($A$1,$B107,H$1,$B$1)</f>
        <v>192.1875</v>
      </c>
      <c r="I107" s="55">
        <f>_xll.EQNXTDZ($A$1,$B107,I$1,$B$1)</f>
        <v>304.875</v>
      </c>
      <c r="J107" s="55">
        <f>_xll.EQNXTDZ($A$1,$B107,J$1,$B$1)</f>
        <v>267.5</v>
      </c>
      <c r="K107" s="55">
        <f>_xll.EQNXTDZ($A$1,$B107,K$1,$B$1)</f>
        <v>252.125</v>
      </c>
      <c r="L107" s="55">
        <f>_xll.EQNXTDZ($A$1,$B107,L$1,$B$1)</f>
        <v>352.67500000000001</v>
      </c>
      <c r="M107" s="55">
        <f>_xll.EQNXTDZ($A$1,$B107,M$1,$B$1)</f>
        <v>436.74374999999998</v>
      </c>
      <c r="N107" s="55">
        <f>_xll.EQNXTDZ($A$1,$B107,N$1,$B$1)</f>
        <v>414.60624999999999</v>
      </c>
      <c r="O107" s="55">
        <f>_xll.EQNXTDZ($A$1,$B107,O$1,$B$1)</f>
        <v>376.25</v>
      </c>
      <c r="P107" s="55">
        <f>_xll.EQNXTDZ($A$1,$B107,P$1,$B$1)</f>
        <v>480.9</v>
      </c>
      <c r="Q107" s="55">
        <f>_xll.EQNXTDZ($A$1,$B107,Q$1,$B$1)</f>
        <v>583.79999999999995</v>
      </c>
      <c r="R107" s="55">
        <f>_xll.EQNXTDZ($A$1,$B107,R$1,$B$1)</f>
        <v>617.32500000000005</v>
      </c>
      <c r="S107" s="55">
        <f>_xll.EQNXTDZ($A$1,$B107,S$1,$B$1)</f>
        <v>639</v>
      </c>
      <c r="T107" s="55">
        <f>_xll.EQNXTDZ($A$1,$B107,T$1,$B$1)</f>
        <v>610</v>
      </c>
      <c r="U107" s="55">
        <f>_xll.EQNXTDZ($A$1,$B107,U$1,$B$1)</f>
        <v>771.15</v>
      </c>
      <c r="V107" s="55">
        <f>_xll.EQNXTDZ($A$1,$B107,V$1,$B$1)</f>
        <v>847.4</v>
      </c>
      <c r="W107" s="55">
        <f>_xll.EQNXTDZ($A$1,$B107,W$1,$B$1)</f>
        <v>1406.25</v>
      </c>
      <c r="X107" s="55">
        <f>_xll.EQNXTDZ($A$1,$B107,X$1,$B$1)</f>
        <v>1953.7</v>
      </c>
      <c r="Y107" s="55">
        <f>_xll.EQNXTDZ($A$1,$B107,Y$1,$B$1)</f>
        <v>1909.95</v>
      </c>
      <c r="Z107" s="55">
        <f>_xll.EQNXTDZ($A$1,$B107,Z$1,$B$1)</f>
        <v>1731</v>
      </c>
      <c r="AA107" s="55">
        <f>_xll.EQNXTDZ($A$1,$B107,AA$1,$B$1)</f>
        <v>2006.8</v>
      </c>
      <c r="AB107" s="55">
        <f>_xll.EQNXTDZ($A$1,$B107,AB$1,$B$1)</f>
        <v>1727.85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58.453125</v>
      </c>
      <c r="D108" s="55">
        <f>_xll.EQNXTDZ($A$1,$B108,D$1,$B$1)</f>
        <v>33.6875</v>
      </c>
      <c r="E108" s="55">
        <f>_xll.EQNXTDZ($A$1,$B108,E$1,$B$1)</f>
        <v>45.860937499999999</v>
      </c>
      <c r="F108" s="55">
        <f>_xll.EQNXTDZ($A$1,$B108,F$1,$B$1)</f>
        <v>40.1875</v>
      </c>
      <c r="G108" s="55">
        <f>_xll.EQNXTDZ($A$1,$B108,G$1,$B$1)</f>
        <v>70.735156250000003</v>
      </c>
      <c r="H108" s="55">
        <f>_xll.EQNXTDZ($A$1,$B108,H$1,$B$1)</f>
        <v>117.25624999999999</v>
      </c>
      <c r="I108" s="55">
        <f>_xll.EQNXTDZ($A$1,$B108,I$1,$B$1)</f>
        <v>153.125</v>
      </c>
      <c r="J108" s="55">
        <f>_xll.EQNXTDZ($A$1,$B108,J$1,$B$1)</f>
        <v>151.52500000000001</v>
      </c>
      <c r="K108" s="55">
        <f>_xll.EQNXTDZ($A$1,$B108,K$1,$B$1)</f>
        <v>130</v>
      </c>
      <c r="L108" s="55">
        <f>_xll.EQNXTDZ($A$1,$B108,L$1,$B$1)</f>
        <v>159.375</v>
      </c>
      <c r="M108" s="55">
        <f>_xll.EQNXTDZ($A$1,$B108,M$1,$B$1)</f>
        <v>313.75</v>
      </c>
      <c r="N108" s="55">
        <f>_xll.EQNXTDZ($A$1,$B108,N$1,$B$1)</f>
        <v>271.125</v>
      </c>
      <c r="O108" s="55">
        <f>_xll.EQNXTDZ($A$1,$B108,O$1,$B$1)</f>
        <v>262.70625000000001</v>
      </c>
      <c r="P108" s="55">
        <f>_xll.EQNXTDZ($A$1,$B108,P$1,$B$1)</f>
        <v>273.75</v>
      </c>
      <c r="Q108" s="55">
        <f>_xll.EQNXTDZ($A$1,$B108,Q$1,$B$1)</f>
        <v>361.75</v>
      </c>
      <c r="R108" s="55">
        <f>_xll.EQNXTDZ($A$1,$B108,R$1,$B$1)</f>
        <v>466.27499999999998</v>
      </c>
      <c r="S108" s="55">
        <f>_xll.EQNXTDZ($A$1,$B108,S$1,$B$1)</f>
        <v>450.15</v>
      </c>
      <c r="T108" s="55">
        <f>_xll.EQNXTDZ($A$1,$B108,T$1,$B$1)</f>
        <v>430.75</v>
      </c>
      <c r="U108" s="55">
        <f>_xll.EQNXTDZ($A$1,$B108,U$1,$B$1)</f>
        <v>549.5</v>
      </c>
      <c r="V108" s="55">
        <f>_xll.EQNXTDZ($A$1,$B108,V$1,$B$1)</f>
        <v>511.1</v>
      </c>
      <c r="W108" s="55">
        <f>_xll.EQNXTDZ($A$1,$B108,W$1,$B$1)</f>
        <v>582.35</v>
      </c>
      <c r="X108" s="55">
        <f>_xll.EQNXTDZ($A$1,$B108,X$1,$B$1)</f>
        <v>1311.8</v>
      </c>
      <c r="Y108" s="55">
        <f>_xll.EQNXTDZ($A$1,$B108,Y$1,$B$1)</f>
        <v>1355.5</v>
      </c>
      <c r="Z108" s="55">
        <f>_xll.EQNXTDZ($A$1,$B108,Z$1,$B$1)</f>
        <v>1215.45</v>
      </c>
      <c r="AA108" s="55">
        <f>_xll.EQNXTDZ($A$1,$B108,AA$1,$B$1)</f>
        <v>1359.1</v>
      </c>
      <c r="AB108" s="55">
        <f>_xll.EQNXTDZ($A$1,$B108,AB$1,$B$1)</f>
        <v>1215.1500000000001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27011.697589930001</v>
      </c>
      <c r="D109" s="55">
        <f>_xll.EQNXTDZ($A$1,$B109,D$1,$B$1)</f>
        <v>24721.2081</v>
      </c>
      <c r="E109" s="55">
        <f>_xll.EQNXTDZ($A$1,$B109,E$1,$B$1)</f>
        <v>26762.947199999999</v>
      </c>
      <c r="F109" s="55">
        <f>_xll.EQNXTDZ($A$1,$B109,F$1,$B$1)</f>
        <v>32907.831599999998</v>
      </c>
      <c r="G109" s="55">
        <f>_xll.EQNXTDZ($A$1,$B109,G$1,$B$1)</f>
        <v>60818.85</v>
      </c>
      <c r="H109" s="55">
        <f>_xll.EQNXTDZ($A$1,$B109,H$1,$B$1)</f>
        <v>82271.460000000006</v>
      </c>
      <c r="I109" s="55">
        <f>_xll.EQNXTDZ($A$1,$B109,I$1,$B$1)</f>
        <v>115120.72</v>
      </c>
      <c r="J109" s="55">
        <f>_xll.EQNXTDZ($A$1,$B109,J$1,$B$1)</f>
        <v>81804.58</v>
      </c>
      <c r="K109" s="55">
        <f>_xll.EQNXTDZ($A$1,$B109,K$1,$B$1)</f>
        <v>75738.52</v>
      </c>
      <c r="L109" s="55">
        <f>_xll.EQNXTDZ($A$1,$B109,L$1,$B$1)</f>
        <v>149583.72</v>
      </c>
      <c r="M109" s="55">
        <f>_xll.EQNXTDZ($A$1,$B109,M$1,$B$1)</f>
        <v>185142.1</v>
      </c>
      <c r="N109" s="55">
        <f>_xll.EQNXTDZ($A$1,$B109,N$1,$B$1)</f>
        <v>163875.14000000001</v>
      </c>
      <c r="O109" s="55">
        <f>_xll.EQNXTDZ($A$1,$B109,O$1,$B$1)</f>
        <v>165302.28</v>
      </c>
      <c r="P109" s="55">
        <f>_xll.EQNXTDZ($A$1,$B109,P$1,$B$1)</f>
        <v>187550.22</v>
      </c>
      <c r="Q109" s="55">
        <f>_xll.EQNXTDZ($A$1,$B109,Q$1,$B$1)</f>
        <v>253579.04</v>
      </c>
      <c r="R109" s="55">
        <f>_xll.EQNXTDZ($A$1,$B109,R$1,$B$1)</f>
        <v>278666.96000000002</v>
      </c>
      <c r="S109" s="55">
        <f>_xll.EQNXTDZ($A$1,$B109,S$1,$B$1)</f>
        <v>233559.04000000001</v>
      </c>
      <c r="T109" s="55">
        <f>_xll.EQNXTDZ($A$1,$B109,T$1,$B$1)</f>
        <v>246845.44</v>
      </c>
      <c r="U109" s="55">
        <f>_xll.EQNXTDZ($A$1,$B109,U$1,$B$1)</f>
        <v>321861.28000000003</v>
      </c>
      <c r="V109" s="55">
        <f>_xll.EQNXTDZ($A$1,$B109,V$1,$B$1)</f>
        <v>271487.2</v>
      </c>
      <c r="W109" s="55">
        <f>_xll.EQNXTDZ($A$1,$B109,W$1,$B$1)</f>
        <v>581020.19999999995</v>
      </c>
      <c r="X109" s="55">
        <f>_xll.EQNXTDZ($A$1,$B109,X$1,$B$1)</f>
        <v>799498.23999999999</v>
      </c>
      <c r="Y109" s="55">
        <f>_xll.EQNXTDZ($A$1,$B109,Y$1,$B$1)</f>
        <v>590782.26</v>
      </c>
      <c r="Z109" s="55">
        <f>_xll.EQNXTDZ($A$1,$B109,Z$1,$B$1)</f>
        <v>620802.96</v>
      </c>
      <c r="AA109" s="55">
        <f>_xll.EQNXTDZ($A$1,$B109,AA$1,$B$1)</f>
        <v>651087.84</v>
      </c>
      <c r="AB109" s="55">
        <f>_xll.EQNXTDZ($A$1,$B109,AB$1,$B$1)</f>
        <v>506485.76000000001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0.15625</v>
      </c>
      <c r="D110" s="55">
        <f>_xll.EQNXTDZ($A$1,$B110,D$1,$B$1)</f>
        <v>0.3125</v>
      </c>
      <c r="E110" s="55">
        <f>_xll.EQNXTDZ($A$1,$B110,E$1,$B$1)</f>
        <v>0.421875</v>
      </c>
      <c r="F110" s="55">
        <f>_xll.EQNXTDZ($A$1,$B110,F$1,$B$1)</f>
        <v>2.0234375</v>
      </c>
      <c r="G110" s="55">
        <f>_xll.EQNXTDZ($A$1,$B110,G$1,$B$1)</f>
        <v>0.71875</v>
      </c>
      <c r="H110" s="55">
        <f>_xll.EQNXTDZ($A$1,$B110,H$1,$B$1)</f>
        <v>2.8125</v>
      </c>
      <c r="I110" s="55">
        <f>_xll.EQNXTDZ($A$1,$B110,I$1,$B$1)</f>
        <v>1.4375</v>
      </c>
      <c r="J110" s="55">
        <f>_xll.EQNXTDZ($A$1,$B110,J$1,$B$1)</f>
        <v>4.15625</v>
      </c>
      <c r="K110" s="55">
        <f>_xll.EQNXTDZ($A$1,$B110,K$1,$B$1)</f>
        <v>2.9375</v>
      </c>
      <c r="L110" s="55">
        <f>_xll.EQNXTDZ($A$1,$B110,L$1,$B$1)</f>
        <v>3.125</v>
      </c>
      <c r="M110" s="55">
        <f>_xll.EQNXTDZ($A$1,$B110,M$1,$B$1)</f>
        <v>7.5</v>
      </c>
      <c r="N110" s="55">
        <f>_xll.EQNXTDZ($A$1,$B110,N$1,$B$1)</f>
        <v>5.875</v>
      </c>
      <c r="O110" s="55">
        <f>_xll.EQNXTDZ($A$1,$B110,O$1,$B$1)</f>
        <v>5.25</v>
      </c>
      <c r="P110" s="55">
        <f>_xll.EQNXTDZ($A$1,$B110,P$1,$B$1)</f>
        <v>7.875</v>
      </c>
      <c r="Q110" s="55">
        <f>_xll.EQNXTDZ($A$1,$B110,Q$1,$B$1)</f>
        <v>14.875</v>
      </c>
      <c r="R110" s="55">
        <f>_xll.EQNXTDZ($A$1,$B110,R$1,$B$1)</f>
        <v>12.125</v>
      </c>
      <c r="S110" s="55">
        <f>_xll.EQNXTDZ($A$1,$B110,S$1,$B$1)</f>
        <v>12.875</v>
      </c>
      <c r="T110" s="55">
        <f>_xll.EQNXTDZ($A$1,$B110,T$1,$B$1)</f>
        <v>21.75</v>
      </c>
      <c r="U110" s="55">
        <f>_xll.EQNXTDZ($A$1,$B110,U$1,$B$1)</f>
        <v>21.5</v>
      </c>
      <c r="V110" s="55">
        <f>_xll.EQNXTDZ($A$1,$B110,V$1,$B$1)</f>
        <v>17.5</v>
      </c>
      <c r="W110" s="55">
        <f>_xll.EQNXTDZ($A$1,$B110,W$1,$B$1)</f>
        <v>27</v>
      </c>
      <c r="X110" s="55">
        <f>_xll.EQNXTDZ($A$1,$B110,X$1,$B$1)</f>
        <v>31</v>
      </c>
      <c r="Y110" s="55">
        <f>_xll.EQNXTDZ($A$1,$B110,Y$1,$B$1)</f>
        <v>34</v>
      </c>
      <c r="Z110" s="55">
        <f>_xll.EQNXTDZ($A$1,$B110,Z$1,$B$1)</f>
        <v>46</v>
      </c>
      <c r="AA110" s="55">
        <f>_xll.EQNXTDZ($A$1,$B110,AA$1,$B$1)</f>
        <v>43</v>
      </c>
      <c r="AB110" s="55">
        <f>_xll.EQNXTDZ($A$1,$B110,AB$1,$B$1)</f>
        <v>48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200103</v>
      </c>
      <c r="D111" s="56">
        <f>_xll.EQNXTDZ($A$1,$B111,D$5)</f>
        <v>200203</v>
      </c>
      <c r="E111" s="56">
        <f>_xll.EQNXTDZ($A$1,$B111,E$5)</f>
        <v>200303</v>
      </c>
      <c r="F111" s="56">
        <f>_xll.EQNXTDZ($A$1,$B111,F$5)</f>
        <v>200403</v>
      </c>
      <c r="G111" s="56">
        <f>_xll.EQNXTDZ($A$1,$B111,G$5)</f>
        <v>200503</v>
      </c>
      <c r="H111" s="56">
        <f>_xll.EQNXTDZ($A$1,$B111,H$5)</f>
        <v>200603</v>
      </c>
      <c r="I111" s="56">
        <f>_xll.EQNXTDZ($A$1,$B111,I$5)</f>
        <v>200703</v>
      </c>
      <c r="J111" s="56">
        <f>_xll.EQNXTDZ($A$1,$B111,J$5)</f>
        <v>200803</v>
      </c>
      <c r="K111" s="56">
        <f>_xll.EQNXTDZ($A$1,$B111,K$5)</f>
        <v>200903</v>
      </c>
      <c r="L111" s="56">
        <f>_xll.EQNXTDZ($A$1,$B111,L$5)</f>
        <v>201003</v>
      </c>
      <c r="M111" s="56">
        <f>_xll.EQNXTDZ($A$1,$B111,M$5)</f>
        <v>201103</v>
      </c>
      <c r="N111" s="56">
        <f>_xll.EQNXTDZ($A$1,$B111,N$5)</f>
        <v>201203</v>
      </c>
      <c r="O111" s="56">
        <f>_xll.EQNXTDZ($A$1,$B111,O$5)</f>
        <v>201303</v>
      </c>
      <c r="P111" s="56">
        <f>_xll.EQNXTDZ($A$1,$B111,P$5)</f>
        <v>201403</v>
      </c>
      <c r="Q111" s="56">
        <f>_xll.EQNXTDZ($A$1,$B111,Q$5)</f>
        <v>201503</v>
      </c>
      <c r="R111" s="56">
        <f>_xll.EQNXTDZ($A$1,$B111,R$5)</f>
        <v>201603</v>
      </c>
      <c r="S111" s="56">
        <f>_xll.EQNXTDZ($A$1,$B111,S$5)</f>
        <v>201703</v>
      </c>
      <c r="T111" s="56">
        <f>_xll.EQNXTDZ($A$1,$B111,T$5)</f>
        <v>201803</v>
      </c>
      <c r="U111" s="56">
        <f>_xll.EQNXTDZ($A$1,$B111,U$5)</f>
        <v>201903</v>
      </c>
      <c r="V111" s="56">
        <f>_xll.EQNXTDZ($A$1,$B111,V$5)</f>
        <v>202003</v>
      </c>
      <c r="W111" s="56">
        <f>_xll.EQNXTDZ($A$1,$B111,W$5)</f>
        <v>202103</v>
      </c>
      <c r="X111" s="56">
        <f>_xll.EQNXTDZ($A$1,$B111,X$5)</f>
        <v>202203</v>
      </c>
      <c r="Y111" s="56">
        <f>_xll.EQNXTDZ($A$1,$B111,Y$5)</f>
        <v>202303</v>
      </c>
      <c r="Z111" s="56">
        <f>_xll.EQNXTDZ($A$1,$B111,Z$5)</f>
        <v>202403</v>
      </c>
      <c r="AA111" s="56">
        <f>_xll.EQNXTDZ($A$1,$B111,AA$5)</f>
        <v>202503</v>
      </c>
      <c r="AB111" s="56">
        <f>_xll.EQNXTDZ($A$1,$B111,AB$5)</f>
        <v>202603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29.15</v>
      </c>
      <c r="D112" s="56">
        <f>_xll.EQNXTDZ($A$1,$B112,D$5)</f>
        <v>28.72</v>
      </c>
      <c r="E112" s="56">
        <f>_xll.EQNXTDZ($A$1,$B112,E$5)</f>
        <v>28.42</v>
      </c>
      <c r="F112" s="56">
        <f>_xll.EQNXTDZ($A$1,$B112,F$5)</f>
        <v>26.52</v>
      </c>
      <c r="G112" s="56">
        <f>_xll.EQNXTDZ($A$1,$B112,G$5)</f>
        <v>21.76</v>
      </c>
      <c r="H112" s="56">
        <f>_xll.EQNXTDZ($A$1,$B112,H$5)</f>
        <v>19.5</v>
      </c>
      <c r="I112" s="56">
        <f>_xll.EQNXTDZ($A$1,$B112,I$5)</f>
        <v>16.54</v>
      </c>
      <c r="J112" s="56">
        <f>_xll.EQNXTDZ($A$1,$B112,J$5)</f>
        <v>16.52</v>
      </c>
      <c r="K112" s="56">
        <f>_xll.EQNXTDZ($A$1,$B112,K$5)</f>
        <v>16.489999999999998</v>
      </c>
      <c r="L112" s="56">
        <f>_xll.EQNXTDZ($A$1,$B112,L$5)</f>
        <v>16.05</v>
      </c>
      <c r="M112" s="56">
        <f>_xll.EQNXTDZ($A$1,$B112,M$5)</f>
        <v>16.04</v>
      </c>
      <c r="N112" s="56">
        <f>_xll.EQNXTDZ($A$1,$B112,N$5)</f>
        <v>16.04</v>
      </c>
      <c r="O112" s="56">
        <f>_xll.EQNXTDZ($A$1,$B112,O$5)</f>
        <v>16.04</v>
      </c>
      <c r="P112" s="56">
        <f>_xll.EQNXTDZ($A$1,$B112,P$5)</f>
        <v>15.94</v>
      </c>
      <c r="Q112" s="56">
        <f>_xll.EQNXTDZ($A$1,$B112,Q$5)</f>
        <v>13.08</v>
      </c>
      <c r="R112" s="56">
        <f>_xll.EQNXTDZ($A$1,$B112,R$5)</f>
        <v>12.75</v>
      </c>
      <c r="S112" s="56">
        <f>_xll.EQNXTDZ($A$1,$B112,S$5)</f>
        <v>12.75</v>
      </c>
      <c r="T112" s="56">
        <f>_xll.EQNXTDZ($A$1,$B112,T$5)</f>
        <v>12.9</v>
      </c>
      <c r="U112" s="56">
        <f>_xll.EQNXTDZ($A$1,$B112,U$5)</f>
        <v>12.84</v>
      </c>
      <c r="V112" s="56">
        <f>_xll.EQNXTDZ($A$1,$B112,V$5)</f>
        <v>13.15</v>
      </c>
      <c r="W112" s="56">
        <f>_xll.EQNXTDZ($A$1,$B112,W$5)</f>
        <v>12.95</v>
      </c>
      <c r="X112" s="56">
        <f>_xll.EQNXTDZ($A$1,$B112,X$5)</f>
        <v>13.11</v>
      </c>
      <c r="Y112" s="56">
        <f>_xll.EQNXTDZ($A$1,$B112,Y$5)</f>
        <v>15.14</v>
      </c>
      <c r="Z112" s="56">
        <f>_xll.EQNXTDZ($A$1,$B112,Z$5)</f>
        <v>14.71</v>
      </c>
      <c r="AA112" s="56">
        <f>_xll.EQNXTDZ($A$1,$B112,AA$5)</f>
        <v>14.6</v>
      </c>
      <c r="AB112" s="56">
        <f>_xll.EQNXTDZ($A$1,$B112,AB$5)</f>
        <v>14.38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0.02</v>
      </c>
      <c r="L113" s="56">
        <f>_xll.EQNXTDZ($A$1,$B113,L$5)</f>
        <v>0</v>
      </c>
      <c r="M113" s="56">
        <f>_xll.EQNXTDZ($A$1,$B113,M$5)</f>
        <v>0</v>
      </c>
      <c r="N113" s="56">
        <f>_xll.EQNXTDZ($A$1,$B113,N$5)</f>
        <v>0</v>
      </c>
      <c r="O113" s="56">
        <f>_xll.EQNXTDZ($A$1,$B113,O$5)</f>
        <v>0</v>
      </c>
      <c r="P113" s="56">
        <f>_xll.EQNXTDZ($A$1,$B113,P$5)</f>
        <v>0</v>
      </c>
      <c r="Q113" s="56">
        <f>_xll.EQNXTDZ($A$1,$B113,Q$5)</f>
        <v>0</v>
      </c>
      <c r="R113" s="56">
        <f>_xll.EQNXTDZ($A$1,$B113,R$5)</f>
        <v>0</v>
      </c>
      <c r="S113" s="56">
        <f>_xll.EQNXTDZ($A$1,$B113,S$5)</f>
        <v>0</v>
      </c>
      <c r="T113" s="56">
        <f>_xll.EQNXTDZ($A$1,$B113,T$5)</f>
        <v>0</v>
      </c>
      <c r="U113" s="56">
        <f>_xll.EQNXTDZ($A$1,$B113,U$5)</f>
        <v>0</v>
      </c>
      <c r="V113" s="56">
        <f>_xll.EQNXTDZ($A$1,$B113,V$5)</f>
        <v>0</v>
      </c>
      <c r="W113" s="56">
        <f>_xll.EQNXTDZ($A$1,$B113,W$5)</f>
        <v>0</v>
      </c>
      <c r="X113" s="56">
        <f>_xll.EQNXTDZ($A$1,$B113,X$5)</f>
        <v>0</v>
      </c>
      <c r="Y113" s="56">
        <f>_xll.EQNXTDZ($A$1,$B113,Y$5)</f>
        <v>0</v>
      </c>
      <c r="Z113" s="56">
        <f>_xll.EQNXTDZ($A$1,$B113,Z$5)</f>
        <v>0</v>
      </c>
      <c r="AA113" s="56">
        <f>_xll.EQNXTDZ($A$1,$B113,AA$5)</f>
        <v>0</v>
      </c>
      <c r="AB113" s="56">
        <f>_xll.EQNXTDZ($A$1,$B113,AB$5)</f>
        <v>0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100209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201206</v>
      </c>
      <c r="D5" cm="1">
        <f t="array" ref="D5">_xll.EQNXTDZ($A$1,$B5,D$1)</f>
        <v>201207</v>
      </c>
      <c r="E5" cm="1">
        <f t="array" ref="E5">_xll.EQNXTDZ($A$1,$B5,E$1)</f>
        <v>201208</v>
      </c>
      <c r="F5" cm="1">
        <f t="array" ref="F5">_xll.EQNXTDZ($A$1,$B5,F$1)</f>
        <v>201209</v>
      </c>
      <c r="G5" cm="1">
        <f t="array" ref="G5">_xll.EQNXTDZ($A$1,$B5,G$1)</f>
        <v>201210</v>
      </c>
      <c r="H5" cm="1">
        <f t="array" ref="H5">_xll.EQNXTDZ($A$1,$B5,H$1)</f>
        <v>201211</v>
      </c>
      <c r="I5" cm="1">
        <f t="array" ref="I5">_xll.EQNXTDZ($A$1,$B5,I$1)</f>
        <v>201212</v>
      </c>
      <c r="J5" cm="1">
        <f t="array" ref="J5">_xll.EQNXTDZ($A$1,$B5,J$1)</f>
        <v>201301</v>
      </c>
      <c r="K5" cm="1">
        <f t="array" ref="K5">_xll.EQNXTDZ($A$1,$B5,K$1)</f>
        <v>201302</v>
      </c>
      <c r="L5" cm="1">
        <f t="array" ref="L5">_xll.EQNXTDZ($A$1,$B5,L$1)</f>
        <v>201303</v>
      </c>
      <c r="M5" cm="1">
        <f t="array" ref="M5">_xll.EQNXTDZ($A$1,$B5,M$1)</f>
        <v>201304</v>
      </c>
      <c r="N5" cm="1">
        <f t="array" ref="N5">_xll.EQNXTDZ($A$1,$B5,N$1)</f>
        <v>201305</v>
      </c>
      <c r="O5" cm="1">
        <f t="array" ref="O5">_xll.EQNXTDZ($A$1,$B5,O$1)</f>
        <v>201306</v>
      </c>
      <c r="P5" cm="1">
        <f t="array" ref="P5">_xll.EQNXTDZ($A$1,$B5,P$1)</f>
        <v>201307</v>
      </c>
      <c r="Q5" cm="1">
        <f t="array" ref="Q5">_xll.EQNXTDZ($A$1,$B5,Q$1)</f>
        <v>201308</v>
      </c>
      <c r="R5" cm="1">
        <f t="array" ref="R5">_xll.EQNXTDZ($A$1,$B5,R$1)</f>
        <v>201309</v>
      </c>
      <c r="S5" cm="1">
        <f t="array" ref="S5">_xll.EQNXTDZ($A$1,$B5,S$1)</f>
        <v>201310</v>
      </c>
      <c r="T5" cm="1">
        <f t="array" ref="T5">_xll.EQNXTDZ($A$1,$B5,T$1)</f>
        <v>201311</v>
      </c>
      <c r="U5" cm="1">
        <f t="array" ref="U5">_xll.EQNXTDZ($A$1,$B5,U$1)</f>
        <v>201312</v>
      </c>
      <c r="V5" cm="1">
        <f t="array" ref="V5">_xll.EQNXTDZ($A$1,$B5,V$1)</f>
        <v>201401</v>
      </c>
      <c r="W5" cm="1">
        <f t="array" ref="W5">_xll.EQNXTDZ($A$1,$B5,W$1)</f>
        <v>201402</v>
      </c>
      <c r="X5" cm="1">
        <f t="array" ref="X5">_xll.EQNXTDZ($A$1,$B5,X$1)</f>
        <v>201403</v>
      </c>
      <c r="Y5" cm="1">
        <f t="array" ref="Y5">_xll.EQNXTDZ($A$1,$B5,Y$1)</f>
        <v>201404</v>
      </c>
      <c r="Z5" cm="1">
        <f t="array" ref="Z5">_xll.EQNXTDZ($A$1,$B5,Z$1)</f>
        <v>201405</v>
      </c>
      <c r="AA5" cm="1">
        <f t="array" ref="AA5">_xll.EQNXTDZ($A$1,$B5,AA$1)</f>
        <v>201406</v>
      </c>
      <c r="AB5" cm="1">
        <f t="array" ref="AB5">_xll.EQNXTDZ($A$1,$B5,AB$1)</f>
        <v>201407</v>
      </c>
      <c r="AC5" cm="1">
        <f t="array" ref="AC5">_xll.EQNXTDZ($A$1,$B5,AC$1)</f>
        <v>201408</v>
      </c>
      <c r="AD5" cm="1">
        <f t="array" ref="AD5">_xll.EQNXTDZ($A$1,$B5,AD$1)</f>
        <v>201409</v>
      </c>
      <c r="AE5" cm="1">
        <f t="array" ref="AE5">_xll.EQNXTDZ($A$1,$B5,AE$1)</f>
        <v>201410</v>
      </c>
      <c r="AF5" cm="1">
        <f t="array" ref="AF5">_xll.EQNXTDZ($A$1,$B5,AF$1)</f>
        <v>201411</v>
      </c>
      <c r="AG5" cm="1">
        <f t="array" ref="AG5">_xll.EQNXTDZ($A$1,$B5,AG$1)</f>
        <v>201412</v>
      </c>
      <c r="AH5" cm="1">
        <f t="array" ref="AH5">_xll.EQNXTDZ($A$1,$B5,AH$1)</f>
        <v>201501</v>
      </c>
      <c r="AI5" cm="1">
        <f t="array" ref="AI5">_xll.EQNXTDZ($A$1,$B5,AI$1)</f>
        <v>201502</v>
      </c>
      <c r="AJ5" cm="1">
        <f t="array" ref="AJ5">_xll.EQNXTDZ($A$1,$B5,AJ$1)</f>
        <v>201503</v>
      </c>
      <c r="AK5" cm="1">
        <f t="array" ref="AK5">_xll.EQNXTDZ($A$1,$B5,AK$1)</f>
        <v>201504</v>
      </c>
      <c r="AL5" cm="1">
        <f t="array" ref="AL5">_xll.EQNXTDZ($A$1,$B5,AL$1)</f>
        <v>201505</v>
      </c>
      <c r="AM5" cm="1">
        <f t="array" ref="AM5">_xll.EQNXTDZ($A$1,$B5,AM$1)</f>
        <v>201506</v>
      </c>
      <c r="AN5" cm="1">
        <f t="array" ref="AN5">_xll.EQNXTDZ($A$1,$B5,AN$1)</f>
        <v>201507</v>
      </c>
      <c r="AO5" cm="1">
        <f t="array" ref="AO5">_xll.EQNXTDZ($A$1,$B5,AO$1)</f>
        <v>201508</v>
      </c>
      <c r="AP5" cm="1">
        <f t="array" ref="AP5">_xll.EQNXTDZ($A$1,$B5,AP$1)</f>
        <v>201509</v>
      </c>
      <c r="AQ5" cm="1">
        <f t="array" ref="AQ5">_xll.EQNXTDZ($A$1,$B5,AQ$1)</f>
        <v>201510</v>
      </c>
      <c r="AR5" cm="1">
        <f t="array" ref="AR5">_xll.EQNXTDZ($A$1,$B5,AR$1)</f>
        <v>201511</v>
      </c>
      <c r="AS5" cm="1">
        <f t="array" ref="AS5">_xll.EQNXTDZ($A$1,$B5,AS$1)</f>
        <v>201512</v>
      </c>
      <c r="AT5" cm="1">
        <f t="array" ref="AT5">_xll.EQNXTDZ($A$1,$B5,AT$1)</f>
        <v>201601</v>
      </c>
      <c r="AU5" cm="1">
        <f t="array" ref="AU5">_xll.EQNXTDZ($A$1,$B5,AU$1)</f>
        <v>201602</v>
      </c>
      <c r="AV5" cm="1">
        <f t="array" ref="AV5">_xll.EQNXTDZ($A$1,$B5,AV$1)</f>
        <v>201603</v>
      </c>
      <c r="AW5" cm="1">
        <f t="array" ref="AW5">_xll.EQNXTDZ($A$1,$B5,AW$1)</f>
        <v>201604</v>
      </c>
      <c r="AX5" cm="1">
        <f t="array" ref="AX5">_xll.EQNXTDZ($A$1,$B5,AX$1)</f>
        <v>201605</v>
      </c>
      <c r="AY5" cm="1">
        <f t="array" ref="AY5">_xll.EQNXTDZ($A$1,$B5,AY$1)</f>
        <v>201606</v>
      </c>
      <c r="AZ5" cm="1">
        <f t="array" ref="AZ5">_xll.EQNXTDZ($A$1,$B5,AZ$1)</f>
        <v>201607</v>
      </c>
      <c r="BA5" cm="1">
        <f t="array" ref="BA5">_xll.EQNXTDZ($A$1,$B5,BA$1)</f>
        <v>201608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301.875</v>
      </c>
      <c r="D6" cm="1">
        <f t="array" ref="D6">_xll.EQNXTDZ($A$1,$B6,D$1)</f>
        <v>312.875</v>
      </c>
      <c r="E6" cm="1">
        <f t="array" ref="E6">_xll.EQNXTDZ($A$1,$B6,E$1)</f>
        <v>276.875</v>
      </c>
      <c r="F6" cm="1">
        <f t="array" ref="F6">_xll.EQNXTDZ($A$1,$B6,F$1)</f>
        <v>295.75</v>
      </c>
      <c r="G6" cm="1">
        <f t="array" ref="G6">_xll.EQNXTDZ($A$1,$B6,G$1)</f>
        <v>318.91250000000002</v>
      </c>
      <c r="H6" cm="1">
        <f t="array" ref="H6">_xll.EQNXTDZ($A$1,$B6,H$1)</f>
        <v>295.25</v>
      </c>
      <c r="I6" cm="1">
        <f t="array" ref="I6">_xll.EQNXTDZ($A$1,$B6,I$1)</f>
        <v>304.625</v>
      </c>
      <c r="J6" cm="1">
        <f t="array" ref="J6">_xll.EQNXTDZ($A$1,$B6,J$1)</f>
        <v>290.95</v>
      </c>
      <c r="K6" cm="1">
        <f t="array" ref="K6">_xll.EQNXTDZ($A$1,$B6,K$1)</f>
        <v>348.88749999999999</v>
      </c>
      <c r="L6" cm="1">
        <f t="array" ref="L6">_xll.EQNXTDZ($A$1,$B6,L$1)</f>
        <v>364.25</v>
      </c>
      <c r="M6" cm="1">
        <f t="array" ref="M6">_xll.EQNXTDZ($A$1,$B6,M$1)</f>
        <v>363.84375</v>
      </c>
      <c r="N6" cm="1">
        <f t="array" ref="N6">_xll.EQNXTDZ($A$1,$B6,N$1)</f>
        <v>279.5</v>
      </c>
      <c r="O6" cm="1">
        <f t="array" ref="O6">_xll.EQNXTDZ($A$1,$B6,O$1)</f>
        <v>315.625</v>
      </c>
      <c r="P6" cm="1">
        <f t="array" ref="P6">_xll.EQNXTDZ($A$1,$B6,P$1)</f>
        <v>308.625</v>
      </c>
      <c r="Q6" cm="1">
        <f t="array" ref="Q6">_xll.EQNXTDZ($A$1,$B6,Q$1)</f>
        <v>373.5</v>
      </c>
      <c r="R6" cm="1">
        <f t="array" ref="R6">_xll.EQNXTDZ($A$1,$B6,R$1)</f>
        <v>384.63749999999999</v>
      </c>
      <c r="S6" cm="1">
        <f t="array" ref="S6">_xll.EQNXTDZ($A$1,$B6,S$1)</f>
        <v>378.75</v>
      </c>
      <c r="T6" cm="1">
        <f t="array" ref="T6">_xll.EQNXTDZ($A$1,$B6,T$1)</f>
        <v>412.5</v>
      </c>
      <c r="U6" cm="1">
        <f t="array" ref="U6">_xll.EQNXTDZ($A$1,$B6,U$1)</f>
        <v>419</v>
      </c>
      <c r="V6" cm="1">
        <f t="array" ref="V6">_xll.EQNXTDZ($A$1,$B6,V$1)</f>
        <v>436.5</v>
      </c>
      <c r="W6" cm="1">
        <f t="array" ref="W6">_xll.EQNXTDZ($A$1,$B6,W$1)</f>
        <v>460.625</v>
      </c>
      <c r="X6" cm="1">
        <f t="array" ref="X6">_xll.EQNXTDZ($A$1,$B6,X$1)</f>
        <v>478.125</v>
      </c>
      <c r="Y6" cm="1">
        <f t="array" ref="Y6">_xll.EQNXTDZ($A$1,$B6,Y$1)</f>
        <v>410.38125000000002</v>
      </c>
      <c r="Z6" cm="1">
        <f t="array" ref="Z6">_xll.EQNXTDZ($A$1,$B6,Z$1)</f>
        <v>398.125</v>
      </c>
      <c r="AA6" cm="1">
        <f t="array" ref="AA6">_xll.EQNXTDZ($A$1,$B6,AA$1)</f>
        <v>370.0625</v>
      </c>
      <c r="AB6" cm="1">
        <f t="array" ref="AB6">_xll.EQNXTDZ($A$1,$B6,AB$1)</f>
        <v>405.625</v>
      </c>
      <c r="AC6" cm="1">
        <f t="array" ref="AC6">_xll.EQNXTDZ($A$1,$B6,AC$1)</f>
        <v>418.75</v>
      </c>
      <c r="AD6" cm="1">
        <f t="array" ref="AD6">_xll.EQNXTDZ($A$1,$B6,AD$1)</f>
        <v>451.25625000000002</v>
      </c>
      <c r="AE6" cm="1">
        <f t="array" ref="AE6">_xll.EQNXTDZ($A$1,$B6,AE$1)</f>
        <v>465.25</v>
      </c>
      <c r="AF6" cm="1">
        <f t="array" ref="AF6">_xll.EQNXTDZ($A$1,$B6,AF$1)</f>
        <v>509.61250000000001</v>
      </c>
      <c r="AG6" cm="1">
        <f t="array" ref="AG6">_xll.EQNXTDZ($A$1,$B6,AG$1)</f>
        <v>548.375</v>
      </c>
      <c r="AH6" cm="1">
        <f t="array" ref="AH6">_xll.EQNXTDZ($A$1,$B6,AH$1)</f>
        <v>492.23750000000001</v>
      </c>
      <c r="AI6" cm="1">
        <f t="array" ref="AI6">_xll.EQNXTDZ($A$1,$B6,AI$1)</f>
        <v>535.375</v>
      </c>
      <c r="AJ6" cm="1">
        <f t="array" ref="AJ6">_xll.EQNXTDZ($A$1,$B6,AJ$1)</f>
        <v>575.75</v>
      </c>
      <c r="AK6" cm="1">
        <f t="array" ref="AK6">_xll.EQNXTDZ($A$1,$B6,AK$1)</f>
        <v>549.72500000000002</v>
      </c>
      <c r="AL6" cm="1">
        <f t="array" ref="AL6">_xll.EQNXTDZ($A$1,$B6,AL$1)</f>
        <v>489.875</v>
      </c>
      <c r="AM6" cm="1">
        <f t="array" ref="AM6">_xll.EQNXTDZ($A$1,$B6,AM$1)</f>
        <v>508.2</v>
      </c>
      <c r="AN6" cm="1">
        <f t="array" ref="AN6">_xll.EQNXTDZ($A$1,$B6,AN$1)</f>
        <v>494.5</v>
      </c>
      <c r="AO6" cm="1">
        <f t="array" ref="AO6">_xll.EQNXTDZ($A$1,$B6,AO$1)</f>
        <v>539</v>
      </c>
      <c r="AP6" cm="1">
        <f t="array" ref="AP6">_xll.EQNXTDZ($A$1,$B6,AP$1)</f>
        <v>545</v>
      </c>
      <c r="AQ6" cm="1">
        <f t="array" ref="AQ6">_xll.EQNXTDZ($A$1,$B6,AQ$1)</f>
        <v>584.95000000000005</v>
      </c>
      <c r="AR6" cm="1">
        <f t="array" ref="AR6">_xll.EQNXTDZ($A$1,$B6,AR$1)</f>
        <v>565</v>
      </c>
      <c r="AS6" cm="1">
        <f t="array" ref="AS6">_xll.EQNXTDZ($A$1,$B6,AS$1)</f>
        <v>544</v>
      </c>
      <c r="AT6" cm="1">
        <f t="array" ref="AT6">_xll.EQNXTDZ($A$1,$B6,AT$1)</f>
        <v>550</v>
      </c>
      <c r="AU6" cm="1">
        <f t="array" ref="AU6">_xll.EQNXTDZ($A$1,$B6,AU$1)</f>
        <v>585</v>
      </c>
      <c r="AV6" cm="1">
        <f t="array" ref="AV6">_xll.EQNXTDZ($A$1,$B6,AV$1)</f>
        <v>547.4</v>
      </c>
      <c r="AW6" cm="1">
        <f t="array" ref="AW6">_xll.EQNXTDZ($A$1,$B6,AW$1)</f>
        <v>608</v>
      </c>
      <c r="AX6" cm="1">
        <f t="array" ref="AX6">_xll.EQNXTDZ($A$1,$B6,AX$1)</f>
        <v>605</v>
      </c>
      <c r="AY6" cm="1">
        <f t="array" ref="AY6">_xll.EQNXTDZ($A$1,$B6,AY$1)</f>
        <v>623.02499999999998</v>
      </c>
      <c r="AZ6" cm="1">
        <f t="array" ref="AZ6">_xll.EQNXTDZ($A$1,$B6,AZ$1)</f>
        <v>590</v>
      </c>
      <c r="BA6" cm="1">
        <f t="array" ref="BA6">_xll.EQNXTDZ($A$1,$B6,BA$1)</f>
        <v>535.75</v>
      </c>
      <c r="BB6" cm="1">
        <f t="array" ref="BB6">_xll.EQNXTDZ($A$1,$B6,BB$1)</f>
        <v>519</v>
      </c>
      <c r="BC6" cm="1">
        <f t="array" ref="BC6">_xll.EQNXTDZ($A$1,$B6,BC$1)</f>
        <v>517.75</v>
      </c>
      <c r="BD6" cm="1">
        <f t="array" ref="BD6">_xll.EQNXTDZ($A$1,$B6,BD$1)</f>
        <v>503.4</v>
      </c>
      <c r="BE6" cm="1">
        <f t="array" ref="BE6">_xll.EQNXTDZ($A$1,$B6,BE$1)</f>
        <v>488</v>
      </c>
      <c r="BF6" cm="1">
        <f t="array" ref="BF6">_xll.EQNXTDZ($A$1,$B6,BF$1)</f>
        <v>505.55</v>
      </c>
      <c r="BG6" cm="1">
        <f t="array" ref="BG6">_xll.EQNXTDZ($A$1,$B6,BG$1)</f>
        <v>460.55</v>
      </c>
      <c r="BH6" cm="1">
        <f t="array" ref="BH6">_xll.EQNXTDZ($A$1,$B6,BH$1)</f>
        <v>506</v>
      </c>
      <c r="BI6" cm="1">
        <f t="array" ref="BI6">_xll.EQNXTDZ($A$1,$B6,BI$1)</f>
        <v>516.07500000000005</v>
      </c>
      <c r="BJ6" cm="1">
        <f t="array" ref="BJ6">_xll.EQNXTDZ($A$1,$B6,BJ$1)</f>
        <v>462</v>
      </c>
      <c r="BK6" cm="1">
        <f t="array" ref="BK6">_xll.EQNXTDZ($A$1,$B6,BK$1)</f>
        <v>484.65</v>
      </c>
      <c r="BL6" cm="1">
        <f t="array" ref="BL6">_xll.EQNXTDZ($A$1,$B6,BL$1)</f>
        <v>470.55</v>
      </c>
      <c r="BM6" cm="1">
        <f t="array" ref="BM6">_xll.EQNXTDZ($A$1,$B6,BM$1)</f>
        <v>505.5</v>
      </c>
      <c r="BN6" cm="1">
        <f t="array" ref="BN6">_xll.EQNXTDZ($A$1,$B6,BN$1)</f>
        <v>457.97500000000002</v>
      </c>
      <c r="BO6" cm="1">
        <f t="array" ref="BO6">_xll.EQNXTDZ($A$1,$B6,BO$1)</f>
        <v>455.05</v>
      </c>
      <c r="BP6" cm="1">
        <f t="array" ref="BP6">_xll.EQNXTDZ($A$1,$B6,BP$1)</f>
        <v>462.5</v>
      </c>
      <c r="BQ6" cm="1">
        <f t="array" ref="BQ6">_xll.EQNXTDZ($A$1,$B6,BQ$1)</f>
        <v>489.7</v>
      </c>
      <c r="BR6" cm="1">
        <f t="array" ref="BR6">_xll.EQNXTDZ($A$1,$B6,BR$1)</f>
        <v>518.85</v>
      </c>
      <c r="BS6" cm="1">
        <f t="array" ref="BS6">_xll.EQNXTDZ($A$1,$B6,BS$1)</f>
        <v>571.1</v>
      </c>
      <c r="BT6" cm="1">
        <f t="array" ref="BT6">_xll.EQNXTDZ($A$1,$B6,BT$1)</f>
        <v>584.79999999999995</v>
      </c>
      <c r="BU6" cm="1">
        <f t="array" ref="BU6">_xll.EQNXTDZ($A$1,$B6,BU$1)</f>
        <v>570.5</v>
      </c>
      <c r="BV6" cm="1">
        <f t="array" ref="BV6">_xll.EQNXTDZ($A$1,$B6,BV$1)</f>
        <v>599.45000000000005</v>
      </c>
      <c r="BW6" cm="1">
        <f t="array" ref="BW6">_xll.EQNXTDZ($A$1,$B6,BW$1)</f>
        <v>615.20000000000005</v>
      </c>
      <c r="BX6" cm="1">
        <f t="array" ref="BX6">_xll.EQNXTDZ($A$1,$B6,BX$1)</f>
        <v>657</v>
      </c>
      <c r="BY6" cm="1">
        <f t="array" ref="BY6">_xll.EQNXTDZ($A$1,$B6,BY$1)</f>
        <v>681.9</v>
      </c>
      <c r="BZ6" cm="1">
        <f t="array" ref="BZ6">_xll.EQNXTDZ($A$1,$B6,BZ$1)</f>
        <v>724.5</v>
      </c>
      <c r="CA6" cm="1">
        <f t="array" ref="CA6">_xll.EQNXTDZ($A$1,$B6,CA$1)</f>
        <v>737.5</v>
      </c>
      <c r="CB6" cm="1">
        <f t="array" ref="CB6">_xll.EQNXTDZ($A$1,$B6,CB$1)</f>
        <v>689.7</v>
      </c>
      <c r="CC6" cm="1">
        <f t="array" ref="CC6">_xll.EQNXTDZ($A$1,$B6,CC$1)</f>
        <v>673.15</v>
      </c>
      <c r="CD6" cm="1">
        <f t="array" ref="CD6">_xll.EQNXTDZ($A$1,$B6,CD$1)</f>
        <v>660.95</v>
      </c>
      <c r="CE6" cm="1">
        <f t="array" ref="CE6">_xll.EQNXTDZ($A$1,$B6,CE$1)</f>
        <v>751.35</v>
      </c>
      <c r="CF6" cm="1">
        <f t="array" ref="CF6">_xll.EQNXTDZ($A$1,$B6,CF$1)</f>
        <v>735.5</v>
      </c>
      <c r="CG6" cm="1">
        <f t="array" ref="CG6">_xll.EQNXTDZ($A$1,$B6,CG$1)</f>
        <v>742</v>
      </c>
      <c r="CH6" cm="1">
        <f t="array" ref="CH6">_xll.EQNXTDZ($A$1,$B6,CH$1)</f>
        <v>747</v>
      </c>
      <c r="CI6" cm="1">
        <f t="array" ref="CI6">_xll.EQNXTDZ($A$1,$B6,CI$1)</f>
        <v>729.8</v>
      </c>
      <c r="CJ6" cm="1">
        <f t="array" ref="CJ6">_xll.EQNXTDZ($A$1,$B6,CJ$1)</f>
        <v>735</v>
      </c>
      <c r="CK6" cm="1">
        <f t="array" ref="CK6">_xll.EQNXTDZ($A$1,$B6,CK$1)</f>
        <v>786.45</v>
      </c>
      <c r="CL6" cm="1">
        <f t="array" ref="CL6">_xll.EQNXTDZ($A$1,$B6,CL$1)</f>
        <v>815</v>
      </c>
      <c r="CM6" cm="1">
        <f t="array" ref="CM6">_xll.EQNXTDZ($A$1,$B6,CM$1)</f>
        <v>807</v>
      </c>
      <c r="CN6" cm="1">
        <f t="array" ref="CN6">_xll.EQNXTDZ($A$1,$B6,CN$1)</f>
        <v>690</v>
      </c>
      <c r="CO6" cm="1">
        <f t="array" ref="CO6">_xll.EQNXTDZ($A$1,$B6,CO$1)</f>
        <v>703.1</v>
      </c>
      <c r="CP6" cm="1">
        <f t="array" ref="CP6">_xll.EQNXTDZ($A$1,$B6,CP$1)</f>
        <v>735</v>
      </c>
      <c r="CQ6" cm="1">
        <f t="array" ref="CQ6">_xll.EQNXTDZ($A$1,$B6,CQ$1)</f>
        <v>775.1</v>
      </c>
      <c r="CR6" cm="1">
        <f t="array" ref="CR6">_xll.EQNXTDZ($A$1,$B6,CR$1)</f>
        <v>737</v>
      </c>
      <c r="CS6" cm="1">
        <f t="array" ref="CS6">_xll.EQNXTDZ($A$1,$B6,CS$1)</f>
        <v>634.35</v>
      </c>
      <c r="CT6" cm="1">
        <f t="array" ref="CT6">_xll.EQNXTDZ($A$1,$B6,CT$1)</f>
        <v>689.8</v>
      </c>
      <c r="CU6" cm="1">
        <f t="array" ref="CU6">_xll.EQNXTDZ($A$1,$B6,CU$1)</f>
        <v>698.75</v>
      </c>
      <c r="CV6" cm="1">
        <f t="array" ref="CV6">_xll.EQNXTDZ($A$1,$B6,CV$1)</f>
        <v>737.25</v>
      </c>
      <c r="CW6" cm="1">
        <f t="array" ref="CW6">_xll.EQNXTDZ($A$1,$B6,CW$1)</f>
        <v>960</v>
      </c>
      <c r="CX6" cm="1">
        <f t="array" ref="CX6">_xll.EQNXTDZ($A$1,$B6,CX$1)</f>
        <v>926.25</v>
      </c>
      <c r="CY6" cm="1">
        <f t="array" ref="CY6">_xll.EQNXTDZ($A$1,$B6,CY$1)</f>
        <v>1020.6</v>
      </c>
      <c r="CZ6" cm="1">
        <f t="array" ref="CZ6">_xll.EQNXTDZ($A$1,$B6,CZ$1)</f>
        <v>1065</v>
      </c>
      <c r="DA6" cm="1">
        <f t="array" ref="DA6">_xll.EQNXTDZ($A$1,$B6,DA$1)</f>
        <v>1105.05</v>
      </c>
      <c r="DB6" cm="1">
        <f t="array" ref="DB6">_xll.EQNXTDZ($A$1,$B6,DB$1)</f>
        <v>1257.9000000000001</v>
      </c>
      <c r="DC6" cm="1">
        <f t="array" ref="DC6">_xll.EQNXTDZ($A$1,$B6,DC$1)</f>
        <v>1250.55</v>
      </c>
      <c r="DD6" cm="1">
        <f t="array" ref="DD6">_xll.EQNXTDZ($A$1,$B6,DD$1)</f>
        <v>1263.3</v>
      </c>
      <c r="DE6" cm="1">
        <f t="array" ref="DE6">_xll.EQNXTDZ($A$1,$B6,DE$1)</f>
        <v>1380</v>
      </c>
      <c r="DF6" cm="1">
        <f t="array" ref="DF6">_xll.EQNXTDZ($A$1,$B6,DF$1)</f>
        <v>1340.8</v>
      </c>
      <c r="DG6" cm="1">
        <f t="array" ref="DG6">_xll.EQNXTDZ($A$1,$B6,DG$1)</f>
        <v>1400</v>
      </c>
      <c r="DH6" cm="1">
        <f t="array" ref="DH6">_xll.EQNXTDZ($A$1,$B6,DH$1)</f>
        <v>1576.85</v>
      </c>
      <c r="DI6" cm="1">
        <f t="array" ref="DI6">_xll.EQNXTDZ($A$1,$B6,DI$1)</f>
        <v>1627.45</v>
      </c>
      <c r="DJ6" cm="1">
        <f t="array" ref="DJ6">_xll.EQNXTDZ($A$1,$B6,DJ$1)</f>
        <v>1709.5</v>
      </c>
      <c r="DK6" cm="1">
        <f t="array" ref="DK6">_xll.EQNXTDZ($A$1,$B6,DK$1)</f>
        <v>1665.1</v>
      </c>
      <c r="DL6" cm="1">
        <f t="array" ref="DL6">_xll.EQNXTDZ($A$1,$B6,DL$1)</f>
        <v>1677.5</v>
      </c>
      <c r="DM6" cm="1">
        <f t="array" ref="DM6">_xll.EQNXTDZ($A$1,$B6,DM$1)</f>
        <v>1715</v>
      </c>
      <c r="DN6" cm="1">
        <f t="array" ref="DN6">_xll.EQNXTDZ($A$1,$B6,DN$1)</f>
        <v>1887.75</v>
      </c>
      <c r="DO6" cm="1">
        <f t="array" ref="DO6">_xll.EQNXTDZ($A$1,$B6,DO$1)</f>
        <v>1766.1</v>
      </c>
      <c r="DP6" cm="1">
        <f t="array" ref="DP6">_xll.EQNXTDZ($A$1,$B6,DP$1)</f>
        <v>1710</v>
      </c>
      <c r="DQ6" cm="1">
        <f t="array" ref="DQ6">_xll.EQNXTDZ($A$1,$B6,DQ$1)</f>
        <v>1886.85</v>
      </c>
      <c r="DR6" cm="1">
        <f t="array" ref="DR6">_xll.EQNXTDZ($A$1,$B6,DR$1)</f>
        <v>1550.9</v>
      </c>
      <c r="DS6" cm="1">
        <f t="array" ref="DS6">_xll.EQNXTDZ($A$1,$B6,DS$1)</f>
        <v>1513</v>
      </c>
      <c r="DT6" cm="1">
        <f t="array" ref="DT6">_xll.EQNXTDZ($A$1,$B6,DT$1)</f>
        <v>1454</v>
      </c>
      <c r="DU6" cm="1">
        <f t="array" ref="DU6">_xll.EQNXTDZ($A$1,$B6,DU$1)</f>
        <v>1564</v>
      </c>
      <c r="DV6" cm="1">
        <f t="array" ref="DV6">_xll.EQNXTDZ($A$1,$B6,DV$1)</f>
        <v>1460.05</v>
      </c>
      <c r="DW6" cm="1">
        <f t="array" ref="DW6">_xll.EQNXTDZ($A$1,$B6,DW$1)</f>
        <v>1412</v>
      </c>
      <c r="DX6" cm="1">
        <f t="array" ref="DX6">_xll.EQNXTDZ($A$1,$B6,DX$1)</f>
        <v>1553.05</v>
      </c>
      <c r="DY6" cm="1">
        <f t="array" ref="DY6">_xll.EQNXTDZ($A$1,$B6,DY$1)</f>
        <v>1656.2</v>
      </c>
      <c r="DZ6" cm="1">
        <f t="array" ref="DZ6">_xll.EQNXTDZ($A$1,$B6,DZ$1)</f>
        <v>1514</v>
      </c>
      <c r="EA6" cm="1">
        <f t="array" ref="EA6">_xll.EQNXTDZ($A$1,$B6,EA$1)</f>
        <v>1542.2</v>
      </c>
      <c r="EB6" cm="1">
        <f t="array" ref="EB6">_xll.EQNXTDZ($A$1,$B6,EB$1)</f>
        <v>1492.4</v>
      </c>
      <c r="EC6" cm="1">
        <f t="array" ref="EC6">_xll.EQNXTDZ($A$1,$B6,EC$1)</f>
        <v>1435</v>
      </c>
      <c r="ED6" cm="1">
        <f t="array" ref="ED6">_xll.EQNXTDZ($A$1,$B6,ED$1)</f>
        <v>1254.55</v>
      </c>
      <c r="EE6" cm="1">
        <f t="array" ref="EE6">_xll.EQNXTDZ($A$1,$B6,EE$1)</f>
        <v>1322.55</v>
      </c>
      <c r="EF6" cm="1">
        <f t="array" ref="EF6">_xll.EQNXTDZ($A$1,$B6,EF$1)</f>
        <v>1330</v>
      </c>
      <c r="EG6" cm="1">
        <f t="array" ref="EG6">_xll.EQNXTDZ($A$1,$B6,EG$1)</f>
        <v>1362</v>
      </c>
      <c r="EH6" cm="1">
        <f t="array" ref="EH6">_xll.EQNXTDZ($A$1,$B6,EH$1)</f>
        <v>1430.95</v>
      </c>
      <c r="EI6" cm="1">
        <f t="array" ref="EI6">_xll.EQNXTDZ($A$1,$B6,EI$1)</f>
        <v>1436.05</v>
      </c>
      <c r="EJ6" cm="1">
        <f t="array" ref="EJ6">_xll.EQNXTDZ($A$1,$B6,EJ$1)</f>
        <v>1373.05</v>
      </c>
      <c r="EK6" cm="1">
        <f t="array" ref="EK6">_xll.EQNXTDZ($A$1,$B6,EK$1)</f>
        <v>1459.9</v>
      </c>
      <c r="EL6" cm="1">
        <f t="array" ref="EL6">_xll.EQNXTDZ($A$1,$B6,EL$1)</f>
        <v>1539</v>
      </c>
      <c r="EM6" cm="1">
        <f t="array" ref="EM6">_xll.EQNXTDZ($A$1,$B6,EM$1)</f>
        <v>1659.55</v>
      </c>
      <c r="EN6" cm="1">
        <f t="array" ref="EN6">_xll.EQNXTDZ($A$1,$B6,EN$1)</f>
        <v>1669</v>
      </c>
      <c r="EO6" cm="1">
        <f t="array" ref="EO6">_xll.EQNXTDZ($A$1,$B6,EO$1)</f>
        <v>1525</v>
      </c>
      <c r="EP6" cm="1">
        <f t="array" ref="EP6">_xll.EQNXTDZ($A$1,$B6,EP$1)</f>
        <v>1413</v>
      </c>
      <c r="EQ6" cm="1">
        <f t="array" ref="EQ6">_xll.EQNXTDZ($A$1,$B6,EQ$1)</f>
        <v>1440</v>
      </c>
      <c r="ER6" cm="1">
        <f t="array" ref="ER6">_xll.EQNXTDZ($A$1,$B6,ER$1)</f>
        <v>1559.5</v>
      </c>
      <c r="ES6" cm="1">
        <f t="array" ref="ES6">_xll.EQNXTDZ($A$1,$B6,ES$1)</f>
        <v>1856.1</v>
      </c>
      <c r="ET6" cm="1">
        <f t="array" ref="ET6">_xll.EQNXTDZ($A$1,$B6,ET$1)</f>
        <v>1943.35</v>
      </c>
      <c r="EU6" cm="1">
        <f t="array" ref="EU6">_xll.EQNXTDZ($A$1,$B6,EU$1)</f>
        <v>1875</v>
      </c>
      <c r="EV6" cm="1">
        <f t="array" ref="EV6">_xll.EQNXTDZ($A$1,$B6,EV$1)</f>
        <v>1764.5</v>
      </c>
      <c r="EW6" cm="1">
        <f t="array" ref="EW6">_xll.EQNXTDZ($A$1,$B6,EW$1)</f>
        <v>1859</v>
      </c>
      <c r="EX6" cm="1">
        <f t="array" ref="EX6">_xll.EQNXTDZ($A$1,$B6,EX$1)</f>
        <v>1874</v>
      </c>
      <c r="EY6" cm="1">
        <f t="array" ref="EY6">_xll.EQNXTDZ($A$1,$B6,EY$1)</f>
        <v>1880.3</v>
      </c>
      <c r="EZ6" cm="1">
        <f t="array" ref="EZ6">_xll.EQNXTDZ($A$1,$B6,EZ$1)</f>
        <v>1692.3</v>
      </c>
      <c r="FA6" cm="1">
        <f t="array" ref="FA6">_xll.EQNXTDZ($A$1,$B6,FA$1)</f>
        <v>1539.25</v>
      </c>
      <c r="FB6" cm="1">
        <f t="array" ref="FB6">_xll.EQNXTDZ($A$1,$B6,FB$1)</f>
        <v>1499.7</v>
      </c>
      <c r="FC6" cm="1">
        <f t="array" ref="FC6">_xll.EQNXTDZ($A$1,$B6,FC$1)</f>
        <v>1560</v>
      </c>
      <c r="FD6" cm="1">
        <f t="array" ref="FD6">_xll.EQNXTDZ($A$1,$B6,FD$1)</f>
        <v>1609</v>
      </c>
      <c r="FE6" cm="1">
        <f t="array" ref="FE6">_xll.EQNXTDZ($A$1,$B6,FE$1)</f>
        <v>1493.9</v>
      </c>
      <c r="FF6" cm="1">
        <f t="array" ref="FF6">_xll.EQNXTDZ($A$1,$B6,FF$1)</f>
        <v>1476.7</v>
      </c>
      <c r="FG6" cm="1">
        <f t="array" ref="FG6">_xll.EQNXTDZ($A$1,$B6,FG$1)</f>
        <v>1446</v>
      </c>
      <c r="FH6" cm="1">
        <f t="array" ref="FH6">_xll.EQNXTDZ($A$1,$B6,FH$1)</f>
        <v>1482.3</v>
      </c>
      <c r="FI6" cm="1">
        <f t="array" ref="FI6">_xll.EQNXTDZ($A$1,$B6,FI$1)</f>
        <v>1562.5</v>
      </c>
      <c r="FJ6" cm="1">
        <f t="array" ref="FJ6">_xll.EQNXTDZ($A$1,$B6,FJ$1)</f>
        <v>1615.4</v>
      </c>
      <c r="FK6" cm="1">
        <f t="array" ref="FK6">_xll.EQNXTDZ($A$1,$B6,FK$1)</f>
        <v>1630</v>
      </c>
      <c r="FL6" cm="1">
        <f t="array" ref="FL6">_xll.EQNXTDZ($A$1,$B6,FL$1)</f>
        <v>1291</v>
      </c>
      <c r="FM6" cm="1">
        <f t="array" ref="FM6">_xll.EQNXTDZ($A$1,$B6,FM$1)</f>
        <v>1290</v>
      </c>
      <c r="FN6" cm="1">
        <f t="array" ref="FN6">_xll.EQNXTDZ($A$1,$B6,FN$1)</f>
        <v>1195</v>
      </c>
      <c r="FO6" cm="1">
        <f t="array" ref="FO6">_xll.EQNXTDZ($A$1,$B6,FO$1)</f>
        <v>1175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318.04374999999999</v>
      </c>
      <c r="D7" s="116" cm="1">
        <f t="array" ref="D7">_xll.EQNXTDZ($A$1,$B7,D$1)</f>
        <v>314.85000000000002</v>
      </c>
      <c r="E7" s="116" cm="1">
        <f t="array" ref="E7">_xll.EQNXTDZ($A$1,$B7,E$1)</f>
        <v>310.375</v>
      </c>
      <c r="F7" s="116" cm="1">
        <f t="array" ref="F7">_xll.EQNXTDZ($A$1,$B7,F$1)</f>
        <v>331.25</v>
      </c>
      <c r="G7" s="116" cm="1">
        <f t="array" ref="G7">_xll.EQNXTDZ($A$1,$B7,G$1)</f>
        <v>327.52499999999998</v>
      </c>
      <c r="H7" s="116" cm="1">
        <f t="array" ref="H7">_xll.EQNXTDZ($A$1,$B7,H$1)</f>
        <v>310</v>
      </c>
      <c r="I7" s="116" cm="1">
        <f t="array" ref="I7">_xll.EQNXTDZ($A$1,$B7,I$1)</f>
        <v>306.625</v>
      </c>
      <c r="J7" s="116" cm="1">
        <f t="array" ref="J7">_xll.EQNXTDZ($A$1,$B7,J$1)</f>
        <v>354.61874999999998</v>
      </c>
      <c r="K7" s="116" cm="1">
        <f t="array" ref="K7">_xll.EQNXTDZ($A$1,$B7,K$1)</f>
        <v>371.17500000000001</v>
      </c>
      <c r="L7" s="116" cm="1">
        <f t="array" ref="L7">_xll.EQNXTDZ($A$1,$B7,L$1)</f>
        <v>376.22500000000002</v>
      </c>
      <c r="M7" s="116" cm="1">
        <f t="array" ref="M7">_xll.EQNXTDZ($A$1,$B7,M$1)</f>
        <v>374.94375000000002</v>
      </c>
      <c r="N7" s="116" cm="1">
        <f t="array" ref="N7">_xll.EQNXTDZ($A$1,$B7,N$1)</f>
        <v>304.36250000000001</v>
      </c>
      <c r="O7" s="116" cm="1">
        <f t="array" ref="O7">_xll.EQNXTDZ($A$1,$B7,O$1)</f>
        <v>328.125</v>
      </c>
      <c r="P7" s="116" cm="1">
        <f t="array" ref="P7">_xll.EQNXTDZ($A$1,$B7,P$1)</f>
        <v>373.95</v>
      </c>
      <c r="Q7" s="116" cm="1">
        <f t="array" ref="Q7">_xll.EQNXTDZ($A$1,$B7,Q$1)</f>
        <v>391.25</v>
      </c>
      <c r="R7" s="116" cm="1">
        <f t="array" ref="R7">_xll.EQNXTDZ($A$1,$B7,R$1)</f>
        <v>398.5</v>
      </c>
      <c r="S7" s="116" cm="1">
        <f t="array" ref="S7">_xll.EQNXTDZ($A$1,$B7,S$1)</f>
        <v>422.21249999999998</v>
      </c>
      <c r="T7" s="116" cm="1">
        <f t="array" ref="T7">_xll.EQNXTDZ($A$1,$B7,T$1)</f>
        <v>431</v>
      </c>
      <c r="U7" s="116" cm="1">
        <f t="array" ref="U7">_xll.EQNXTDZ($A$1,$B7,U$1)</f>
        <v>446.875</v>
      </c>
      <c r="V7" s="116" cm="1">
        <f t="array" ref="V7">_xll.EQNXTDZ($A$1,$B7,V$1)</f>
        <v>474.875</v>
      </c>
      <c r="W7" s="116" cm="1">
        <f t="array" ref="W7">_xll.EQNXTDZ($A$1,$B7,W$1)</f>
        <v>479.64375000000001</v>
      </c>
      <c r="X7" s="116" cm="1">
        <f t="array" ref="X7">_xll.EQNXTDZ($A$1,$B7,X$1)</f>
        <v>481.24374999999998</v>
      </c>
      <c r="Y7" s="116" cm="1">
        <f t="array" ref="Y7">_xll.EQNXTDZ($A$1,$B7,Y$1)</f>
        <v>423.5</v>
      </c>
      <c r="Z7" s="116" cm="1">
        <f t="array" ref="Z7">_xll.EQNXTDZ($A$1,$B7,Z$1)</f>
        <v>417.5</v>
      </c>
      <c r="AA7" s="116" cm="1">
        <f t="array" ref="AA7">_xll.EQNXTDZ($A$1,$B7,AA$1)</f>
        <v>417.42500000000001</v>
      </c>
      <c r="AB7" s="116" cm="1">
        <f t="array" ref="AB7">_xll.EQNXTDZ($A$1,$B7,AB$1)</f>
        <v>429</v>
      </c>
      <c r="AC7" s="116" cm="1">
        <f t="array" ref="AC7">_xll.EQNXTDZ($A$1,$B7,AC$1)</f>
        <v>456.25</v>
      </c>
      <c r="AD7" s="116" cm="1">
        <f t="array" ref="AD7">_xll.EQNXTDZ($A$1,$B7,AD$1)</f>
        <v>474.375</v>
      </c>
      <c r="AE7" s="116" cm="1">
        <f t="array" ref="AE7">_xll.EQNXTDZ($A$1,$B7,AE$1)</f>
        <v>508.25</v>
      </c>
      <c r="AF7" s="116" cm="1">
        <f t="array" ref="AF7">_xll.EQNXTDZ($A$1,$B7,AF$1)</f>
        <v>549.75</v>
      </c>
      <c r="AG7" s="116" cm="1">
        <f t="array" ref="AG7">_xll.EQNXTDZ($A$1,$B7,AG$1)</f>
        <v>550.27499999999998</v>
      </c>
      <c r="AH7" s="116" cm="1">
        <f t="array" ref="AH7">_xll.EQNXTDZ($A$1,$B7,AH$1)</f>
        <v>556.25</v>
      </c>
      <c r="AI7" s="116" cm="1">
        <f t="array" ref="AI7">_xll.EQNXTDZ($A$1,$B7,AI$1)</f>
        <v>584</v>
      </c>
      <c r="AJ7" s="116" cm="1">
        <f t="array" ref="AJ7">_xll.EQNXTDZ($A$1,$B7,AJ$1)</f>
        <v>578.47500000000002</v>
      </c>
      <c r="AK7" s="116" cm="1">
        <f t="array" ref="AK7">_xll.EQNXTDZ($A$1,$B7,AK$1)</f>
        <v>561.25</v>
      </c>
      <c r="AL7" s="116" cm="1">
        <f t="array" ref="AL7">_xll.EQNXTDZ($A$1,$B7,AL$1)</f>
        <v>515.47500000000002</v>
      </c>
      <c r="AM7" s="116" cm="1">
        <f t="array" ref="AM7">_xll.EQNXTDZ($A$1,$B7,AM$1)</f>
        <v>516</v>
      </c>
      <c r="AN7" s="116" cm="1">
        <f t="array" ref="AN7">_xll.EQNXTDZ($A$1,$B7,AN$1)</f>
        <v>574.5</v>
      </c>
      <c r="AO7" s="116" cm="1">
        <f t="array" ref="AO7">_xll.EQNXTDZ($A$1,$B7,AO$1)</f>
        <v>593.1</v>
      </c>
      <c r="AP7" s="116" cm="1">
        <f t="array" ref="AP7">_xll.EQNXTDZ($A$1,$B7,AP$1)</f>
        <v>584.47500000000002</v>
      </c>
      <c r="AQ7" s="116" cm="1">
        <f t="array" ref="AQ7">_xll.EQNXTDZ($A$1,$B7,AQ$1)</f>
        <v>609.9</v>
      </c>
      <c r="AR7" s="116" cm="1">
        <f t="array" ref="AR7">_xll.EQNXTDZ($A$1,$B7,AR$1)</f>
        <v>578.79999999999995</v>
      </c>
      <c r="AS7" s="116" cm="1">
        <f t="array" ref="AS7">_xll.EQNXTDZ($A$1,$B7,AS$1)</f>
        <v>555</v>
      </c>
      <c r="AT7" s="116" cm="1">
        <f t="array" ref="AT7">_xll.EQNXTDZ($A$1,$B7,AT$1)</f>
        <v>585</v>
      </c>
      <c r="AU7" s="116" cm="1">
        <f t="array" ref="AU7">_xll.EQNXTDZ($A$1,$B7,AU$1)</f>
        <v>597.47500000000002</v>
      </c>
      <c r="AV7" s="116" cm="1">
        <f t="array" ref="AV7">_xll.EQNXTDZ($A$1,$B7,AV$1)</f>
        <v>618.5</v>
      </c>
      <c r="AW7" s="116" cm="1">
        <f t="array" ref="AW7">_xll.EQNXTDZ($A$1,$B7,AW$1)</f>
        <v>633.95000000000005</v>
      </c>
      <c r="AX7" s="116" cm="1">
        <f t="array" ref="AX7">_xll.EQNXTDZ($A$1,$B7,AX$1)</f>
        <v>636</v>
      </c>
      <c r="AY7" s="116" cm="1">
        <f t="array" ref="AY7">_xll.EQNXTDZ($A$1,$B7,AY$1)</f>
        <v>639.65</v>
      </c>
      <c r="AZ7" s="116" cm="1">
        <f t="array" ref="AZ7">_xll.EQNXTDZ($A$1,$B7,AZ$1)</f>
        <v>598.02499999999998</v>
      </c>
      <c r="BA7" s="116" cm="1">
        <f t="array" ref="BA7">_xll.EQNXTDZ($A$1,$B7,BA$1)</f>
        <v>547.5</v>
      </c>
      <c r="BB7" s="116" cm="1">
        <f t="array" ref="BB7">_xll.EQNXTDZ($A$1,$B7,BB$1)</f>
        <v>534.45000000000005</v>
      </c>
      <c r="BC7" s="116" cm="1">
        <f t="array" ref="BC7">_xll.EQNXTDZ($A$1,$B7,BC$1)</f>
        <v>541.35</v>
      </c>
      <c r="BD7" s="116" cm="1">
        <f t="array" ref="BD7">_xll.EQNXTDZ($A$1,$B7,BD$1)</f>
        <v>503.4</v>
      </c>
      <c r="BE7" s="116" cm="1">
        <f t="array" ref="BE7">_xll.EQNXTDZ($A$1,$B7,BE$1)</f>
        <v>511</v>
      </c>
      <c r="BF7" s="116" cm="1">
        <f t="array" ref="BF7">_xll.EQNXTDZ($A$1,$B7,BF$1)</f>
        <v>520</v>
      </c>
      <c r="BG7" s="116" cm="1">
        <f t="array" ref="BG7">_xll.EQNXTDZ($A$1,$B7,BG$1)</f>
        <v>515.5</v>
      </c>
      <c r="BH7" s="116" cm="1">
        <f t="array" ref="BH7">_xll.EQNXTDZ($A$1,$B7,BH$1)</f>
        <v>522</v>
      </c>
      <c r="BI7" s="116" cm="1">
        <f t="array" ref="BI7">_xll.EQNXTDZ($A$1,$B7,BI$1)</f>
        <v>516.22500000000002</v>
      </c>
      <c r="BJ7" s="116" cm="1">
        <f t="array" ref="BJ7">_xll.EQNXTDZ($A$1,$B7,BJ$1)</f>
        <v>500</v>
      </c>
      <c r="BK7" s="116" cm="1">
        <f t="array" ref="BK7">_xll.EQNXTDZ($A$1,$B7,BK$1)</f>
        <v>494.45</v>
      </c>
      <c r="BL7" s="116" cm="1">
        <f t="array" ref="BL7">_xll.EQNXTDZ($A$1,$B7,BL$1)</f>
        <v>514.45000000000005</v>
      </c>
      <c r="BM7" s="116" cm="1">
        <f t="array" ref="BM7">_xll.EQNXTDZ($A$1,$B7,BM$1)</f>
        <v>514.625</v>
      </c>
      <c r="BN7" s="116" cm="1">
        <f t="array" ref="BN7">_xll.EQNXTDZ($A$1,$B7,BN$1)</f>
        <v>462.95</v>
      </c>
      <c r="BO7" s="116" cm="1">
        <f t="array" ref="BO7">_xll.EQNXTDZ($A$1,$B7,BO$1)</f>
        <v>478.85</v>
      </c>
      <c r="BP7" s="116" cm="1">
        <f t="array" ref="BP7">_xll.EQNXTDZ($A$1,$B7,BP$1)</f>
        <v>509.65</v>
      </c>
      <c r="BQ7" s="116" cm="1">
        <f t="array" ref="BQ7">_xll.EQNXTDZ($A$1,$B7,BQ$1)</f>
        <v>524.4</v>
      </c>
      <c r="BR7" s="116" cm="1">
        <f t="array" ref="BR7">_xll.EQNXTDZ($A$1,$B7,BR$1)</f>
        <v>610.52499999999998</v>
      </c>
      <c r="BS7" s="116" cm="1">
        <f t="array" ref="BS7">_xll.EQNXTDZ($A$1,$B7,BS$1)</f>
        <v>594.75</v>
      </c>
      <c r="BT7" s="116" cm="1">
        <f t="array" ref="BT7">_xll.EQNXTDZ($A$1,$B7,BT$1)</f>
        <v>598.5</v>
      </c>
      <c r="BU7" s="116" cm="1">
        <f t="array" ref="BU7">_xll.EQNXTDZ($A$1,$B7,BU$1)</f>
        <v>607.20000000000005</v>
      </c>
      <c r="BV7" s="116" cm="1">
        <f t="array" ref="BV7">_xll.EQNXTDZ($A$1,$B7,BV$1)</f>
        <v>624.32500000000005</v>
      </c>
      <c r="BW7" s="116" cm="1">
        <f t="array" ref="BW7">_xll.EQNXTDZ($A$1,$B7,BW$1)</f>
        <v>657.5</v>
      </c>
      <c r="BX7" s="116" cm="1">
        <f t="array" ref="BX7">_xll.EQNXTDZ($A$1,$B7,BX$1)</f>
        <v>696.9</v>
      </c>
      <c r="BY7" s="116" cm="1">
        <f t="array" ref="BY7">_xll.EQNXTDZ($A$1,$B7,BY$1)</f>
        <v>727.15</v>
      </c>
      <c r="BZ7" s="116" cm="1">
        <f t="array" ref="BZ7">_xll.EQNXTDZ($A$1,$B7,BZ$1)</f>
        <v>748.5</v>
      </c>
      <c r="CA7" s="116" cm="1">
        <f t="array" ref="CA7">_xll.EQNXTDZ($A$1,$B7,CA$1)</f>
        <v>754.9</v>
      </c>
      <c r="CB7" s="116" cm="1">
        <f t="array" ref="CB7">_xll.EQNXTDZ($A$1,$B7,CB$1)</f>
        <v>689.7</v>
      </c>
      <c r="CC7" s="116" cm="1">
        <f t="array" ref="CC7">_xll.EQNXTDZ($A$1,$B7,CC$1)</f>
        <v>713.7</v>
      </c>
      <c r="CD7" s="116" cm="1">
        <f t="array" ref="CD7">_xll.EQNXTDZ($A$1,$B7,CD$1)</f>
        <v>751.3</v>
      </c>
      <c r="CE7" s="116" cm="1">
        <f t="array" ref="CE7">_xll.EQNXTDZ($A$1,$B7,CE$1)</f>
        <v>772.25</v>
      </c>
      <c r="CF7" s="116" cm="1">
        <f t="array" ref="CF7">_xll.EQNXTDZ($A$1,$B7,CF$1)</f>
        <v>747.95</v>
      </c>
      <c r="CG7" s="116" cm="1">
        <f t="array" ref="CG7">_xll.EQNXTDZ($A$1,$B7,CG$1)</f>
        <v>773</v>
      </c>
      <c r="CH7" s="116" cm="1">
        <f t="array" ref="CH7">_xll.EQNXTDZ($A$1,$B7,CH$1)</f>
        <v>748.4</v>
      </c>
      <c r="CI7" s="116" cm="1">
        <f t="array" ref="CI7">_xll.EQNXTDZ($A$1,$B7,CI$1)</f>
        <v>759</v>
      </c>
      <c r="CJ7" s="116" cm="1">
        <f t="array" ref="CJ7">_xll.EQNXTDZ($A$1,$B7,CJ$1)</f>
        <v>804</v>
      </c>
      <c r="CK7" s="116" cm="1">
        <f t="array" ref="CK7">_xll.EQNXTDZ($A$1,$B7,CK$1)</f>
        <v>817.35</v>
      </c>
      <c r="CL7" s="116" cm="1">
        <f t="array" ref="CL7">_xll.EQNXTDZ($A$1,$B7,CL$1)</f>
        <v>847</v>
      </c>
      <c r="CM7" s="116" cm="1">
        <f t="array" ref="CM7">_xll.EQNXTDZ($A$1,$B7,CM$1)</f>
        <v>823.8</v>
      </c>
      <c r="CN7" s="116" cm="1">
        <f t="array" ref="CN7">_xll.EQNXTDZ($A$1,$B7,CN$1)</f>
        <v>732.5</v>
      </c>
      <c r="CO7" s="116" cm="1">
        <f t="array" ref="CO7">_xll.EQNXTDZ($A$1,$B7,CO$1)</f>
        <v>737.95</v>
      </c>
      <c r="CP7" s="116" cm="1">
        <f t="array" ref="CP7">_xll.EQNXTDZ($A$1,$B7,CP$1)</f>
        <v>792.8</v>
      </c>
      <c r="CQ7" s="116" cm="1">
        <f t="array" ref="CQ7">_xll.EQNXTDZ($A$1,$B7,CQ$1)</f>
        <v>811.6</v>
      </c>
      <c r="CR7" s="116" cm="1">
        <f t="array" ref="CR7">_xll.EQNXTDZ($A$1,$B7,CR$1)</f>
        <v>773.55</v>
      </c>
      <c r="CS7" s="116" cm="1">
        <f t="array" ref="CS7">_xll.EQNXTDZ($A$1,$B7,CS$1)</f>
        <v>720</v>
      </c>
      <c r="CT7" s="116" cm="1">
        <f t="array" ref="CT7">_xll.EQNXTDZ($A$1,$B7,CT$1)</f>
        <v>710</v>
      </c>
      <c r="CU7" s="116" cm="1">
        <f t="array" ref="CU7">_xll.EQNXTDZ($A$1,$B7,CU$1)</f>
        <v>751.6</v>
      </c>
      <c r="CV7" s="116" cm="1">
        <f t="array" ref="CV7">_xll.EQNXTDZ($A$1,$B7,CV$1)</f>
        <v>986.45</v>
      </c>
      <c r="CW7" s="116" cm="1">
        <f t="array" ref="CW7">_xll.EQNXTDZ($A$1,$B7,CW$1)</f>
        <v>974.4</v>
      </c>
      <c r="CX7" s="116" cm="1">
        <f t="array" ref="CX7">_xll.EQNXTDZ($A$1,$B7,CX$1)</f>
        <v>1037</v>
      </c>
      <c r="CY7" s="116" cm="1">
        <f t="array" ref="CY7">_xll.EQNXTDZ($A$1,$B7,CY$1)</f>
        <v>1186</v>
      </c>
      <c r="CZ7" s="116" cm="1">
        <f t="array" ref="CZ7">_xll.EQNXTDZ($A$1,$B7,CZ$1)</f>
        <v>1154.9000000000001</v>
      </c>
      <c r="DA7" s="116" cm="1">
        <f t="array" ref="DA7">_xll.EQNXTDZ($A$1,$B7,DA$1)</f>
        <v>1258.8499999999999</v>
      </c>
      <c r="DB7" s="116" cm="1">
        <f t="array" ref="DB7">_xll.EQNXTDZ($A$1,$B7,DB$1)</f>
        <v>1392.8</v>
      </c>
      <c r="DC7" s="116" cm="1">
        <f t="array" ref="DC7">_xll.EQNXTDZ($A$1,$B7,DC$1)</f>
        <v>1332</v>
      </c>
      <c r="DD7" s="116" cm="1">
        <f t="array" ref="DD7">_xll.EQNXTDZ($A$1,$B7,DD$1)</f>
        <v>1406</v>
      </c>
      <c r="DE7" s="116" cm="1">
        <f t="array" ref="DE7">_xll.EQNXTDZ($A$1,$B7,DE$1)</f>
        <v>1477.55</v>
      </c>
      <c r="DF7" s="116" cm="1">
        <f t="array" ref="DF7">_xll.EQNXTDZ($A$1,$B7,DF$1)</f>
        <v>1416.25</v>
      </c>
      <c r="DG7" s="116" cm="1">
        <f t="array" ref="DG7">_xll.EQNXTDZ($A$1,$B7,DG$1)</f>
        <v>1591</v>
      </c>
      <c r="DH7" s="116" cm="1">
        <f t="array" ref="DH7">_xll.EQNXTDZ($A$1,$B7,DH$1)</f>
        <v>1623.4</v>
      </c>
      <c r="DI7" s="116" cm="1">
        <f t="array" ref="DI7">_xll.EQNXTDZ($A$1,$B7,DI$1)</f>
        <v>1757</v>
      </c>
      <c r="DJ7" s="116" cm="1">
        <f t="array" ref="DJ7">_xll.EQNXTDZ($A$1,$B7,DJ$1)</f>
        <v>1788</v>
      </c>
      <c r="DK7" s="116" cm="1">
        <f t="array" ref="DK7">_xll.EQNXTDZ($A$1,$B7,DK$1)</f>
        <v>1848</v>
      </c>
      <c r="DL7" s="116" cm="1">
        <f t="array" ref="DL7">_xll.EQNXTDZ($A$1,$B7,DL$1)</f>
        <v>1808.95</v>
      </c>
      <c r="DM7" s="116" cm="1">
        <f t="array" ref="DM7">_xll.EQNXTDZ($A$1,$B7,DM$1)</f>
        <v>1909.8</v>
      </c>
      <c r="DN7" s="116" cm="1">
        <f t="array" ref="DN7">_xll.EQNXTDZ($A$1,$B7,DN$1)</f>
        <v>1953.9</v>
      </c>
      <c r="DO7" s="116" cm="1">
        <f t="array" ref="DO7">_xll.EQNXTDZ($A$1,$B7,DO$1)</f>
        <v>1792.8</v>
      </c>
      <c r="DP7" s="116" cm="1">
        <f t="array" ref="DP7">_xll.EQNXTDZ($A$1,$B7,DP$1)</f>
        <v>1923.3</v>
      </c>
      <c r="DQ7" s="116" cm="1">
        <f t="array" ref="DQ7">_xll.EQNXTDZ($A$1,$B7,DQ$1)</f>
        <v>1910.3</v>
      </c>
      <c r="DR7" s="116" cm="1">
        <f t="array" ref="DR7">_xll.EQNXTDZ($A$1,$B7,DR$1)</f>
        <v>1589.4</v>
      </c>
      <c r="DS7" s="116" cm="1">
        <f t="array" ref="DS7">_xll.EQNXTDZ($A$1,$B7,DS$1)</f>
        <v>1555</v>
      </c>
      <c r="DT7" s="116" cm="1">
        <f t="array" ref="DT7">_xll.EQNXTDZ($A$1,$B7,DT$1)</f>
        <v>1555.7</v>
      </c>
      <c r="DU7" s="116" cm="1">
        <f t="array" ref="DU7">_xll.EQNXTDZ($A$1,$B7,DU$1)</f>
        <v>1631.35</v>
      </c>
      <c r="DV7" s="116" cm="1">
        <f t="array" ref="DV7">_xll.EQNXTDZ($A$1,$B7,DV$1)</f>
        <v>1553</v>
      </c>
      <c r="DW7" s="116" cm="1">
        <f t="array" ref="DW7">_xll.EQNXTDZ($A$1,$B7,DW$1)</f>
        <v>1546.4</v>
      </c>
      <c r="DX7" s="116" cm="1">
        <f t="array" ref="DX7">_xll.EQNXTDZ($A$1,$B7,DX$1)</f>
        <v>1653.5</v>
      </c>
      <c r="DY7" s="116" cm="1">
        <f t="array" ref="DY7">_xll.EQNXTDZ($A$1,$B7,DY$1)</f>
        <v>1672.6</v>
      </c>
      <c r="DZ7" s="116" cm="1">
        <f t="array" ref="DZ7">_xll.EQNXTDZ($A$1,$B7,DZ$1)</f>
        <v>1568.8</v>
      </c>
      <c r="EA7" s="116" cm="1">
        <f t="array" ref="EA7">_xll.EQNXTDZ($A$1,$B7,EA$1)</f>
        <v>1619.75</v>
      </c>
      <c r="EB7" s="116" cm="1">
        <f t="array" ref="EB7">_xll.EQNXTDZ($A$1,$B7,EB$1)</f>
        <v>1520.4</v>
      </c>
      <c r="EC7" s="116" cm="1">
        <f t="array" ref="EC7">_xll.EQNXTDZ($A$1,$B7,EC$1)</f>
        <v>1435</v>
      </c>
      <c r="ED7" s="116" cm="1">
        <f t="array" ref="ED7">_xll.EQNXTDZ($A$1,$B7,ED$1)</f>
        <v>1332.7</v>
      </c>
      <c r="EE7" s="116" cm="1">
        <f t="array" ref="EE7">_xll.EQNXTDZ($A$1,$B7,EE$1)</f>
        <v>1338.9</v>
      </c>
      <c r="EF7" s="116" cm="1">
        <f t="array" ref="EF7">_xll.EQNXTDZ($A$1,$B7,EF$1)</f>
        <v>1498.8</v>
      </c>
      <c r="EG7" s="116" cm="1">
        <f t="array" ref="EG7">_xll.EQNXTDZ($A$1,$B7,EG$1)</f>
        <v>1444.9</v>
      </c>
      <c r="EH7" s="116" cm="1">
        <f t="array" ref="EH7">_xll.EQNXTDZ($A$1,$B7,EH$1)</f>
        <v>1518.4</v>
      </c>
      <c r="EI7" s="116" cm="1">
        <f t="array" ref="EI7">_xll.EQNXTDZ($A$1,$B7,EI$1)</f>
        <v>1518.25</v>
      </c>
      <c r="EJ7" s="116" cm="1">
        <f t="array" ref="EJ7">_xll.EQNXTDZ($A$1,$B7,EJ$1)</f>
        <v>1467.9</v>
      </c>
      <c r="EK7" s="116" cm="1">
        <f t="array" ref="EK7">_xll.EQNXTDZ($A$1,$B7,EK$1)</f>
        <v>1593</v>
      </c>
      <c r="EL7" s="116" cm="1">
        <f t="array" ref="EL7">_xll.EQNXTDZ($A$1,$B7,EL$1)</f>
        <v>1690</v>
      </c>
      <c r="EM7" s="116" cm="1">
        <f t="array" ref="EM7">_xll.EQNXTDZ($A$1,$B7,EM$1)</f>
        <v>1733</v>
      </c>
      <c r="EN7" s="116" cm="1">
        <f t="array" ref="EN7">_xll.EQNXTDZ($A$1,$B7,EN$1)</f>
        <v>1671.95</v>
      </c>
      <c r="EO7" s="116" cm="1">
        <f t="array" ref="EO7">_xll.EQNXTDZ($A$1,$B7,EO$1)</f>
        <v>1529.95</v>
      </c>
      <c r="EP7" s="116" cm="1">
        <f t="array" ref="EP7">_xll.EQNXTDZ($A$1,$B7,EP$1)</f>
        <v>1479.6</v>
      </c>
      <c r="EQ7" s="116" cm="1">
        <f t="array" ref="EQ7">_xll.EQNXTDZ($A$1,$B7,EQ$1)</f>
        <v>1588.5</v>
      </c>
      <c r="ER7" s="116" cm="1">
        <f t="array" ref="ER7">_xll.EQNXTDZ($A$1,$B7,ER$1)</f>
        <v>1903</v>
      </c>
      <c r="ES7" s="116" cm="1">
        <f t="array" ref="ES7">_xll.EQNXTDZ($A$1,$B7,ES$1)</f>
        <v>1951</v>
      </c>
      <c r="ET7" s="116" cm="1">
        <f t="array" ref="ET7">_xll.EQNXTDZ($A$1,$B7,ET$1)</f>
        <v>1975.75</v>
      </c>
      <c r="EU7" s="116" cm="1">
        <f t="array" ref="EU7">_xll.EQNXTDZ($A$1,$B7,EU$1)</f>
        <v>1991.45</v>
      </c>
      <c r="EV7" s="116" cm="1">
        <f t="array" ref="EV7">_xll.EQNXTDZ($A$1,$B7,EV$1)</f>
        <v>1941.4</v>
      </c>
      <c r="EW7" s="116" cm="1">
        <f t="array" ref="EW7">_xll.EQNXTDZ($A$1,$B7,EW$1)</f>
        <v>2006.45</v>
      </c>
      <c r="EX7" s="116" cm="1">
        <f t="array" ref="EX7">_xll.EQNXTDZ($A$1,$B7,EX$1)</f>
        <v>1982.8</v>
      </c>
      <c r="EY7" s="116" cm="1">
        <f t="array" ref="EY7">_xll.EQNXTDZ($A$1,$B7,EY$1)</f>
        <v>1924</v>
      </c>
      <c r="EZ7" s="116" cm="1">
        <f t="array" ref="EZ7">_xll.EQNXTDZ($A$1,$B7,EZ$1)</f>
        <v>1732.95</v>
      </c>
      <c r="FA7" s="116" cm="1">
        <f t="array" ref="FA7">_xll.EQNXTDZ($A$1,$B7,FA$1)</f>
        <v>1555.65</v>
      </c>
      <c r="FB7" s="116" cm="1">
        <f t="array" ref="FB7">_xll.EQNXTDZ($A$1,$B7,FB$1)</f>
        <v>1632</v>
      </c>
      <c r="FC7" s="116" cm="1">
        <f t="array" ref="FC7">_xll.EQNXTDZ($A$1,$B7,FC$1)</f>
        <v>1647.4</v>
      </c>
      <c r="FD7" s="116" cm="1">
        <f t="array" ref="FD7">_xll.EQNXTDZ($A$1,$B7,FD$1)</f>
        <v>1649</v>
      </c>
      <c r="FE7" s="116" cm="1">
        <f t="array" ref="FE7">_xll.EQNXTDZ($A$1,$B7,FE$1)</f>
        <v>1539</v>
      </c>
      <c r="FF7" s="116" cm="1">
        <f t="array" ref="FF7">_xll.EQNXTDZ($A$1,$B7,FF$1)</f>
        <v>1555</v>
      </c>
      <c r="FG7" s="116" cm="1">
        <f t="array" ref="FG7">_xll.EQNXTDZ($A$1,$B7,FG$1)</f>
        <v>1546</v>
      </c>
      <c r="FH7" s="116" cm="1">
        <f t="array" ref="FH7">_xll.EQNXTDZ($A$1,$B7,FH$1)</f>
        <v>1585</v>
      </c>
      <c r="FI7" s="116" cm="1">
        <f t="array" ref="FI7">_xll.EQNXTDZ($A$1,$B7,FI$1)</f>
        <v>1693.2</v>
      </c>
      <c r="FJ7" s="116" cm="1">
        <f t="array" ref="FJ7">_xll.EQNXTDZ($A$1,$B7,FJ$1)</f>
        <v>1694</v>
      </c>
      <c r="FK7" s="116" cm="1">
        <f t="array" ref="FK7">_xll.EQNXTDZ($A$1,$B7,FK$1)</f>
        <v>1728</v>
      </c>
      <c r="FL7" s="116" cm="1">
        <f t="array" ref="FL7">_xll.EQNXTDZ($A$1,$B7,FL$1)</f>
        <v>1327.2</v>
      </c>
      <c r="FM7" s="116" cm="1">
        <f t="array" ref="FM7">_xll.EQNXTDZ($A$1,$B7,FM$1)</f>
        <v>1376.9</v>
      </c>
      <c r="FN7" s="116" cm="1">
        <f t="array" ref="FN7">_xll.EQNXTDZ($A$1,$B7,FN$1)</f>
        <v>1210</v>
      </c>
      <c r="FO7" s="116" cm="1">
        <f t="array" ref="FO7">_xll.EQNXTDZ($A$1,$B7,FO$1)</f>
        <v>1278.9000000000001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331.25</v>
      </c>
      <c r="HQ7" s="116">
        <f>+MAX(G7:I7)</f>
        <v>327.52499999999998</v>
      </c>
      <c r="HR7" s="116">
        <f>+MAX(J7:L7)</f>
        <v>376.22500000000002</v>
      </c>
      <c r="HS7" s="116">
        <f>+MAX(M7:O7)</f>
        <v>374.94375000000002</v>
      </c>
      <c r="HT7" s="116">
        <f>+MAX(P7:R7)</f>
        <v>398.5</v>
      </c>
      <c r="HU7" s="116">
        <f>+MAX(S7:U7)</f>
        <v>446.875</v>
      </c>
      <c r="HV7" s="116">
        <f>+MAX(V7:X7)</f>
        <v>481.24374999999998</v>
      </c>
      <c r="HW7" s="116">
        <f>+MAX(Y7:AA7)</f>
        <v>423.5</v>
      </c>
      <c r="HX7" s="116">
        <f>+MAX(AB7:AD7)</f>
        <v>474.375</v>
      </c>
      <c r="HY7" s="116">
        <f>+MAX(AE7:AG7)</f>
        <v>550.27499999999998</v>
      </c>
      <c r="HZ7" s="116">
        <f>+MAX(AH7:AJ7)</f>
        <v>584</v>
      </c>
      <c r="IA7" s="116">
        <f>+MAX(AK7:AM7)</f>
        <v>561.25</v>
      </c>
      <c r="IB7" s="116">
        <f>+MAX(AN7:AP7)</f>
        <v>593.1</v>
      </c>
      <c r="IC7" s="116">
        <f>+MAX(AQ7:AS7)</f>
        <v>609.9</v>
      </c>
      <c r="ID7" s="116">
        <f>+MAX(AT7:AV7)</f>
        <v>618.5</v>
      </c>
      <c r="IE7" s="116">
        <f>+MAX(AW7:AY7)</f>
        <v>639.65</v>
      </c>
      <c r="IF7" s="116">
        <f>+MAX(AZ7:BB7)</f>
        <v>598.02499999999998</v>
      </c>
      <c r="IG7" s="116">
        <f>+MAX(BC7:BE7)</f>
        <v>541.35</v>
      </c>
      <c r="IH7" s="116">
        <f>+MAX(BF7:BH7)</f>
        <v>522</v>
      </c>
      <c r="II7" s="116">
        <f>+MAX(BI7:BK7)</f>
        <v>516.22500000000002</v>
      </c>
      <c r="IJ7" s="116">
        <f>+MAX(BL7:BN7)</f>
        <v>514.625</v>
      </c>
      <c r="IK7" s="116">
        <f>+MAX(BO7:BQ7)</f>
        <v>524.4</v>
      </c>
      <c r="IL7" s="116">
        <f>+MAX(BR7:BT7)</f>
        <v>610.52499999999998</v>
      </c>
      <c r="IM7" s="116">
        <f>+MAX(BU7:BW7)</f>
        <v>657.5</v>
      </c>
      <c r="IN7" s="116">
        <f>+MAX(BX7:BZ7)</f>
        <v>748.5</v>
      </c>
      <c r="IO7" s="116">
        <f>+MAX(CA7:CC7)</f>
        <v>754.9</v>
      </c>
      <c r="IP7" s="116">
        <f>+MAX(CD7:CF7)</f>
        <v>772.25</v>
      </c>
      <c r="IQ7" s="116">
        <f>+MAX(CG7:CI7)</f>
        <v>773</v>
      </c>
      <c r="IR7" s="116">
        <f>+MAX(CJ7:CL7)</f>
        <v>847</v>
      </c>
      <c r="IS7" s="116">
        <f>+MAX(CM7:CO7)</f>
        <v>823.8</v>
      </c>
      <c r="IT7" s="116">
        <f>+MAX(CP7:CR7)</f>
        <v>811.6</v>
      </c>
      <c r="IU7" s="116">
        <f>+MAX(CS7:CU7)</f>
        <v>751.6</v>
      </c>
      <c r="IV7" s="116">
        <f>+MAX(CV7:CX7)</f>
        <v>1037</v>
      </c>
      <c r="IW7" s="116">
        <f>+MAX(CY7:DA7)</f>
        <v>1258.8499999999999</v>
      </c>
      <c r="IX7" s="116">
        <f>+MAX(DB7:DD7)</f>
        <v>1406</v>
      </c>
      <c r="IY7" s="116">
        <f>+MAX(DE7:DG7)</f>
        <v>1591</v>
      </c>
      <c r="IZ7" s="116">
        <f>+MAX(DH7:DJ7)</f>
        <v>1788</v>
      </c>
      <c r="JA7" s="116">
        <f>+MAX(DK7:DM7)</f>
        <v>1909.8</v>
      </c>
      <c r="JB7" s="116">
        <f>+MAX(DN7:DP7)</f>
        <v>1953.9</v>
      </c>
      <c r="JC7" s="116">
        <f>+MAX(DQ7:DS7)</f>
        <v>1910.3</v>
      </c>
      <c r="JD7" s="116">
        <f>+MAX(DT7:DV7)</f>
        <v>1631.35</v>
      </c>
      <c r="JE7" s="116">
        <f>+MAX(DW7:DY7)</f>
        <v>1672.6</v>
      </c>
      <c r="JF7" s="116">
        <f>+MAX(DZ7:EB7)</f>
        <v>1619.75</v>
      </c>
      <c r="JG7" s="116">
        <f>+MAX(EC7:EE7)</f>
        <v>1435</v>
      </c>
      <c r="JH7" s="116">
        <f>+MAX(EF7:EH7)</f>
        <v>1518.4</v>
      </c>
      <c r="JI7" s="116">
        <f>+MAX(EI7:EK7)</f>
        <v>1593</v>
      </c>
      <c r="JJ7" s="116">
        <f>+MAX(EL7:EN7)</f>
        <v>1733</v>
      </c>
      <c r="JK7" s="116">
        <f>MAX(EO7:EQ7)</f>
        <v>1588.5</v>
      </c>
      <c r="JL7" s="116">
        <f>MAX(ER7:ET7)</f>
        <v>1975.75</v>
      </c>
      <c r="JM7" s="116">
        <f>MAX(EU7:EW7)</f>
        <v>2006.45</v>
      </c>
      <c r="JN7" s="116">
        <f>MAX(EX7:EZ7)</f>
        <v>1982.8</v>
      </c>
      <c r="JO7" s="116">
        <f>MAX(FA7:FC7)</f>
        <v>1647.4</v>
      </c>
      <c r="JP7" s="116">
        <f>MAX(FD7:FF7)</f>
        <v>1649</v>
      </c>
      <c r="JQ7" s="116">
        <f>MAX(FG7:FI7)</f>
        <v>1693.2</v>
      </c>
      <c r="JR7" s="116">
        <f>MAX(FJ7:FL7)</f>
        <v>1728</v>
      </c>
      <c r="JS7" s="116">
        <f>MAX(FM7:FO7)</f>
        <v>1376.9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293.125</v>
      </c>
      <c r="D8" s="116" cm="1">
        <f t="array" ref="D8">_xll.EQNXTDZ($A$1,$B8,D$1)</f>
        <v>262.65625</v>
      </c>
      <c r="E8" s="116" cm="1">
        <f t="array" ref="E8">_xll.EQNXTDZ($A$1,$B8,E$1)</f>
        <v>273.13749999999999</v>
      </c>
      <c r="F8" s="116" cm="1">
        <f t="array" ref="F8">_xll.EQNXTDZ($A$1,$B8,F$1)</f>
        <v>291.52499999999998</v>
      </c>
      <c r="G8" s="116" cm="1">
        <f t="array" ref="G8">_xll.EQNXTDZ($A$1,$B8,G$1)</f>
        <v>257.56875000000002</v>
      </c>
      <c r="H8" s="116" cm="1">
        <f t="array" ref="H8">_xll.EQNXTDZ($A$1,$B8,H$1)</f>
        <v>284.85000000000002</v>
      </c>
      <c r="I8" s="116" cm="1">
        <f t="array" ref="I8">_xll.EQNXTDZ($A$1,$B8,I$1)</f>
        <v>280.625</v>
      </c>
      <c r="J8" s="116" cm="1">
        <f t="array" ref="J8">_xll.EQNXTDZ($A$1,$B8,J$1)</f>
        <v>287.9375</v>
      </c>
      <c r="K8" s="116" cm="1">
        <f t="array" ref="K8">_xll.EQNXTDZ($A$1,$B8,K$1)</f>
        <v>342.71875</v>
      </c>
      <c r="L8" s="116" cm="1">
        <f t="array" ref="L8">_xll.EQNXTDZ($A$1,$B8,L$1)</f>
        <v>353.44375000000002</v>
      </c>
      <c r="M8" s="116" cm="1">
        <f t="array" ref="M8">_xll.EQNXTDZ($A$1,$B8,M$1)</f>
        <v>273.25</v>
      </c>
      <c r="N8" s="116" cm="1">
        <f t="array" ref="N8">_xll.EQNXTDZ($A$1,$B8,N$1)</f>
        <v>279.5</v>
      </c>
      <c r="O8" s="116" cm="1">
        <f t="array" ref="O8">_xll.EQNXTDZ($A$1,$B8,O$1)</f>
        <v>292.84375</v>
      </c>
      <c r="P8" s="116" cm="1">
        <f t="array" ref="P8">_xll.EQNXTDZ($A$1,$B8,P$1)</f>
        <v>299.07499999999999</v>
      </c>
      <c r="Q8" s="116" cm="1">
        <f t="array" ref="Q8">_xll.EQNXTDZ($A$1,$B8,Q$1)</f>
        <v>365.26249999999999</v>
      </c>
      <c r="R8" s="116" cm="1">
        <f t="array" ref="R8">_xll.EQNXTDZ($A$1,$B8,R$1)</f>
        <v>372.51249999999999</v>
      </c>
      <c r="S8" s="116" cm="1">
        <f t="array" ref="S8">_xll.EQNXTDZ($A$1,$B8,S$1)</f>
        <v>375.375</v>
      </c>
      <c r="T8" s="116" cm="1">
        <f t="array" ref="T8">_xll.EQNXTDZ($A$1,$B8,T$1)</f>
        <v>404.125</v>
      </c>
      <c r="U8" s="116" cm="1">
        <f t="array" ref="U8">_xll.EQNXTDZ($A$1,$B8,U$1)</f>
        <v>414.77499999999998</v>
      </c>
      <c r="V8" s="116" cm="1">
        <f t="array" ref="V8">_xll.EQNXTDZ($A$1,$B8,V$1)</f>
        <v>427.23124999999999</v>
      </c>
      <c r="W8" s="116" cm="1">
        <f t="array" ref="W8">_xll.EQNXTDZ($A$1,$B8,W$1)</f>
        <v>442.625</v>
      </c>
      <c r="X8" s="116" cm="1">
        <f t="array" ref="X8">_xll.EQNXTDZ($A$1,$B8,X$1)</f>
        <v>401.99374999999998</v>
      </c>
      <c r="Y8" s="116" cm="1">
        <f t="array" ref="Y8">_xll.EQNXTDZ($A$1,$B8,Y$1)</f>
        <v>392.8</v>
      </c>
      <c r="Z8" s="116" cm="1">
        <f t="array" ref="Z8">_xll.EQNXTDZ($A$1,$B8,Z$1)</f>
        <v>360</v>
      </c>
      <c r="AA8" s="116" cm="1">
        <f t="array" ref="AA8">_xll.EQNXTDZ($A$1,$B8,AA$1)</f>
        <v>368.75</v>
      </c>
      <c r="AB8" s="116" cm="1">
        <f t="array" ref="AB8">_xll.EQNXTDZ($A$1,$B8,AB$1)</f>
        <v>398.22500000000002</v>
      </c>
      <c r="AC8" s="116" cm="1">
        <f t="array" ref="AC8">_xll.EQNXTDZ($A$1,$B8,AC$1)</f>
        <v>416.25</v>
      </c>
      <c r="AD8" s="116" cm="1">
        <f t="array" ref="AD8">_xll.EQNXTDZ($A$1,$B8,AD$1)</f>
        <v>444.44375000000002</v>
      </c>
      <c r="AE8" s="116" cm="1">
        <f t="array" ref="AE8">_xll.EQNXTDZ($A$1,$B8,AE$1)</f>
        <v>446.58749999999998</v>
      </c>
      <c r="AF8" s="116" cm="1">
        <f t="array" ref="AF8">_xll.EQNXTDZ($A$1,$B8,AF$1)</f>
        <v>504.05624999999998</v>
      </c>
      <c r="AG8" s="116" cm="1">
        <f t="array" ref="AG8">_xll.EQNXTDZ($A$1,$B8,AG$1)</f>
        <v>474.07499999999999</v>
      </c>
      <c r="AH8" s="116" cm="1">
        <f t="array" ref="AH8">_xll.EQNXTDZ($A$1,$B8,AH$1)</f>
        <v>478.26249999999999</v>
      </c>
      <c r="AI8" s="116" cm="1">
        <f t="array" ref="AI8">_xll.EQNXTDZ($A$1,$B8,AI$1)</f>
        <v>525.5</v>
      </c>
      <c r="AJ8" s="116" cm="1">
        <f t="array" ref="AJ8">_xll.EQNXTDZ($A$1,$B8,AJ$1)</f>
        <v>533</v>
      </c>
      <c r="AK8" s="116" cm="1">
        <f t="array" ref="AK8">_xll.EQNXTDZ($A$1,$B8,AK$1)</f>
        <v>483.07499999999999</v>
      </c>
      <c r="AL8" s="116" cm="1">
        <f t="array" ref="AL8">_xll.EQNXTDZ($A$1,$B8,AL$1)</f>
        <v>477</v>
      </c>
      <c r="AM8" s="116" cm="1">
        <f t="array" ref="AM8">_xll.EQNXTDZ($A$1,$B8,AM$1)</f>
        <v>484</v>
      </c>
      <c r="AN8" s="116" cm="1">
        <f t="array" ref="AN8">_xll.EQNXTDZ($A$1,$B8,AN$1)</f>
        <v>466.32499999999999</v>
      </c>
      <c r="AO8" s="116" cm="1">
        <f t="array" ref="AO8">_xll.EQNXTDZ($A$1,$B8,AO$1)</f>
        <v>522.25</v>
      </c>
      <c r="AP8" s="116" cm="1">
        <f t="array" ref="AP8">_xll.EQNXTDZ($A$1,$B8,AP$1)</f>
        <v>526.15</v>
      </c>
      <c r="AQ8" s="116" cm="1">
        <f t="array" ref="AQ8">_xll.EQNXTDZ($A$1,$B8,AQ$1)</f>
        <v>542.6</v>
      </c>
      <c r="AR8" s="116" cm="1">
        <f t="array" ref="AR8">_xll.EQNXTDZ($A$1,$B8,AR$1)</f>
        <v>505.625</v>
      </c>
      <c r="AS8" s="116" cm="1">
        <f t="array" ref="AS8">_xll.EQNXTDZ($A$1,$B8,AS$1)</f>
        <v>511.27499999999998</v>
      </c>
      <c r="AT8" s="116" cm="1">
        <f t="array" ref="AT8">_xll.EQNXTDZ($A$1,$B8,AT$1)</f>
        <v>515.42499999999995</v>
      </c>
      <c r="AU8" s="116" cm="1">
        <f t="array" ref="AU8">_xll.EQNXTDZ($A$1,$B8,AU$1)</f>
        <v>533.5</v>
      </c>
      <c r="AV8" s="116" cm="1">
        <f t="array" ref="AV8">_xll.EQNXTDZ($A$1,$B8,AV$1)</f>
        <v>547.4</v>
      </c>
      <c r="AW8" s="116" cm="1">
        <f t="array" ref="AW8">_xll.EQNXTDZ($A$1,$B8,AW$1)</f>
        <v>575.54999999999995</v>
      </c>
      <c r="AX8" s="116" cm="1">
        <f t="array" ref="AX8">_xll.EQNXTDZ($A$1,$B8,AX$1)</f>
        <v>585.32500000000005</v>
      </c>
      <c r="AY8" s="116" cm="1">
        <f t="array" ref="AY8">_xll.EQNXTDZ($A$1,$B8,AY$1)</f>
        <v>577.54999999999995</v>
      </c>
      <c r="AZ8" s="116" cm="1">
        <f t="array" ref="AZ8">_xll.EQNXTDZ($A$1,$B8,AZ$1)</f>
        <v>526</v>
      </c>
      <c r="BA8" s="116" cm="1">
        <f t="array" ref="BA8">_xll.EQNXTDZ($A$1,$B8,BA$1)</f>
        <v>504.55</v>
      </c>
      <c r="BB8" s="116" cm="1">
        <f t="array" ref="BB8">_xll.EQNXTDZ($A$1,$B8,BB$1)</f>
        <v>512</v>
      </c>
      <c r="BC8" s="116" cm="1">
        <f t="array" ref="BC8">_xll.EQNXTDZ($A$1,$B8,BC$1)</f>
        <v>496.57499999999999</v>
      </c>
      <c r="BD8" s="116" cm="1">
        <f t="array" ref="BD8">_xll.EQNXTDZ($A$1,$B8,BD$1)</f>
        <v>450.5</v>
      </c>
      <c r="BE8" s="116" cm="1">
        <f t="array" ref="BE8">_xll.EQNXTDZ($A$1,$B8,BE$1)</f>
        <v>479</v>
      </c>
      <c r="BF8" s="116" cm="1">
        <f t="array" ref="BF8">_xll.EQNXTDZ($A$1,$B8,BF$1)</f>
        <v>450.57499999999999</v>
      </c>
      <c r="BG8" s="116" cm="1">
        <f t="array" ref="BG8">_xll.EQNXTDZ($A$1,$B8,BG$1)</f>
        <v>452.57499999999999</v>
      </c>
      <c r="BH8" s="116" cm="1">
        <f t="array" ref="BH8">_xll.EQNXTDZ($A$1,$B8,BH$1)</f>
        <v>499.5</v>
      </c>
      <c r="BI8" s="116" cm="1">
        <f t="array" ref="BI8">_xll.EQNXTDZ($A$1,$B8,BI$1)</f>
        <v>455.1</v>
      </c>
      <c r="BJ8" s="116" cm="1">
        <f t="array" ref="BJ8">_xll.EQNXTDZ($A$1,$B8,BJ$1)</f>
        <v>457.55</v>
      </c>
      <c r="BK8" s="116" cm="1">
        <f t="array" ref="BK8">_xll.EQNXTDZ($A$1,$B8,BK$1)</f>
        <v>460.5</v>
      </c>
      <c r="BL8" s="116" cm="1">
        <f t="array" ref="BL8">_xll.EQNXTDZ($A$1,$B8,BL$1)</f>
        <v>466.52499999999998</v>
      </c>
      <c r="BM8" s="116" cm="1">
        <f t="array" ref="BM8">_xll.EQNXTDZ($A$1,$B8,BM$1)</f>
        <v>430</v>
      </c>
      <c r="BN8" s="116" cm="1">
        <f t="array" ref="BN8">_xll.EQNXTDZ($A$1,$B8,BN$1)</f>
        <v>436.82499999999999</v>
      </c>
      <c r="BO8" s="116" cm="1">
        <f t="array" ref="BO8">_xll.EQNXTDZ($A$1,$B8,BO$1)</f>
        <v>448.57499999999999</v>
      </c>
      <c r="BP8" s="116" cm="1">
        <f t="array" ref="BP8">_xll.EQNXTDZ($A$1,$B8,BP$1)</f>
        <v>458.47500000000002</v>
      </c>
      <c r="BQ8" s="116" cm="1">
        <f t="array" ref="BQ8">_xll.EQNXTDZ($A$1,$B8,BQ$1)</f>
        <v>478.52499999999998</v>
      </c>
      <c r="BR8" s="116" cm="1">
        <f t="array" ref="BR8">_xll.EQNXTDZ($A$1,$B8,BR$1)</f>
        <v>503</v>
      </c>
      <c r="BS8" s="116" cm="1">
        <f t="array" ref="BS8">_xll.EQNXTDZ($A$1,$B8,BS$1)</f>
        <v>545.1</v>
      </c>
      <c r="BT8" s="116" cm="1">
        <f t="array" ref="BT8">_xll.EQNXTDZ($A$1,$B8,BT$1)</f>
        <v>563.125</v>
      </c>
      <c r="BU8" s="116" cm="1">
        <f t="array" ref="BU8">_xll.EQNXTDZ($A$1,$B8,BU$1)</f>
        <v>551</v>
      </c>
      <c r="BV8" s="116" cm="1">
        <f t="array" ref="BV8">_xll.EQNXTDZ($A$1,$B8,BV$1)</f>
        <v>577.5</v>
      </c>
      <c r="BW8" s="116" cm="1">
        <f t="array" ref="BW8">_xll.EQNXTDZ($A$1,$B8,BW$1)</f>
        <v>606</v>
      </c>
      <c r="BX8" s="116" cm="1">
        <f t="array" ref="BX8">_xll.EQNXTDZ($A$1,$B8,BX$1)</f>
        <v>634.04999999999995</v>
      </c>
      <c r="BY8" s="116" cm="1">
        <f t="array" ref="BY8">_xll.EQNXTDZ($A$1,$B8,BY$1)</f>
        <v>673.75</v>
      </c>
      <c r="BZ8" s="116" cm="1">
        <f t="array" ref="BZ8">_xll.EQNXTDZ($A$1,$B8,BZ$1)</f>
        <v>692</v>
      </c>
      <c r="CA8" s="116" cm="1">
        <f t="array" ref="CA8">_xll.EQNXTDZ($A$1,$B8,CA$1)</f>
        <v>629.9</v>
      </c>
      <c r="CB8" s="116" cm="1">
        <f t="array" ref="CB8">_xll.EQNXTDZ($A$1,$B8,CB$1)</f>
        <v>599.85</v>
      </c>
      <c r="CC8" s="116" cm="1">
        <f t="array" ref="CC8">_xll.EQNXTDZ($A$1,$B8,CC$1)</f>
        <v>637.35</v>
      </c>
      <c r="CD8" s="116" cm="1">
        <f t="array" ref="CD8">_xll.EQNXTDZ($A$1,$B8,CD$1)</f>
        <v>651</v>
      </c>
      <c r="CE8" s="116" cm="1">
        <f t="array" ref="CE8">_xll.EQNXTDZ($A$1,$B8,CE$1)</f>
        <v>721.3</v>
      </c>
      <c r="CF8" s="116" cm="1">
        <f t="array" ref="CF8">_xll.EQNXTDZ($A$1,$B8,CF$1)</f>
        <v>705.35</v>
      </c>
      <c r="CG8" s="116" cm="1">
        <f t="array" ref="CG8">_xll.EQNXTDZ($A$1,$B8,CG$1)</f>
        <v>712.6</v>
      </c>
      <c r="CH8" s="116" cm="1">
        <f t="array" ref="CH8">_xll.EQNXTDZ($A$1,$B8,CH$1)</f>
        <v>697.45</v>
      </c>
      <c r="CI8" s="116" cm="1">
        <f t="array" ref="CI8">_xll.EQNXTDZ($A$1,$B8,CI$1)</f>
        <v>728.15</v>
      </c>
      <c r="CJ8" s="116" cm="1">
        <f t="array" ref="CJ8">_xll.EQNXTDZ($A$1,$B8,CJ$1)</f>
        <v>706.5</v>
      </c>
      <c r="CK8" s="116" cm="1">
        <f t="array" ref="CK8">_xll.EQNXTDZ($A$1,$B8,CK$1)</f>
        <v>760.15</v>
      </c>
      <c r="CL8" s="116" cm="1">
        <f t="array" ref="CL8">_xll.EQNXTDZ($A$1,$B8,CL$1)</f>
        <v>741.9</v>
      </c>
      <c r="CM8" s="116" cm="1">
        <f t="array" ref="CM8">_xll.EQNXTDZ($A$1,$B8,CM$1)</f>
        <v>615.1</v>
      </c>
      <c r="CN8" s="116" cm="1">
        <f t="array" ref="CN8">_xll.EQNXTDZ($A$1,$B8,CN$1)</f>
        <v>678.15</v>
      </c>
      <c r="CO8" s="116" cm="1">
        <f t="array" ref="CO8">_xll.EQNXTDZ($A$1,$B8,CO$1)</f>
        <v>688.55</v>
      </c>
      <c r="CP8" s="116" cm="1">
        <f t="array" ref="CP8">_xll.EQNXTDZ($A$1,$B8,CP$1)</f>
        <v>708.3</v>
      </c>
      <c r="CQ8" s="116" cm="1">
        <f t="array" ref="CQ8">_xll.EQNXTDZ($A$1,$B8,CQ$1)</f>
        <v>722.05</v>
      </c>
      <c r="CR8" s="116" cm="1">
        <f t="array" ref="CR8">_xll.EQNXTDZ($A$1,$B8,CR$1)</f>
        <v>509.25</v>
      </c>
      <c r="CS8" s="116" cm="1">
        <f t="array" ref="CS8">_xll.EQNXTDZ($A$1,$B8,CS$1)</f>
        <v>582.15</v>
      </c>
      <c r="CT8" s="116" cm="1">
        <f t="array" ref="CT8">_xll.EQNXTDZ($A$1,$B8,CT$1)</f>
        <v>646.70000000000005</v>
      </c>
      <c r="CU8" s="116" cm="1">
        <f t="array" ref="CU8">_xll.EQNXTDZ($A$1,$B8,CU$1)</f>
        <v>675.5</v>
      </c>
      <c r="CV8" s="116" cm="1">
        <f t="array" ref="CV8">_xll.EQNXTDZ($A$1,$B8,CV$1)</f>
        <v>729.75</v>
      </c>
      <c r="CW8" s="116" cm="1">
        <f t="array" ref="CW8">_xll.EQNXTDZ($A$1,$B8,CW$1)</f>
        <v>914.6</v>
      </c>
      <c r="CX8" s="116" cm="1">
        <f t="array" ref="CX8">_xll.EQNXTDZ($A$1,$B8,CX$1)</f>
        <v>912.1</v>
      </c>
      <c r="CY8" s="116" cm="1">
        <f t="array" ref="CY8">_xll.EQNXTDZ($A$1,$B8,CY$1)</f>
        <v>1011.75</v>
      </c>
      <c r="CZ8" s="116" cm="1">
        <f t="array" ref="CZ8">_xll.EQNXTDZ($A$1,$B8,CZ$1)</f>
        <v>1051.0999999999999</v>
      </c>
      <c r="DA8" s="116" cm="1">
        <f t="array" ref="DA8">_xll.EQNXTDZ($A$1,$B8,DA$1)</f>
        <v>1105.05</v>
      </c>
      <c r="DB8" s="116" cm="1">
        <f t="array" ref="DB8">_xll.EQNXTDZ($A$1,$B8,DB$1)</f>
        <v>1231</v>
      </c>
      <c r="DC8" s="116" cm="1">
        <f t="array" ref="DC8">_xll.EQNXTDZ($A$1,$B8,DC$1)</f>
        <v>1241</v>
      </c>
      <c r="DD8" s="116" cm="1">
        <f t="array" ref="DD8">_xll.EQNXTDZ($A$1,$B8,DD$1)</f>
        <v>1259</v>
      </c>
      <c r="DE8" s="116" cm="1">
        <f t="array" ref="DE8">_xll.EQNXTDZ($A$1,$B8,DE$1)</f>
        <v>1320</v>
      </c>
      <c r="DF8" s="116" cm="1">
        <f t="array" ref="DF8">_xll.EQNXTDZ($A$1,$B8,DF$1)</f>
        <v>1311.3</v>
      </c>
      <c r="DG8" s="116" cm="1">
        <f t="array" ref="DG8">_xll.EQNXTDZ($A$1,$B8,DG$1)</f>
        <v>1365</v>
      </c>
      <c r="DH8" s="116" cm="1">
        <f t="array" ref="DH8">_xll.EQNXTDZ($A$1,$B8,DH$1)</f>
        <v>1533.75</v>
      </c>
      <c r="DI8" s="116" cm="1">
        <f t="array" ref="DI8">_xll.EQNXTDZ($A$1,$B8,DI$1)</f>
        <v>1619.2</v>
      </c>
      <c r="DJ8" s="116" cm="1">
        <f t="array" ref="DJ8">_xll.EQNXTDZ($A$1,$B8,DJ$1)</f>
        <v>1655</v>
      </c>
      <c r="DK8" s="116" cm="1">
        <f t="array" ref="DK8">_xll.EQNXTDZ($A$1,$B8,DK$1)</f>
        <v>1661.05</v>
      </c>
      <c r="DL8" s="116" cm="1">
        <f t="array" ref="DL8">_xll.EQNXTDZ($A$1,$B8,DL$1)</f>
        <v>1669.15</v>
      </c>
      <c r="DM8" s="116" cm="1">
        <f t="array" ref="DM8">_xll.EQNXTDZ($A$1,$B8,DM$1)</f>
        <v>1691.5</v>
      </c>
      <c r="DN8" s="116" cm="1">
        <f t="array" ref="DN8">_xll.EQNXTDZ($A$1,$B8,DN$1)</f>
        <v>1665</v>
      </c>
      <c r="DO8" s="116" cm="1">
        <f t="array" ref="DO8">_xll.EQNXTDZ($A$1,$B8,DO$1)</f>
        <v>1665</v>
      </c>
      <c r="DP8" s="116" cm="1">
        <f t="array" ref="DP8">_xll.EQNXTDZ($A$1,$B8,DP$1)</f>
        <v>1681</v>
      </c>
      <c r="DQ8" s="116" cm="1">
        <f t="array" ref="DQ8">_xll.EQNXTDZ($A$1,$B8,DQ$1)</f>
        <v>1550</v>
      </c>
      <c r="DR8" s="116" cm="1">
        <f t="array" ref="DR8">_xll.EQNXTDZ($A$1,$B8,DR$1)</f>
        <v>1399.25</v>
      </c>
      <c r="DS8" s="116" cm="1">
        <f t="array" ref="DS8">_xll.EQNXTDZ($A$1,$B8,DS$1)</f>
        <v>1367.15</v>
      </c>
      <c r="DT8" s="116" cm="1">
        <f t="array" ref="DT8">_xll.EQNXTDZ($A$1,$B8,DT$1)</f>
        <v>1410.65</v>
      </c>
      <c r="DU8" s="116" cm="1">
        <f t="array" ref="DU8">_xll.EQNXTDZ($A$1,$B8,DU$1)</f>
        <v>1450</v>
      </c>
      <c r="DV8" s="116" cm="1">
        <f t="array" ref="DV8">_xll.EQNXTDZ($A$1,$B8,DV$1)</f>
        <v>1355</v>
      </c>
      <c r="DW8" s="116" cm="1">
        <f t="array" ref="DW8">_xll.EQNXTDZ($A$1,$B8,DW$1)</f>
        <v>1386</v>
      </c>
      <c r="DX8" s="116" cm="1">
        <f t="array" ref="DX8">_xll.EQNXTDZ($A$1,$B8,DX$1)</f>
        <v>1485</v>
      </c>
      <c r="DY8" s="116" cm="1">
        <f t="array" ref="DY8">_xll.EQNXTDZ($A$1,$B8,DY$1)</f>
        <v>1482.45</v>
      </c>
      <c r="DZ8" s="116" cm="1">
        <f t="array" ref="DZ8">_xll.EQNXTDZ($A$1,$B8,DZ$1)</f>
        <v>1446.5</v>
      </c>
      <c r="EA8" s="116" cm="1">
        <f t="array" ref="EA8">_xll.EQNXTDZ($A$1,$B8,EA$1)</f>
        <v>1481.3</v>
      </c>
      <c r="EB8" s="116" cm="1">
        <f t="array" ref="EB8">_xll.EQNXTDZ($A$1,$B8,EB$1)</f>
        <v>1364.55</v>
      </c>
      <c r="EC8" s="116" cm="1">
        <f t="array" ref="EC8">_xll.EQNXTDZ($A$1,$B8,EC$1)</f>
        <v>1185.3</v>
      </c>
      <c r="ED8" s="116" cm="1">
        <f t="array" ref="ED8">_xll.EQNXTDZ($A$1,$B8,ED$1)</f>
        <v>1239.05</v>
      </c>
      <c r="EE8" s="116" cm="1">
        <f t="array" ref="EE8">_xll.EQNXTDZ($A$1,$B8,EE$1)</f>
        <v>1262.25</v>
      </c>
      <c r="EF8" s="116" cm="1">
        <f t="array" ref="EF8">_xll.EQNXTDZ($A$1,$B8,EF$1)</f>
        <v>1305</v>
      </c>
      <c r="EG8" s="116" cm="1">
        <f t="array" ref="EG8">_xll.EQNXTDZ($A$1,$B8,EG$1)</f>
        <v>1348.45</v>
      </c>
      <c r="EH8" s="116" cm="1">
        <f t="array" ref="EH8">_xll.EQNXTDZ($A$1,$B8,EH$1)</f>
        <v>1416</v>
      </c>
      <c r="EI8" s="116" cm="1">
        <f t="array" ref="EI8">_xll.EQNXTDZ($A$1,$B8,EI$1)</f>
        <v>1353.1</v>
      </c>
      <c r="EJ8" s="116" cm="1">
        <f t="array" ref="EJ8">_xll.EQNXTDZ($A$1,$B8,EJ$1)</f>
        <v>1351.65</v>
      </c>
      <c r="EK8" s="116" cm="1">
        <f t="array" ref="EK8">_xll.EQNXTDZ($A$1,$B8,EK$1)</f>
        <v>1433.15</v>
      </c>
      <c r="EL8" s="116" cm="1">
        <f t="array" ref="EL8">_xll.EQNXTDZ($A$1,$B8,EL$1)</f>
        <v>1486.6</v>
      </c>
      <c r="EM8" s="116" cm="1">
        <f t="array" ref="EM8">_xll.EQNXTDZ($A$1,$B8,EM$1)</f>
        <v>1635.5</v>
      </c>
      <c r="EN8" s="116" cm="1">
        <f t="array" ref="EN8">_xll.EQNXTDZ($A$1,$B8,EN$1)</f>
        <v>1481.55</v>
      </c>
      <c r="EO8" s="116" cm="1">
        <f t="array" ref="EO8">_xll.EQNXTDZ($A$1,$B8,EO$1)</f>
        <v>1378.75</v>
      </c>
      <c r="EP8" s="116" cm="1">
        <f t="array" ref="EP8">_xll.EQNXTDZ($A$1,$B8,EP$1)</f>
        <v>1400</v>
      </c>
      <c r="EQ8" s="116" cm="1">
        <f t="array" ref="EQ8">_xll.EQNXTDZ($A$1,$B8,EQ$1)</f>
        <v>1358.35</v>
      </c>
      <c r="ER8" s="116" cm="1">
        <f t="array" ref="ER8">_xll.EQNXTDZ($A$1,$B8,ER$1)</f>
        <v>1559.5</v>
      </c>
      <c r="ES8" s="116" cm="1">
        <f t="array" ref="ES8">_xll.EQNXTDZ($A$1,$B8,ES$1)</f>
        <v>1718.55</v>
      </c>
      <c r="ET8" s="116" cm="1">
        <f t="array" ref="ET8">_xll.EQNXTDZ($A$1,$B8,ET$1)</f>
        <v>1867.4</v>
      </c>
      <c r="EU8" s="116" cm="1">
        <f t="array" ref="EU8">_xll.EQNXTDZ($A$1,$B8,EU$1)</f>
        <v>1746.5</v>
      </c>
      <c r="EV8" s="116" cm="1">
        <f t="array" ref="EV8">_xll.EQNXTDZ($A$1,$B8,EV$1)</f>
        <v>1718</v>
      </c>
      <c r="EW8" s="116" cm="1">
        <f t="array" ref="EW8">_xll.EQNXTDZ($A$1,$B8,EW$1)</f>
        <v>1835.2</v>
      </c>
      <c r="EX8" s="116" cm="1">
        <f t="array" ref="EX8">_xll.EQNXTDZ($A$1,$B8,EX$1)</f>
        <v>1793.05</v>
      </c>
      <c r="EY8" s="116" cm="1">
        <f t="array" ref="EY8">_xll.EQNXTDZ($A$1,$B8,EY$1)</f>
        <v>1682.45</v>
      </c>
      <c r="EZ8" s="116" cm="1">
        <f t="array" ref="EZ8">_xll.EQNXTDZ($A$1,$B8,EZ$1)</f>
        <v>1545.15</v>
      </c>
      <c r="FA8" s="116" cm="1">
        <f t="array" ref="FA8">_xll.EQNXTDZ($A$1,$B8,FA$1)</f>
        <v>1307</v>
      </c>
      <c r="FB8" s="116" cm="1">
        <f t="array" ref="FB8">_xll.EQNXTDZ($A$1,$B8,FB$1)</f>
        <v>1494.1</v>
      </c>
      <c r="FC8" s="116" cm="1">
        <f t="array" ref="FC8">_xll.EQNXTDZ($A$1,$B8,FC$1)</f>
        <v>1535.6</v>
      </c>
      <c r="FD8" s="116" cm="1">
        <f t="array" ref="FD8">_xll.EQNXTDZ($A$1,$B8,FD$1)</f>
        <v>1482.5</v>
      </c>
      <c r="FE8" s="116" cm="1">
        <f t="array" ref="FE8">_xll.EQNXTDZ($A$1,$B8,FE$1)</f>
        <v>1414</v>
      </c>
      <c r="FF8" s="116" cm="1">
        <f t="array" ref="FF8">_xll.EQNXTDZ($A$1,$B8,FF$1)</f>
        <v>1428.3</v>
      </c>
      <c r="FG8" s="116" cm="1">
        <f t="array" ref="FG8">_xll.EQNXTDZ($A$1,$B8,FG$1)</f>
        <v>1427.4</v>
      </c>
      <c r="FH8" s="116" cm="1">
        <f t="array" ref="FH8">_xll.EQNXTDZ($A$1,$B8,FH$1)</f>
        <v>1449.1</v>
      </c>
      <c r="FI8" s="116" cm="1">
        <f t="array" ref="FI8">_xll.EQNXTDZ($A$1,$B8,FI$1)</f>
        <v>1554.1</v>
      </c>
      <c r="FJ8" s="116" cm="1">
        <f t="array" ref="FJ8">_xll.EQNXTDZ($A$1,$B8,FJ$1)</f>
        <v>1583.1</v>
      </c>
      <c r="FK8" s="116" cm="1">
        <f t="array" ref="FK8">_xll.EQNXTDZ($A$1,$B8,FK$1)</f>
        <v>1264.0999999999999</v>
      </c>
      <c r="FL8" s="116" cm="1">
        <f t="array" ref="FL8">_xll.EQNXTDZ($A$1,$B8,FL$1)</f>
        <v>1215.0999999999999</v>
      </c>
      <c r="FM8" s="116" cm="1">
        <f t="array" ref="FM8">_xll.EQNXTDZ($A$1,$B8,FM$1)</f>
        <v>1149.8</v>
      </c>
      <c r="FN8" s="116" cm="1">
        <f t="array" ref="FN8">_xll.EQNXTDZ($A$1,$B8,FN$1)</f>
        <v>1089</v>
      </c>
      <c r="FO8" s="116" cm="1">
        <f t="array" ref="FO8">_xll.EQNXTDZ($A$1,$B8,FO$1)</f>
        <v>1109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262.65625</v>
      </c>
      <c r="HQ8" s="116">
        <f>+MIN(G8:I8)</f>
        <v>257.56875000000002</v>
      </c>
      <c r="HR8" s="116">
        <f>+MIN(J8:L8)</f>
        <v>287.9375</v>
      </c>
      <c r="HS8" s="116">
        <f>+MIN(M8:O8)</f>
        <v>273.25</v>
      </c>
      <c r="HT8" s="116">
        <f>+MIN(P8:R8)</f>
        <v>299.07499999999999</v>
      </c>
      <c r="HU8" s="116">
        <f>+MIN(S8:U8)</f>
        <v>375.375</v>
      </c>
      <c r="HV8" s="116">
        <f>+MIN(V8:X8)</f>
        <v>401.99374999999998</v>
      </c>
      <c r="HW8" s="116">
        <f>+MIN(Y8:AA8)</f>
        <v>360</v>
      </c>
      <c r="HX8" s="116">
        <f>+MIN(AB8:AD8)</f>
        <v>398.22500000000002</v>
      </c>
      <c r="HY8" s="116">
        <f>+MIN(AE8:AG8)</f>
        <v>446.58749999999998</v>
      </c>
      <c r="HZ8" s="116">
        <f>+MIN(AH8:AJ8)</f>
        <v>478.26249999999999</v>
      </c>
      <c r="IA8" s="116">
        <f>+MIN(AK8:AM8)</f>
        <v>477</v>
      </c>
      <c r="IB8" s="116">
        <f>+MIN(AN8:AP8)</f>
        <v>466.32499999999999</v>
      </c>
      <c r="IC8" s="116">
        <f>+MIN(AQ8:AS8)</f>
        <v>505.625</v>
      </c>
      <c r="ID8" s="116">
        <f>+MIN(AT8:AV8)</f>
        <v>515.42499999999995</v>
      </c>
      <c r="IE8" s="116">
        <f>+MIN(AW8:AY8)</f>
        <v>575.54999999999995</v>
      </c>
      <c r="IF8" s="116">
        <f>+MIN(AZ8:BB8)</f>
        <v>504.55</v>
      </c>
      <c r="IG8" s="116">
        <f>+MIN(BC8:BE8)</f>
        <v>450.5</v>
      </c>
      <c r="IH8" s="116">
        <f>+MIN(BF8:BH8)</f>
        <v>450.57499999999999</v>
      </c>
      <c r="II8" s="116">
        <f>+MIN(BI8:BK8)</f>
        <v>455.1</v>
      </c>
      <c r="IJ8" s="116">
        <f>+MIN(BL8:BN8)</f>
        <v>430</v>
      </c>
      <c r="IK8" s="116">
        <f>+MIN(BO8:BQ8)</f>
        <v>448.57499999999999</v>
      </c>
      <c r="IL8" s="116">
        <f>+MIN(BR8:BT8)</f>
        <v>503</v>
      </c>
      <c r="IM8" s="116">
        <f>+MIN(BU8:BW8)</f>
        <v>551</v>
      </c>
      <c r="IN8" s="116">
        <f>+MIN(BX8:BZ8)</f>
        <v>634.04999999999995</v>
      </c>
      <c r="IO8" s="116">
        <f>+MIN(CA8:CC8)</f>
        <v>599.85</v>
      </c>
      <c r="IP8" s="116">
        <f>+MIN(CD8:CF8)</f>
        <v>651</v>
      </c>
      <c r="IQ8" s="116">
        <f>+MIN(CG8:CI8)</f>
        <v>697.45</v>
      </c>
      <c r="IR8" s="116">
        <f>+MIN(CJ8:CL8)</f>
        <v>706.5</v>
      </c>
      <c r="IS8" s="116">
        <f>+MIN(CM8:CO8)</f>
        <v>615.1</v>
      </c>
      <c r="IT8" s="116">
        <f>+MIN(CP8:CR8)</f>
        <v>509.25</v>
      </c>
      <c r="IU8" s="116">
        <f>+MIN(CS8:CU8)</f>
        <v>582.15</v>
      </c>
      <c r="IV8" s="116">
        <f>+MIN(CV8:CX8)</f>
        <v>729.75</v>
      </c>
      <c r="IW8" s="116">
        <f>+MIN(CY8:DA8)</f>
        <v>1011.75</v>
      </c>
      <c r="IX8" s="116">
        <f>+MIN(DB8:DD8)</f>
        <v>1231</v>
      </c>
      <c r="IY8" s="116">
        <f>+MIN(DE8:DG8)</f>
        <v>1311.3</v>
      </c>
      <c r="IZ8" s="116">
        <f>+MIN(DH8:DJ8)</f>
        <v>1533.75</v>
      </c>
      <c r="JA8" s="116">
        <f>+MIN(DK8:DM8)</f>
        <v>1661.05</v>
      </c>
      <c r="JB8" s="116">
        <f>+MIN(DN8:DP8)</f>
        <v>1665</v>
      </c>
      <c r="JC8" s="116">
        <f>+MIN(DQ8:DS8)</f>
        <v>1367.15</v>
      </c>
      <c r="JD8" s="116">
        <f>+MIN(DT8:DV8)</f>
        <v>1355</v>
      </c>
      <c r="JE8" s="116">
        <f>+MIN(DW8:DY8)</f>
        <v>1386</v>
      </c>
      <c r="JF8" s="116">
        <f>+MIN(DZ8:EB8)</f>
        <v>1364.55</v>
      </c>
      <c r="JG8" s="116">
        <f>+MIN(EC8:EE8)</f>
        <v>1185.3</v>
      </c>
      <c r="JH8" s="116">
        <f>+MIN(EF8:EH8)</f>
        <v>1305</v>
      </c>
      <c r="JI8" s="116">
        <f>+MIN(EI8:EK8)</f>
        <v>1351.65</v>
      </c>
      <c r="JJ8" s="116">
        <f>+MIN(EL8:EN8)</f>
        <v>1481.55</v>
      </c>
      <c r="JK8" s="116">
        <f>MIN(EO8:EQ8)</f>
        <v>1358.35</v>
      </c>
      <c r="JL8" s="116">
        <f>MIN(ER8:ET8)</f>
        <v>1559.5</v>
      </c>
      <c r="JM8" s="116">
        <f>MIN(EU8:EW8)</f>
        <v>1718</v>
      </c>
      <c r="JN8" s="116">
        <f>MIN(EX8:EZ8)</f>
        <v>1545.15</v>
      </c>
      <c r="JO8" s="116">
        <f>MIN(FA8:FC8)</f>
        <v>1307</v>
      </c>
      <c r="JP8" s="116">
        <f>MIN(FD8:FF8)</f>
        <v>1414</v>
      </c>
      <c r="JQ8" s="116">
        <f>MIN(FG8:FI8)</f>
        <v>1427.4</v>
      </c>
      <c r="JR8" s="116">
        <f>MIN(FJ8:FL8)</f>
        <v>1215.0999999999999</v>
      </c>
      <c r="JS8" s="116">
        <f>MIN(FM8:FO8)</f>
        <v>1089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313.64999999999998</v>
      </c>
      <c r="D9" s="116" cm="1">
        <f t="array" ref="D9">_xll.EQNXTDZ($A$1,$B9,D$1)</f>
        <v>278.36874999999998</v>
      </c>
      <c r="E9" s="116" cm="1">
        <f t="array" ref="E9">_xll.EQNXTDZ($A$1,$B9,E$1)</f>
        <v>295.20625000000001</v>
      </c>
      <c r="F9" s="116" cm="1">
        <f t="array" ref="F9">_xll.EQNXTDZ($A$1,$B9,F$1)</f>
        <v>316.86874999999998</v>
      </c>
      <c r="G9" s="116" cm="1">
        <f t="array" ref="G9">_xll.EQNXTDZ($A$1,$B9,G$1)</f>
        <v>295.375</v>
      </c>
      <c r="H9" s="116" cm="1">
        <f t="array" ref="H9">_xll.EQNXTDZ($A$1,$B9,H$1)</f>
        <v>304.60624999999999</v>
      </c>
      <c r="I9" s="116" cm="1">
        <f t="array" ref="I9">_xll.EQNXTDZ($A$1,$B9,I$1)</f>
        <v>289.83749999999998</v>
      </c>
      <c r="J9" s="116" cm="1">
        <f t="array" ref="J9">_xll.EQNXTDZ($A$1,$B9,J$1)</f>
        <v>348.6875</v>
      </c>
      <c r="K9" s="116" cm="1">
        <f t="array" ref="K9">_xll.EQNXTDZ($A$1,$B9,K$1)</f>
        <v>363.375</v>
      </c>
      <c r="L9" s="116" cm="1">
        <f t="array" ref="L9">_xll.EQNXTDZ($A$1,$B9,L$1)</f>
        <v>361.16874999999999</v>
      </c>
      <c r="M9" s="116" cm="1">
        <f t="array" ref="M9">_xll.EQNXTDZ($A$1,$B9,M$1)</f>
        <v>279.43124999999998</v>
      </c>
      <c r="N9" s="116" cm="1">
        <f t="array" ref="N9">_xll.EQNXTDZ($A$1,$B9,N$1)</f>
        <v>301.46249999999998</v>
      </c>
      <c r="O9" s="116" cm="1">
        <f t="array" ref="O9">_xll.EQNXTDZ($A$1,$B9,O$1)</f>
        <v>312.35624999999999</v>
      </c>
      <c r="P9" s="116" cm="1">
        <f t="array" ref="P9">_xll.EQNXTDZ($A$1,$B9,P$1)</f>
        <v>371.20625000000001</v>
      </c>
      <c r="Q9" s="116" cm="1">
        <f t="array" ref="Q9">_xll.EQNXTDZ($A$1,$B9,Q$1)</f>
        <v>388.23124999999999</v>
      </c>
      <c r="R9" s="116" cm="1">
        <f t="array" ref="R9">_xll.EQNXTDZ($A$1,$B9,R$1)</f>
        <v>376.625</v>
      </c>
      <c r="S9" s="116" cm="1">
        <f t="array" ref="S9">_xll.EQNXTDZ($A$1,$B9,S$1)</f>
        <v>413.73750000000001</v>
      </c>
      <c r="T9" s="116" cm="1">
        <f t="array" ref="T9">_xll.EQNXTDZ($A$1,$B9,T$1)</f>
        <v>419.31875000000002</v>
      </c>
      <c r="U9" s="116" cm="1">
        <f t="array" ref="U9">_xll.EQNXTDZ($A$1,$B9,U$1)</f>
        <v>435.70625000000001</v>
      </c>
      <c r="V9" s="116" cm="1">
        <f t="array" ref="V9">_xll.EQNXTDZ($A$1,$B9,V$1)</f>
        <v>462.63749999999999</v>
      </c>
      <c r="W9" s="116" cm="1">
        <f t="array" ref="W9">_xll.EQNXTDZ($A$1,$B9,W$1)</f>
        <v>478.10624999999999</v>
      </c>
      <c r="X9" s="116" cm="1">
        <f t="array" ref="X9">_xll.EQNXTDZ($A$1,$B9,X$1)</f>
        <v>410.35</v>
      </c>
      <c r="Y9" s="116" cm="1">
        <f t="array" ref="Y9">_xll.EQNXTDZ($A$1,$B9,Y$1)</f>
        <v>397.6</v>
      </c>
      <c r="Z9" s="116" cm="1">
        <f t="array" ref="Z9">_xll.EQNXTDZ($A$1,$B9,Z$1)</f>
        <v>367.42500000000001</v>
      </c>
      <c r="AA9" s="116" cm="1">
        <f t="array" ref="AA9">_xll.EQNXTDZ($A$1,$B9,AA$1)</f>
        <v>406.94375000000002</v>
      </c>
      <c r="AB9" s="116" cm="1">
        <f t="array" ref="AB9">_xll.EQNXTDZ($A$1,$B9,AB$1)</f>
        <v>420.95625000000001</v>
      </c>
      <c r="AC9" s="116" cm="1">
        <f t="array" ref="AC9">_xll.EQNXTDZ($A$1,$B9,AC$1)</f>
        <v>449.85</v>
      </c>
      <c r="AD9" s="116" cm="1">
        <f t="array" ref="AD9">_xll.EQNXTDZ($A$1,$B9,AD$1)</f>
        <v>468.46875</v>
      </c>
      <c r="AE9" s="116" cm="1">
        <f t="array" ref="AE9">_xll.EQNXTDZ($A$1,$B9,AE$1)</f>
        <v>506.40625</v>
      </c>
      <c r="AF9" s="116" cm="1">
        <f t="array" ref="AF9">_xll.EQNXTDZ($A$1,$B9,AF$1)</f>
        <v>544.98125000000005</v>
      </c>
      <c r="AG9" s="116" cm="1">
        <f t="array" ref="AG9">_xll.EQNXTDZ($A$1,$B9,AG$1)</f>
        <v>493.13749999999999</v>
      </c>
      <c r="AH9" s="116" cm="1">
        <f t="array" ref="AH9">_xll.EQNXTDZ($A$1,$B9,AH$1)</f>
        <v>535.47500000000002</v>
      </c>
      <c r="AI9" s="116" cm="1">
        <f t="array" ref="AI9">_xll.EQNXTDZ($A$1,$B9,AI$1)</f>
        <v>574.11249999999995</v>
      </c>
      <c r="AJ9" s="116" cm="1">
        <f t="array" ref="AJ9">_xll.EQNXTDZ($A$1,$B9,AJ$1)</f>
        <v>554.58749999999998</v>
      </c>
      <c r="AK9" s="116" cm="1">
        <f t="array" ref="AK9">_xll.EQNXTDZ($A$1,$B9,AK$1)</f>
        <v>485.5625</v>
      </c>
      <c r="AL9" s="116" cm="1">
        <f t="array" ref="AL9">_xll.EQNXTDZ($A$1,$B9,AL$1)</f>
        <v>505.78750000000002</v>
      </c>
      <c r="AM9" s="116" cm="1">
        <f t="array" ref="AM9">_xll.EQNXTDZ($A$1,$B9,AM$1)</f>
        <v>492.17500000000001</v>
      </c>
      <c r="AN9" s="116" cm="1">
        <f t="array" ref="AN9">_xll.EQNXTDZ($A$1,$B9,AN$1)</f>
        <v>538.52499999999998</v>
      </c>
      <c r="AO9" s="116" cm="1">
        <f t="array" ref="AO9">_xll.EQNXTDZ($A$1,$B9,AO$1)</f>
        <v>547.20000000000005</v>
      </c>
      <c r="AP9" s="116" cm="1">
        <f t="array" ref="AP9">_xll.EQNXTDZ($A$1,$B9,AP$1)</f>
        <v>580.97500000000002</v>
      </c>
      <c r="AQ9" s="116" cm="1">
        <f t="array" ref="AQ9">_xll.EQNXTDZ($A$1,$B9,AQ$1)</f>
        <v>567.72500000000002</v>
      </c>
      <c r="AR9" s="116" cm="1">
        <f t="array" ref="AR9">_xll.EQNXTDZ($A$1,$B9,AR$1)</f>
        <v>543.95000000000005</v>
      </c>
      <c r="AS9" s="116" cm="1">
        <f t="array" ref="AS9">_xll.EQNXTDZ($A$1,$B9,AS$1)</f>
        <v>552.70000000000005</v>
      </c>
      <c r="AT9" s="116" cm="1">
        <f t="array" ref="AT9">_xll.EQNXTDZ($A$1,$B9,AT$1)</f>
        <v>582.45000000000005</v>
      </c>
      <c r="AU9" s="116" cm="1">
        <f t="array" ref="AU9">_xll.EQNXTDZ($A$1,$B9,AU$1)</f>
        <v>542.02499999999998</v>
      </c>
      <c r="AV9" s="116" cm="1">
        <f t="array" ref="AV9">_xll.EQNXTDZ($A$1,$B9,AV$1)</f>
        <v>609.15</v>
      </c>
      <c r="AW9" s="116" cm="1">
        <f t="array" ref="AW9">_xll.EQNXTDZ($A$1,$B9,AW$1)</f>
        <v>604.04999999999995</v>
      </c>
      <c r="AX9" s="116" cm="1">
        <f t="array" ref="AX9">_xll.EQNXTDZ($A$1,$B9,AX$1)</f>
        <v>624.32500000000005</v>
      </c>
      <c r="AY9" s="116" cm="1">
        <f t="array" ref="AY9">_xll.EQNXTDZ($A$1,$B9,AY$1)</f>
        <v>585.4</v>
      </c>
      <c r="AZ9" s="116" cm="1">
        <f t="array" ref="AZ9">_xll.EQNXTDZ($A$1,$B9,AZ$1)</f>
        <v>536.92499999999995</v>
      </c>
      <c r="BA9" s="116" cm="1">
        <f t="array" ref="BA9">_xll.EQNXTDZ($A$1,$B9,BA$1)</f>
        <v>517.92499999999995</v>
      </c>
      <c r="BB9" s="116" cm="1">
        <f t="array" ref="BB9">_xll.EQNXTDZ($A$1,$B9,BB$1)</f>
        <v>518.02499999999998</v>
      </c>
      <c r="BC9" s="116" cm="1">
        <f t="array" ref="BC9">_xll.EQNXTDZ($A$1,$B9,BC$1)</f>
        <v>501.05</v>
      </c>
      <c r="BD9" s="116" cm="1">
        <f t="array" ref="BD9">_xll.EQNXTDZ($A$1,$B9,BD$1)</f>
        <v>487.77499999999998</v>
      </c>
      <c r="BE9" s="116" cm="1">
        <f t="array" ref="BE9">_xll.EQNXTDZ($A$1,$B9,BE$1)</f>
        <v>505.3</v>
      </c>
      <c r="BF9" s="116" cm="1">
        <f t="array" ref="BF9">_xll.EQNXTDZ($A$1,$B9,BF$1)</f>
        <v>464.3</v>
      </c>
      <c r="BG9" s="116" cm="1">
        <f t="array" ref="BG9">_xll.EQNXTDZ($A$1,$B9,BG$1)</f>
        <v>506.2</v>
      </c>
      <c r="BH9" s="116" cm="1">
        <f t="array" ref="BH9">_xll.EQNXTDZ($A$1,$B9,BH$1)</f>
        <v>511.125</v>
      </c>
      <c r="BI9" s="116" cm="1">
        <f t="array" ref="BI9">_xll.EQNXTDZ($A$1,$B9,BI$1)</f>
        <v>459.47500000000002</v>
      </c>
      <c r="BJ9" s="116" cm="1">
        <f t="array" ref="BJ9">_xll.EQNXTDZ($A$1,$B9,BJ$1)</f>
        <v>488.52499999999998</v>
      </c>
      <c r="BK9" s="116" cm="1">
        <f t="array" ref="BK9">_xll.EQNXTDZ($A$1,$B9,BK$1)</f>
        <v>467.77499999999998</v>
      </c>
      <c r="BL9" s="116" cm="1">
        <f t="array" ref="BL9">_xll.EQNXTDZ($A$1,$B9,BL$1)</f>
        <v>505.6</v>
      </c>
      <c r="BM9" s="116" cm="1">
        <f t="array" ref="BM9">_xll.EQNXTDZ($A$1,$B9,BM$1)</f>
        <v>457.47500000000002</v>
      </c>
      <c r="BN9" s="116" cm="1">
        <f t="array" ref="BN9">_xll.EQNXTDZ($A$1,$B9,BN$1)</f>
        <v>449.95</v>
      </c>
      <c r="BO9" s="116" cm="1">
        <f t="array" ref="BO9">_xll.EQNXTDZ($A$1,$B9,BO$1)</f>
        <v>460.92500000000001</v>
      </c>
      <c r="BP9" s="116" cm="1">
        <f t="array" ref="BP9">_xll.EQNXTDZ($A$1,$B9,BP$1)</f>
        <v>488.05</v>
      </c>
      <c r="BQ9" s="116" cm="1">
        <f t="array" ref="BQ9">_xll.EQNXTDZ($A$1,$B9,BQ$1)</f>
        <v>521.02499999999998</v>
      </c>
      <c r="BR9" s="116" cm="1">
        <f t="array" ref="BR9">_xll.EQNXTDZ($A$1,$B9,BR$1)</f>
        <v>575.125</v>
      </c>
      <c r="BS9" s="116" cm="1">
        <f t="array" ref="BS9">_xll.EQNXTDZ($A$1,$B9,BS$1)</f>
        <v>586.29999999999995</v>
      </c>
      <c r="BT9" s="116" cm="1">
        <f t="array" ref="BT9">_xll.EQNXTDZ($A$1,$B9,BT$1)</f>
        <v>565.9</v>
      </c>
      <c r="BU9" s="116" cm="1">
        <f t="array" ref="BU9">_xll.EQNXTDZ($A$1,$B9,BU$1)</f>
        <v>599.75</v>
      </c>
      <c r="BV9" s="116" cm="1">
        <f t="array" ref="BV9">_xll.EQNXTDZ($A$1,$B9,BV$1)</f>
        <v>615.9</v>
      </c>
      <c r="BW9" s="116" cm="1">
        <f t="array" ref="BW9">_xll.EQNXTDZ($A$1,$B9,BW$1)</f>
        <v>653.6</v>
      </c>
      <c r="BX9" s="116" cm="1">
        <f t="array" ref="BX9">_xll.EQNXTDZ($A$1,$B9,BX$1)</f>
        <v>682.55</v>
      </c>
      <c r="BY9" s="116" cm="1">
        <f t="array" ref="BY9">_xll.EQNXTDZ($A$1,$B9,BY$1)</f>
        <v>720.55</v>
      </c>
      <c r="BZ9" s="116" cm="1">
        <f t="array" ref="BZ9">_xll.EQNXTDZ($A$1,$B9,BZ$1)</f>
        <v>730.05</v>
      </c>
      <c r="CA9" s="116" cm="1">
        <f t="array" ref="CA9">_xll.EQNXTDZ($A$1,$B9,CA$1)</f>
        <v>686.4</v>
      </c>
      <c r="CB9" s="116" cm="1">
        <f t="array" ref="CB9">_xll.EQNXTDZ($A$1,$B9,CB$1)</f>
        <v>667.45</v>
      </c>
      <c r="CC9" s="116" cm="1">
        <f t="array" ref="CC9">_xll.EQNXTDZ($A$1,$B9,CC$1)</f>
        <v>658.95</v>
      </c>
      <c r="CD9" s="116" cm="1">
        <f t="array" ref="CD9">_xll.EQNXTDZ($A$1,$B9,CD$1)</f>
        <v>749.55</v>
      </c>
      <c r="CE9" s="116" cm="1">
        <f t="array" ref="CE9">_xll.EQNXTDZ($A$1,$B9,CE$1)</f>
        <v>734.3</v>
      </c>
      <c r="CF9" s="116" cm="1">
        <f t="array" ref="CF9">_xll.EQNXTDZ($A$1,$B9,CF$1)</f>
        <v>743.85</v>
      </c>
      <c r="CG9" s="116" cm="1">
        <f t="array" ref="CG9">_xll.EQNXTDZ($A$1,$B9,CG$1)</f>
        <v>751.35</v>
      </c>
      <c r="CH9" s="116" cm="1">
        <f t="array" ref="CH9">_xll.EQNXTDZ($A$1,$B9,CH$1)</f>
        <v>737.75</v>
      </c>
      <c r="CI9" s="116" cm="1">
        <f t="array" ref="CI9">_xll.EQNXTDZ($A$1,$B9,CI$1)</f>
        <v>732</v>
      </c>
      <c r="CJ9" s="116" cm="1">
        <f t="array" ref="CJ9">_xll.EQNXTDZ($A$1,$B9,CJ$1)</f>
        <v>793.65</v>
      </c>
      <c r="CK9" s="116" cm="1">
        <f t="array" ref="CK9">_xll.EQNXTDZ($A$1,$B9,CK$1)</f>
        <v>814.9</v>
      </c>
      <c r="CL9" s="116" cm="1">
        <f t="array" ref="CL9">_xll.EQNXTDZ($A$1,$B9,CL$1)</f>
        <v>805.65</v>
      </c>
      <c r="CM9" s="116" cm="1">
        <f t="array" ref="CM9">_xll.EQNXTDZ($A$1,$B9,CM$1)</f>
        <v>685.6</v>
      </c>
      <c r="CN9" s="116" cm="1">
        <f t="array" ref="CN9">_xll.EQNXTDZ($A$1,$B9,CN$1)</f>
        <v>696.35</v>
      </c>
      <c r="CO9" s="116" cm="1">
        <f t="array" ref="CO9">_xll.EQNXTDZ($A$1,$B9,CO$1)</f>
        <v>731.15</v>
      </c>
      <c r="CP9" s="116" cm="1">
        <f t="array" ref="CP9">_xll.EQNXTDZ($A$1,$B9,CP$1)</f>
        <v>775.95</v>
      </c>
      <c r="CQ9" s="116" cm="1">
        <f t="array" ref="CQ9">_xll.EQNXTDZ($A$1,$B9,CQ$1)</f>
        <v>731.7</v>
      </c>
      <c r="CR9" s="116" cm="1">
        <f t="array" ref="CR9">_xll.EQNXTDZ($A$1,$B9,CR$1)</f>
        <v>641.5</v>
      </c>
      <c r="CS9" s="116" cm="1">
        <f t="array" ref="CS9">_xll.EQNXTDZ($A$1,$B9,CS$1)</f>
        <v>715.5</v>
      </c>
      <c r="CT9" s="116" cm="1">
        <f t="array" ref="CT9">_xll.EQNXTDZ($A$1,$B9,CT$1)</f>
        <v>691</v>
      </c>
      <c r="CU9" s="116" cm="1">
        <f t="array" ref="CU9">_xll.EQNXTDZ($A$1,$B9,CU$1)</f>
        <v>735.95</v>
      </c>
      <c r="CV9" s="116" cm="1">
        <f t="array" ref="CV9">_xll.EQNXTDZ($A$1,$B9,CV$1)</f>
        <v>966</v>
      </c>
      <c r="CW9" s="116" cm="1">
        <f t="array" ref="CW9">_xll.EQNXTDZ($A$1,$B9,CW$1)</f>
        <v>928.6</v>
      </c>
      <c r="CX9" s="116" cm="1">
        <f t="array" ref="CX9">_xll.EQNXTDZ($A$1,$B9,CX$1)</f>
        <v>1008.25</v>
      </c>
      <c r="CY9" s="116" cm="1">
        <f t="array" ref="CY9">_xll.EQNXTDZ($A$1,$B9,CY$1)</f>
        <v>1060.5999999999999</v>
      </c>
      <c r="CZ9" s="116" cm="1">
        <f t="array" ref="CZ9">_xll.EQNXTDZ($A$1,$B9,CZ$1)</f>
        <v>1100</v>
      </c>
      <c r="DA9" s="116" cm="1">
        <f t="array" ref="DA9">_xll.EQNXTDZ($A$1,$B9,DA$1)</f>
        <v>1255.8</v>
      </c>
      <c r="DB9" s="116" cm="1">
        <f t="array" ref="DB9">_xll.EQNXTDZ($A$1,$B9,DB$1)</f>
        <v>1239.05</v>
      </c>
      <c r="DC9" s="116" cm="1">
        <f t="array" ref="DC9">_xll.EQNXTDZ($A$1,$B9,DC$1)</f>
        <v>1253.3</v>
      </c>
      <c r="DD9" s="116" cm="1">
        <f t="array" ref="DD9">_xll.EQNXTDZ($A$1,$B9,DD$1)</f>
        <v>1368.05</v>
      </c>
      <c r="DE9" s="116" cm="1">
        <f t="array" ref="DE9">_xll.EQNXTDZ($A$1,$B9,DE$1)</f>
        <v>1354.35</v>
      </c>
      <c r="DF9" s="116" cm="1">
        <f t="array" ref="DF9">_xll.EQNXTDZ($A$1,$B9,DF$1)</f>
        <v>1393.75</v>
      </c>
      <c r="DG9" s="116" cm="1">
        <f t="array" ref="DG9">_xll.EQNXTDZ($A$1,$B9,DG$1)</f>
        <v>1580.8</v>
      </c>
      <c r="DH9" s="116" cm="1">
        <f t="array" ref="DH9">_xll.EQNXTDZ($A$1,$B9,DH$1)</f>
        <v>1610.5</v>
      </c>
      <c r="DI9" s="116" cm="1">
        <f t="array" ref="DI9">_xll.EQNXTDZ($A$1,$B9,DI$1)</f>
        <v>1706.45</v>
      </c>
      <c r="DJ9" s="116" cm="1">
        <f t="array" ref="DJ9">_xll.EQNXTDZ($A$1,$B9,DJ$1)</f>
        <v>1675.2</v>
      </c>
      <c r="DK9" s="116" cm="1">
        <f t="array" ref="DK9">_xll.EQNXTDZ($A$1,$B9,DK$1)</f>
        <v>1667.75</v>
      </c>
      <c r="DL9" s="116" cm="1">
        <f t="array" ref="DL9">_xll.EQNXTDZ($A$1,$B9,DL$1)</f>
        <v>1712.65</v>
      </c>
      <c r="DM9" s="116" cm="1">
        <f t="array" ref="DM9">_xll.EQNXTDZ($A$1,$B9,DM$1)</f>
        <v>1887.75</v>
      </c>
      <c r="DN9" s="116" cm="1">
        <f t="array" ref="DN9">_xll.EQNXTDZ($A$1,$B9,DN$1)</f>
        <v>1736.2</v>
      </c>
      <c r="DO9" s="116" cm="1">
        <f t="array" ref="DO9">_xll.EQNXTDZ($A$1,$B9,DO$1)</f>
        <v>1715.6</v>
      </c>
      <c r="DP9" s="116" cm="1">
        <f t="array" ref="DP9">_xll.EQNXTDZ($A$1,$B9,DP$1)</f>
        <v>1906.85</v>
      </c>
      <c r="DQ9" s="116" cm="1">
        <f t="array" ref="DQ9">_xll.EQNXTDZ($A$1,$B9,DQ$1)</f>
        <v>1567.55</v>
      </c>
      <c r="DR9" s="116" cm="1">
        <f t="array" ref="DR9">_xll.EQNXTDZ($A$1,$B9,DR$1)</f>
        <v>1503.6</v>
      </c>
      <c r="DS9" s="116" cm="1">
        <f t="array" ref="DS9">_xll.EQNXTDZ($A$1,$B9,DS$1)</f>
        <v>1461.9</v>
      </c>
      <c r="DT9" s="116" cm="1">
        <f t="array" ref="DT9">_xll.EQNXTDZ($A$1,$B9,DT$1)</f>
        <v>1549.7</v>
      </c>
      <c r="DU9" s="116" cm="1">
        <f t="array" ref="DU9">_xll.EQNXTDZ($A$1,$B9,DU$1)</f>
        <v>1492.95</v>
      </c>
      <c r="DV9" s="116" cm="1">
        <f t="array" ref="DV9">_xll.EQNXTDZ($A$1,$B9,DV$1)</f>
        <v>1413.45</v>
      </c>
      <c r="DW9" s="116" cm="1">
        <f t="array" ref="DW9">_xll.EQNXTDZ($A$1,$B9,DW$1)</f>
        <v>1537.65</v>
      </c>
      <c r="DX9" s="116" cm="1">
        <f t="array" ref="DX9">_xll.EQNXTDZ($A$1,$B9,DX$1)</f>
        <v>1634.95</v>
      </c>
      <c r="DY9" s="116" cm="1">
        <f t="array" ref="DY9">_xll.EQNXTDZ($A$1,$B9,DY$1)</f>
        <v>1508.2</v>
      </c>
      <c r="DZ9" s="116" cm="1">
        <f t="array" ref="DZ9">_xll.EQNXTDZ($A$1,$B9,DZ$1)</f>
        <v>1533.75</v>
      </c>
      <c r="EA9" s="116" cm="1">
        <f t="array" ref="EA9">_xll.EQNXTDZ($A$1,$B9,EA$1)</f>
        <v>1487.55</v>
      </c>
      <c r="EB9" s="116" cm="1">
        <f t="array" ref="EB9">_xll.EQNXTDZ($A$1,$B9,EB$1)</f>
        <v>1427.95</v>
      </c>
      <c r="EC9" s="116" cm="1">
        <f t="array" ref="EC9">_xll.EQNXTDZ($A$1,$B9,EC$1)</f>
        <v>1252.75</v>
      </c>
      <c r="ED9" s="116" cm="1">
        <f t="array" ref="ED9">_xll.EQNXTDZ($A$1,$B9,ED$1)</f>
        <v>1318.3</v>
      </c>
      <c r="EE9" s="116" cm="1">
        <f t="array" ref="EE9">_xll.EQNXTDZ($A$1,$B9,EE$1)</f>
        <v>1335.5</v>
      </c>
      <c r="EF9" s="116" cm="1">
        <f t="array" ref="EF9">_xll.EQNXTDZ($A$1,$B9,EF$1)</f>
        <v>1355.7</v>
      </c>
      <c r="EG9" s="116" cm="1">
        <f t="array" ref="EG9">_xll.EQNXTDZ($A$1,$B9,EG$1)</f>
        <v>1435.45</v>
      </c>
      <c r="EH9" s="116" cm="1">
        <f t="array" ref="EH9">_xll.EQNXTDZ($A$1,$B9,EH$1)</f>
        <v>1435.45</v>
      </c>
      <c r="EI9" s="116" cm="1">
        <f t="array" ref="EI9">_xll.EQNXTDZ($A$1,$B9,EI$1)</f>
        <v>1368.4</v>
      </c>
      <c r="EJ9" s="116" cm="1">
        <f t="array" ref="EJ9">_xll.EQNXTDZ($A$1,$B9,EJ$1)</f>
        <v>1455.15</v>
      </c>
      <c r="EK9" s="116" cm="1">
        <f t="array" ref="EK9">_xll.EQNXTDZ($A$1,$B9,EK$1)</f>
        <v>1542.9</v>
      </c>
      <c r="EL9" s="116" cm="1">
        <f t="array" ref="EL9">_xll.EQNXTDZ($A$1,$B9,EL$1)</f>
        <v>1660.9</v>
      </c>
      <c r="EM9" s="116" cm="1">
        <f t="array" ref="EM9">_xll.EQNXTDZ($A$1,$B9,EM$1)</f>
        <v>1673.9</v>
      </c>
      <c r="EN9" s="116" cm="1">
        <f t="array" ref="EN9">_xll.EQNXTDZ($A$1,$B9,EN$1)</f>
        <v>1498.05</v>
      </c>
      <c r="EO9" s="116" cm="1">
        <f t="array" ref="EO9">_xll.EQNXTDZ($A$1,$B9,EO$1)</f>
        <v>1420.55</v>
      </c>
      <c r="EP9" s="116" cm="1">
        <f t="array" ref="EP9">_xll.EQNXTDZ($A$1,$B9,EP$1)</f>
        <v>1406.9</v>
      </c>
      <c r="EQ9" s="116" cm="1">
        <f t="array" ref="EQ9">_xll.EQNXTDZ($A$1,$B9,EQ$1)</f>
        <v>1566.75</v>
      </c>
      <c r="ER9" s="116" cm="1">
        <f t="array" ref="ER9">_xll.EQNXTDZ($A$1,$B9,ER$1)</f>
        <v>1868.25</v>
      </c>
      <c r="ES9" s="116" cm="1">
        <f t="array" ref="ES9">_xll.EQNXTDZ($A$1,$B9,ES$1)</f>
        <v>1943.7</v>
      </c>
      <c r="ET9" s="116" cm="1">
        <f t="array" ref="ET9">_xll.EQNXTDZ($A$1,$B9,ET$1)</f>
        <v>1875.6</v>
      </c>
      <c r="EU9" s="116" cm="1">
        <f t="array" ref="EU9">_xll.EQNXTDZ($A$1,$B9,EU$1)</f>
        <v>1757.25</v>
      </c>
      <c r="EV9" s="116" cm="1">
        <f t="array" ref="EV9">_xll.EQNXTDZ($A$1,$B9,EV$1)</f>
        <v>1857.85</v>
      </c>
      <c r="EW9" s="116" cm="1">
        <f t="array" ref="EW9">_xll.EQNXTDZ($A$1,$B9,EW$1)</f>
        <v>1880</v>
      </c>
      <c r="EX9" s="116" cm="1">
        <f t="array" ref="EX9">_xll.EQNXTDZ($A$1,$B9,EX$1)</f>
        <v>1879.8</v>
      </c>
      <c r="EY9" s="116" cm="1">
        <f t="array" ref="EY9">_xll.EQNXTDZ($A$1,$B9,EY$1)</f>
        <v>1687.7</v>
      </c>
      <c r="EZ9" s="116" cm="1">
        <f t="array" ref="EZ9">_xll.EQNXTDZ($A$1,$B9,EZ$1)</f>
        <v>1570.65</v>
      </c>
      <c r="FA9" s="116" cm="1">
        <f t="array" ref="FA9">_xll.EQNXTDZ($A$1,$B9,FA$1)</f>
        <v>1500.1</v>
      </c>
      <c r="FB9" s="116" cm="1">
        <f t="array" ref="FB9">_xll.EQNXTDZ($A$1,$B9,FB$1)</f>
        <v>1562.7</v>
      </c>
      <c r="FC9" s="116" cm="1">
        <f t="array" ref="FC9">_xll.EQNXTDZ($A$1,$B9,FC$1)</f>
        <v>1601.8</v>
      </c>
      <c r="FD9" s="116" cm="1">
        <f t="array" ref="FD9">_xll.EQNXTDZ($A$1,$B9,FD$1)</f>
        <v>1509</v>
      </c>
      <c r="FE9" s="116" cm="1">
        <f t="array" ref="FE9">_xll.EQNXTDZ($A$1,$B9,FE$1)</f>
        <v>1469.6</v>
      </c>
      <c r="FF9" s="116" cm="1">
        <f t="array" ref="FF9">_xll.EQNXTDZ($A$1,$B9,FF$1)</f>
        <v>1441.8</v>
      </c>
      <c r="FG9" s="116" cm="1">
        <f t="array" ref="FG9">_xll.EQNXTDZ($A$1,$B9,FG$1)</f>
        <v>1482.3</v>
      </c>
      <c r="FH9" s="116" cm="1">
        <f t="array" ref="FH9">_xll.EQNXTDZ($A$1,$B9,FH$1)</f>
        <v>1560.1</v>
      </c>
      <c r="FI9" s="116" cm="1">
        <f t="array" ref="FI9">_xll.EQNXTDZ($A$1,$B9,FI$1)</f>
        <v>1615.4</v>
      </c>
      <c r="FJ9" s="116" cm="1">
        <f t="array" ref="FJ9">_xll.EQNXTDZ($A$1,$B9,FJ$1)</f>
        <v>1641</v>
      </c>
      <c r="FK9" s="116" cm="1">
        <f t="array" ref="FK9">_xll.EQNXTDZ($A$1,$B9,FK$1)</f>
        <v>1300.0999999999999</v>
      </c>
      <c r="FL9" s="116" cm="1">
        <f t="array" ref="FL9">_xll.EQNXTDZ($A$1,$B9,FL$1)</f>
        <v>1250.5999999999999</v>
      </c>
      <c r="FM9" s="116" cm="1">
        <f t="array" ref="FM9">_xll.EQNXTDZ($A$1,$B9,FM$1)</f>
        <v>1181.8</v>
      </c>
      <c r="FN9" s="116" cm="1">
        <f t="array" ref="FN9">_xll.EQNXTDZ($A$1,$B9,FN$1)</f>
        <v>1160.9000000000001</v>
      </c>
      <c r="FO9" s="116" cm="1">
        <f t="array" ref="FO9">_xll.EQNXTDZ($A$1,$B9,FO$1)</f>
        <v>1143.5999999999999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316.86874999999998</v>
      </c>
      <c r="HQ9" s="116">
        <f>+I9</f>
        <v>289.83749999999998</v>
      </c>
      <c r="HR9" s="116">
        <f>+L9</f>
        <v>361.16874999999999</v>
      </c>
      <c r="HS9" s="116">
        <f>+O9</f>
        <v>312.35624999999999</v>
      </c>
      <c r="HT9" s="116">
        <f>+R9</f>
        <v>376.625</v>
      </c>
      <c r="HU9" s="116">
        <f>+U9</f>
        <v>435.70625000000001</v>
      </c>
      <c r="HV9" s="116">
        <f>+X9</f>
        <v>410.35</v>
      </c>
      <c r="HW9" s="116">
        <f>+AA9</f>
        <v>406.94375000000002</v>
      </c>
      <c r="HX9" s="116">
        <f>+AD9</f>
        <v>468.46875</v>
      </c>
      <c r="HY9" s="116">
        <f>+AG9</f>
        <v>493.13749999999999</v>
      </c>
      <c r="HZ9" s="116">
        <f>+AJ9</f>
        <v>554.58749999999998</v>
      </c>
      <c r="IA9" s="116">
        <f>+AM9</f>
        <v>492.17500000000001</v>
      </c>
      <c r="IB9" s="116">
        <f>+AP9</f>
        <v>580.97500000000002</v>
      </c>
      <c r="IC9" s="116">
        <f>+AS9</f>
        <v>552.70000000000005</v>
      </c>
      <c r="ID9" s="116">
        <f>+AV9</f>
        <v>609.15</v>
      </c>
      <c r="IE9" s="116">
        <f>+AY9</f>
        <v>585.4</v>
      </c>
      <c r="IF9" s="116">
        <f>+BB9</f>
        <v>518.02499999999998</v>
      </c>
      <c r="IG9" s="116">
        <f>+BE9</f>
        <v>505.3</v>
      </c>
      <c r="IH9" s="116">
        <f>+BH9</f>
        <v>511.125</v>
      </c>
      <c r="II9" s="116">
        <f>+BK9</f>
        <v>467.77499999999998</v>
      </c>
      <c r="IJ9" s="116">
        <f>+BN9</f>
        <v>449.95</v>
      </c>
      <c r="IK9" s="116">
        <f>+BQ9</f>
        <v>521.02499999999998</v>
      </c>
      <c r="IL9" s="116">
        <f>+BT9</f>
        <v>565.9</v>
      </c>
      <c r="IM9" s="116">
        <f>+BW9</f>
        <v>653.6</v>
      </c>
      <c r="IN9" s="116">
        <f>+BZ9</f>
        <v>730.05</v>
      </c>
      <c r="IO9" s="116">
        <f>+CC9</f>
        <v>658.95</v>
      </c>
      <c r="IP9" s="116">
        <f>+CF9</f>
        <v>743.85</v>
      </c>
      <c r="IQ9" s="116">
        <f>+CI9</f>
        <v>732</v>
      </c>
      <c r="IR9" s="116">
        <f>+CL9</f>
        <v>805.65</v>
      </c>
      <c r="IS9" s="116">
        <f>+CO9</f>
        <v>731.15</v>
      </c>
      <c r="IT9" s="116">
        <f>+CR9</f>
        <v>641.5</v>
      </c>
      <c r="IU9" s="116">
        <f>+CU9</f>
        <v>735.95</v>
      </c>
      <c r="IV9" s="116">
        <f>+CX9</f>
        <v>1008.25</v>
      </c>
      <c r="IW9" s="116">
        <f>+DA9</f>
        <v>1255.8</v>
      </c>
      <c r="IX9" s="116">
        <f>+DD9</f>
        <v>1368.05</v>
      </c>
      <c r="IY9" s="116">
        <f>+DG9</f>
        <v>1580.8</v>
      </c>
      <c r="IZ9" s="116">
        <f>+DJ9</f>
        <v>1675.2</v>
      </c>
      <c r="JA9" s="116">
        <f>+DM9</f>
        <v>1887.75</v>
      </c>
      <c r="JB9" s="116">
        <f>+DP9</f>
        <v>1906.85</v>
      </c>
      <c r="JC9" s="116">
        <f>+DS9</f>
        <v>1461.9</v>
      </c>
      <c r="JD9" s="116">
        <f>+DV9</f>
        <v>1413.45</v>
      </c>
      <c r="JE9" s="116">
        <f>+DY9</f>
        <v>1508.2</v>
      </c>
      <c r="JF9" s="116">
        <f>+EB9</f>
        <v>1427.95</v>
      </c>
      <c r="JG9" s="116">
        <f>+EE9</f>
        <v>1335.5</v>
      </c>
      <c r="JH9" s="116">
        <f>+EH9</f>
        <v>1435.45</v>
      </c>
      <c r="JI9" s="116">
        <f>+EK9</f>
        <v>1542.9</v>
      </c>
      <c r="JJ9" s="116">
        <f>+EN9</f>
        <v>1498.05</v>
      </c>
      <c r="JK9" s="116">
        <f>EQ9</f>
        <v>1566.75</v>
      </c>
      <c r="JL9" s="116">
        <f>ET9</f>
        <v>1875.6</v>
      </c>
      <c r="JM9" s="116">
        <f>EW9</f>
        <v>1880</v>
      </c>
      <c r="JN9" s="116">
        <f>EZ9</f>
        <v>1570.65</v>
      </c>
      <c r="JO9" s="116">
        <f>FC9</f>
        <v>1601.8</v>
      </c>
      <c r="JP9" s="116">
        <f>FF9</f>
        <v>1441.8</v>
      </c>
      <c r="JQ9" s="116">
        <f>FI9</f>
        <v>1615.4</v>
      </c>
      <c r="JR9" s="116">
        <f>FL9</f>
        <v>1250.5999999999999</v>
      </c>
      <c r="JS9" s="116">
        <f>FO9</f>
        <v>1143.5999999999999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305</v>
      </c>
      <c r="D13" cm="1">
        <f t="array" ref="D13">_xll.EQNXTDZ($A$1,$B13,D$1)</f>
        <v>312.125</v>
      </c>
      <c r="E13" cm="1">
        <f t="array" ref="E13">_xll.EQNXTDZ($A$1,$B13,E$1)</f>
        <v>278.625</v>
      </c>
      <c r="F13" cm="1">
        <f t="array" ref="F13">_xll.EQNXTDZ($A$1,$B13,F$1)</f>
        <v>296.375</v>
      </c>
      <c r="G13" cm="1">
        <f t="array" ref="G13">_xll.EQNXTDZ($A$1,$B13,G$1)</f>
        <v>318.51249999999999</v>
      </c>
      <c r="H13" cm="1">
        <f t="array" ref="H13">_xll.EQNXTDZ($A$1,$B13,H$1)</f>
        <v>295</v>
      </c>
      <c r="I13" cm="1">
        <f t="array" ref="I13">_xll.EQNXTDZ($A$1,$B13,I$1)</f>
        <v>305.25</v>
      </c>
      <c r="J13" cm="1">
        <f t="array" ref="J13">_xll.EQNXTDZ($A$1,$B13,J$1)</f>
        <v>290.63749999999999</v>
      </c>
      <c r="K13" cm="1">
        <f t="array" ref="K13">_xll.EQNXTDZ($A$1,$B13,K$1)</f>
        <v>348.625</v>
      </c>
      <c r="L13" cm="1">
        <f t="array" ref="L13">_xll.EQNXTDZ($A$1,$B13,L$1)</f>
        <v>361.25</v>
      </c>
      <c r="M13" cm="1">
        <f t="array" ref="M13">_xll.EQNXTDZ($A$1,$B13,M$1)</f>
        <v>362.89375000000001</v>
      </c>
      <c r="N13" cm="1">
        <f t="array" ref="N13">_xll.EQNXTDZ($A$1,$B13,N$1)</f>
        <v>279.86250000000001</v>
      </c>
      <c r="O13" cm="1">
        <f t="array" ref="O13">_xll.EQNXTDZ($A$1,$B13,O$1)</f>
        <v>315.60000000000002</v>
      </c>
      <c r="P13" cm="1">
        <f t="array" ref="P13">_xll.EQNXTDZ($A$1,$B13,P$1)</f>
        <v>307.5</v>
      </c>
      <c r="Q13" cm="1">
        <f t="array" ref="Q13">_xll.EQNXTDZ($A$1,$B13,Q$1)</f>
        <v>372.125</v>
      </c>
      <c r="R13" cm="1">
        <f t="array" ref="R13">_xll.EQNXTDZ($A$1,$B13,R$1)</f>
        <v>383.25</v>
      </c>
      <c r="S13" cm="1">
        <f t="array" ref="S13">_xll.EQNXTDZ($A$1,$B13,S$1)</f>
        <v>377.75</v>
      </c>
      <c r="T13" cm="1">
        <f t="array" ref="T13">_xll.EQNXTDZ($A$1,$B13,T$1)</f>
        <v>413.11250000000001</v>
      </c>
      <c r="U13" cm="1">
        <f t="array" ref="U13">_xll.EQNXTDZ($A$1,$B13,U$1)</f>
        <v>419.25</v>
      </c>
      <c r="V13" cm="1">
        <f t="array" ref="V13">_xll.EQNXTDZ($A$1,$B13,V$1)</f>
        <v>436.375</v>
      </c>
      <c r="W13" cm="1">
        <f t="array" ref="W13">_xll.EQNXTDZ($A$1,$B13,W$1)</f>
        <v>460.625</v>
      </c>
      <c r="X13" cm="1">
        <f t="array" ref="X13">_xll.EQNXTDZ($A$1,$B13,X$1)</f>
        <v>477.875</v>
      </c>
      <c r="Y13" cm="1">
        <f t="array" ref="Y13">_xll.EQNXTDZ($A$1,$B13,Y$1)</f>
        <v>410.625</v>
      </c>
      <c r="Z13" cm="1">
        <f t="array" ref="Z13">_xll.EQNXTDZ($A$1,$B13,Z$1)</f>
        <v>397.8125</v>
      </c>
      <c r="AA13" cm="1">
        <f t="array" ref="AA13">_xll.EQNXTDZ($A$1,$B13,AA$1)</f>
        <v>368.75</v>
      </c>
      <c r="AB13" cm="1">
        <f t="array" ref="AB13">_xll.EQNXTDZ($A$1,$B13,AB$1)</f>
        <v>405.75</v>
      </c>
      <c r="AC13" cm="1">
        <f t="array" ref="AC13">_xll.EQNXTDZ($A$1,$B13,AC$1)</f>
        <v>420</v>
      </c>
      <c r="AD13" cm="1">
        <f t="array" ref="AD13">_xll.EQNXTDZ($A$1,$B13,AD$1)</f>
        <v>450.65625</v>
      </c>
      <c r="AE13" cm="1">
        <f t="array" ref="AE13">_xll.EQNXTDZ($A$1,$B13,AE$1)</f>
        <v>468.75</v>
      </c>
      <c r="AF13" cm="1">
        <f t="array" ref="AF13">_xll.EQNXTDZ($A$1,$B13,AF$1)</f>
        <v>509.375</v>
      </c>
      <c r="AG13" cm="1">
        <f t="array" ref="AG13">_xll.EQNXTDZ($A$1,$B13,AG$1)</f>
        <v>548.5</v>
      </c>
      <c r="AH13" cm="1">
        <f t="array" ref="AH13">_xll.EQNXTDZ($A$1,$B13,AH$1)</f>
        <v>491.95</v>
      </c>
      <c r="AI13" cm="1">
        <f t="array" ref="AI13">_xll.EQNXTDZ($A$1,$B13,AI$1)</f>
        <v>535</v>
      </c>
      <c r="AJ13" cm="1">
        <f t="array" ref="AJ13">_xll.EQNXTDZ($A$1,$B13,AJ$1)</f>
        <v>575</v>
      </c>
      <c r="AK13" cm="1">
        <f t="array" ref="AK13">_xll.EQNXTDZ($A$1,$B13,AK$1)</f>
        <v>552.35</v>
      </c>
      <c r="AL13" cm="1">
        <f t="array" ref="AL13">_xll.EQNXTDZ($A$1,$B13,AL$1)</f>
        <v>490.25</v>
      </c>
      <c r="AM13" cm="1">
        <f t="array" ref="AM13">_xll.EQNXTDZ($A$1,$B13,AM$1)</f>
        <v>507.5</v>
      </c>
      <c r="AN13" cm="1">
        <f t="array" ref="AN13">_xll.EQNXTDZ($A$1,$B13,AN$1)</f>
        <v>495</v>
      </c>
      <c r="AO13" cm="1">
        <f t="array" ref="AO13">_xll.EQNXTDZ($A$1,$B13,AO$1)</f>
        <v>540</v>
      </c>
      <c r="AP13" cm="1">
        <f t="array" ref="AP13">_xll.EQNXTDZ($A$1,$B13,AP$1)</f>
        <v>544.97500000000002</v>
      </c>
      <c r="AQ13" cm="1">
        <f t="array" ref="AQ13">_xll.EQNXTDZ($A$1,$B13,AQ$1)</f>
        <v>584.95000000000005</v>
      </c>
      <c r="AR13" cm="1">
        <f t="array" ref="AR13">_xll.EQNXTDZ($A$1,$B13,AR$1)</f>
        <v>565</v>
      </c>
      <c r="AS13" cm="1">
        <f t="array" ref="AS13">_xll.EQNXTDZ($A$1,$B13,AS$1)</f>
        <v>544.25</v>
      </c>
      <c r="AT13" cm="1">
        <f t="array" ref="AT13">_xll.EQNXTDZ($A$1,$B13,AT$1)</f>
        <v>550</v>
      </c>
      <c r="AU13" cm="1">
        <f t="array" ref="AU13">_xll.EQNXTDZ($A$1,$B13,AU$1)</f>
        <v>585</v>
      </c>
      <c r="AV13" cm="1">
        <f t="array" ref="AV13">_xll.EQNXTDZ($A$1,$B13,AV$1)</f>
        <v>549</v>
      </c>
      <c r="AW13" cm="1">
        <f t="array" ref="AW13">_xll.EQNXTDZ($A$1,$B13,AW$1)</f>
        <v>606</v>
      </c>
      <c r="AX13" cm="1">
        <f t="array" ref="AX13">_xll.EQNXTDZ($A$1,$B13,AX$1)</f>
        <v>607</v>
      </c>
      <c r="AY13" cm="1">
        <f t="array" ref="AY13">_xll.EQNXTDZ($A$1,$B13,AY$1)</f>
        <v>620.5</v>
      </c>
      <c r="AZ13" cm="1">
        <f t="array" ref="AZ13">_xll.EQNXTDZ($A$1,$B13,AZ$1)</f>
        <v>590</v>
      </c>
      <c r="BA13" cm="1">
        <f t="array" ref="BA13">_xll.EQNXTDZ($A$1,$B13,BA$1)</f>
        <v>537</v>
      </c>
      <c r="BB13" cm="1">
        <f t="array" ref="BB13">_xll.EQNXTDZ($A$1,$B13,BB$1)</f>
        <v>518</v>
      </c>
      <c r="BC13" cm="1">
        <f t="array" ref="BC13">_xll.EQNXTDZ($A$1,$B13,BC$1)</f>
        <v>519.04999999999995</v>
      </c>
      <c r="BD13" cm="1">
        <f t="array" ref="BD13">_xll.EQNXTDZ($A$1,$B13,BD$1)</f>
        <v>504.92500000000001</v>
      </c>
      <c r="BE13" cm="1">
        <f t="array" ref="BE13">_xll.EQNXTDZ($A$1,$B13,BE$1)</f>
        <v>488</v>
      </c>
      <c r="BF13" cm="1">
        <f t="array" ref="BF13">_xll.EQNXTDZ($A$1,$B13,BF$1)</f>
        <v>506</v>
      </c>
      <c r="BG13" cm="1">
        <f t="array" ref="BG13">_xll.EQNXTDZ($A$1,$B13,BG$1)</f>
        <v>460.95</v>
      </c>
      <c r="BH13" cm="1">
        <f t="array" ref="BH13">_xll.EQNXTDZ($A$1,$B13,BH$1)</f>
        <v>507.3</v>
      </c>
      <c r="BI13" cm="1">
        <f t="array" ref="BI13">_xll.EQNXTDZ($A$1,$B13,BI$1)</f>
        <v>513.54999999999995</v>
      </c>
      <c r="BJ13" cm="1">
        <f t="array" ref="BJ13">_xll.EQNXTDZ($A$1,$B13,BJ$1)</f>
        <v>462.4</v>
      </c>
      <c r="BK13" cm="1">
        <f t="array" ref="BK13">_xll.EQNXTDZ($A$1,$B13,BK$1)</f>
        <v>484.5</v>
      </c>
      <c r="BL13" cm="1">
        <f t="array" ref="BL13">_xll.EQNXTDZ($A$1,$B13,BL$1)</f>
        <v>467.5</v>
      </c>
      <c r="BM13" cm="1">
        <f t="array" ref="BM13">_xll.EQNXTDZ($A$1,$B13,BM$1)</f>
        <v>503.5</v>
      </c>
      <c r="BN13" cm="1">
        <f t="array" ref="BN13">_xll.EQNXTDZ($A$1,$B13,BN$1)</f>
        <v>457.6</v>
      </c>
      <c r="BO13" cm="1">
        <f t="array" ref="BO13">_xll.EQNXTDZ($A$1,$B13,BO$1)</f>
        <v>454</v>
      </c>
      <c r="BP13" cm="1">
        <f t="array" ref="BP13">_xll.EQNXTDZ($A$1,$B13,BP$1)</f>
        <v>462</v>
      </c>
      <c r="BQ13" cm="1">
        <f t="array" ref="BQ13">_xll.EQNXTDZ($A$1,$B13,BQ$1)</f>
        <v>488.75</v>
      </c>
      <c r="BR13" cm="1">
        <f t="array" ref="BR13">_xll.EQNXTDZ($A$1,$B13,BR$1)</f>
        <v>520</v>
      </c>
      <c r="BS13" cm="1">
        <f t="array" ref="BS13">_xll.EQNXTDZ($A$1,$B13,BS$1)</f>
        <v>575</v>
      </c>
      <c r="BT13" cm="1">
        <f t="array" ref="BT13">_xll.EQNXTDZ($A$1,$B13,BT$1)</f>
        <v>586.72500000000002</v>
      </c>
      <c r="BU13" cm="1">
        <f t="array" ref="BU13">_xll.EQNXTDZ($A$1,$B13,BU$1)</f>
        <v>567.75</v>
      </c>
      <c r="BV13" cm="1">
        <f t="array" ref="BV13">_xll.EQNXTDZ($A$1,$B13,BV$1)</f>
        <v>600</v>
      </c>
      <c r="BW13" cm="1">
        <f t="array" ref="BW13">_xll.EQNXTDZ($A$1,$B13,BW$1)</f>
        <v>615.95000000000005</v>
      </c>
      <c r="BX13" cm="1">
        <f t="array" ref="BX13">_xll.EQNXTDZ($A$1,$B13,BX$1)</f>
        <v>656.95</v>
      </c>
      <c r="BY13" cm="1">
        <f t="array" ref="BY13">_xll.EQNXTDZ($A$1,$B13,BY$1)</f>
        <v>682.92499999999995</v>
      </c>
      <c r="BZ13" cm="1">
        <f t="array" ref="BZ13">_xll.EQNXTDZ($A$1,$B13,BZ$1)</f>
        <v>729</v>
      </c>
      <c r="CA13" cm="1">
        <f t="array" ref="CA13">_xll.EQNXTDZ($A$1,$B13,CA$1)</f>
        <v>735.1</v>
      </c>
      <c r="CB13" cm="1">
        <f t="array" ref="CB13">_xll.EQNXTDZ($A$1,$B13,CB$1)</f>
        <v>693.9</v>
      </c>
      <c r="CC13" cm="1">
        <f t="array" ref="CC13">_xll.EQNXTDZ($A$1,$B13,CC$1)</f>
        <v>670.5</v>
      </c>
      <c r="CD13" cm="1">
        <f t="array" ref="CD13">_xll.EQNXTDZ($A$1,$B13,CD$1)</f>
        <v>661</v>
      </c>
      <c r="CE13" cm="1">
        <f t="array" ref="CE13">_xll.EQNXTDZ($A$1,$B13,CE$1)</f>
        <v>753.8</v>
      </c>
      <c r="CF13" cm="1">
        <f t="array" ref="CF13">_xll.EQNXTDZ($A$1,$B13,CF$1)</f>
        <v>737.8</v>
      </c>
      <c r="CG13" cm="1">
        <f t="array" ref="CG13">_xll.EQNXTDZ($A$1,$B13,CG$1)</f>
        <v>742.9</v>
      </c>
      <c r="CH13" cm="1">
        <f t="array" ref="CH13">_xll.EQNXTDZ($A$1,$B13,CH$1)</f>
        <v>748.6</v>
      </c>
      <c r="CI13" cm="1">
        <f t="array" ref="CI13">_xll.EQNXTDZ($A$1,$B13,CI$1)</f>
        <v>734</v>
      </c>
      <c r="CJ13" cm="1">
        <f t="array" ref="CJ13">_xll.EQNXTDZ($A$1,$B13,CJ$1)</f>
        <v>734.1</v>
      </c>
      <c r="CK13" cm="1">
        <f t="array" ref="CK13">_xll.EQNXTDZ($A$1,$B13,CK$1)</f>
        <v>790.8</v>
      </c>
      <c r="CL13" cm="1">
        <f t="array" ref="CL13">_xll.EQNXTDZ($A$1,$B13,CL$1)</f>
        <v>815</v>
      </c>
      <c r="CM13" cm="1">
        <f t="array" ref="CM13">_xll.EQNXTDZ($A$1,$B13,CM$1)</f>
        <v>809.8</v>
      </c>
      <c r="CN13" cm="1">
        <f t="array" ref="CN13">_xll.EQNXTDZ($A$1,$B13,CN$1)</f>
        <v>689.9</v>
      </c>
      <c r="CO13" cm="1">
        <f t="array" ref="CO13">_xll.EQNXTDZ($A$1,$B13,CO$1)</f>
        <v>702.35</v>
      </c>
      <c r="CP13" cm="1">
        <f t="array" ref="CP13">_xll.EQNXTDZ($A$1,$B13,CP$1)</f>
        <v>733.6</v>
      </c>
      <c r="CQ13" cm="1">
        <f t="array" ref="CQ13">_xll.EQNXTDZ($A$1,$B13,CQ$1)</f>
        <v>775.95</v>
      </c>
      <c r="CR13" cm="1">
        <f t="array" ref="CR13">_xll.EQNXTDZ($A$1,$B13,CR$1)</f>
        <v>733</v>
      </c>
      <c r="CS13" cm="1">
        <f t="array" ref="CS13">_xll.EQNXTDZ($A$1,$B13,CS$1)</f>
        <v>640</v>
      </c>
      <c r="CT13" cm="1">
        <f t="array" ref="CT13">_xll.EQNXTDZ($A$1,$B13,CT$1)</f>
        <v>694.55</v>
      </c>
      <c r="CU13" cm="1">
        <f t="array" ref="CU13">_xll.EQNXTDZ($A$1,$B13,CU$1)</f>
        <v>696.55</v>
      </c>
      <c r="CV13" cm="1">
        <f t="array" ref="CV13">_xll.EQNXTDZ($A$1,$B13,CV$1)</f>
        <v>736</v>
      </c>
      <c r="CW13" cm="1">
        <f t="array" ref="CW13">_xll.EQNXTDZ($A$1,$B13,CW$1)</f>
        <v>962.8</v>
      </c>
      <c r="CX13" cm="1">
        <f t="array" ref="CX13">_xll.EQNXTDZ($A$1,$B13,CX$1)</f>
        <v>925</v>
      </c>
      <c r="CY13" cm="1">
        <f t="array" ref="CY13">_xll.EQNXTDZ($A$1,$B13,CY$1)</f>
        <v>1016</v>
      </c>
      <c r="CZ13" cm="1">
        <f t="array" ref="CZ13">_xll.EQNXTDZ($A$1,$B13,CZ$1)</f>
        <v>1070</v>
      </c>
      <c r="DA13" cm="1">
        <f t="array" ref="DA13">_xll.EQNXTDZ($A$1,$B13,DA$1)</f>
        <v>1105.55</v>
      </c>
      <c r="DB13" cm="1">
        <f t="array" ref="DB13">_xll.EQNXTDZ($A$1,$B13,DB$1)</f>
        <v>1258.95</v>
      </c>
      <c r="DC13" cm="1">
        <f t="array" ref="DC13">_xll.EQNXTDZ($A$1,$B13,DC$1)</f>
        <v>1246</v>
      </c>
      <c r="DD13" cm="1">
        <f t="array" ref="DD13">_xll.EQNXTDZ($A$1,$B13,DD$1)</f>
        <v>1268</v>
      </c>
      <c r="DE13" cm="1">
        <f t="array" ref="DE13">_xll.EQNXTDZ($A$1,$B13,DE$1)</f>
        <v>1380</v>
      </c>
      <c r="DF13" cm="1">
        <f t="array" ref="DF13">_xll.EQNXTDZ($A$1,$B13,DF$1)</f>
        <v>1342</v>
      </c>
      <c r="DG13" cm="1">
        <f t="array" ref="DG13">_xll.EQNXTDZ($A$1,$B13,DG$1)</f>
        <v>1400</v>
      </c>
      <c r="DH13" cm="1">
        <f t="array" ref="DH13">_xll.EQNXTDZ($A$1,$B13,DH$1)</f>
        <v>1582</v>
      </c>
      <c r="DI13" cm="1">
        <f t="array" ref="DI13">_xll.EQNXTDZ($A$1,$B13,DI$1)</f>
        <v>1620</v>
      </c>
      <c r="DJ13" cm="1">
        <f t="array" ref="DJ13">_xll.EQNXTDZ($A$1,$B13,DJ$1)</f>
        <v>1712</v>
      </c>
      <c r="DK13" cm="1">
        <f t="array" ref="DK13">_xll.EQNXTDZ($A$1,$B13,DK$1)</f>
        <v>1668</v>
      </c>
      <c r="DL13" cm="1">
        <f t="array" ref="DL13">_xll.EQNXTDZ($A$1,$B13,DL$1)</f>
        <v>1674.2</v>
      </c>
      <c r="DM13" cm="1">
        <f t="array" ref="DM13">_xll.EQNXTDZ($A$1,$B13,DM$1)</f>
        <v>1715</v>
      </c>
      <c r="DN13" cm="1">
        <f t="array" ref="DN13">_xll.EQNXTDZ($A$1,$B13,DN$1)</f>
        <v>1890</v>
      </c>
      <c r="DO13" cm="1">
        <f t="array" ref="DO13">_xll.EQNXTDZ($A$1,$B13,DO$1)</f>
        <v>1763</v>
      </c>
      <c r="DP13" cm="1">
        <f t="array" ref="DP13">_xll.EQNXTDZ($A$1,$B13,DP$1)</f>
        <v>1710</v>
      </c>
      <c r="DQ13" cm="1">
        <f t="array" ref="DQ13">_xll.EQNXTDZ($A$1,$B13,DQ$1)</f>
        <v>1894</v>
      </c>
      <c r="DR13" cm="1">
        <f t="array" ref="DR13">_xll.EQNXTDZ($A$1,$B13,DR$1)</f>
        <v>1551</v>
      </c>
      <c r="DS13" cm="1">
        <f t="array" ref="DS13">_xll.EQNXTDZ($A$1,$B13,DS$1)</f>
        <v>1505.15</v>
      </c>
      <c r="DT13" cm="1">
        <f t="array" ref="DT13">_xll.EQNXTDZ($A$1,$B13,DT$1)</f>
        <v>1453.7</v>
      </c>
      <c r="DU13" cm="1">
        <f t="array" ref="DU13">_xll.EQNXTDZ($A$1,$B13,DU$1)</f>
        <v>1570</v>
      </c>
      <c r="DV13" cm="1">
        <f t="array" ref="DV13">_xll.EQNXTDZ($A$1,$B13,DV$1)</f>
        <v>1465</v>
      </c>
      <c r="DW13" cm="1">
        <f t="array" ref="DW13">_xll.EQNXTDZ($A$1,$B13,DW$1)</f>
        <v>1411</v>
      </c>
      <c r="DX13" cm="1">
        <f t="array" ref="DX13">_xll.EQNXTDZ($A$1,$B13,DX$1)</f>
        <v>1550</v>
      </c>
      <c r="DY13" cm="1">
        <f t="array" ref="DY13">_xll.EQNXTDZ($A$1,$B13,DY$1)</f>
        <v>1652</v>
      </c>
      <c r="DZ13" cm="1">
        <f t="array" ref="DZ13">_xll.EQNXTDZ($A$1,$B13,DZ$1)</f>
        <v>1513</v>
      </c>
      <c r="EA13" cm="1">
        <f t="array" ref="EA13">_xll.EQNXTDZ($A$1,$B13,EA$1)</f>
        <v>1540</v>
      </c>
      <c r="EB13" cm="1">
        <f t="array" ref="EB13">_xll.EQNXTDZ($A$1,$B13,EB$1)</f>
        <v>1492</v>
      </c>
      <c r="EC13" cm="1">
        <f t="array" ref="EC13">_xll.EQNXTDZ($A$1,$B13,EC$1)</f>
        <v>1431.05</v>
      </c>
      <c r="ED13" cm="1">
        <f t="array" ref="ED13">_xll.EQNXTDZ($A$1,$B13,ED$1)</f>
        <v>1254.95</v>
      </c>
      <c r="EE13" cm="1">
        <f t="array" ref="EE13">_xll.EQNXTDZ($A$1,$B13,EE$1)</f>
        <v>1322.1</v>
      </c>
      <c r="EF13" cm="1">
        <f t="array" ref="EF13">_xll.EQNXTDZ($A$1,$B13,EF$1)</f>
        <v>1333.9</v>
      </c>
      <c r="EG13" cm="1">
        <f t="array" ref="EG13">_xll.EQNXTDZ($A$1,$B13,EG$1)</f>
        <v>1358</v>
      </c>
      <c r="EH13" cm="1">
        <f t="array" ref="EH13">_xll.EQNXTDZ($A$1,$B13,EH$1)</f>
        <v>1430.05</v>
      </c>
      <c r="EI13" cm="1">
        <f t="array" ref="EI13">_xll.EQNXTDZ($A$1,$B13,EI$1)</f>
        <v>1435.1</v>
      </c>
      <c r="EJ13" cm="1">
        <f t="array" ref="EJ13">_xll.EQNXTDZ($A$1,$B13,EJ$1)</f>
        <v>1370.35</v>
      </c>
      <c r="EK13" cm="1">
        <f t="array" ref="EK13">_xll.EQNXTDZ($A$1,$B13,EK$1)</f>
        <v>1457.65</v>
      </c>
      <c r="EL13" cm="1">
        <f t="array" ref="EL13">_xll.EQNXTDZ($A$1,$B13,EL$1)</f>
        <v>1542</v>
      </c>
      <c r="EM13" cm="1">
        <f t="array" ref="EM13">_xll.EQNXTDZ($A$1,$B13,EM$1)</f>
        <v>1660</v>
      </c>
      <c r="EN13" cm="1">
        <f t="array" ref="EN13">_xll.EQNXTDZ($A$1,$B13,EN$1)</f>
        <v>1672.05</v>
      </c>
      <c r="EO13" cm="1">
        <f t="array" ref="EO13">_xll.EQNXTDZ($A$1,$B13,EO$1)</f>
        <v>1521.25</v>
      </c>
      <c r="EP13" cm="1">
        <f t="array" ref="EP13">_xll.EQNXTDZ($A$1,$B13,EP$1)</f>
        <v>1414.95</v>
      </c>
      <c r="EQ13" cm="1">
        <f t="array" ref="EQ13">_xll.EQNXTDZ($A$1,$B13,EQ$1)</f>
        <v>1435.15</v>
      </c>
      <c r="ER13" cm="1">
        <f t="array" ref="ER13">_xll.EQNXTDZ($A$1,$B13,ER$1)</f>
        <v>1561.05</v>
      </c>
      <c r="ES13" cm="1">
        <f t="array" ref="ES13">_xll.EQNXTDZ($A$1,$B13,ES$1)</f>
        <v>1845.4</v>
      </c>
      <c r="ET13" cm="1">
        <f t="array" ref="ET13">_xll.EQNXTDZ($A$1,$B13,ET$1)</f>
        <v>1943</v>
      </c>
      <c r="EU13" cm="1">
        <f t="array" ref="EU13">_xll.EQNXTDZ($A$1,$B13,EU$1)</f>
        <v>1876</v>
      </c>
      <c r="EV13" cm="1">
        <f t="array" ref="EV13">_xll.EQNXTDZ($A$1,$B13,EV$1)</f>
        <v>1763</v>
      </c>
      <c r="EW13" cm="1">
        <f t="array" ref="EW13">_xll.EQNXTDZ($A$1,$B13,EW$1)</f>
        <v>1850.1</v>
      </c>
      <c r="EX13" cm="1">
        <f t="array" ref="EX13">_xll.EQNXTDZ($A$1,$B13,EX$1)</f>
        <v>1879.95</v>
      </c>
      <c r="EY13" cm="1">
        <f t="array" ref="EY13">_xll.EQNXTDZ($A$1,$B13,EY$1)</f>
        <v>1873.75</v>
      </c>
      <c r="EZ13" cm="1">
        <f t="array" ref="EZ13">_xll.EQNXTDZ($A$1,$B13,EZ$1)</f>
        <v>1688.4</v>
      </c>
      <c r="FA13" cm="1">
        <f t="array" ref="FA13">_xll.EQNXTDZ($A$1,$B13,FA$1)</f>
        <v>1535.1</v>
      </c>
      <c r="FB13" cm="1">
        <f t="array" ref="FB13">_xll.EQNXTDZ($A$1,$B13,FB$1)</f>
        <v>1504.95</v>
      </c>
      <c r="FC13" cm="1">
        <f t="array" ref="FC13">_xll.EQNXTDZ($A$1,$B13,FC$1)</f>
        <v>1562</v>
      </c>
      <c r="FD13" cm="1">
        <f t="array" ref="FD13">_xll.EQNXTDZ($A$1,$B13,FD$1)</f>
        <v>1601.3</v>
      </c>
      <c r="FE13" cm="1">
        <f t="array" ref="FE13">_xll.EQNXTDZ($A$1,$B13,FE$1)</f>
        <v>1496.95</v>
      </c>
      <c r="FF13" cm="1">
        <f t="array" ref="FF13">_xll.EQNXTDZ($A$1,$B13,FF$1)</f>
        <v>1472.2</v>
      </c>
      <c r="FG13" cm="1">
        <f t="array" ref="FG13">_xll.EQNXTDZ($A$1,$B13,FG$1)</f>
        <v>1445.4</v>
      </c>
      <c r="FH13" cm="1">
        <f t="array" ref="FH13">_xll.EQNXTDZ($A$1,$B13,FH$1)</f>
        <v>1481.3</v>
      </c>
      <c r="FI13" cm="1">
        <f t="array" ref="FI13">_xll.EQNXTDZ($A$1,$B13,FI$1)</f>
        <v>1560.25</v>
      </c>
      <c r="FJ13" cm="1">
        <f t="array" ref="FJ13">_xll.EQNXTDZ($A$1,$B13,FJ$1)</f>
        <v>1608.95</v>
      </c>
      <c r="FK13" cm="1">
        <f t="array" ref="FK13">_xll.EQNXTDZ($A$1,$B13,FK$1)</f>
        <v>1639.15</v>
      </c>
      <c r="FL13" cm="1">
        <f t="array" ref="FL13">_xll.EQNXTDZ($A$1,$B13,FL$1)</f>
        <v>1276.5</v>
      </c>
      <c r="FM13" cm="1">
        <f t="array" ref="FM13">_xll.EQNXTDZ($A$1,$B13,FM$1)</f>
        <v>1284</v>
      </c>
      <c r="FN13" cm="1">
        <f t="array" ref="FN13">_xll.EQNXTDZ($A$1,$B13,FN$1)</f>
        <v>1196</v>
      </c>
      <c r="FO13" cm="1">
        <f t="array" ref="FO13">_xll.EQNXTDZ($A$1,$B13,FO$1)</f>
        <v>1180.05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318.05</v>
      </c>
      <c r="D14" s="116" cm="1">
        <f t="array" ref="D14">_xll.EQNXTDZ($A$1,$B14,D$1)</f>
        <v>314.875</v>
      </c>
      <c r="E14" s="116" cm="1">
        <f t="array" ref="E14">_xll.EQNXTDZ($A$1,$B14,E$1)</f>
        <v>309.72500000000002</v>
      </c>
      <c r="F14" s="116" cm="1">
        <f t="array" ref="F14">_xll.EQNXTDZ($A$1,$B14,F$1)</f>
        <v>331.08125000000001</v>
      </c>
      <c r="G14" s="116" cm="1">
        <f t="array" ref="G14">_xll.EQNXTDZ($A$1,$B14,G$1)</f>
        <v>327.5</v>
      </c>
      <c r="H14" s="116" cm="1">
        <f t="array" ref="H14">_xll.EQNXTDZ($A$1,$B14,H$1)</f>
        <v>309.625</v>
      </c>
      <c r="I14" s="116" cm="1">
        <f t="array" ref="I14">_xll.EQNXTDZ($A$1,$B14,I$1)</f>
        <v>306.625</v>
      </c>
      <c r="J14" s="116" cm="1">
        <f t="array" ref="J14">_xll.EQNXTDZ($A$1,$B14,J$1)</f>
        <v>354.375</v>
      </c>
      <c r="K14" s="116" cm="1">
        <f t="array" ref="K14">_xll.EQNXTDZ($A$1,$B14,K$1)</f>
        <v>371.25</v>
      </c>
      <c r="L14" s="116" cm="1">
        <f t="array" ref="L14">_xll.EQNXTDZ($A$1,$B14,L$1)</f>
        <v>376.25</v>
      </c>
      <c r="M14" s="116" cm="1">
        <f t="array" ref="M14">_xll.EQNXTDZ($A$1,$B14,M$1)</f>
        <v>374.375</v>
      </c>
      <c r="N14" s="116" cm="1">
        <f t="array" ref="N14">_xll.EQNXTDZ($A$1,$B14,N$1)</f>
        <v>303.96875</v>
      </c>
      <c r="O14" s="116" cm="1">
        <f t="array" ref="O14">_xll.EQNXTDZ($A$1,$B14,O$1)</f>
        <v>328.11250000000001</v>
      </c>
      <c r="P14" s="116" cm="1">
        <f t="array" ref="P14">_xll.EQNXTDZ($A$1,$B14,P$1)</f>
        <v>373.72500000000002</v>
      </c>
      <c r="Q14" s="116" cm="1">
        <f t="array" ref="Q14">_xll.EQNXTDZ($A$1,$B14,Q$1)</f>
        <v>391.11250000000001</v>
      </c>
      <c r="R14" s="116" cm="1">
        <f t="array" ref="R14">_xll.EQNXTDZ($A$1,$B14,R$1)</f>
        <v>396.58749999999998</v>
      </c>
      <c r="S14" s="116" cm="1">
        <f t="array" ref="S14">_xll.EQNXTDZ($A$1,$B14,S$1)</f>
        <v>421.5</v>
      </c>
      <c r="T14" s="116" cm="1">
        <f t="array" ref="T14">_xll.EQNXTDZ($A$1,$B14,T$1)</f>
        <v>430.98750000000001</v>
      </c>
      <c r="U14" s="116" cm="1">
        <f t="array" ref="U14">_xll.EQNXTDZ($A$1,$B14,U$1)</f>
        <v>446.875</v>
      </c>
      <c r="V14" s="116" cm="1">
        <f t="array" ref="V14">_xll.EQNXTDZ($A$1,$B14,V$1)</f>
        <v>474.875</v>
      </c>
      <c r="W14" s="116" cm="1">
        <f t="array" ref="W14">_xll.EQNXTDZ($A$1,$B14,W$1)</f>
        <v>479.01249999999999</v>
      </c>
      <c r="X14" s="116" cm="1">
        <f t="array" ref="X14">_xll.EQNXTDZ($A$1,$B14,X$1)</f>
        <v>480.9</v>
      </c>
      <c r="Y14" s="116" cm="1">
        <f t="array" ref="Y14">_xll.EQNXTDZ($A$1,$B14,Y$1)</f>
        <v>421.47500000000002</v>
      </c>
      <c r="Z14" s="116" cm="1">
        <f t="array" ref="Z14">_xll.EQNXTDZ($A$1,$B14,Z$1)</f>
        <v>417.17500000000001</v>
      </c>
      <c r="AA14" s="116" cm="1">
        <f t="array" ref="AA14">_xll.EQNXTDZ($A$1,$B14,AA$1)</f>
        <v>416.875</v>
      </c>
      <c r="AB14" s="116" cm="1">
        <f t="array" ref="AB14">_xll.EQNXTDZ($A$1,$B14,AB$1)</f>
        <v>428.66874999999999</v>
      </c>
      <c r="AC14" s="116" cm="1">
        <f t="array" ref="AC14">_xll.EQNXTDZ($A$1,$B14,AC$1)</f>
        <v>456.09375</v>
      </c>
      <c r="AD14" s="116" cm="1">
        <f t="array" ref="AD14">_xll.EQNXTDZ($A$1,$B14,AD$1)</f>
        <v>474.11874999999998</v>
      </c>
      <c r="AE14" s="116" cm="1">
        <f t="array" ref="AE14">_xll.EQNXTDZ($A$1,$B14,AE$1)</f>
        <v>508.75</v>
      </c>
      <c r="AF14" s="116" cm="1">
        <f t="array" ref="AF14">_xll.EQNXTDZ($A$1,$B14,AF$1)</f>
        <v>549.875</v>
      </c>
      <c r="AG14" s="116" cm="1">
        <f t="array" ref="AG14">_xll.EQNXTDZ($A$1,$B14,AG$1)</f>
        <v>550.125</v>
      </c>
      <c r="AH14" s="116" cm="1">
        <f t="array" ref="AH14">_xll.EQNXTDZ($A$1,$B14,AH$1)</f>
        <v>555.5</v>
      </c>
      <c r="AI14" s="116" cm="1">
        <f t="array" ref="AI14">_xll.EQNXTDZ($A$1,$B14,AI$1)</f>
        <v>583.79999999999995</v>
      </c>
      <c r="AJ14" s="116" cm="1">
        <f t="array" ref="AJ14">_xll.EQNXTDZ($A$1,$B14,AJ$1)</f>
        <v>578.375</v>
      </c>
      <c r="AK14" s="116" cm="1">
        <f t="array" ref="AK14">_xll.EQNXTDZ($A$1,$B14,AK$1)</f>
        <v>561</v>
      </c>
      <c r="AL14" s="116" cm="1">
        <f t="array" ref="AL14">_xll.EQNXTDZ($A$1,$B14,AL$1)</f>
        <v>515.25</v>
      </c>
      <c r="AM14" s="116" cm="1">
        <f t="array" ref="AM14">_xll.EQNXTDZ($A$1,$B14,AM$1)</f>
        <v>515.75</v>
      </c>
      <c r="AN14" s="116" cm="1">
        <f t="array" ref="AN14">_xll.EQNXTDZ($A$1,$B14,AN$1)</f>
        <v>563.875</v>
      </c>
      <c r="AO14" s="116" cm="1">
        <f t="array" ref="AO14">_xll.EQNXTDZ($A$1,$B14,AO$1)</f>
        <v>593</v>
      </c>
      <c r="AP14" s="116" cm="1">
        <f t="array" ref="AP14">_xll.EQNXTDZ($A$1,$B14,AP$1)</f>
        <v>582.67499999999995</v>
      </c>
      <c r="AQ14" s="116" cm="1">
        <f t="array" ref="AQ14">_xll.EQNXTDZ($A$1,$B14,AQ$1)</f>
        <v>609.5</v>
      </c>
      <c r="AR14" s="116" cm="1">
        <f t="array" ref="AR14">_xll.EQNXTDZ($A$1,$B14,AR$1)</f>
        <v>577.79999999999995</v>
      </c>
      <c r="AS14" s="116" cm="1">
        <f t="array" ref="AS14">_xll.EQNXTDZ($A$1,$B14,AS$1)</f>
        <v>555</v>
      </c>
      <c r="AT14" s="116" cm="1">
        <f t="array" ref="AT14">_xll.EQNXTDZ($A$1,$B14,AT$1)</f>
        <v>584.85</v>
      </c>
      <c r="AU14" s="116" cm="1">
        <f t="array" ref="AU14">_xll.EQNXTDZ($A$1,$B14,AU$1)</f>
        <v>596.79999999999995</v>
      </c>
      <c r="AV14" s="116" cm="1">
        <f t="array" ref="AV14">_xll.EQNXTDZ($A$1,$B14,AV$1)</f>
        <v>617.32500000000005</v>
      </c>
      <c r="AW14" s="116" cm="1">
        <f t="array" ref="AW14">_xll.EQNXTDZ($A$1,$B14,AW$1)</f>
        <v>633.95000000000005</v>
      </c>
      <c r="AX14" s="116" cm="1">
        <f t="array" ref="AX14">_xll.EQNXTDZ($A$1,$B14,AX$1)</f>
        <v>635</v>
      </c>
      <c r="AY14" s="116" cm="1">
        <f t="array" ref="AY14">_xll.EQNXTDZ($A$1,$B14,AY$1)</f>
        <v>639</v>
      </c>
      <c r="AZ14" s="116" cm="1">
        <f t="array" ref="AZ14">_xll.EQNXTDZ($A$1,$B14,AZ$1)</f>
        <v>597.52499999999998</v>
      </c>
      <c r="BA14" s="116" cm="1">
        <f t="array" ref="BA14">_xll.EQNXTDZ($A$1,$B14,BA$1)</f>
        <v>547</v>
      </c>
      <c r="BB14" s="116" cm="1">
        <f t="array" ref="BB14">_xll.EQNXTDZ($A$1,$B14,BB$1)</f>
        <v>534.32500000000005</v>
      </c>
      <c r="BC14" s="116" cm="1">
        <f t="array" ref="BC14">_xll.EQNXTDZ($A$1,$B14,BC$1)</f>
        <v>540.35</v>
      </c>
      <c r="BD14" s="116" cm="1">
        <f t="array" ref="BD14">_xll.EQNXTDZ($A$1,$B14,BD$1)</f>
        <v>504.92500000000001</v>
      </c>
      <c r="BE14" s="116" cm="1">
        <f t="array" ref="BE14">_xll.EQNXTDZ($A$1,$B14,BE$1)</f>
        <v>510.47500000000002</v>
      </c>
      <c r="BF14" s="116" cm="1">
        <f t="array" ref="BF14">_xll.EQNXTDZ($A$1,$B14,BF$1)</f>
        <v>522.5</v>
      </c>
      <c r="BG14" s="116" cm="1">
        <f t="array" ref="BG14">_xll.EQNXTDZ($A$1,$B14,BG$1)</f>
        <v>514.04999999999995</v>
      </c>
      <c r="BH14" s="116" cm="1">
        <f t="array" ref="BH14">_xll.EQNXTDZ($A$1,$B14,BH$1)</f>
        <v>521.97500000000002</v>
      </c>
      <c r="BI14" s="116" cm="1">
        <f t="array" ref="BI14">_xll.EQNXTDZ($A$1,$B14,BI$1)</f>
        <v>515.25</v>
      </c>
      <c r="BJ14" s="116" cm="1">
        <f t="array" ref="BJ14">_xll.EQNXTDZ($A$1,$B14,BJ$1)</f>
        <v>500</v>
      </c>
      <c r="BK14" s="116" cm="1">
        <f t="array" ref="BK14">_xll.EQNXTDZ($A$1,$B14,BK$1)</f>
        <v>494.35</v>
      </c>
      <c r="BL14" s="116" cm="1">
        <f t="array" ref="BL14">_xll.EQNXTDZ($A$1,$B14,BL$1)</f>
        <v>510.5</v>
      </c>
      <c r="BM14" s="116" cm="1">
        <f t="array" ref="BM14">_xll.EQNXTDZ($A$1,$B14,BM$1)</f>
        <v>514.45000000000005</v>
      </c>
      <c r="BN14" s="116" cm="1">
        <f t="array" ref="BN14">_xll.EQNXTDZ($A$1,$B14,BN$1)</f>
        <v>463.1</v>
      </c>
      <c r="BO14" s="116" cm="1">
        <f t="array" ref="BO14">_xll.EQNXTDZ($A$1,$B14,BO$1)</f>
        <v>478.52499999999998</v>
      </c>
      <c r="BP14" s="116" cm="1">
        <f t="array" ref="BP14">_xll.EQNXTDZ($A$1,$B14,BP$1)</f>
        <v>509.6</v>
      </c>
      <c r="BQ14" s="116" cm="1">
        <f t="array" ref="BQ14">_xll.EQNXTDZ($A$1,$B14,BQ$1)</f>
        <v>523.04999999999995</v>
      </c>
      <c r="BR14" s="116" cm="1">
        <f t="array" ref="BR14">_xll.EQNXTDZ($A$1,$B14,BR$1)</f>
        <v>610</v>
      </c>
      <c r="BS14" s="116" cm="1">
        <f t="array" ref="BS14">_xll.EQNXTDZ($A$1,$B14,BS$1)</f>
        <v>594.6</v>
      </c>
      <c r="BT14" s="116" cm="1">
        <f t="array" ref="BT14">_xll.EQNXTDZ($A$1,$B14,BT$1)</f>
        <v>597.75</v>
      </c>
      <c r="BU14" s="116" cm="1">
        <f t="array" ref="BU14">_xll.EQNXTDZ($A$1,$B14,BU$1)</f>
        <v>606.20000000000005</v>
      </c>
      <c r="BV14" s="116" cm="1">
        <f t="array" ref="BV14">_xll.EQNXTDZ($A$1,$B14,BV$1)</f>
        <v>624</v>
      </c>
      <c r="BW14" s="116" cm="1">
        <f t="array" ref="BW14">_xll.EQNXTDZ($A$1,$B14,BW$1)</f>
        <v>656.72500000000002</v>
      </c>
      <c r="BX14" s="116" cm="1">
        <f t="array" ref="BX14">_xll.EQNXTDZ($A$1,$B14,BX$1)</f>
        <v>696.05</v>
      </c>
      <c r="BY14" s="116" cm="1">
        <f t="array" ref="BY14">_xll.EQNXTDZ($A$1,$B14,BY$1)</f>
        <v>726.5</v>
      </c>
      <c r="BZ14" s="116" cm="1">
        <f t="array" ref="BZ14">_xll.EQNXTDZ($A$1,$B14,BZ$1)</f>
        <v>748.45</v>
      </c>
      <c r="CA14" s="116" cm="1">
        <f t="array" ref="CA14">_xll.EQNXTDZ($A$1,$B14,CA$1)</f>
        <v>754.95</v>
      </c>
      <c r="CB14" s="116" cm="1">
        <f t="array" ref="CB14">_xll.EQNXTDZ($A$1,$B14,CB$1)</f>
        <v>693.9</v>
      </c>
      <c r="CC14" s="116" cm="1">
        <f t="array" ref="CC14">_xll.EQNXTDZ($A$1,$B14,CC$1)</f>
        <v>714</v>
      </c>
      <c r="CD14" s="116" cm="1">
        <f t="array" ref="CD14">_xll.EQNXTDZ($A$1,$B14,CD$1)</f>
        <v>751</v>
      </c>
      <c r="CE14" s="116" cm="1">
        <f t="array" ref="CE14">_xll.EQNXTDZ($A$1,$B14,CE$1)</f>
        <v>771.15</v>
      </c>
      <c r="CF14" s="116" cm="1">
        <f t="array" ref="CF14">_xll.EQNXTDZ($A$1,$B14,CF$1)</f>
        <v>747.65</v>
      </c>
      <c r="CG14" s="116" cm="1">
        <f t="array" ref="CG14">_xll.EQNXTDZ($A$1,$B14,CG$1)</f>
        <v>773.65</v>
      </c>
      <c r="CH14" s="116" cm="1">
        <f t="array" ref="CH14">_xll.EQNXTDZ($A$1,$B14,CH$1)</f>
        <v>748.9</v>
      </c>
      <c r="CI14" s="116" cm="1">
        <f t="array" ref="CI14">_xll.EQNXTDZ($A$1,$B14,CI$1)</f>
        <v>758.9</v>
      </c>
      <c r="CJ14" s="116" cm="1">
        <f t="array" ref="CJ14">_xll.EQNXTDZ($A$1,$B14,CJ$1)</f>
        <v>804.25</v>
      </c>
      <c r="CK14" s="116" cm="1">
        <f t="array" ref="CK14">_xll.EQNXTDZ($A$1,$B14,CK$1)</f>
        <v>817.5</v>
      </c>
      <c r="CL14" s="116" cm="1">
        <f t="array" ref="CL14">_xll.EQNXTDZ($A$1,$B14,CL$1)</f>
        <v>847.4</v>
      </c>
      <c r="CM14" s="116" cm="1">
        <f t="array" ref="CM14">_xll.EQNXTDZ($A$1,$B14,CM$1)</f>
        <v>823.35</v>
      </c>
      <c r="CN14" s="116" cm="1">
        <f t="array" ref="CN14">_xll.EQNXTDZ($A$1,$B14,CN$1)</f>
        <v>732.5</v>
      </c>
      <c r="CO14" s="116" cm="1">
        <f t="array" ref="CO14">_xll.EQNXTDZ($A$1,$B14,CO$1)</f>
        <v>737.7</v>
      </c>
      <c r="CP14" s="116" cm="1">
        <f t="array" ref="CP14">_xll.EQNXTDZ($A$1,$B14,CP$1)</f>
        <v>792.55</v>
      </c>
      <c r="CQ14" s="116" cm="1">
        <f t="array" ref="CQ14">_xll.EQNXTDZ($A$1,$B14,CQ$1)</f>
        <v>811.2</v>
      </c>
      <c r="CR14" s="116" cm="1">
        <f t="array" ref="CR14">_xll.EQNXTDZ($A$1,$B14,CR$1)</f>
        <v>773.35</v>
      </c>
      <c r="CS14" s="116" cm="1">
        <f t="array" ref="CS14">_xll.EQNXTDZ($A$1,$B14,CS$1)</f>
        <v>719.8</v>
      </c>
      <c r="CT14" s="116" cm="1">
        <f t="array" ref="CT14">_xll.EQNXTDZ($A$1,$B14,CT$1)</f>
        <v>709.9</v>
      </c>
      <c r="CU14" s="116" cm="1">
        <f t="array" ref="CU14">_xll.EQNXTDZ($A$1,$B14,CU$1)</f>
        <v>750.9</v>
      </c>
      <c r="CV14" s="116" cm="1">
        <f t="array" ref="CV14">_xll.EQNXTDZ($A$1,$B14,CV$1)</f>
        <v>986</v>
      </c>
      <c r="CW14" s="116" cm="1">
        <f t="array" ref="CW14">_xll.EQNXTDZ($A$1,$B14,CW$1)</f>
        <v>974.55</v>
      </c>
      <c r="CX14" s="116" cm="1">
        <f t="array" ref="CX14">_xll.EQNXTDZ($A$1,$B14,CX$1)</f>
        <v>1037.0999999999999</v>
      </c>
      <c r="CY14" s="116" cm="1">
        <f t="array" ref="CY14">_xll.EQNXTDZ($A$1,$B14,CY$1)</f>
        <v>1185</v>
      </c>
      <c r="CZ14" s="116" cm="1">
        <f t="array" ref="CZ14">_xll.EQNXTDZ($A$1,$B14,CZ$1)</f>
        <v>1154.9000000000001</v>
      </c>
      <c r="DA14" s="116" cm="1">
        <f t="array" ref="DA14">_xll.EQNXTDZ($A$1,$B14,DA$1)</f>
        <v>1265</v>
      </c>
      <c r="DB14" s="116" cm="1">
        <f t="array" ref="DB14">_xll.EQNXTDZ($A$1,$B14,DB$1)</f>
        <v>1392.7</v>
      </c>
      <c r="DC14" s="116" cm="1">
        <f t="array" ref="DC14">_xll.EQNXTDZ($A$1,$B14,DC$1)</f>
        <v>1331.85</v>
      </c>
      <c r="DD14" s="116" cm="1">
        <f t="array" ref="DD14">_xll.EQNXTDZ($A$1,$B14,DD$1)</f>
        <v>1406.25</v>
      </c>
      <c r="DE14" s="116" cm="1">
        <f t="array" ref="DE14">_xll.EQNXTDZ($A$1,$B14,DE$1)</f>
        <v>1480</v>
      </c>
      <c r="DF14" s="116" cm="1">
        <f t="array" ref="DF14">_xll.EQNXTDZ($A$1,$B14,DF$1)</f>
        <v>1415.5</v>
      </c>
      <c r="DG14" s="116" cm="1">
        <f t="array" ref="DG14">_xll.EQNXTDZ($A$1,$B14,DG$1)</f>
        <v>1590.85</v>
      </c>
      <c r="DH14" s="116" cm="1">
        <f t="array" ref="DH14">_xll.EQNXTDZ($A$1,$B14,DH$1)</f>
        <v>1623.45</v>
      </c>
      <c r="DI14" s="116" cm="1">
        <f t="array" ref="DI14">_xll.EQNXTDZ($A$1,$B14,DI$1)</f>
        <v>1755.6</v>
      </c>
      <c r="DJ14" s="116" cm="1">
        <f t="array" ref="DJ14">_xll.EQNXTDZ($A$1,$B14,DJ$1)</f>
        <v>1787.5</v>
      </c>
      <c r="DK14" s="116" cm="1">
        <f t="array" ref="DK14">_xll.EQNXTDZ($A$1,$B14,DK$1)</f>
        <v>1848.25</v>
      </c>
      <c r="DL14" s="116" cm="1">
        <f t="array" ref="DL14">_xll.EQNXTDZ($A$1,$B14,DL$1)</f>
        <v>1808.65</v>
      </c>
      <c r="DM14" s="116" cm="1">
        <f t="array" ref="DM14">_xll.EQNXTDZ($A$1,$B14,DM$1)</f>
        <v>1913</v>
      </c>
      <c r="DN14" s="116" cm="1">
        <f t="array" ref="DN14">_xll.EQNXTDZ($A$1,$B14,DN$1)</f>
        <v>1953.7</v>
      </c>
      <c r="DO14" s="116" cm="1">
        <f t="array" ref="DO14">_xll.EQNXTDZ($A$1,$B14,DO$1)</f>
        <v>1792.95</v>
      </c>
      <c r="DP14" s="116" cm="1">
        <f t="array" ref="DP14">_xll.EQNXTDZ($A$1,$B14,DP$1)</f>
        <v>1924</v>
      </c>
      <c r="DQ14" s="116" cm="1">
        <f t="array" ref="DQ14">_xll.EQNXTDZ($A$1,$B14,DQ$1)</f>
        <v>1909.95</v>
      </c>
      <c r="DR14" s="116" cm="1">
        <f t="array" ref="DR14">_xll.EQNXTDZ($A$1,$B14,DR$1)</f>
        <v>1589.25</v>
      </c>
      <c r="DS14" s="116" cm="1">
        <f t="array" ref="DS14">_xll.EQNXTDZ($A$1,$B14,DS$1)</f>
        <v>1555.05</v>
      </c>
      <c r="DT14" s="116" cm="1">
        <f t="array" ref="DT14">_xll.EQNXTDZ($A$1,$B14,DT$1)</f>
        <v>1555</v>
      </c>
      <c r="DU14" s="116" cm="1">
        <f t="array" ref="DU14">_xll.EQNXTDZ($A$1,$B14,DU$1)</f>
        <v>1631</v>
      </c>
      <c r="DV14" s="116" cm="1">
        <f t="array" ref="DV14">_xll.EQNXTDZ($A$1,$B14,DV$1)</f>
        <v>1553</v>
      </c>
      <c r="DW14" s="116" cm="1">
        <f t="array" ref="DW14">_xll.EQNXTDZ($A$1,$B14,DW$1)</f>
        <v>1546.2</v>
      </c>
      <c r="DX14" s="116" cm="1">
        <f t="array" ref="DX14">_xll.EQNXTDZ($A$1,$B14,DX$1)</f>
        <v>1653</v>
      </c>
      <c r="DY14" s="116" cm="1">
        <f t="array" ref="DY14">_xll.EQNXTDZ($A$1,$B14,DY$1)</f>
        <v>1672.45</v>
      </c>
      <c r="DZ14" s="116" cm="1">
        <f t="array" ref="DZ14">_xll.EQNXTDZ($A$1,$B14,DZ$1)</f>
        <v>1568.8</v>
      </c>
      <c r="EA14" s="116" cm="1">
        <f t="array" ref="EA14">_xll.EQNXTDZ($A$1,$B14,EA$1)</f>
        <v>1620</v>
      </c>
      <c r="EB14" s="116" cm="1">
        <f t="array" ref="EB14">_xll.EQNXTDZ($A$1,$B14,EB$1)</f>
        <v>1520</v>
      </c>
      <c r="EC14" s="116" cm="1">
        <f t="array" ref="EC14">_xll.EQNXTDZ($A$1,$B14,EC$1)</f>
        <v>1438</v>
      </c>
      <c r="ED14" s="116" cm="1">
        <f t="array" ref="ED14">_xll.EQNXTDZ($A$1,$B14,ED$1)</f>
        <v>1332.15</v>
      </c>
      <c r="EE14" s="116" cm="1">
        <f t="array" ref="EE14">_xll.EQNXTDZ($A$1,$B14,EE$1)</f>
        <v>1338.85</v>
      </c>
      <c r="EF14" s="116" cm="1">
        <f t="array" ref="EF14">_xll.EQNXTDZ($A$1,$B14,EF$1)</f>
        <v>1499</v>
      </c>
      <c r="EG14" s="116" cm="1">
        <f t="array" ref="EG14">_xll.EQNXTDZ($A$1,$B14,EG$1)</f>
        <v>1444.9</v>
      </c>
      <c r="EH14" s="116" cm="1">
        <f t="array" ref="EH14">_xll.EQNXTDZ($A$1,$B14,EH$1)</f>
        <v>1519.3</v>
      </c>
      <c r="EI14" s="116" cm="1">
        <f t="array" ref="EI14">_xll.EQNXTDZ($A$1,$B14,EI$1)</f>
        <v>1518.5</v>
      </c>
      <c r="EJ14" s="116" cm="1">
        <f t="array" ref="EJ14">_xll.EQNXTDZ($A$1,$B14,EJ$1)</f>
        <v>1465.95</v>
      </c>
      <c r="EK14" s="116" cm="1">
        <f t="array" ref="EK14">_xll.EQNXTDZ($A$1,$B14,EK$1)</f>
        <v>1593</v>
      </c>
      <c r="EL14" s="116" cm="1">
        <f t="array" ref="EL14">_xll.EQNXTDZ($A$1,$B14,EL$1)</f>
        <v>1689.9</v>
      </c>
      <c r="EM14" s="116" cm="1">
        <f t="array" ref="EM14">_xll.EQNXTDZ($A$1,$B14,EM$1)</f>
        <v>1731</v>
      </c>
      <c r="EN14" s="116" cm="1">
        <f t="array" ref="EN14">_xll.EQNXTDZ($A$1,$B14,EN$1)</f>
        <v>1672.5</v>
      </c>
      <c r="EO14" s="116" cm="1">
        <f t="array" ref="EO14">_xll.EQNXTDZ($A$1,$B14,EO$1)</f>
        <v>1528</v>
      </c>
      <c r="EP14" s="116" cm="1">
        <f t="array" ref="EP14">_xll.EQNXTDZ($A$1,$B14,EP$1)</f>
        <v>1479.5</v>
      </c>
      <c r="EQ14" s="116" cm="1">
        <f t="array" ref="EQ14">_xll.EQNXTDZ($A$1,$B14,EQ$1)</f>
        <v>1588</v>
      </c>
      <c r="ER14" s="116" cm="1">
        <f t="array" ref="ER14">_xll.EQNXTDZ($A$1,$B14,ER$1)</f>
        <v>1903</v>
      </c>
      <c r="ES14" s="116" cm="1">
        <f t="array" ref="ES14">_xll.EQNXTDZ($A$1,$B14,ES$1)</f>
        <v>1950.2</v>
      </c>
      <c r="ET14" s="116" cm="1">
        <f t="array" ref="ET14">_xll.EQNXTDZ($A$1,$B14,ET$1)</f>
        <v>1975.05</v>
      </c>
      <c r="EU14" s="116" cm="1">
        <f t="array" ref="EU14">_xll.EQNXTDZ($A$1,$B14,EU$1)</f>
        <v>1990.9</v>
      </c>
      <c r="EV14" s="116" cm="1">
        <f t="array" ref="EV14">_xll.EQNXTDZ($A$1,$B14,EV$1)</f>
        <v>1940.65</v>
      </c>
      <c r="EW14" s="116" cm="1">
        <f t="array" ref="EW14">_xll.EQNXTDZ($A$1,$B14,EW$1)</f>
        <v>2006.8</v>
      </c>
      <c r="EX14" s="116" cm="1">
        <f t="array" ref="EX14">_xll.EQNXTDZ($A$1,$B14,EX$1)</f>
        <v>1982.55</v>
      </c>
      <c r="EY14" s="116" cm="1">
        <f t="array" ref="EY14">_xll.EQNXTDZ($A$1,$B14,EY$1)</f>
        <v>1922.65</v>
      </c>
      <c r="EZ14" s="116" cm="1">
        <f t="array" ref="EZ14">_xll.EQNXTDZ($A$1,$B14,EZ$1)</f>
        <v>1732.3</v>
      </c>
      <c r="FA14" s="116" cm="1">
        <f t="array" ref="FA14">_xll.EQNXTDZ($A$1,$B14,FA$1)</f>
        <v>1555.5</v>
      </c>
      <c r="FB14" s="116" cm="1">
        <f t="array" ref="FB14">_xll.EQNXTDZ($A$1,$B14,FB$1)</f>
        <v>1632</v>
      </c>
      <c r="FC14" s="116" cm="1">
        <f t="array" ref="FC14">_xll.EQNXTDZ($A$1,$B14,FC$1)</f>
        <v>1647.7</v>
      </c>
      <c r="FD14" s="116" cm="1">
        <f t="array" ref="FD14">_xll.EQNXTDZ($A$1,$B14,FD$1)</f>
        <v>1649</v>
      </c>
      <c r="FE14" s="116" cm="1">
        <f t="array" ref="FE14">_xll.EQNXTDZ($A$1,$B14,FE$1)</f>
        <v>1539</v>
      </c>
      <c r="FF14" s="116" cm="1">
        <f t="array" ref="FF14">_xll.EQNXTDZ($A$1,$B14,FF$1)</f>
        <v>1554.8</v>
      </c>
      <c r="FG14" s="116" cm="1">
        <f t="array" ref="FG14">_xll.EQNXTDZ($A$1,$B14,FG$1)</f>
        <v>1545.7</v>
      </c>
      <c r="FH14" s="116" cm="1">
        <f t="array" ref="FH14">_xll.EQNXTDZ($A$1,$B14,FH$1)</f>
        <v>1584.95</v>
      </c>
      <c r="FI14" s="116" cm="1">
        <f t="array" ref="FI14">_xll.EQNXTDZ($A$1,$B14,FI$1)</f>
        <v>1692.9</v>
      </c>
      <c r="FJ14" s="116" cm="1">
        <f t="array" ref="FJ14">_xll.EQNXTDZ($A$1,$B14,FJ$1)</f>
        <v>1693</v>
      </c>
      <c r="FK14" s="116" cm="1">
        <f t="array" ref="FK14">_xll.EQNXTDZ($A$1,$B14,FK$1)</f>
        <v>1727.85</v>
      </c>
      <c r="FL14" s="116" cm="1">
        <f t="array" ref="FL14">_xll.EQNXTDZ($A$1,$B14,FL$1)</f>
        <v>1327.15</v>
      </c>
      <c r="FM14" s="116" cm="1">
        <f t="array" ref="FM14">_xll.EQNXTDZ($A$1,$B14,FM$1)</f>
        <v>1377.3</v>
      </c>
      <c r="FN14" s="116" cm="1">
        <f t="array" ref="FN14">_xll.EQNXTDZ($A$1,$B14,FN$1)</f>
        <v>1210</v>
      </c>
      <c r="FO14" s="116" cm="1">
        <f t="array" ref="FO14">_xll.EQNXTDZ($A$1,$B14,FO$1)</f>
        <v>1278.9000000000001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331.08125000000001</v>
      </c>
      <c r="HQ14" s="116">
        <f>+MAX(G14:I14)</f>
        <v>327.5</v>
      </c>
      <c r="HR14" s="116">
        <f>+MAX(J14:L14)</f>
        <v>376.25</v>
      </c>
      <c r="HS14" s="116">
        <f>+MAX(M14:O14)</f>
        <v>374.375</v>
      </c>
      <c r="HT14" s="116">
        <f>+MAX(P14:R14)</f>
        <v>396.58749999999998</v>
      </c>
      <c r="HU14" s="116">
        <f>+MAX(S14:U14)</f>
        <v>446.875</v>
      </c>
      <c r="HV14" s="116">
        <f>+MAX(V14:X14)</f>
        <v>480.9</v>
      </c>
      <c r="HW14" s="116">
        <f>+MAX(Y14:AA14)</f>
        <v>421.47500000000002</v>
      </c>
      <c r="HX14" s="116">
        <f>+MAX(AB14:AD14)</f>
        <v>474.11874999999998</v>
      </c>
      <c r="HY14" s="116">
        <f>+MAX(AE14:AG14)</f>
        <v>550.125</v>
      </c>
      <c r="HZ14" s="116">
        <f>+MAX(AH14:AJ14)</f>
        <v>583.79999999999995</v>
      </c>
      <c r="IA14" s="116">
        <f>+MAX(AK14:AM14)</f>
        <v>561</v>
      </c>
      <c r="IB14" s="116">
        <f>+MAX(AN14:AP14)</f>
        <v>593</v>
      </c>
      <c r="IC14" s="116">
        <f>+MAX(AQ14:AS14)</f>
        <v>609.5</v>
      </c>
      <c r="ID14" s="116">
        <f>+MAX(AT14:AV14)</f>
        <v>617.32500000000005</v>
      </c>
      <c r="IE14" s="116">
        <f>+MAX(AW14:AY14)</f>
        <v>639</v>
      </c>
      <c r="IF14" s="116">
        <f>+MAX(AZ14:BB14)</f>
        <v>597.52499999999998</v>
      </c>
      <c r="IG14" s="116">
        <f>+MAX(BC14:BE14)</f>
        <v>540.35</v>
      </c>
      <c r="IH14" s="116">
        <f>+MAX(BF14:BH14)</f>
        <v>522.5</v>
      </c>
      <c r="II14" s="116">
        <f>+MAX(BI14:BK14)</f>
        <v>515.25</v>
      </c>
      <c r="IJ14" s="116">
        <f>+MAX(BL14:BN14)</f>
        <v>514.45000000000005</v>
      </c>
      <c r="IK14" s="116">
        <f>+MAX(BO14:BQ14)</f>
        <v>523.04999999999995</v>
      </c>
      <c r="IL14" s="116">
        <f>+MAX(BR14:BT14)</f>
        <v>610</v>
      </c>
      <c r="IM14" s="116">
        <f>+MAX(BU14:BW14)</f>
        <v>656.72500000000002</v>
      </c>
      <c r="IN14" s="116">
        <f>+MAX(BX14:BZ14)</f>
        <v>748.45</v>
      </c>
      <c r="IO14" s="116">
        <f>+MAX(CA14:CC14)</f>
        <v>754.95</v>
      </c>
      <c r="IP14" s="116">
        <f>+MAX(CD14:CF14)</f>
        <v>771.15</v>
      </c>
      <c r="IQ14" s="116">
        <f>+MAX(CG14:CI14)</f>
        <v>773.65</v>
      </c>
      <c r="IR14" s="116">
        <f>+MAX(CJ14:CL14)</f>
        <v>847.4</v>
      </c>
      <c r="IS14" s="116">
        <f>+MAX(CM14:CO14)</f>
        <v>823.35</v>
      </c>
      <c r="IT14" s="116">
        <f>+MAX(CP14:CR14)</f>
        <v>811.2</v>
      </c>
      <c r="IU14" s="116">
        <f>+MAX(CS14:CU14)</f>
        <v>750.9</v>
      </c>
      <c r="IV14" s="116">
        <f>+MAX(CV14:CX14)</f>
        <v>1037.0999999999999</v>
      </c>
      <c r="IW14" s="116">
        <f>+MAX(CY14:DA14)</f>
        <v>1265</v>
      </c>
      <c r="IX14" s="116">
        <f>+MAX(DB14:DD14)</f>
        <v>1406.25</v>
      </c>
      <c r="IY14" s="116">
        <f>+MAX(DE14:DG14)</f>
        <v>1590.85</v>
      </c>
      <c r="IZ14" s="116">
        <f>+MAX(DH14:DJ14)</f>
        <v>1787.5</v>
      </c>
      <c r="JA14" s="116">
        <f>+MAX(DK14:DM14)</f>
        <v>1913</v>
      </c>
      <c r="JB14" s="116">
        <f>+MAX(DN14:DP14)</f>
        <v>1953.7</v>
      </c>
      <c r="JC14" s="116">
        <f>+MAX(DQ14:DS14)</f>
        <v>1909.95</v>
      </c>
      <c r="JD14" s="116">
        <f>+MAX(DT14:DV14)</f>
        <v>1631</v>
      </c>
      <c r="JE14" s="116">
        <f>+MAX(DW14:DY14)</f>
        <v>1672.45</v>
      </c>
      <c r="JF14" s="116">
        <f>+MAX(DZ14:EB14)</f>
        <v>1620</v>
      </c>
      <c r="JG14" s="116">
        <f>+MAX(EC14:EE14)</f>
        <v>1438</v>
      </c>
      <c r="JH14" s="116">
        <f>+MAX(EF14:EH14)</f>
        <v>1519.3</v>
      </c>
      <c r="JI14" s="116">
        <f>+MAX(EI14:EK14)</f>
        <v>1593</v>
      </c>
      <c r="JJ14" s="116">
        <f>+MAX(EL14:EN14)</f>
        <v>1731</v>
      </c>
      <c r="JK14" s="116">
        <f>MAX(EO14:EQ14)</f>
        <v>1588</v>
      </c>
      <c r="JL14" s="116">
        <f>MAX(ER14:ET14)</f>
        <v>1975.05</v>
      </c>
      <c r="JM14" s="116">
        <f>MAX(EU14:EW14)</f>
        <v>2006.8</v>
      </c>
      <c r="JN14" s="116">
        <f>MAX(EX14:EZ14)</f>
        <v>1982.55</v>
      </c>
      <c r="JO14" s="116">
        <f>MAX(FA14:FC14)</f>
        <v>1647.7</v>
      </c>
      <c r="JP14" s="116">
        <f>MAX(FD14:FF14)</f>
        <v>1649</v>
      </c>
      <c r="JQ14" s="116">
        <f>MAX(FG14:FI14)</f>
        <v>1692.9</v>
      </c>
      <c r="JR14" s="116">
        <f>MAX(FJ14:FL14)</f>
        <v>1727.85</v>
      </c>
      <c r="JS14" s="116">
        <f>MAX(FM14:FO14)</f>
        <v>1377.3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293.125</v>
      </c>
      <c r="D15" s="116" cm="1">
        <f t="array" ref="D15">_xll.EQNXTDZ($A$1,$B15,D$1)</f>
        <v>262.70625000000001</v>
      </c>
      <c r="E15" s="116" cm="1">
        <f t="array" ref="E15">_xll.EQNXTDZ($A$1,$B15,E$1)</f>
        <v>273.26249999999999</v>
      </c>
      <c r="F15" s="116" cm="1">
        <f t="array" ref="F15">_xll.EQNXTDZ($A$1,$B15,F$1)</f>
        <v>288.75</v>
      </c>
      <c r="G15" s="116" cm="1">
        <f t="array" ref="G15">_xll.EQNXTDZ($A$1,$B15,G$1)</f>
        <v>288.46249999999998</v>
      </c>
      <c r="H15" s="116" cm="1">
        <f t="array" ref="H15">_xll.EQNXTDZ($A$1,$B15,H$1)</f>
        <v>284.86250000000001</v>
      </c>
      <c r="I15" s="116" cm="1">
        <f t="array" ref="I15">_xll.EQNXTDZ($A$1,$B15,I$1)</f>
        <v>280.63749999999999</v>
      </c>
      <c r="J15" s="116" cm="1">
        <f t="array" ref="J15">_xll.EQNXTDZ($A$1,$B15,J$1)</f>
        <v>287.85624999999999</v>
      </c>
      <c r="K15" s="116" cm="1">
        <f t="array" ref="K15">_xll.EQNXTDZ($A$1,$B15,K$1)</f>
        <v>342.5</v>
      </c>
      <c r="L15" s="116" cm="1">
        <f t="array" ref="L15">_xll.EQNXTDZ($A$1,$B15,L$1)</f>
        <v>351.875</v>
      </c>
      <c r="M15" s="116" cm="1">
        <f t="array" ref="M15">_xll.EQNXTDZ($A$1,$B15,M$1)</f>
        <v>273.75</v>
      </c>
      <c r="N15" s="116" cm="1">
        <f t="array" ref="N15">_xll.EQNXTDZ($A$1,$B15,N$1)</f>
        <v>279.8125</v>
      </c>
      <c r="O15" s="116" cm="1">
        <f t="array" ref="O15">_xll.EQNXTDZ($A$1,$B15,O$1)</f>
        <v>292.875</v>
      </c>
      <c r="P15" s="116" cm="1">
        <f t="array" ref="P15">_xll.EQNXTDZ($A$1,$B15,P$1)</f>
        <v>299.10624999999999</v>
      </c>
      <c r="Q15" s="116" cm="1">
        <f t="array" ref="Q15">_xll.EQNXTDZ($A$1,$B15,Q$1)</f>
        <v>365.375</v>
      </c>
      <c r="R15" s="116" cm="1">
        <f t="array" ref="R15">_xll.EQNXTDZ($A$1,$B15,R$1)</f>
        <v>372.5</v>
      </c>
      <c r="S15" s="116" cm="1">
        <f t="array" ref="S15">_xll.EQNXTDZ($A$1,$B15,S$1)</f>
        <v>374.25</v>
      </c>
      <c r="T15" s="116" cm="1">
        <f t="array" ref="T15">_xll.EQNXTDZ($A$1,$B15,T$1)</f>
        <v>404.25</v>
      </c>
      <c r="U15" s="116" cm="1">
        <f t="array" ref="U15">_xll.EQNXTDZ($A$1,$B15,U$1)</f>
        <v>413.75</v>
      </c>
      <c r="V15" s="116" cm="1">
        <f t="array" ref="V15">_xll.EQNXTDZ($A$1,$B15,V$1)</f>
        <v>427.16250000000002</v>
      </c>
      <c r="W15" s="116" cm="1">
        <f t="array" ref="W15">_xll.EQNXTDZ($A$1,$B15,W$1)</f>
        <v>442.57499999999999</v>
      </c>
      <c r="X15" s="116" cm="1">
        <f t="array" ref="X15">_xll.EQNXTDZ($A$1,$B15,X$1)</f>
        <v>402.125</v>
      </c>
      <c r="Y15" s="116" cm="1">
        <f t="array" ref="Y15">_xll.EQNXTDZ($A$1,$B15,Y$1)</f>
        <v>392.875</v>
      </c>
      <c r="Z15" s="116" cm="1">
        <f t="array" ref="Z15">_xll.EQNXTDZ($A$1,$B15,Z$1)</f>
        <v>361.75</v>
      </c>
      <c r="AA15" s="116" cm="1">
        <f t="array" ref="AA15">_xll.EQNXTDZ($A$1,$B15,AA$1)</f>
        <v>368.75</v>
      </c>
      <c r="AB15" s="116" cm="1">
        <f t="array" ref="AB15">_xll.EQNXTDZ($A$1,$B15,AB$1)</f>
        <v>398.52499999999998</v>
      </c>
      <c r="AC15" s="116" cm="1">
        <f t="array" ref="AC15">_xll.EQNXTDZ($A$1,$B15,AC$1)</f>
        <v>416.5</v>
      </c>
      <c r="AD15" s="116" cm="1">
        <f t="array" ref="AD15">_xll.EQNXTDZ($A$1,$B15,AD$1)</f>
        <v>444.5625</v>
      </c>
      <c r="AE15" s="116" cm="1">
        <f t="array" ref="AE15">_xll.EQNXTDZ($A$1,$B15,AE$1)</f>
        <v>450</v>
      </c>
      <c r="AF15" s="116" cm="1">
        <f t="array" ref="AF15">_xll.EQNXTDZ($A$1,$B15,AF$1)</f>
        <v>504.35</v>
      </c>
      <c r="AG15" s="116" cm="1">
        <f t="array" ref="AG15">_xll.EQNXTDZ($A$1,$B15,AG$1)</f>
        <v>474.5</v>
      </c>
      <c r="AH15" s="116" cm="1">
        <f t="array" ref="AH15">_xll.EQNXTDZ($A$1,$B15,AH$1)</f>
        <v>478.52499999999998</v>
      </c>
      <c r="AI15" s="116" cm="1">
        <f t="array" ref="AI15">_xll.EQNXTDZ($A$1,$B15,AI$1)</f>
        <v>525.76250000000005</v>
      </c>
      <c r="AJ15" s="116" cm="1">
        <f t="array" ref="AJ15">_xll.EQNXTDZ($A$1,$B15,AJ$1)</f>
        <v>532.5</v>
      </c>
      <c r="AK15" s="116" cm="1">
        <f t="array" ref="AK15">_xll.EQNXTDZ($A$1,$B15,AK$1)</f>
        <v>483.16250000000002</v>
      </c>
      <c r="AL15" s="116" cm="1">
        <f t="array" ref="AL15">_xll.EQNXTDZ($A$1,$B15,AL$1)</f>
        <v>477.5</v>
      </c>
      <c r="AM15" s="116" cm="1">
        <f t="array" ref="AM15">_xll.EQNXTDZ($A$1,$B15,AM$1)</f>
        <v>484.25</v>
      </c>
      <c r="AN15" s="116" cm="1">
        <f t="array" ref="AN15">_xll.EQNXTDZ($A$1,$B15,AN$1)</f>
        <v>466.27499999999998</v>
      </c>
      <c r="AO15" s="116" cm="1">
        <f t="array" ref="AO15">_xll.EQNXTDZ($A$1,$B15,AO$1)</f>
        <v>522.5</v>
      </c>
      <c r="AP15" s="116" cm="1">
        <f t="array" ref="AP15">_xll.EQNXTDZ($A$1,$B15,AP$1)</f>
        <v>526.17499999999995</v>
      </c>
      <c r="AQ15" s="116" cm="1">
        <f t="array" ref="AQ15">_xll.EQNXTDZ($A$1,$B15,AQ$1)</f>
        <v>543.54999999999995</v>
      </c>
      <c r="AR15" s="116" cm="1">
        <f t="array" ref="AR15">_xll.EQNXTDZ($A$1,$B15,AR$1)</f>
        <v>506.125</v>
      </c>
      <c r="AS15" s="116" cm="1">
        <f t="array" ref="AS15">_xll.EQNXTDZ($A$1,$B15,AS$1)</f>
        <v>511.75</v>
      </c>
      <c r="AT15" s="116" cm="1">
        <f t="array" ref="AT15">_xll.EQNXTDZ($A$1,$B15,AT$1)</f>
        <v>515.92499999999995</v>
      </c>
      <c r="AU15" s="116" cm="1">
        <f t="array" ref="AU15">_xll.EQNXTDZ($A$1,$B15,AU$1)</f>
        <v>533.5</v>
      </c>
      <c r="AV15" s="116" cm="1">
        <f t="array" ref="AV15">_xll.EQNXTDZ($A$1,$B15,AV$1)</f>
        <v>544.5</v>
      </c>
      <c r="AW15" s="116" cm="1">
        <f t="array" ref="AW15">_xll.EQNXTDZ($A$1,$B15,AW$1)</f>
        <v>575.70000000000005</v>
      </c>
      <c r="AX15" s="116" cm="1">
        <f t="array" ref="AX15">_xll.EQNXTDZ($A$1,$B15,AX$1)</f>
        <v>585.77499999999998</v>
      </c>
      <c r="AY15" s="116" cm="1">
        <f t="array" ref="AY15">_xll.EQNXTDZ($A$1,$B15,AY$1)</f>
        <v>578</v>
      </c>
      <c r="AZ15" s="116" cm="1">
        <f t="array" ref="AZ15">_xll.EQNXTDZ($A$1,$B15,AZ$1)</f>
        <v>528</v>
      </c>
      <c r="BA15" s="116" cm="1">
        <f t="array" ref="BA15">_xll.EQNXTDZ($A$1,$B15,BA$1)</f>
        <v>504.6</v>
      </c>
      <c r="BB15" s="116" cm="1">
        <f t="array" ref="BB15">_xll.EQNXTDZ($A$1,$B15,BB$1)</f>
        <v>512</v>
      </c>
      <c r="BC15" s="116" cm="1">
        <f t="array" ref="BC15">_xll.EQNXTDZ($A$1,$B15,BC$1)</f>
        <v>497</v>
      </c>
      <c r="BD15" s="116" cm="1">
        <f t="array" ref="BD15">_xll.EQNXTDZ($A$1,$B15,BD$1)</f>
        <v>450.15</v>
      </c>
      <c r="BE15" s="116" cm="1">
        <f t="array" ref="BE15">_xll.EQNXTDZ($A$1,$B15,BE$1)</f>
        <v>478.95</v>
      </c>
      <c r="BF15" s="116" cm="1">
        <f t="array" ref="BF15">_xll.EQNXTDZ($A$1,$B15,BF$1)</f>
        <v>452.5</v>
      </c>
      <c r="BG15" s="116" cm="1">
        <f t="array" ref="BG15">_xll.EQNXTDZ($A$1,$B15,BG$1)</f>
        <v>453</v>
      </c>
      <c r="BH15" s="116" cm="1">
        <f t="array" ref="BH15">_xll.EQNXTDZ($A$1,$B15,BH$1)</f>
        <v>499.5</v>
      </c>
      <c r="BI15" s="116" cm="1">
        <f t="array" ref="BI15">_xll.EQNXTDZ($A$1,$B15,BI$1)</f>
        <v>455.2</v>
      </c>
      <c r="BJ15" s="116" cm="1">
        <f t="array" ref="BJ15">_xll.EQNXTDZ($A$1,$B15,BJ$1)</f>
        <v>457.82499999999999</v>
      </c>
      <c r="BK15" s="116" cm="1">
        <f t="array" ref="BK15">_xll.EQNXTDZ($A$1,$B15,BK$1)</f>
        <v>460.6</v>
      </c>
      <c r="BL15" s="116" cm="1">
        <f t="array" ref="BL15">_xll.EQNXTDZ($A$1,$B15,BL$1)</f>
        <v>467.2</v>
      </c>
      <c r="BM15" s="116" cm="1">
        <f t="array" ref="BM15">_xll.EQNXTDZ($A$1,$B15,BM$1)</f>
        <v>430.75</v>
      </c>
      <c r="BN15" s="116" cm="1">
        <f t="array" ref="BN15">_xll.EQNXTDZ($A$1,$B15,BN$1)</f>
        <v>437</v>
      </c>
      <c r="BO15" s="116" cm="1">
        <f t="array" ref="BO15">_xll.EQNXTDZ($A$1,$B15,BO$1)</f>
        <v>448.72500000000002</v>
      </c>
      <c r="BP15" s="116" cm="1">
        <f t="array" ref="BP15">_xll.EQNXTDZ($A$1,$B15,BP$1)</f>
        <v>459</v>
      </c>
      <c r="BQ15" s="116" cm="1">
        <f t="array" ref="BQ15">_xll.EQNXTDZ($A$1,$B15,BQ$1)</f>
        <v>478.22500000000002</v>
      </c>
      <c r="BR15" s="116" cm="1">
        <f t="array" ref="BR15">_xll.EQNXTDZ($A$1,$B15,BR$1)</f>
        <v>503.125</v>
      </c>
      <c r="BS15" s="116" cm="1">
        <f t="array" ref="BS15">_xll.EQNXTDZ($A$1,$B15,BS$1)</f>
        <v>545.85</v>
      </c>
      <c r="BT15" s="116" cm="1">
        <f t="array" ref="BT15">_xll.EQNXTDZ($A$1,$B15,BT$1)</f>
        <v>564.5</v>
      </c>
      <c r="BU15" s="116" cm="1">
        <f t="array" ref="BU15">_xll.EQNXTDZ($A$1,$B15,BU$1)</f>
        <v>549.5</v>
      </c>
      <c r="BV15" s="116" cm="1">
        <f t="array" ref="BV15">_xll.EQNXTDZ($A$1,$B15,BV$1)</f>
        <v>578.4</v>
      </c>
      <c r="BW15" s="116" cm="1">
        <f t="array" ref="BW15">_xll.EQNXTDZ($A$1,$B15,BW$1)</f>
        <v>606.375</v>
      </c>
      <c r="BX15" s="116" cm="1">
        <f t="array" ref="BX15">_xll.EQNXTDZ($A$1,$B15,BX$1)</f>
        <v>634.42499999999995</v>
      </c>
      <c r="BY15" s="116" cm="1">
        <f t="array" ref="BY15">_xll.EQNXTDZ($A$1,$B15,BY$1)</f>
        <v>674.02499999999998</v>
      </c>
      <c r="BZ15" s="116" cm="1">
        <f t="array" ref="BZ15">_xll.EQNXTDZ($A$1,$B15,BZ$1)</f>
        <v>692</v>
      </c>
      <c r="CA15" s="116" cm="1">
        <f t="array" ref="CA15">_xll.EQNXTDZ($A$1,$B15,CA$1)</f>
        <v>630</v>
      </c>
      <c r="CB15" s="116" cm="1">
        <f t="array" ref="CB15">_xll.EQNXTDZ($A$1,$B15,CB$1)</f>
        <v>600.65</v>
      </c>
      <c r="CC15" s="116" cm="1">
        <f t="array" ref="CC15">_xll.EQNXTDZ($A$1,$B15,CC$1)</f>
        <v>637.70000000000005</v>
      </c>
      <c r="CD15" s="116" cm="1">
        <f t="array" ref="CD15">_xll.EQNXTDZ($A$1,$B15,CD$1)</f>
        <v>651.15</v>
      </c>
      <c r="CE15" s="116" cm="1">
        <f t="array" ref="CE15">_xll.EQNXTDZ($A$1,$B15,CE$1)</f>
        <v>723</v>
      </c>
      <c r="CF15" s="116" cm="1">
        <f t="array" ref="CF15">_xll.EQNXTDZ($A$1,$B15,CF$1)</f>
        <v>705.65</v>
      </c>
      <c r="CG15" s="116" cm="1">
        <f t="array" ref="CG15">_xll.EQNXTDZ($A$1,$B15,CG$1)</f>
        <v>713</v>
      </c>
      <c r="CH15" s="116" cm="1">
        <f t="array" ref="CH15">_xll.EQNXTDZ($A$1,$B15,CH$1)</f>
        <v>698.4</v>
      </c>
      <c r="CI15" s="116" cm="1">
        <f t="array" ref="CI15">_xll.EQNXTDZ($A$1,$B15,CI$1)</f>
        <v>728.2</v>
      </c>
      <c r="CJ15" s="116" cm="1">
        <f t="array" ref="CJ15">_xll.EQNXTDZ($A$1,$B15,CJ$1)</f>
        <v>706.7</v>
      </c>
      <c r="CK15" s="116" cm="1">
        <f t="array" ref="CK15">_xll.EQNXTDZ($A$1,$B15,CK$1)</f>
        <v>760.5</v>
      </c>
      <c r="CL15" s="116" cm="1">
        <f t="array" ref="CL15">_xll.EQNXTDZ($A$1,$B15,CL$1)</f>
        <v>742.1</v>
      </c>
      <c r="CM15" s="116" cm="1">
        <f t="array" ref="CM15">_xll.EQNXTDZ($A$1,$B15,CM$1)</f>
        <v>615</v>
      </c>
      <c r="CN15" s="116" cm="1">
        <f t="array" ref="CN15">_xll.EQNXTDZ($A$1,$B15,CN$1)</f>
        <v>678.3</v>
      </c>
      <c r="CO15" s="116" cm="1">
        <f t="array" ref="CO15">_xll.EQNXTDZ($A$1,$B15,CO$1)</f>
        <v>689</v>
      </c>
      <c r="CP15" s="116" cm="1">
        <f t="array" ref="CP15">_xll.EQNXTDZ($A$1,$B15,CP$1)</f>
        <v>708.4</v>
      </c>
      <c r="CQ15" s="116" cm="1">
        <f t="array" ref="CQ15">_xll.EQNXTDZ($A$1,$B15,CQ$1)</f>
        <v>723.3</v>
      </c>
      <c r="CR15" s="116" cm="1">
        <f t="array" ref="CR15">_xll.EQNXTDZ($A$1,$B15,CR$1)</f>
        <v>511.1</v>
      </c>
      <c r="CS15" s="116" cm="1">
        <f t="array" ref="CS15">_xll.EQNXTDZ($A$1,$B15,CS$1)</f>
        <v>582.35</v>
      </c>
      <c r="CT15" s="116" cm="1">
        <f t="array" ref="CT15">_xll.EQNXTDZ($A$1,$B15,CT$1)</f>
        <v>647</v>
      </c>
      <c r="CU15" s="116" cm="1">
        <f t="array" ref="CU15">_xll.EQNXTDZ($A$1,$B15,CU$1)</f>
        <v>675.05</v>
      </c>
      <c r="CV15" s="116" cm="1">
        <f t="array" ref="CV15">_xll.EQNXTDZ($A$1,$B15,CV$1)</f>
        <v>730</v>
      </c>
      <c r="CW15" s="116" cm="1">
        <f t="array" ref="CW15">_xll.EQNXTDZ($A$1,$B15,CW$1)</f>
        <v>915.75</v>
      </c>
      <c r="CX15" s="116" cm="1">
        <f t="array" ref="CX15">_xll.EQNXTDZ($A$1,$B15,CX$1)</f>
        <v>912.6</v>
      </c>
      <c r="CY15" s="116" cm="1">
        <f t="array" ref="CY15">_xll.EQNXTDZ($A$1,$B15,CY$1)</f>
        <v>1011.9</v>
      </c>
      <c r="CZ15" s="116" cm="1">
        <f t="array" ref="CZ15">_xll.EQNXTDZ($A$1,$B15,CZ$1)</f>
        <v>1051</v>
      </c>
      <c r="DA15" s="116" cm="1">
        <f t="array" ref="DA15">_xll.EQNXTDZ($A$1,$B15,DA$1)</f>
        <v>1105.55</v>
      </c>
      <c r="DB15" s="116" cm="1">
        <f t="array" ref="DB15">_xll.EQNXTDZ($A$1,$B15,DB$1)</f>
        <v>1231.1500000000001</v>
      </c>
      <c r="DC15" s="116" cm="1">
        <f t="array" ref="DC15">_xll.EQNXTDZ($A$1,$B15,DC$1)</f>
        <v>1230</v>
      </c>
      <c r="DD15" s="116" cm="1">
        <f t="array" ref="DD15">_xll.EQNXTDZ($A$1,$B15,DD$1)</f>
        <v>1259.7</v>
      </c>
      <c r="DE15" s="116" cm="1">
        <f t="array" ref="DE15">_xll.EQNXTDZ($A$1,$B15,DE$1)</f>
        <v>1320.35</v>
      </c>
      <c r="DF15" s="116" cm="1">
        <f t="array" ref="DF15">_xll.EQNXTDZ($A$1,$B15,DF$1)</f>
        <v>1311.8</v>
      </c>
      <c r="DG15" s="116" cm="1">
        <f t="array" ref="DG15">_xll.EQNXTDZ($A$1,$B15,DG$1)</f>
        <v>1362.2</v>
      </c>
      <c r="DH15" s="116" cm="1">
        <f t="array" ref="DH15">_xll.EQNXTDZ($A$1,$B15,DH$1)</f>
        <v>1535</v>
      </c>
      <c r="DI15" s="116" cm="1">
        <f t="array" ref="DI15">_xll.EQNXTDZ($A$1,$B15,DI$1)</f>
        <v>1620</v>
      </c>
      <c r="DJ15" s="116" cm="1">
        <f t="array" ref="DJ15">_xll.EQNXTDZ($A$1,$B15,DJ$1)</f>
        <v>1658</v>
      </c>
      <c r="DK15" s="116" cm="1">
        <f t="array" ref="DK15">_xll.EQNXTDZ($A$1,$B15,DK$1)</f>
        <v>1661.25</v>
      </c>
      <c r="DL15" s="116" cm="1">
        <f t="array" ref="DL15">_xll.EQNXTDZ($A$1,$B15,DL$1)</f>
        <v>1669.55</v>
      </c>
      <c r="DM15" s="116" cm="1">
        <f t="array" ref="DM15">_xll.EQNXTDZ($A$1,$B15,DM$1)</f>
        <v>1690</v>
      </c>
      <c r="DN15" s="116" cm="1">
        <f t="array" ref="DN15">_xll.EQNXTDZ($A$1,$B15,DN$1)</f>
        <v>1665.05</v>
      </c>
      <c r="DO15" s="116" cm="1">
        <f t="array" ref="DO15">_xll.EQNXTDZ($A$1,$B15,DO$1)</f>
        <v>1665</v>
      </c>
      <c r="DP15" s="116" cm="1">
        <f t="array" ref="DP15">_xll.EQNXTDZ($A$1,$B15,DP$1)</f>
        <v>1681</v>
      </c>
      <c r="DQ15" s="116" cm="1">
        <f t="array" ref="DQ15">_xll.EQNXTDZ($A$1,$B15,DQ$1)</f>
        <v>1550.4</v>
      </c>
      <c r="DR15" s="116" cm="1">
        <f t="array" ref="DR15">_xll.EQNXTDZ($A$1,$B15,DR$1)</f>
        <v>1399.5</v>
      </c>
      <c r="DS15" s="116" cm="1">
        <f t="array" ref="DS15">_xll.EQNXTDZ($A$1,$B15,DS$1)</f>
        <v>1367.2</v>
      </c>
      <c r="DT15" s="116" cm="1">
        <f t="array" ref="DT15">_xll.EQNXTDZ($A$1,$B15,DT$1)</f>
        <v>1410.9</v>
      </c>
      <c r="DU15" s="116" cm="1">
        <f t="array" ref="DU15">_xll.EQNXTDZ($A$1,$B15,DU$1)</f>
        <v>1450</v>
      </c>
      <c r="DV15" s="116" cm="1">
        <f t="array" ref="DV15">_xll.EQNXTDZ($A$1,$B15,DV$1)</f>
        <v>1355.5</v>
      </c>
      <c r="DW15" s="116" cm="1">
        <f t="array" ref="DW15">_xll.EQNXTDZ($A$1,$B15,DW$1)</f>
        <v>1387</v>
      </c>
      <c r="DX15" s="116" cm="1">
        <f t="array" ref="DX15">_xll.EQNXTDZ($A$1,$B15,DX$1)</f>
        <v>1482</v>
      </c>
      <c r="DY15" s="116" cm="1">
        <f t="array" ref="DY15">_xll.EQNXTDZ($A$1,$B15,DY$1)</f>
        <v>1483</v>
      </c>
      <c r="DZ15" s="116" cm="1">
        <f t="array" ref="DZ15">_xll.EQNXTDZ($A$1,$B15,DZ$1)</f>
        <v>1444</v>
      </c>
      <c r="EA15" s="116" cm="1">
        <f t="array" ref="EA15">_xll.EQNXTDZ($A$1,$B15,EA$1)</f>
        <v>1481.3</v>
      </c>
      <c r="EB15" s="116" cm="1">
        <f t="array" ref="EB15">_xll.EQNXTDZ($A$1,$B15,EB$1)</f>
        <v>1365</v>
      </c>
      <c r="EC15" s="116" cm="1">
        <f t="array" ref="EC15">_xll.EQNXTDZ($A$1,$B15,EC$1)</f>
        <v>1215.45</v>
      </c>
      <c r="ED15" s="116" cm="1">
        <f t="array" ref="ED15">_xll.EQNXTDZ($A$1,$B15,ED$1)</f>
        <v>1239</v>
      </c>
      <c r="EE15" s="116" cm="1">
        <f t="array" ref="EE15">_xll.EQNXTDZ($A$1,$B15,EE$1)</f>
        <v>1262.3</v>
      </c>
      <c r="EF15" s="116" cm="1">
        <f t="array" ref="EF15">_xll.EQNXTDZ($A$1,$B15,EF$1)</f>
        <v>1311.6</v>
      </c>
      <c r="EG15" s="116" cm="1">
        <f t="array" ref="EG15">_xll.EQNXTDZ($A$1,$B15,EG$1)</f>
        <v>1348.1</v>
      </c>
      <c r="EH15" s="116" cm="1">
        <f t="array" ref="EH15">_xll.EQNXTDZ($A$1,$B15,EH$1)</f>
        <v>1416</v>
      </c>
      <c r="EI15" s="116" cm="1">
        <f t="array" ref="EI15">_xll.EQNXTDZ($A$1,$B15,EI$1)</f>
        <v>1353.85</v>
      </c>
      <c r="EJ15" s="116" cm="1">
        <f t="array" ref="EJ15">_xll.EQNXTDZ($A$1,$B15,EJ$1)</f>
        <v>1352</v>
      </c>
      <c r="EK15" s="116" cm="1">
        <f t="array" ref="EK15">_xll.EQNXTDZ($A$1,$B15,EK$1)</f>
        <v>1432.65</v>
      </c>
      <c r="EL15" s="116" cm="1">
        <f t="array" ref="EL15">_xll.EQNXTDZ($A$1,$B15,EL$1)</f>
        <v>1486.65</v>
      </c>
      <c r="EM15" s="116" cm="1">
        <f t="array" ref="EM15">_xll.EQNXTDZ($A$1,$B15,EM$1)</f>
        <v>1635.35</v>
      </c>
      <c r="EN15" s="116" cm="1">
        <f t="array" ref="EN15">_xll.EQNXTDZ($A$1,$B15,EN$1)</f>
        <v>1482</v>
      </c>
      <c r="EO15" s="116" cm="1">
        <f t="array" ref="EO15">_xll.EQNXTDZ($A$1,$B15,EO$1)</f>
        <v>1379.7</v>
      </c>
      <c r="EP15" s="116" cm="1">
        <f t="array" ref="EP15">_xll.EQNXTDZ($A$1,$B15,EP$1)</f>
        <v>1400</v>
      </c>
      <c r="EQ15" s="116" cm="1">
        <f t="array" ref="EQ15">_xll.EQNXTDZ($A$1,$B15,EQ$1)</f>
        <v>1359.1</v>
      </c>
      <c r="ER15" s="116" cm="1">
        <f t="array" ref="ER15">_xll.EQNXTDZ($A$1,$B15,ER$1)</f>
        <v>1559.2</v>
      </c>
      <c r="ES15" s="116" cm="1">
        <f t="array" ref="ES15">_xll.EQNXTDZ($A$1,$B15,ES$1)</f>
        <v>1718.4</v>
      </c>
      <c r="ET15" s="116" cm="1">
        <f t="array" ref="ET15">_xll.EQNXTDZ($A$1,$B15,ET$1)</f>
        <v>1866.95</v>
      </c>
      <c r="EU15" s="116" cm="1">
        <f t="array" ref="EU15">_xll.EQNXTDZ($A$1,$B15,EU$1)</f>
        <v>1747.2</v>
      </c>
      <c r="EV15" s="116" cm="1">
        <f t="array" ref="EV15">_xll.EQNXTDZ($A$1,$B15,EV$1)</f>
        <v>1718.5</v>
      </c>
      <c r="EW15" s="116" cm="1">
        <f t="array" ref="EW15">_xll.EQNXTDZ($A$1,$B15,EW$1)</f>
        <v>1836</v>
      </c>
      <c r="EX15" s="116" cm="1">
        <f t="array" ref="EX15">_xll.EQNXTDZ($A$1,$B15,EX$1)</f>
        <v>1792.45</v>
      </c>
      <c r="EY15" s="116" cm="1">
        <f t="array" ref="EY15">_xll.EQNXTDZ($A$1,$B15,EY$1)</f>
        <v>1682.8</v>
      </c>
      <c r="EZ15" s="116" cm="1">
        <f t="array" ref="EZ15">_xll.EQNXTDZ($A$1,$B15,EZ$1)</f>
        <v>1551</v>
      </c>
      <c r="FA15" s="116" cm="1">
        <f t="array" ref="FA15">_xll.EQNXTDZ($A$1,$B15,FA$1)</f>
        <v>1307.0999999999999</v>
      </c>
      <c r="FB15" s="116" cm="1">
        <f t="array" ref="FB15">_xll.EQNXTDZ($A$1,$B15,FB$1)</f>
        <v>1491.2</v>
      </c>
      <c r="FC15" s="116" cm="1">
        <f t="array" ref="FC15">_xll.EQNXTDZ($A$1,$B15,FC$1)</f>
        <v>1535.35</v>
      </c>
      <c r="FD15" s="116" cm="1">
        <f t="array" ref="FD15">_xll.EQNXTDZ($A$1,$B15,FD$1)</f>
        <v>1482.7</v>
      </c>
      <c r="FE15" s="116" cm="1">
        <f t="array" ref="FE15">_xll.EQNXTDZ($A$1,$B15,FE$1)</f>
        <v>1414.5</v>
      </c>
      <c r="FF15" s="116" cm="1">
        <f t="array" ref="FF15">_xll.EQNXTDZ($A$1,$B15,FF$1)</f>
        <v>1428.35</v>
      </c>
      <c r="FG15" s="116" cm="1">
        <f t="array" ref="FG15">_xll.EQNXTDZ($A$1,$B15,FG$1)</f>
        <v>1427.35</v>
      </c>
      <c r="FH15" s="116" cm="1">
        <f t="array" ref="FH15">_xll.EQNXTDZ($A$1,$B15,FH$1)</f>
        <v>1449.35</v>
      </c>
      <c r="FI15" s="116" cm="1">
        <f t="array" ref="FI15">_xll.EQNXTDZ($A$1,$B15,FI$1)</f>
        <v>1551.1</v>
      </c>
      <c r="FJ15" s="116" cm="1">
        <f t="array" ref="FJ15">_xll.EQNXTDZ($A$1,$B15,FJ$1)</f>
        <v>1583.5</v>
      </c>
      <c r="FK15" s="116" cm="1">
        <f t="array" ref="FK15">_xll.EQNXTDZ($A$1,$B15,FK$1)</f>
        <v>1265</v>
      </c>
      <c r="FL15" s="116" cm="1">
        <f t="array" ref="FL15">_xll.EQNXTDZ($A$1,$B15,FL$1)</f>
        <v>1215.1500000000001</v>
      </c>
      <c r="FM15" s="116" cm="1">
        <f t="array" ref="FM15">_xll.EQNXTDZ($A$1,$B15,FM$1)</f>
        <v>1149.8</v>
      </c>
      <c r="FN15" s="116" cm="1">
        <f t="array" ref="FN15">_xll.EQNXTDZ($A$1,$B15,FN$1)</f>
        <v>1089.0999999999999</v>
      </c>
      <c r="FO15" s="116" cm="1">
        <f t="array" ref="FO15">_xll.EQNXTDZ($A$1,$B15,FO$1)</f>
        <v>1109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262.70625000000001</v>
      </c>
      <c r="HQ15" s="116">
        <f>+MIN(G15:I15)</f>
        <v>280.63749999999999</v>
      </c>
      <c r="HR15" s="116">
        <f>+MIN(J15:L15)</f>
        <v>287.85624999999999</v>
      </c>
      <c r="HS15" s="116">
        <f>+MIN(M15:O15)</f>
        <v>273.75</v>
      </c>
      <c r="HT15" s="116">
        <f>+MIN(P15:R15)</f>
        <v>299.10624999999999</v>
      </c>
      <c r="HU15" s="116">
        <f>+MIN(S15:U15)</f>
        <v>374.25</v>
      </c>
      <c r="HV15" s="116">
        <f>+MIN(V15:X15)</f>
        <v>402.125</v>
      </c>
      <c r="HW15" s="116">
        <f>+MIN(Y15:AA15)</f>
        <v>361.75</v>
      </c>
      <c r="HX15" s="116">
        <f>+MIN(AB15:AD15)</f>
        <v>398.52499999999998</v>
      </c>
      <c r="HY15" s="116">
        <f>+MIN(AE15:AG15)</f>
        <v>450</v>
      </c>
      <c r="HZ15" s="116">
        <f>+MIN(AH15:AJ15)</f>
        <v>478.52499999999998</v>
      </c>
      <c r="IA15" s="116">
        <f>+MIN(AK15:AM15)</f>
        <v>477.5</v>
      </c>
      <c r="IB15" s="116">
        <f>+MIN(AN15:AP15)</f>
        <v>466.27499999999998</v>
      </c>
      <c r="IC15" s="116">
        <f>+MIN(AQ15:AS15)</f>
        <v>506.125</v>
      </c>
      <c r="ID15" s="116">
        <f>+MIN(AT15:AV15)</f>
        <v>515.92499999999995</v>
      </c>
      <c r="IE15" s="116">
        <f>+MIN(AW15:AY15)</f>
        <v>575.70000000000005</v>
      </c>
      <c r="IF15" s="116">
        <f>+MIN(AZ15:BB15)</f>
        <v>504.6</v>
      </c>
      <c r="IG15" s="116">
        <f>+MIN(BC15:BE15)</f>
        <v>450.15</v>
      </c>
      <c r="IH15" s="116">
        <f>+MIN(BF15:BH15)</f>
        <v>452.5</v>
      </c>
      <c r="II15" s="116">
        <f>+MIN(BI15:BK15)</f>
        <v>455.2</v>
      </c>
      <c r="IJ15" s="116">
        <f>+MIN(BL15:BN15)</f>
        <v>430.75</v>
      </c>
      <c r="IK15" s="116">
        <f>+MIN(BO15:BQ15)</f>
        <v>448.72500000000002</v>
      </c>
      <c r="IL15" s="116">
        <f>+MIN(BR15:BT15)</f>
        <v>503.125</v>
      </c>
      <c r="IM15" s="116">
        <f>+MIN(BU15:BW15)</f>
        <v>549.5</v>
      </c>
      <c r="IN15" s="116">
        <f>+MIN(BX15:BZ15)</f>
        <v>634.42499999999995</v>
      </c>
      <c r="IO15" s="116">
        <f>+MIN(CA15:CC15)</f>
        <v>600.65</v>
      </c>
      <c r="IP15" s="116">
        <f>+MIN(CD15:CF15)</f>
        <v>651.15</v>
      </c>
      <c r="IQ15" s="116">
        <f>+MIN(CG15:CI15)</f>
        <v>698.4</v>
      </c>
      <c r="IR15" s="116">
        <f>+MIN(CJ15:CL15)</f>
        <v>706.7</v>
      </c>
      <c r="IS15" s="116">
        <f>+MIN(CM15:CO15)</f>
        <v>615</v>
      </c>
      <c r="IT15" s="116">
        <f>+MIN(CP15:CR15)</f>
        <v>511.1</v>
      </c>
      <c r="IU15" s="116">
        <f>+MIN(CS15:CU15)</f>
        <v>582.35</v>
      </c>
      <c r="IV15" s="116">
        <f>+MIN(CV15:CX15)</f>
        <v>730</v>
      </c>
      <c r="IW15" s="116">
        <f>+MIN(CY15:DA15)</f>
        <v>1011.9</v>
      </c>
      <c r="IX15" s="116">
        <f>+MIN(DB15:DD15)</f>
        <v>1230</v>
      </c>
      <c r="IY15" s="116">
        <f>+MIN(DE15:DG15)</f>
        <v>1311.8</v>
      </c>
      <c r="IZ15" s="116">
        <f>+MIN(DH15:DJ15)</f>
        <v>1535</v>
      </c>
      <c r="JA15" s="116">
        <f>+MIN(DK15:DM15)</f>
        <v>1661.25</v>
      </c>
      <c r="JB15" s="116">
        <f>+MIN(DN15:DP15)</f>
        <v>1665</v>
      </c>
      <c r="JC15" s="116">
        <f>+MIN(DQ15:DS15)</f>
        <v>1367.2</v>
      </c>
      <c r="JD15" s="116">
        <f>+MIN(DT15:DV15)</f>
        <v>1355.5</v>
      </c>
      <c r="JE15" s="116">
        <f>+MIN(DW15:DY15)</f>
        <v>1387</v>
      </c>
      <c r="JF15" s="116">
        <f>+MIN(DZ15:EB15)</f>
        <v>1365</v>
      </c>
      <c r="JG15" s="116">
        <f>+MIN(EC15:EE15)</f>
        <v>1215.45</v>
      </c>
      <c r="JH15" s="116">
        <f>+MIN(EF15:EH15)</f>
        <v>1311.6</v>
      </c>
      <c r="JI15" s="116">
        <f>+MIN(EI15:EK15)</f>
        <v>1352</v>
      </c>
      <c r="JJ15" s="116">
        <f>+MIN(EL15:EN15)</f>
        <v>1482</v>
      </c>
      <c r="JK15" s="116">
        <f>MIN(EO15:EQ15)</f>
        <v>1359.1</v>
      </c>
      <c r="JL15" s="116">
        <f>MIN(ER15:ET15)</f>
        <v>1559.2</v>
      </c>
      <c r="JM15" s="116">
        <f>MIN(EU15:EW15)</f>
        <v>1718.5</v>
      </c>
      <c r="JN15" s="116">
        <f>MIN(EX15:EZ15)</f>
        <v>1551</v>
      </c>
      <c r="JO15" s="116">
        <f>MIN(FA15:FC15)</f>
        <v>1307.0999999999999</v>
      </c>
      <c r="JP15" s="116">
        <f>MIN(FD15:FF15)</f>
        <v>1414.5</v>
      </c>
      <c r="JQ15" s="116">
        <f>MIN(FG15:FI15)</f>
        <v>1427.35</v>
      </c>
      <c r="JR15" s="116">
        <f>MIN(FJ15:FL15)</f>
        <v>1215.1500000000001</v>
      </c>
      <c r="JS15" s="116">
        <f>MIN(FM15:FO15)</f>
        <v>1089.0999999999999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312.81875000000002</v>
      </c>
      <c r="D16" s="116" cm="1">
        <f t="array" ref="D16">_xll.EQNXTDZ($A$1,$B16,D$1)</f>
        <v>278.42500000000001</v>
      </c>
      <c r="E16" s="116" cm="1">
        <f t="array" ref="E16">_xll.EQNXTDZ($A$1,$B16,E$1)</f>
        <v>296.65625</v>
      </c>
      <c r="F16" s="116" cm="1">
        <f t="array" ref="F16">_xll.EQNXTDZ($A$1,$B16,F$1)</f>
        <v>316.75</v>
      </c>
      <c r="G16" s="116" cm="1">
        <f t="array" ref="G16">_xll.EQNXTDZ($A$1,$B16,G$1)</f>
        <v>295.4375</v>
      </c>
      <c r="H16" s="116" cm="1">
        <f t="array" ref="H16">_xll.EQNXTDZ($A$1,$B16,H$1)</f>
        <v>304.57499999999999</v>
      </c>
      <c r="I16" s="116" cm="1">
        <f t="array" ref="I16">_xll.EQNXTDZ($A$1,$B16,I$1)</f>
        <v>289.8125</v>
      </c>
      <c r="J16" s="116" cm="1">
        <f t="array" ref="J16">_xll.EQNXTDZ($A$1,$B16,J$1)</f>
        <v>348.59375</v>
      </c>
      <c r="K16" s="116" cm="1">
        <f t="array" ref="K16">_xll.EQNXTDZ($A$1,$B16,K$1)</f>
        <v>363.25</v>
      </c>
      <c r="L16" s="116" cm="1">
        <f t="array" ref="L16">_xll.EQNXTDZ($A$1,$B16,L$1)</f>
        <v>361.23750000000001</v>
      </c>
      <c r="M16" s="116" cm="1">
        <f t="array" ref="M16">_xll.EQNXTDZ($A$1,$B16,M$1)</f>
        <v>279.30624999999998</v>
      </c>
      <c r="N16" s="116" cm="1">
        <f t="array" ref="N16">_xll.EQNXTDZ($A$1,$B16,N$1)</f>
        <v>300.95</v>
      </c>
      <c r="O16" s="116" cm="1">
        <f t="array" ref="O16">_xll.EQNXTDZ($A$1,$B16,O$1)</f>
        <v>311.65625</v>
      </c>
      <c r="P16" s="116" cm="1">
        <f t="array" ref="P16">_xll.EQNXTDZ($A$1,$B16,P$1)</f>
        <v>370.89375000000001</v>
      </c>
      <c r="Q16" s="116" cm="1">
        <f t="array" ref="Q16">_xll.EQNXTDZ($A$1,$B16,Q$1)</f>
        <v>387.53750000000002</v>
      </c>
      <c r="R16" s="116" cm="1">
        <f t="array" ref="R16">_xll.EQNXTDZ($A$1,$B16,R$1)</f>
        <v>376.93124999999998</v>
      </c>
      <c r="S16" s="116" cm="1">
        <f t="array" ref="S16">_xll.EQNXTDZ($A$1,$B16,S$1)</f>
        <v>413.58125000000001</v>
      </c>
      <c r="T16" s="116" cm="1">
        <f t="array" ref="T16">_xll.EQNXTDZ($A$1,$B16,T$1)</f>
        <v>419.1875</v>
      </c>
      <c r="U16" s="116" cm="1">
        <f t="array" ref="U16">_xll.EQNXTDZ($A$1,$B16,U$1)</f>
        <v>435.6875</v>
      </c>
      <c r="V16" s="116" cm="1">
        <f t="array" ref="V16">_xll.EQNXTDZ($A$1,$B16,V$1)</f>
        <v>462.43124999999998</v>
      </c>
      <c r="W16" s="116" cm="1">
        <f t="array" ref="W16">_xll.EQNXTDZ($A$1,$B16,W$1)</f>
        <v>477.52499999999998</v>
      </c>
      <c r="X16" s="116" cm="1">
        <f t="array" ref="X16">_xll.EQNXTDZ($A$1,$B16,X$1)</f>
        <v>409.85624999999999</v>
      </c>
      <c r="Y16" s="116" cm="1">
        <f t="array" ref="Y16">_xll.EQNXTDZ($A$1,$B16,Y$1)</f>
        <v>397.15</v>
      </c>
      <c r="Z16" s="116" cm="1">
        <f t="array" ref="Z16">_xll.EQNXTDZ($A$1,$B16,Z$1)</f>
        <v>367.6875</v>
      </c>
      <c r="AA16" s="116" cm="1">
        <f t="array" ref="AA16">_xll.EQNXTDZ($A$1,$B16,AA$1)</f>
        <v>405.80624999999998</v>
      </c>
      <c r="AB16" s="116" cm="1">
        <f t="array" ref="AB16">_xll.EQNXTDZ($A$1,$B16,AB$1)</f>
        <v>420.71249999999998</v>
      </c>
      <c r="AC16" s="116" cm="1">
        <f t="array" ref="AC16">_xll.EQNXTDZ($A$1,$B16,AC$1)</f>
        <v>449.25</v>
      </c>
      <c r="AD16" s="116" cm="1">
        <f t="array" ref="AD16">_xll.EQNXTDZ($A$1,$B16,AD$1)</f>
        <v>468.45625000000001</v>
      </c>
      <c r="AE16" s="116" cm="1">
        <f t="array" ref="AE16">_xll.EQNXTDZ($A$1,$B16,AE$1)</f>
        <v>506.43124999999998</v>
      </c>
      <c r="AF16" s="116" cm="1">
        <f t="array" ref="AF16">_xll.EQNXTDZ($A$1,$B16,AF$1)</f>
        <v>544.90625</v>
      </c>
      <c r="AG16" s="116" cm="1">
        <f t="array" ref="AG16">_xll.EQNXTDZ($A$1,$B16,AG$1)</f>
        <v>492.8</v>
      </c>
      <c r="AH16" s="116" cm="1">
        <f t="array" ref="AH16">_xll.EQNXTDZ($A$1,$B16,AH$1)</f>
        <v>535.6875</v>
      </c>
      <c r="AI16" s="116" cm="1">
        <f t="array" ref="AI16">_xll.EQNXTDZ($A$1,$B16,AI$1)</f>
        <v>573.71249999999998</v>
      </c>
      <c r="AJ16" s="116" cm="1">
        <f t="array" ref="AJ16">_xll.EQNXTDZ($A$1,$B16,AJ$1)</f>
        <v>554.15</v>
      </c>
      <c r="AK16" s="116" cm="1">
        <f t="array" ref="AK16">_xll.EQNXTDZ($A$1,$B16,AK$1)</f>
        <v>485.6</v>
      </c>
      <c r="AL16" s="116" cm="1">
        <f t="array" ref="AL16">_xll.EQNXTDZ($A$1,$B16,AL$1)</f>
        <v>505.6</v>
      </c>
      <c r="AM16" s="116" cm="1">
        <f t="array" ref="AM16">_xll.EQNXTDZ($A$1,$B16,AM$1)</f>
        <v>492.67500000000001</v>
      </c>
      <c r="AN16" s="116" cm="1">
        <f t="array" ref="AN16">_xll.EQNXTDZ($A$1,$B16,AN$1)</f>
        <v>539.02499999999998</v>
      </c>
      <c r="AO16" s="116" cm="1">
        <f t="array" ref="AO16">_xll.EQNXTDZ($A$1,$B16,AO$1)</f>
        <v>547.6</v>
      </c>
      <c r="AP16" s="116" cm="1">
        <f t="array" ref="AP16">_xll.EQNXTDZ($A$1,$B16,AP$1)</f>
        <v>580.22500000000002</v>
      </c>
      <c r="AQ16" s="116" cm="1">
        <f t="array" ref="AQ16">_xll.EQNXTDZ($A$1,$B16,AQ$1)</f>
        <v>568.02499999999998</v>
      </c>
      <c r="AR16" s="116" cm="1">
        <f t="array" ref="AR16">_xll.EQNXTDZ($A$1,$B16,AR$1)</f>
        <v>544.22500000000002</v>
      </c>
      <c r="AS16" s="116" cm="1">
        <f t="array" ref="AS16">_xll.EQNXTDZ($A$1,$B16,AS$1)</f>
        <v>552.27499999999998</v>
      </c>
      <c r="AT16" s="116" cm="1">
        <f t="array" ref="AT16">_xll.EQNXTDZ($A$1,$B16,AT$1)</f>
        <v>582.42499999999995</v>
      </c>
      <c r="AU16" s="116" cm="1">
        <f t="array" ref="AU16">_xll.EQNXTDZ($A$1,$B16,AU$1)</f>
        <v>541.875</v>
      </c>
      <c r="AV16" s="116" cm="1">
        <f t="array" ref="AV16">_xll.EQNXTDZ($A$1,$B16,AV$1)</f>
        <v>608.97500000000002</v>
      </c>
      <c r="AW16" s="116" cm="1">
        <f t="array" ref="AW16">_xll.EQNXTDZ($A$1,$B16,AW$1)</f>
        <v>605.42499999999995</v>
      </c>
      <c r="AX16" s="116" cm="1">
        <f t="array" ref="AX16">_xll.EQNXTDZ($A$1,$B16,AX$1)</f>
        <v>624.92499999999995</v>
      </c>
      <c r="AY16" s="116" cm="1">
        <f t="array" ref="AY16">_xll.EQNXTDZ($A$1,$B16,AY$1)</f>
        <v>585.375</v>
      </c>
      <c r="AZ16" s="116" cm="1">
        <f t="array" ref="AZ16">_xll.EQNXTDZ($A$1,$B16,AZ$1)</f>
        <v>536.97500000000002</v>
      </c>
      <c r="BA16" s="116" cm="1">
        <f t="array" ref="BA16">_xll.EQNXTDZ($A$1,$B16,BA$1)</f>
        <v>518.4</v>
      </c>
      <c r="BB16" s="116" cm="1">
        <f t="array" ref="BB16">_xll.EQNXTDZ($A$1,$B16,BB$1)</f>
        <v>519.04999999999995</v>
      </c>
      <c r="BC16" s="116" cm="1">
        <f t="array" ref="BC16">_xll.EQNXTDZ($A$1,$B16,BC$1)</f>
        <v>501.25</v>
      </c>
      <c r="BD16" s="116" cm="1">
        <f t="array" ref="BD16">_xll.EQNXTDZ($A$1,$B16,BD$1)</f>
        <v>487.72500000000002</v>
      </c>
      <c r="BE16" s="116" cm="1">
        <f t="array" ref="BE16">_xll.EQNXTDZ($A$1,$B16,BE$1)</f>
        <v>505.35</v>
      </c>
      <c r="BF16" s="116" cm="1">
        <f t="array" ref="BF16">_xll.EQNXTDZ($A$1,$B16,BF$1)</f>
        <v>464.65</v>
      </c>
      <c r="BG16" s="116" cm="1">
        <f t="array" ref="BG16">_xll.EQNXTDZ($A$1,$B16,BG$1)</f>
        <v>506.15</v>
      </c>
      <c r="BH16" s="116" cm="1">
        <f t="array" ref="BH16">_xll.EQNXTDZ($A$1,$B16,BH$1)</f>
        <v>510.4</v>
      </c>
      <c r="BI16" s="116" cm="1">
        <f t="array" ref="BI16">_xll.EQNXTDZ($A$1,$B16,BI$1)</f>
        <v>459.7</v>
      </c>
      <c r="BJ16" s="116" cm="1">
        <f t="array" ref="BJ16">_xll.EQNXTDZ($A$1,$B16,BJ$1)</f>
        <v>488.47500000000002</v>
      </c>
      <c r="BK16" s="116" cm="1">
        <f t="array" ref="BK16">_xll.EQNXTDZ($A$1,$B16,BK$1)</f>
        <v>467.82499999999999</v>
      </c>
      <c r="BL16" s="116" cm="1">
        <f t="array" ref="BL16">_xll.EQNXTDZ($A$1,$B16,BL$1)</f>
        <v>505.65</v>
      </c>
      <c r="BM16" s="116" cm="1">
        <f t="array" ref="BM16">_xll.EQNXTDZ($A$1,$B16,BM$1)</f>
        <v>457.65</v>
      </c>
      <c r="BN16" s="116" cm="1">
        <f t="array" ref="BN16">_xll.EQNXTDZ($A$1,$B16,BN$1)</f>
        <v>449.375</v>
      </c>
      <c r="BO16" s="116" cm="1">
        <f t="array" ref="BO16">_xll.EQNXTDZ($A$1,$B16,BO$1)</f>
        <v>460.82499999999999</v>
      </c>
      <c r="BP16" s="116" cm="1">
        <f t="array" ref="BP16">_xll.EQNXTDZ($A$1,$B16,BP$1)</f>
        <v>487.47500000000002</v>
      </c>
      <c r="BQ16" s="116" cm="1">
        <f t="array" ref="BQ16">_xll.EQNXTDZ($A$1,$B16,BQ$1)</f>
        <v>519.65</v>
      </c>
      <c r="BR16" s="116" cm="1">
        <f t="array" ref="BR16">_xll.EQNXTDZ($A$1,$B16,BR$1)</f>
        <v>575.32500000000005</v>
      </c>
      <c r="BS16" s="116" cm="1">
        <f t="array" ref="BS16">_xll.EQNXTDZ($A$1,$B16,BS$1)</f>
        <v>587.125</v>
      </c>
      <c r="BT16" s="116" cm="1">
        <f t="array" ref="BT16">_xll.EQNXTDZ($A$1,$B16,BT$1)</f>
        <v>567.20000000000005</v>
      </c>
      <c r="BU16" s="116" cm="1">
        <f t="array" ref="BU16">_xll.EQNXTDZ($A$1,$B16,BU$1)</f>
        <v>599.70000000000005</v>
      </c>
      <c r="BV16" s="116" cm="1">
        <f t="array" ref="BV16">_xll.EQNXTDZ($A$1,$B16,BV$1)</f>
        <v>615.95000000000005</v>
      </c>
      <c r="BW16" s="116" cm="1">
        <f t="array" ref="BW16">_xll.EQNXTDZ($A$1,$B16,BW$1)</f>
        <v>653.375</v>
      </c>
      <c r="BX16" s="116" cm="1">
        <f t="array" ref="BX16">_xll.EQNXTDZ($A$1,$B16,BX$1)</f>
        <v>682.5</v>
      </c>
      <c r="BY16" s="116" cm="1">
        <f t="array" ref="BY16">_xll.EQNXTDZ($A$1,$B16,BY$1)</f>
        <v>720</v>
      </c>
      <c r="BZ16" s="116" cm="1">
        <f t="array" ref="BZ16">_xll.EQNXTDZ($A$1,$B16,BZ$1)</f>
        <v>727.85</v>
      </c>
      <c r="CA16" s="116" cm="1">
        <f t="array" ref="CA16">_xll.EQNXTDZ($A$1,$B16,CA$1)</f>
        <v>686.25</v>
      </c>
      <c r="CB16" s="116" cm="1">
        <f t="array" ref="CB16">_xll.EQNXTDZ($A$1,$B16,CB$1)</f>
        <v>666.5</v>
      </c>
      <c r="CC16" s="116" cm="1">
        <f t="array" ref="CC16">_xll.EQNXTDZ($A$1,$B16,CC$1)</f>
        <v>659.85</v>
      </c>
      <c r="CD16" s="116" cm="1">
        <f t="array" ref="CD16">_xll.EQNXTDZ($A$1,$B16,CD$1)</f>
        <v>749.6</v>
      </c>
      <c r="CE16" s="116" cm="1">
        <f t="array" ref="CE16">_xll.EQNXTDZ($A$1,$B16,CE$1)</f>
        <v>733.95</v>
      </c>
      <c r="CF16" s="116" cm="1">
        <f t="array" ref="CF16">_xll.EQNXTDZ($A$1,$B16,CF$1)</f>
        <v>742.3</v>
      </c>
      <c r="CG16" s="116" cm="1">
        <f t="array" ref="CG16">_xll.EQNXTDZ($A$1,$B16,CG$1)</f>
        <v>749.95</v>
      </c>
      <c r="CH16" s="116" cm="1">
        <f t="array" ref="CH16">_xll.EQNXTDZ($A$1,$B16,CH$1)</f>
        <v>736.85</v>
      </c>
      <c r="CI16" s="116" cm="1">
        <f t="array" ref="CI16">_xll.EQNXTDZ($A$1,$B16,CI$1)</f>
        <v>731.95</v>
      </c>
      <c r="CJ16" s="116" cm="1">
        <f t="array" ref="CJ16">_xll.EQNXTDZ($A$1,$B16,CJ$1)</f>
        <v>794</v>
      </c>
      <c r="CK16" s="116" cm="1">
        <f t="array" ref="CK16">_xll.EQNXTDZ($A$1,$B16,CK$1)</f>
        <v>814.6</v>
      </c>
      <c r="CL16" s="116" cm="1">
        <f t="array" ref="CL16">_xll.EQNXTDZ($A$1,$B16,CL$1)</f>
        <v>805.3</v>
      </c>
      <c r="CM16" s="116" cm="1">
        <f t="array" ref="CM16">_xll.EQNXTDZ($A$1,$B16,CM$1)</f>
        <v>685.5</v>
      </c>
      <c r="CN16" s="116" cm="1">
        <f t="array" ref="CN16">_xll.EQNXTDZ($A$1,$B16,CN$1)</f>
        <v>695.95</v>
      </c>
      <c r="CO16" s="116" cm="1">
        <f t="array" ref="CO16">_xll.EQNXTDZ($A$1,$B16,CO$1)</f>
        <v>731.75</v>
      </c>
      <c r="CP16" s="116" cm="1">
        <f t="array" ref="CP16">_xll.EQNXTDZ($A$1,$B16,CP$1)</f>
        <v>776.35</v>
      </c>
      <c r="CQ16" s="116" cm="1">
        <f t="array" ref="CQ16">_xll.EQNXTDZ($A$1,$B16,CQ$1)</f>
        <v>731.35</v>
      </c>
      <c r="CR16" s="116" cm="1">
        <f t="array" ref="CR16">_xll.EQNXTDZ($A$1,$B16,CR$1)</f>
        <v>640.29999999999995</v>
      </c>
      <c r="CS16" s="116" cm="1">
        <f t="array" ref="CS16">_xll.EQNXTDZ($A$1,$B16,CS$1)</f>
        <v>716.2</v>
      </c>
      <c r="CT16" s="116" cm="1">
        <f t="array" ref="CT16">_xll.EQNXTDZ($A$1,$B16,CT$1)</f>
        <v>691.35</v>
      </c>
      <c r="CU16" s="116" cm="1">
        <f t="array" ref="CU16">_xll.EQNXTDZ($A$1,$B16,CU$1)</f>
        <v>735.9</v>
      </c>
      <c r="CV16" s="116" cm="1">
        <f t="array" ref="CV16">_xll.EQNXTDZ($A$1,$B16,CV$1)</f>
        <v>966.25</v>
      </c>
      <c r="CW16" s="116" cm="1">
        <f t="array" ref="CW16">_xll.EQNXTDZ($A$1,$B16,CW$1)</f>
        <v>928.5</v>
      </c>
      <c r="CX16" s="116" cm="1">
        <f t="array" ref="CX16">_xll.EQNXTDZ($A$1,$B16,CX$1)</f>
        <v>1008</v>
      </c>
      <c r="CY16" s="116" cm="1">
        <f t="array" ref="CY16">_xll.EQNXTDZ($A$1,$B16,CY$1)</f>
        <v>1060.5999999999999</v>
      </c>
      <c r="CZ16" s="116" cm="1">
        <f t="array" ref="CZ16">_xll.EQNXTDZ($A$1,$B16,CZ$1)</f>
        <v>1100.55</v>
      </c>
      <c r="DA16" s="116" cm="1">
        <f t="array" ref="DA16">_xll.EQNXTDZ($A$1,$B16,DA$1)</f>
        <v>1255.8499999999999</v>
      </c>
      <c r="DB16" s="116" cm="1">
        <f t="array" ref="DB16">_xll.EQNXTDZ($A$1,$B16,DB$1)</f>
        <v>1239.6500000000001</v>
      </c>
      <c r="DC16" s="116" cm="1">
        <f t="array" ref="DC16">_xll.EQNXTDZ($A$1,$B16,DC$1)</f>
        <v>1252.3499999999999</v>
      </c>
      <c r="DD16" s="116" cm="1">
        <f t="array" ref="DD16">_xll.EQNXTDZ($A$1,$B16,DD$1)</f>
        <v>1367.75</v>
      </c>
      <c r="DE16" s="116" cm="1">
        <f t="array" ref="DE16">_xll.EQNXTDZ($A$1,$B16,DE$1)</f>
        <v>1353.9</v>
      </c>
      <c r="DF16" s="116" cm="1">
        <f t="array" ref="DF16">_xll.EQNXTDZ($A$1,$B16,DF$1)</f>
        <v>1393.65</v>
      </c>
      <c r="DG16" s="116" cm="1">
        <f t="array" ref="DG16">_xll.EQNXTDZ($A$1,$B16,DG$1)</f>
        <v>1581.25</v>
      </c>
      <c r="DH16" s="116" cm="1">
        <f t="array" ref="DH16">_xll.EQNXTDZ($A$1,$B16,DH$1)</f>
        <v>1610.25</v>
      </c>
      <c r="DI16" s="116" cm="1">
        <f t="array" ref="DI16">_xll.EQNXTDZ($A$1,$B16,DI$1)</f>
        <v>1704.15</v>
      </c>
      <c r="DJ16" s="116" cm="1">
        <f t="array" ref="DJ16">_xll.EQNXTDZ($A$1,$B16,DJ$1)</f>
        <v>1675.4</v>
      </c>
      <c r="DK16" s="116" cm="1">
        <f t="array" ref="DK16">_xll.EQNXTDZ($A$1,$B16,DK$1)</f>
        <v>1668.6</v>
      </c>
      <c r="DL16" s="116" cm="1">
        <f t="array" ref="DL16">_xll.EQNXTDZ($A$1,$B16,DL$1)</f>
        <v>1714.45</v>
      </c>
      <c r="DM16" s="116" cm="1">
        <f t="array" ref="DM16">_xll.EQNXTDZ($A$1,$B16,DM$1)</f>
        <v>1889.65</v>
      </c>
      <c r="DN16" s="116" cm="1">
        <f t="array" ref="DN16">_xll.EQNXTDZ($A$1,$B16,DN$1)</f>
        <v>1736.7</v>
      </c>
      <c r="DO16" s="116" cm="1">
        <f t="array" ref="DO16">_xll.EQNXTDZ($A$1,$B16,DO$1)</f>
        <v>1717.3</v>
      </c>
      <c r="DP16" s="116" cm="1">
        <f t="array" ref="DP16">_xll.EQNXTDZ($A$1,$B16,DP$1)</f>
        <v>1907.2</v>
      </c>
      <c r="DQ16" s="116" cm="1">
        <f t="array" ref="DQ16">_xll.EQNXTDZ($A$1,$B16,DQ$1)</f>
        <v>1567.9</v>
      </c>
      <c r="DR16" s="116" cm="1">
        <f t="array" ref="DR16">_xll.EQNXTDZ($A$1,$B16,DR$1)</f>
        <v>1503.95</v>
      </c>
      <c r="DS16" s="116" cm="1">
        <f t="array" ref="DS16">_xll.EQNXTDZ($A$1,$B16,DS$1)</f>
        <v>1461.2</v>
      </c>
      <c r="DT16" s="116" cm="1">
        <f t="array" ref="DT16">_xll.EQNXTDZ($A$1,$B16,DT$1)</f>
        <v>1549.6</v>
      </c>
      <c r="DU16" s="116" cm="1">
        <f t="array" ref="DU16">_xll.EQNXTDZ($A$1,$B16,DU$1)</f>
        <v>1493.2</v>
      </c>
      <c r="DV16" s="116" cm="1">
        <f t="array" ref="DV16">_xll.EQNXTDZ($A$1,$B16,DV$1)</f>
        <v>1413.1</v>
      </c>
      <c r="DW16" s="116" cm="1">
        <f t="array" ref="DW16">_xll.EQNXTDZ($A$1,$B16,DW$1)</f>
        <v>1537.9</v>
      </c>
      <c r="DX16" s="116" cm="1">
        <f t="array" ref="DX16">_xll.EQNXTDZ($A$1,$B16,DX$1)</f>
        <v>1632.4</v>
      </c>
      <c r="DY16" s="116" cm="1">
        <f t="array" ref="DY16">_xll.EQNXTDZ($A$1,$B16,DY$1)</f>
        <v>1508.7</v>
      </c>
      <c r="DZ16" s="116" cm="1">
        <f t="array" ref="DZ16">_xll.EQNXTDZ($A$1,$B16,DZ$1)</f>
        <v>1533.15</v>
      </c>
      <c r="EA16" s="116" cm="1">
        <f t="array" ref="EA16">_xll.EQNXTDZ($A$1,$B16,EA$1)</f>
        <v>1487.3</v>
      </c>
      <c r="EB16" s="116" cm="1">
        <f t="array" ref="EB16">_xll.EQNXTDZ($A$1,$B16,EB$1)</f>
        <v>1427.7</v>
      </c>
      <c r="EC16" s="116" cm="1">
        <f t="array" ref="EC16">_xll.EQNXTDZ($A$1,$B16,EC$1)</f>
        <v>1252.55</v>
      </c>
      <c r="ED16" s="116" cm="1">
        <f t="array" ref="ED16">_xll.EQNXTDZ($A$1,$B16,ED$1)</f>
        <v>1322.1</v>
      </c>
      <c r="EE16" s="116" cm="1">
        <f t="array" ref="EE16">_xll.EQNXTDZ($A$1,$B16,EE$1)</f>
        <v>1335.2</v>
      </c>
      <c r="EF16" s="116" cm="1">
        <f t="array" ref="EF16">_xll.EQNXTDZ($A$1,$B16,EF$1)</f>
        <v>1355.1</v>
      </c>
      <c r="EG16" s="116" cm="1">
        <f t="array" ref="EG16">_xll.EQNXTDZ($A$1,$B16,EG$1)</f>
        <v>1434.1</v>
      </c>
      <c r="EH16" s="116" cm="1">
        <f t="array" ref="EH16">_xll.EQNXTDZ($A$1,$B16,EH$1)</f>
        <v>1435.05</v>
      </c>
      <c r="EI16" s="116" cm="1">
        <f t="array" ref="EI16">_xll.EQNXTDZ($A$1,$B16,EI$1)</f>
        <v>1368.65</v>
      </c>
      <c r="EJ16" s="116" cm="1">
        <f t="array" ref="EJ16">_xll.EQNXTDZ($A$1,$B16,EJ$1)</f>
        <v>1455.3</v>
      </c>
      <c r="EK16" s="116" cm="1">
        <f t="array" ref="EK16">_xll.EQNXTDZ($A$1,$B16,EK$1)</f>
        <v>1542.85</v>
      </c>
      <c r="EL16" s="116" cm="1">
        <f t="array" ref="EL16">_xll.EQNXTDZ($A$1,$B16,EL$1)</f>
        <v>1662.1</v>
      </c>
      <c r="EM16" s="116" cm="1">
        <f t="array" ref="EM16">_xll.EQNXTDZ($A$1,$B16,EM$1)</f>
        <v>1675.05</v>
      </c>
      <c r="EN16" s="116" cm="1">
        <f t="array" ref="EN16">_xll.EQNXTDZ($A$1,$B16,EN$1)</f>
        <v>1498.8</v>
      </c>
      <c r="EO16" s="116" cm="1">
        <f t="array" ref="EO16">_xll.EQNXTDZ($A$1,$B16,EO$1)</f>
        <v>1421.1</v>
      </c>
      <c r="EP16" s="116" cm="1">
        <f t="array" ref="EP16">_xll.EQNXTDZ($A$1,$B16,EP$1)</f>
        <v>1406.25</v>
      </c>
      <c r="EQ16" s="116" cm="1">
        <f t="array" ref="EQ16">_xll.EQNXTDZ($A$1,$B16,EQ$1)</f>
        <v>1566.95</v>
      </c>
      <c r="ER16" s="116" cm="1">
        <f t="array" ref="ER16">_xll.EQNXTDZ($A$1,$B16,ER$1)</f>
        <v>1868.05</v>
      </c>
      <c r="ES16" s="116" cm="1">
        <f t="array" ref="ES16">_xll.EQNXTDZ($A$1,$B16,ES$1)</f>
        <v>1943.3</v>
      </c>
      <c r="ET16" s="116" cm="1">
        <f t="array" ref="ET16">_xll.EQNXTDZ($A$1,$B16,ET$1)</f>
        <v>1876</v>
      </c>
      <c r="EU16" s="116" cm="1">
        <f t="array" ref="EU16">_xll.EQNXTDZ($A$1,$B16,EU$1)</f>
        <v>1757.15</v>
      </c>
      <c r="EV16" s="116" cm="1">
        <f t="array" ref="EV16">_xll.EQNXTDZ($A$1,$B16,EV$1)</f>
        <v>1858.45</v>
      </c>
      <c r="EW16" s="116" cm="1">
        <f t="array" ref="EW16">_xll.EQNXTDZ($A$1,$B16,EW$1)</f>
        <v>1880.7</v>
      </c>
      <c r="EX16" s="116" cm="1">
        <f t="array" ref="EX16">_xll.EQNXTDZ($A$1,$B16,EX$1)</f>
        <v>1880.05</v>
      </c>
      <c r="EY16" s="116" cm="1">
        <f t="array" ref="EY16">_xll.EQNXTDZ($A$1,$B16,EY$1)</f>
        <v>1688.05</v>
      </c>
      <c r="EZ16" s="116" cm="1">
        <f t="array" ref="EZ16">_xll.EQNXTDZ($A$1,$B16,EZ$1)</f>
        <v>1570.4</v>
      </c>
      <c r="FA16" s="116" cm="1">
        <f t="array" ref="FA16">_xll.EQNXTDZ($A$1,$B16,FA$1)</f>
        <v>1498.9</v>
      </c>
      <c r="FB16" s="116" cm="1">
        <f t="array" ref="FB16">_xll.EQNXTDZ($A$1,$B16,FB$1)</f>
        <v>1562.8</v>
      </c>
      <c r="FC16" s="116" cm="1">
        <f t="array" ref="FC16">_xll.EQNXTDZ($A$1,$B16,FC$1)</f>
        <v>1601.3</v>
      </c>
      <c r="FD16" s="116" cm="1">
        <f t="array" ref="FD16">_xll.EQNXTDZ($A$1,$B16,FD$1)</f>
        <v>1508.6</v>
      </c>
      <c r="FE16" s="116" cm="1">
        <f t="array" ref="FE16">_xll.EQNXTDZ($A$1,$B16,FE$1)</f>
        <v>1469.45</v>
      </c>
      <c r="FF16" s="116" cm="1">
        <f t="array" ref="FF16">_xll.EQNXTDZ($A$1,$B16,FF$1)</f>
        <v>1442.05</v>
      </c>
      <c r="FG16" s="116" cm="1">
        <f t="array" ref="FG16">_xll.EQNXTDZ($A$1,$B16,FG$1)</f>
        <v>1482.5</v>
      </c>
      <c r="FH16" s="116" cm="1">
        <f t="array" ref="FH16">_xll.EQNXTDZ($A$1,$B16,FH$1)</f>
        <v>1559.7</v>
      </c>
      <c r="FI16" s="116" cm="1">
        <f t="array" ref="FI16">_xll.EQNXTDZ($A$1,$B16,FI$1)</f>
        <v>1616.45</v>
      </c>
      <c r="FJ16" s="116" cm="1">
        <f t="array" ref="FJ16">_xll.EQNXTDZ($A$1,$B16,FJ$1)</f>
        <v>1640.45</v>
      </c>
      <c r="FK16" s="116" cm="1">
        <f t="array" ref="FK16">_xll.EQNXTDZ($A$1,$B16,FK$1)</f>
        <v>1299.95</v>
      </c>
      <c r="FL16" s="116" cm="1">
        <f t="array" ref="FL16">_xll.EQNXTDZ($A$1,$B16,FL$1)</f>
        <v>1251.2</v>
      </c>
      <c r="FM16" s="116" cm="1">
        <f t="array" ref="FM16">_xll.EQNXTDZ($A$1,$B16,FM$1)</f>
        <v>1181.5</v>
      </c>
      <c r="FN16" s="116" cm="1">
        <f t="array" ref="FN16">_xll.EQNXTDZ($A$1,$B16,FN$1)</f>
        <v>1159.75</v>
      </c>
      <c r="FO16" s="116" cm="1">
        <f t="array" ref="FO16">_xll.EQNXTDZ($A$1,$B16,FO$1)</f>
        <v>1143.3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316.75</v>
      </c>
      <c r="HQ16" s="116">
        <f>+I16</f>
        <v>289.8125</v>
      </c>
      <c r="HR16" s="116">
        <f>+L16</f>
        <v>361.23750000000001</v>
      </c>
      <c r="HS16" s="116">
        <f>+O16</f>
        <v>311.65625</v>
      </c>
      <c r="HT16" s="116">
        <f>+R16</f>
        <v>376.93124999999998</v>
      </c>
      <c r="HU16" s="116">
        <f>+U16</f>
        <v>435.6875</v>
      </c>
      <c r="HV16" s="116">
        <f>+X16</f>
        <v>409.85624999999999</v>
      </c>
      <c r="HW16" s="116">
        <f>+AA16</f>
        <v>405.80624999999998</v>
      </c>
      <c r="HX16" s="116">
        <f>+AD16</f>
        <v>468.45625000000001</v>
      </c>
      <c r="HY16" s="116">
        <f>+AG16</f>
        <v>492.8</v>
      </c>
      <c r="HZ16" s="116">
        <f>+AJ16</f>
        <v>554.15</v>
      </c>
      <c r="IA16" s="116">
        <f>+AM16</f>
        <v>492.67500000000001</v>
      </c>
      <c r="IB16" s="116">
        <f>+AP16</f>
        <v>580.22500000000002</v>
      </c>
      <c r="IC16" s="116">
        <f>+AS16</f>
        <v>552.27499999999998</v>
      </c>
      <c r="ID16" s="116">
        <f>+AV16</f>
        <v>608.97500000000002</v>
      </c>
      <c r="IE16" s="116">
        <f>+AY16</f>
        <v>585.375</v>
      </c>
      <c r="IF16" s="116">
        <f>+BB16</f>
        <v>519.04999999999995</v>
      </c>
      <c r="IG16" s="116">
        <f>+BE16</f>
        <v>505.35</v>
      </c>
      <c r="IH16" s="116">
        <f>+BH16</f>
        <v>510.4</v>
      </c>
      <c r="II16" s="116">
        <f>+BK16</f>
        <v>467.82499999999999</v>
      </c>
      <c r="IJ16" s="116">
        <f>+BN16</f>
        <v>449.375</v>
      </c>
      <c r="IK16" s="116">
        <f>+BQ16</f>
        <v>519.65</v>
      </c>
      <c r="IL16" s="116">
        <f>+BT16</f>
        <v>567.20000000000005</v>
      </c>
      <c r="IM16" s="116">
        <f>+BW16</f>
        <v>653.375</v>
      </c>
      <c r="IN16" s="116">
        <f>+BZ16</f>
        <v>727.85</v>
      </c>
      <c r="IO16" s="116">
        <f>+CC16</f>
        <v>659.85</v>
      </c>
      <c r="IP16" s="116">
        <f>+CF16</f>
        <v>742.3</v>
      </c>
      <c r="IQ16" s="116">
        <f>+CI16</f>
        <v>731.95</v>
      </c>
      <c r="IR16" s="116">
        <f>+CL16</f>
        <v>805.3</v>
      </c>
      <c r="IS16" s="116">
        <f>+CO16</f>
        <v>731.75</v>
      </c>
      <c r="IT16" s="116">
        <f>+CR16</f>
        <v>640.29999999999995</v>
      </c>
      <c r="IU16" s="116">
        <f>+CU16</f>
        <v>735.9</v>
      </c>
      <c r="IV16" s="116">
        <f>+CX16</f>
        <v>1008</v>
      </c>
      <c r="IW16" s="116">
        <f>+DA16</f>
        <v>1255.8499999999999</v>
      </c>
      <c r="IX16" s="116">
        <f>+DD16</f>
        <v>1367.75</v>
      </c>
      <c r="IY16" s="116">
        <f>+DG16</f>
        <v>1581.25</v>
      </c>
      <c r="IZ16" s="116">
        <f>+DJ16</f>
        <v>1675.4</v>
      </c>
      <c r="JA16" s="116">
        <f>+DM16</f>
        <v>1889.65</v>
      </c>
      <c r="JB16" s="116">
        <f>+DP16</f>
        <v>1907.2</v>
      </c>
      <c r="JC16" s="116">
        <f>+DS16</f>
        <v>1461.2</v>
      </c>
      <c r="JD16" s="116">
        <f>+DV16</f>
        <v>1413.1</v>
      </c>
      <c r="JE16" s="116">
        <f>+DY16</f>
        <v>1508.7</v>
      </c>
      <c r="JF16" s="116">
        <f>+EB16</f>
        <v>1427.7</v>
      </c>
      <c r="JG16" s="116">
        <f>+EE16</f>
        <v>1335.2</v>
      </c>
      <c r="JH16" s="116">
        <f>+EH16</f>
        <v>1435.05</v>
      </c>
      <c r="JI16" s="116">
        <f>+EK16</f>
        <v>1542.85</v>
      </c>
      <c r="JJ16" s="116">
        <f>+EN16</f>
        <v>1498.8</v>
      </c>
      <c r="JK16" s="116">
        <f>EQ16</f>
        <v>1566.95</v>
      </c>
      <c r="JL16" s="116">
        <f>ET16</f>
        <v>1876</v>
      </c>
      <c r="JM16" s="116">
        <f>EW16</f>
        <v>1880.7</v>
      </c>
      <c r="JN16" s="116">
        <f>EZ16</f>
        <v>1570.4</v>
      </c>
      <c r="JO16" s="116">
        <f>FC16</f>
        <v>1601.3</v>
      </c>
      <c r="JP16" s="116">
        <f>FF16</f>
        <v>1442.05</v>
      </c>
      <c r="JQ16" s="116">
        <f>FI16</f>
        <v>1616.45</v>
      </c>
      <c r="JR16" s="116">
        <f>FL16</f>
        <v>1251.2</v>
      </c>
      <c r="JS16" s="116">
        <f>FO16</f>
        <v>1143.3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331.08125000000001</v>
      </c>
      <c r="HQ19" s="116">
        <f t="shared" ref="HQ19:JI21" si="1">+IF(HQ14=0,HQ7,HQ14)</f>
        <v>327.5</v>
      </c>
      <c r="HR19" s="116">
        <f t="shared" si="1"/>
        <v>376.25</v>
      </c>
      <c r="HS19" s="116">
        <f t="shared" si="1"/>
        <v>374.375</v>
      </c>
      <c r="HT19" s="116">
        <f t="shared" si="1"/>
        <v>396.58749999999998</v>
      </c>
      <c r="HU19" s="116">
        <f t="shared" si="1"/>
        <v>446.875</v>
      </c>
      <c r="HV19" s="116">
        <f t="shared" si="1"/>
        <v>480.9</v>
      </c>
      <c r="HW19" s="116">
        <f t="shared" si="1"/>
        <v>421.47500000000002</v>
      </c>
      <c r="HX19" s="116">
        <f t="shared" si="1"/>
        <v>474.11874999999998</v>
      </c>
      <c r="HY19" s="116">
        <f t="shared" si="1"/>
        <v>550.125</v>
      </c>
      <c r="HZ19" s="116">
        <f t="shared" si="1"/>
        <v>583.79999999999995</v>
      </c>
      <c r="IA19" s="116">
        <f t="shared" si="1"/>
        <v>561</v>
      </c>
      <c r="IB19" s="116">
        <f t="shared" si="1"/>
        <v>593</v>
      </c>
      <c r="IC19" s="116">
        <f t="shared" si="1"/>
        <v>609.5</v>
      </c>
      <c r="ID19" s="116">
        <f t="shared" si="1"/>
        <v>617.32500000000005</v>
      </c>
      <c r="IE19" s="116">
        <f t="shared" si="1"/>
        <v>639</v>
      </c>
      <c r="IF19" s="116">
        <f t="shared" si="1"/>
        <v>597.52499999999998</v>
      </c>
      <c r="IG19" s="116">
        <f t="shared" si="1"/>
        <v>540.35</v>
      </c>
      <c r="IH19" s="116">
        <f t="shared" si="1"/>
        <v>522.5</v>
      </c>
      <c r="II19" s="116">
        <f t="shared" si="1"/>
        <v>515.25</v>
      </c>
      <c r="IJ19" s="116">
        <f t="shared" si="1"/>
        <v>514.45000000000005</v>
      </c>
      <c r="IK19" s="116">
        <f t="shared" si="1"/>
        <v>523.04999999999995</v>
      </c>
      <c r="IL19" s="116">
        <f t="shared" si="1"/>
        <v>610</v>
      </c>
      <c r="IM19" s="116">
        <f t="shared" si="1"/>
        <v>656.72500000000002</v>
      </c>
      <c r="IN19" s="116">
        <f t="shared" si="1"/>
        <v>748.45</v>
      </c>
      <c r="IO19" s="116">
        <f t="shared" si="1"/>
        <v>754.95</v>
      </c>
      <c r="IP19" s="116">
        <f t="shared" si="1"/>
        <v>771.15</v>
      </c>
      <c r="IQ19" s="116">
        <f t="shared" si="1"/>
        <v>773.65</v>
      </c>
      <c r="IR19" s="116">
        <f t="shared" si="1"/>
        <v>847.4</v>
      </c>
      <c r="IS19" s="116">
        <f t="shared" si="1"/>
        <v>823.35</v>
      </c>
      <c r="IT19" s="116">
        <f t="shared" si="1"/>
        <v>811.2</v>
      </c>
      <c r="IU19" s="116">
        <f t="shared" si="1"/>
        <v>750.9</v>
      </c>
      <c r="IV19" s="116">
        <f t="shared" si="1"/>
        <v>1037.0999999999999</v>
      </c>
      <c r="IW19" s="116">
        <f t="shared" si="1"/>
        <v>1265</v>
      </c>
      <c r="IX19" s="116">
        <f t="shared" si="1"/>
        <v>1406.25</v>
      </c>
      <c r="IY19" s="116">
        <f t="shared" si="1"/>
        <v>1590.85</v>
      </c>
      <c r="IZ19" s="116">
        <f t="shared" si="1"/>
        <v>1787.5</v>
      </c>
      <c r="JA19" s="116">
        <f t="shared" si="1"/>
        <v>1913</v>
      </c>
      <c r="JB19" s="116">
        <f t="shared" si="1"/>
        <v>1953.7</v>
      </c>
      <c r="JC19" s="116">
        <f t="shared" si="1"/>
        <v>1909.95</v>
      </c>
      <c r="JD19" s="116">
        <f t="shared" si="1"/>
        <v>1631</v>
      </c>
      <c r="JE19" s="116">
        <f t="shared" si="1"/>
        <v>1672.45</v>
      </c>
      <c r="JF19" s="116">
        <f t="shared" si="1"/>
        <v>1620</v>
      </c>
      <c r="JG19" s="116">
        <f t="shared" si="1"/>
        <v>1438</v>
      </c>
      <c r="JH19" s="116">
        <f t="shared" si="1"/>
        <v>1519.3</v>
      </c>
      <c r="JI19" s="116">
        <f t="shared" si="1"/>
        <v>1593</v>
      </c>
      <c r="JJ19" s="116">
        <f t="shared" ref="JJ19:JJ21" si="2">+IF(JJ14=0,JJ7,JJ14)</f>
        <v>1731</v>
      </c>
      <c r="JK19" s="116">
        <f t="shared" ref="JK19" si="3">+IF(JK14=0,JK7,JK14)</f>
        <v>1588</v>
      </c>
      <c r="JL19" s="116">
        <f t="shared" ref="JL19:JM19" si="4">+IF(JL14=0,JL7,JL14)</f>
        <v>1975.05</v>
      </c>
      <c r="JM19" s="116">
        <f t="shared" si="4"/>
        <v>2006.8</v>
      </c>
      <c r="JN19" s="116">
        <f t="shared" ref="JN19:JO19" si="5">+IF(JN14=0,JN7,JN14)</f>
        <v>1982.55</v>
      </c>
      <c r="JO19" s="116">
        <f t="shared" si="5"/>
        <v>1647.7</v>
      </c>
      <c r="JP19" s="116">
        <f t="shared" ref="JP19" si="6">+IF(JP14=0,JP7,JP14)</f>
        <v>1649</v>
      </c>
      <c r="JQ19" s="116">
        <f t="shared" ref="JQ19:KH19" si="7">+IF(JQ14=0,JQ7,JQ14)</f>
        <v>1692.9</v>
      </c>
      <c r="JR19" s="116">
        <f t="shared" si="7"/>
        <v>1727.85</v>
      </c>
      <c r="JS19" s="116">
        <f t="shared" si="7"/>
        <v>1377.3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262.70625000000001</v>
      </c>
      <c r="HQ20" s="116">
        <f t="shared" si="8"/>
        <v>280.63749999999999</v>
      </c>
      <c r="HR20" s="116">
        <f t="shared" si="8"/>
        <v>287.85624999999999</v>
      </c>
      <c r="HS20" s="116">
        <f t="shared" si="8"/>
        <v>273.75</v>
      </c>
      <c r="HT20" s="116">
        <f t="shared" si="8"/>
        <v>299.10624999999999</v>
      </c>
      <c r="HU20" s="116">
        <f t="shared" si="8"/>
        <v>374.25</v>
      </c>
      <c r="HV20" s="116">
        <f t="shared" si="8"/>
        <v>402.125</v>
      </c>
      <c r="HW20" s="116">
        <f t="shared" si="8"/>
        <v>361.75</v>
      </c>
      <c r="HX20" s="116">
        <f t="shared" si="8"/>
        <v>398.52499999999998</v>
      </c>
      <c r="HY20" s="116">
        <f t="shared" si="8"/>
        <v>450</v>
      </c>
      <c r="HZ20" s="116">
        <f t="shared" si="8"/>
        <v>478.52499999999998</v>
      </c>
      <c r="IA20" s="116">
        <f t="shared" si="8"/>
        <v>477.5</v>
      </c>
      <c r="IB20" s="116">
        <f t="shared" si="8"/>
        <v>466.27499999999998</v>
      </c>
      <c r="IC20" s="116">
        <f t="shared" si="8"/>
        <v>506.125</v>
      </c>
      <c r="ID20" s="116">
        <f t="shared" si="8"/>
        <v>515.92499999999995</v>
      </c>
      <c r="IE20" s="116">
        <f t="shared" si="8"/>
        <v>575.70000000000005</v>
      </c>
      <c r="IF20" s="116">
        <f t="shared" si="1"/>
        <v>504.6</v>
      </c>
      <c r="IG20" s="116">
        <f t="shared" si="1"/>
        <v>450.15</v>
      </c>
      <c r="IH20" s="116">
        <f t="shared" si="1"/>
        <v>452.5</v>
      </c>
      <c r="II20" s="116">
        <f t="shared" si="1"/>
        <v>455.2</v>
      </c>
      <c r="IJ20" s="116">
        <f t="shared" si="1"/>
        <v>430.75</v>
      </c>
      <c r="IK20" s="116">
        <f t="shared" si="1"/>
        <v>448.72500000000002</v>
      </c>
      <c r="IL20" s="116">
        <f t="shared" si="1"/>
        <v>503.125</v>
      </c>
      <c r="IM20" s="116">
        <f t="shared" si="1"/>
        <v>549.5</v>
      </c>
      <c r="IN20" s="116">
        <f t="shared" si="1"/>
        <v>634.42499999999995</v>
      </c>
      <c r="IO20" s="116">
        <f t="shared" si="1"/>
        <v>600.65</v>
      </c>
      <c r="IP20" s="116">
        <f t="shared" si="1"/>
        <v>651.15</v>
      </c>
      <c r="IQ20" s="116">
        <f t="shared" si="1"/>
        <v>698.4</v>
      </c>
      <c r="IR20" s="116">
        <f t="shared" si="1"/>
        <v>706.7</v>
      </c>
      <c r="IS20" s="116">
        <f t="shared" si="1"/>
        <v>615</v>
      </c>
      <c r="IT20" s="116">
        <f t="shared" si="1"/>
        <v>511.1</v>
      </c>
      <c r="IU20" s="116">
        <f t="shared" si="1"/>
        <v>582.35</v>
      </c>
      <c r="IV20" s="116">
        <f t="shared" si="1"/>
        <v>730</v>
      </c>
      <c r="IW20" s="116">
        <f t="shared" si="1"/>
        <v>1011.9</v>
      </c>
      <c r="IX20" s="116">
        <f t="shared" si="1"/>
        <v>1230</v>
      </c>
      <c r="IY20" s="116">
        <f t="shared" si="1"/>
        <v>1311.8</v>
      </c>
      <c r="IZ20" s="116">
        <f t="shared" si="1"/>
        <v>1535</v>
      </c>
      <c r="JA20" s="116">
        <f t="shared" si="1"/>
        <v>1661.25</v>
      </c>
      <c r="JB20" s="116">
        <f t="shared" si="1"/>
        <v>1665</v>
      </c>
      <c r="JC20" s="116">
        <f t="shared" si="1"/>
        <v>1367.2</v>
      </c>
      <c r="JD20" s="116">
        <f t="shared" si="1"/>
        <v>1355.5</v>
      </c>
      <c r="JE20" s="116">
        <f t="shared" si="1"/>
        <v>1387</v>
      </c>
      <c r="JF20" s="116">
        <f t="shared" si="1"/>
        <v>1365</v>
      </c>
      <c r="JG20" s="116">
        <f t="shared" si="1"/>
        <v>1215.45</v>
      </c>
      <c r="JH20" s="116">
        <f t="shared" si="1"/>
        <v>1311.6</v>
      </c>
      <c r="JI20" s="116">
        <f t="shared" si="1"/>
        <v>1352</v>
      </c>
      <c r="JJ20" s="116">
        <f t="shared" si="2"/>
        <v>1482</v>
      </c>
      <c r="JK20" s="116">
        <f t="shared" ref="JK20" si="9">+IF(JK15=0,JK8,JK15)</f>
        <v>1359.1</v>
      </c>
      <c r="JL20" s="116">
        <f t="shared" ref="JL20:JM20" si="10">+IF(JL15=0,JL8,JL15)</f>
        <v>1559.2</v>
      </c>
      <c r="JM20" s="116">
        <f t="shared" si="10"/>
        <v>1718.5</v>
      </c>
      <c r="JN20" s="116">
        <f t="shared" ref="JN20:JO20" si="11">+IF(JN15=0,JN8,JN15)</f>
        <v>1551</v>
      </c>
      <c r="JO20" s="116">
        <f t="shared" si="11"/>
        <v>1307.0999999999999</v>
      </c>
      <c r="JP20" s="116">
        <f t="shared" ref="JP20" si="12">+IF(JP15=0,JP8,JP15)</f>
        <v>1414.5</v>
      </c>
      <c r="JQ20" s="116">
        <f t="shared" ref="JQ20:KH20" si="13">+IF(JQ15=0,JQ8,JQ15)</f>
        <v>1427.35</v>
      </c>
      <c r="JR20" s="116">
        <f t="shared" si="13"/>
        <v>1215.1500000000001</v>
      </c>
      <c r="JS20" s="116">
        <f t="shared" si="13"/>
        <v>1089.0999999999999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316.75</v>
      </c>
      <c r="HQ21" s="116">
        <f t="shared" si="1"/>
        <v>289.8125</v>
      </c>
      <c r="HR21" s="116">
        <f t="shared" si="1"/>
        <v>361.23750000000001</v>
      </c>
      <c r="HS21" s="116">
        <f t="shared" si="1"/>
        <v>311.65625</v>
      </c>
      <c r="HT21" s="116">
        <f t="shared" si="1"/>
        <v>376.93124999999998</v>
      </c>
      <c r="HU21" s="116">
        <f t="shared" si="1"/>
        <v>435.6875</v>
      </c>
      <c r="HV21" s="116">
        <f t="shared" si="1"/>
        <v>409.85624999999999</v>
      </c>
      <c r="HW21" s="116">
        <f t="shared" si="1"/>
        <v>405.80624999999998</v>
      </c>
      <c r="HX21" s="116">
        <f t="shared" si="1"/>
        <v>468.45625000000001</v>
      </c>
      <c r="HY21" s="116">
        <f t="shared" si="1"/>
        <v>492.8</v>
      </c>
      <c r="HZ21" s="116">
        <f t="shared" si="1"/>
        <v>554.15</v>
      </c>
      <c r="IA21" s="116">
        <f t="shared" si="1"/>
        <v>492.67500000000001</v>
      </c>
      <c r="IB21" s="116">
        <f t="shared" si="1"/>
        <v>580.22500000000002</v>
      </c>
      <c r="IC21" s="116">
        <f t="shared" si="1"/>
        <v>552.27499999999998</v>
      </c>
      <c r="ID21" s="116">
        <f t="shared" si="1"/>
        <v>608.97500000000002</v>
      </c>
      <c r="IE21" s="116">
        <f t="shared" si="1"/>
        <v>585.375</v>
      </c>
      <c r="IF21" s="116">
        <f t="shared" si="1"/>
        <v>519.04999999999995</v>
      </c>
      <c r="IG21" s="116">
        <f t="shared" si="1"/>
        <v>505.35</v>
      </c>
      <c r="IH21" s="116">
        <f t="shared" si="1"/>
        <v>510.4</v>
      </c>
      <c r="II21" s="116">
        <f t="shared" si="1"/>
        <v>467.82499999999999</v>
      </c>
      <c r="IJ21" s="116">
        <f t="shared" si="1"/>
        <v>449.375</v>
      </c>
      <c r="IK21" s="116">
        <f t="shared" si="1"/>
        <v>519.65</v>
      </c>
      <c r="IL21" s="116">
        <f t="shared" si="1"/>
        <v>567.20000000000005</v>
      </c>
      <c r="IM21" s="116">
        <f t="shared" si="1"/>
        <v>653.375</v>
      </c>
      <c r="IN21" s="116">
        <f t="shared" si="1"/>
        <v>727.85</v>
      </c>
      <c r="IO21" s="116">
        <f t="shared" si="1"/>
        <v>659.85</v>
      </c>
      <c r="IP21" s="116">
        <f t="shared" si="1"/>
        <v>742.3</v>
      </c>
      <c r="IQ21" s="116">
        <f t="shared" si="1"/>
        <v>731.95</v>
      </c>
      <c r="IR21" s="116">
        <f t="shared" si="1"/>
        <v>805.3</v>
      </c>
      <c r="IS21" s="116">
        <f t="shared" si="1"/>
        <v>731.75</v>
      </c>
      <c r="IT21" s="116">
        <f t="shared" si="1"/>
        <v>640.29999999999995</v>
      </c>
      <c r="IU21" s="116">
        <f t="shared" si="1"/>
        <v>735.9</v>
      </c>
      <c r="IV21" s="116">
        <f t="shared" si="1"/>
        <v>1008</v>
      </c>
      <c r="IW21" s="116">
        <f t="shared" si="1"/>
        <v>1255.8499999999999</v>
      </c>
      <c r="IX21" s="116">
        <f t="shared" si="1"/>
        <v>1367.75</v>
      </c>
      <c r="IY21" s="116">
        <f t="shared" si="1"/>
        <v>1581.25</v>
      </c>
      <c r="IZ21" s="116">
        <f t="shared" si="1"/>
        <v>1675.4</v>
      </c>
      <c r="JA21" s="116">
        <f t="shared" si="1"/>
        <v>1889.65</v>
      </c>
      <c r="JB21" s="116">
        <f t="shared" si="1"/>
        <v>1907.2</v>
      </c>
      <c r="JC21" s="116">
        <f t="shared" si="1"/>
        <v>1461.2</v>
      </c>
      <c r="JD21" s="116">
        <f t="shared" si="1"/>
        <v>1413.1</v>
      </c>
      <c r="JE21" s="116">
        <f t="shared" si="1"/>
        <v>1508.7</v>
      </c>
      <c r="JF21" s="116">
        <f t="shared" si="1"/>
        <v>1427.7</v>
      </c>
      <c r="JG21" s="116">
        <f t="shared" si="1"/>
        <v>1335.2</v>
      </c>
      <c r="JH21" s="116">
        <f t="shared" si="1"/>
        <v>1435.05</v>
      </c>
      <c r="JI21" s="116">
        <f t="shared" si="1"/>
        <v>1542.85</v>
      </c>
      <c r="JJ21" s="116">
        <f t="shared" si="2"/>
        <v>1498.8</v>
      </c>
      <c r="JK21" s="116">
        <f t="shared" ref="JK21" si="14">+IF(JK16=0,JK9,JK16)</f>
        <v>1566.95</v>
      </c>
      <c r="JL21" s="116">
        <f t="shared" ref="JL21:JM21" si="15">+IF(JL16=0,JL9,JL16)</f>
        <v>1876</v>
      </c>
      <c r="JM21" s="116">
        <f t="shared" si="15"/>
        <v>1880.7</v>
      </c>
      <c r="JN21" s="116">
        <f t="shared" ref="JN21:JO21" si="16">+IF(JN16=0,JN9,JN16)</f>
        <v>1570.4</v>
      </c>
      <c r="JO21" s="116">
        <f t="shared" si="16"/>
        <v>1601.3</v>
      </c>
      <c r="JP21" s="116">
        <f t="shared" ref="JP21" si="17">+IF(JP16=0,JP9,JP16)</f>
        <v>1442.05</v>
      </c>
      <c r="JQ21" s="116">
        <f t="shared" ref="JQ21:KH21" si="18">+IF(JQ16=0,JQ9,JQ16)</f>
        <v>1616.45</v>
      </c>
      <c r="JR21" s="116">
        <f t="shared" si="18"/>
        <v>1251.2</v>
      </c>
      <c r="JS21" s="116">
        <f t="shared" si="18"/>
        <v>1143.3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100209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201206</v>
      </c>
      <c r="D5" cm="1">
        <f t="array" ref="D5">_xll.EQNXTDZ($A$1,$B5,D$1)</f>
        <v>201209</v>
      </c>
      <c r="E5" cm="1">
        <f t="array" ref="E5">_xll.EQNXTDZ($A$1,$B5,E$1)</f>
        <v>201212</v>
      </c>
      <c r="F5" cm="1">
        <f t="array" ref="F5">_xll.EQNXTDZ($A$1,$B5,F$1)</f>
        <v>201303</v>
      </c>
      <c r="G5" cm="1">
        <f t="array" ref="G5">_xll.EQNXTDZ($A$1,$B5,G$1)</f>
        <v>201306</v>
      </c>
      <c r="H5" cm="1">
        <f t="array" ref="H5">_xll.EQNXTDZ($A$1,$B5,H$1)</f>
        <v>201309</v>
      </c>
      <c r="I5" cm="1">
        <f t="array" ref="I5">_xll.EQNXTDZ($A$1,$B5,I$1)</f>
        <v>201312</v>
      </c>
      <c r="J5" cm="1">
        <f t="array" ref="J5">_xll.EQNXTDZ($A$1,$B5,J$1)</f>
        <v>201403</v>
      </c>
      <c r="K5" cm="1">
        <f t="array" ref="K5">_xll.EQNXTDZ($A$1,$B5,K$1)</f>
        <v>201406</v>
      </c>
      <c r="L5" cm="1">
        <f t="array" ref="L5">_xll.EQNXTDZ($A$1,$B5,L$1)</f>
        <v>201409</v>
      </c>
      <c r="M5" cm="1">
        <f t="array" ref="M5">_xll.EQNXTDZ($A$1,$B5,M$1)</f>
        <v>201412</v>
      </c>
      <c r="N5" cm="1">
        <f t="array" ref="N5">_xll.EQNXTDZ($A$1,$B5,N$1)</f>
        <v>201503</v>
      </c>
      <c r="O5" cm="1">
        <f t="array" ref="O5">_xll.EQNXTDZ($A$1,$B5,O$1)</f>
        <v>201506</v>
      </c>
      <c r="P5" cm="1">
        <f t="array" ref="P5">_xll.EQNXTDZ($A$1,$B5,P$1)</f>
        <v>201509</v>
      </c>
      <c r="Q5" cm="1">
        <f t="array" ref="Q5">_xll.EQNXTDZ($A$1,$B5,Q$1)</f>
        <v>201512</v>
      </c>
      <c r="R5" cm="1">
        <f t="array" ref="R5">_xll.EQNXTDZ($A$1,$B5,R$1)</f>
        <v>201603</v>
      </c>
      <c r="S5" cm="1">
        <f t="array" ref="S5">_xll.EQNXTDZ($A$1,$B5,S$1)</f>
        <v>201606</v>
      </c>
      <c r="T5" cm="1">
        <f t="array" ref="T5">_xll.EQNXTDZ($A$1,$B5,T$1)</f>
        <v>201609</v>
      </c>
      <c r="U5" cm="1">
        <f t="array" ref="U5">_xll.EQNXTDZ($A$1,$B5,U$1)</f>
        <v>201612</v>
      </c>
      <c r="V5" cm="1">
        <f t="array" ref="V5">_xll.EQNXTDZ($A$1,$B5,V$1)</f>
        <v>201703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574230451</v>
      </c>
      <c r="D6" cm="1">
        <f t="array" ref="D6">_xll.EQNXTDZ($A$1,$B6,D$1)</f>
        <v>574232446</v>
      </c>
      <c r="E6" cm="1">
        <f t="array" ref="E6">_xll.EQNXTDZ($A$1,$B6,E$1)</f>
        <v>574236166</v>
      </c>
      <c r="F6" cm="1">
        <f t="array" ref="F6">_xll.EQNXTDZ($A$1,$B6,F$1)</f>
        <v>574236166</v>
      </c>
      <c r="G6" cm="1">
        <f t="array" ref="G6">_xll.EQNXTDZ($A$1,$B6,G$1)</f>
        <v>574236166</v>
      </c>
      <c r="H6" cm="1">
        <f t="array" ref="H6">_xll.EQNXTDZ($A$1,$B6,H$1)</f>
        <v>574236166</v>
      </c>
      <c r="I6" cm="1">
        <f t="array" ref="I6">_xll.EQNXTDZ($A$1,$B6,I$1)</f>
        <v>574236166</v>
      </c>
      <c r="J6" cm="1">
        <f t="array" ref="J6">_xll.EQNXTDZ($A$1,$B6,J$1)</f>
        <v>574236166</v>
      </c>
      <c r="K6" cm="1">
        <f t="array" ref="K6">_xll.EQNXTDZ($A$1,$B6,K$1)</f>
        <v>574236166</v>
      </c>
      <c r="L6" cm="1">
        <f t="array" ref="L6">_xll.EQNXTDZ($A$1,$B6,L$1)</f>
        <v>574236166</v>
      </c>
      <c r="M6" cm="1">
        <f t="array" ref="M6">_xll.EQNXTDZ($A$1,$B6,M$1)</f>
        <v>1148472332</v>
      </c>
      <c r="N6" cm="1">
        <f t="array" ref="N6">_xll.EQNXTDZ($A$1,$B6,N$1)</f>
        <v>1148472332</v>
      </c>
      <c r="O6" cm="1">
        <f t="array" ref="O6">_xll.EQNXTDZ($A$1,$B6,O$1)</f>
        <v>2296944664</v>
      </c>
      <c r="P6" cm="1">
        <f t="array" ref="P6">_xll.EQNXTDZ($A$1,$B6,P$1)</f>
        <v>2296944664</v>
      </c>
      <c r="Q6" cm="1">
        <f t="array" ref="Q6">_xll.EQNXTDZ($A$1,$B6,Q$1)</f>
        <v>2296944664</v>
      </c>
      <c r="R6" cm="1">
        <f t="array" ref="R6">_xll.EQNXTDZ($A$1,$B6,R$1)</f>
        <v>2296944664</v>
      </c>
      <c r="S6" cm="1">
        <f t="array" ref="S6">_xll.EQNXTDZ($A$1,$B6,S$1)</f>
        <v>2296944664</v>
      </c>
      <c r="T6" cm="1">
        <f t="array" ref="T6">_xll.EQNXTDZ($A$1,$B6,T$1)</f>
        <v>2296944664</v>
      </c>
      <c r="U6" cm="1">
        <f t="array" ref="U6">_xll.EQNXTDZ($A$1,$B6,U$1)</f>
        <v>2296944664</v>
      </c>
      <c r="V6" cm="1">
        <f t="array" ref="V6">_xll.EQNXTDZ($A$1,$B6,V$1)</f>
        <v>2296944664</v>
      </c>
      <c r="W6" cm="1">
        <f t="array" ref="W6">_xll.EQNXTDZ($A$1,$B6,W$1)</f>
        <v>2296944664</v>
      </c>
      <c r="X6" cm="1">
        <f t="array" ref="X6">_xll.EQNXTDZ($A$1,$B6,X$1)</f>
        <v>2296988452</v>
      </c>
      <c r="Y6" cm="1">
        <f t="array" ref="Y6">_xll.EQNXTDZ($A$1,$B6,Y$1)</f>
        <v>2183949789</v>
      </c>
      <c r="Z6" cm="1">
        <f t="array" ref="Z6">_xll.EQNXTDZ($A$1,$B6,Z$1)</f>
        <v>2184114257</v>
      </c>
      <c r="AA6" cm="1">
        <f t="array" ref="AA6">_xll.EQNXTDZ($A$1,$B6,AA$1)</f>
        <v>2184127091</v>
      </c>
      <c r="AB6" cm="1">
        <f t="array" ref="AB6">_xll.EQNXTDZ($A$1,$B6,AB$1)</f>
        <v>4368382980</v>
      </c>
      <c r="AC6" cm="1">
        <f t="array" ref="AC6">_xll.EQNXTDZ($A$1,$B6,AC$1)</f>
        <v>4368647898</v>
      </c>
      <c r="AD6" cm="1">
        <f t="array" ref="AD6">_xll.EQNXTDZ($A$1,$B6,AD$1)</f>
        <v>4361733444</v>
      </c>
      <c r="AE6" cm="1">
        <f t="array" ref="AE6">_xll.EQNXTDZ($A$1,$B6,AE$1)</f>
        <v>4295042444</v>
      </c>
      <c r="AF6" cm="1">
        <f t="array" ref="AF6">_xll.EQNXTDZ($A$1,$B6,AF$1)</f>
        <v>4258412178</v>
      </c>
      <c r="AG6" cm="1">
        <f t="array" ref="AG6">_xll.EQNXTDZ($A$1,$B6,AG$1)</f>
        <v>4258548000</v>
      </c>
      <c r="AH6" cm="1">
        <f t="array" ref="AH6">_xll.EQNXTDZ($A$1,$B6,AH$1)</f>
        <v>4258992566</v>
      </c>
      <c r="AI6" cm="1">
        <f t="array" ref="AI6">_xll.EQNXTDZ($A$1,$B6,AI$1)</f>
        <v>4259154628</v>
      </c>
      <c r="AJ6" cm="1">
        <f t="array" ref="AJ6">_xll.EQNXTDZ($A$1,$B6,AJ$1)</f>
        <v>4259411598</v>
      </c>
      <c r="AK6" cm="1">
        <f t="array" ref="AK6">_xll.EQNXTDZ($A$1,$B6,AK$1)</f>
        <v>4259587833</v>
      </c>
      <c r="AL6" cm="1">
        <f t="array" ref="AL6">_xll.EQNXTDZ($A$1,$B6,AL$1)</f>
        <v>4260660846</v>
      </c>
      <c r="AM6" cm="1">
        <f t="array" ref="AM6">_xll.EQNXTDZ($A$1,$B6,AM$1)</f>
        <v>4259085763</v>
      </c>
      <c r="AN6" cm="1">
        <f t="array" ref="AN6">_xll.EQNXTDZ($A$1,$B6,AN$1)</f>
        <v>4205464426</v>
      </c>
      <c r="AO6" cm="1">
        <f t="array" ref="AO6">_xll.EQNXTDZ($A$1,$B6,AO$1)</f>
        <v>4205617958</v>
      </c>
      <c r="AP6" cm="1">
        <f t="array" ref="AP6">_xll.EQNXTDZ($A$1,$B6,AP$1)</f>
        <v>4206738641</v>
      </c>
      <c r="AQ6" cm="1">
        <f t="array" ref="AQ6">_xll.EQNXTDZ($A$1,$B6,AQ$1)</f>
        <v>4207620719</v>
      </c>
      <c r="AR6" cm="1">
        <f t="array" ref="AR6">_xll.EQNXTDZ($A$1,$B6,AR$1)</f>
        <v>4207827539</v>
      </c>
      <c r="AS6" cm="1">
        <f t="array" ref="AS6">_xll.EQNXTDZ($A$1,$B6,AS$1)</f>
        <v>4186086843</v>
      </c>
      <c r="AT6" cm="1">
        <f t="array" ref="AT6">_xll.EQNXTDZ($A$1,$B6,AT$1)</f>
        <v>4148560044</v>
      </c>
      <c r="AU6" cm="1">
        <f t="array" ref="AU6">_xll.EQNXTDZ($A$1,$B6,AU$1)</f>
        <v>4150192365</v>
      </c>
      <c r="AV6" cm="1">
        <f t="array" ref="AV6">_xll.EQNXTDZ($A$1,$B6,AV$1)</f>
        <v>4150384120</v>
      </c>
      <c r="AW6" cm="1">
        <f t="array" ref="AW6">_xll.EQNXTDZ($A$1,$B6,AW$1)</f>
        <v>4150447554</v>
      </c>
      <c r="AX6" cm="1">
        <f t="array" ref="AX6">_xll.EQNXTDZ($A$1,$B6,AX$1)</f>
        <v>4150867464</v>
      </c>
      <c r="AY6" cm="1">
        <f t="array" ref="AY6">_xll.EQNXTDZ($A$1,$B6,AY$1)</f>
        <v>4152028475</v>
      </c>
    </row>
    <row r="7" spans="1:51" x14ac:dyDescent="0.25">
      <c r="B7" t="s">
        <v>429</v>
      </c>
      <c r="C7" s="100">
        <f>+C6/10^7</f>
        <v>57.423045100000003</v>
      </c>
      <c r="D7" s="100">
        <f t="shared" ref="D7:X7" si="0">+D6/10^7</f>
        <v>57.423244599999997</v>
      </c>
      <c r="E7" s="100">
        <f t="shared" si="0"/>
        <v>57.423616600000003</v>
      </c>
      <c r="F7" s="100">
        <f t="shared" si="0"/>
        <v>57.423616600000003</v>
      </c>
      <c r="G7" s="100">
        <f t="shared" si="0"/>
        <v>57.423616600000003</v>
      </c>
      <c r="H7" s="100">
        <f t="shared" si="0"/>
        <v>57.423616600000003</v>
      </c>
      <c r="I7" s="100">
        <f t="shared" si="0"/>
        <v>57.423616600000003</v>
      </c>
      <c r="J7" s="100">
        <f t="shared" si="0"/>
        <v>57.423616600000003</v>
      </c>
      <c r="K7" s="100">
        <f t="shared" si="0"/>
        <v>57.423616600000003</v>
      </c>
      <c r="L7" s="100">
        <f t="shared" si="0"/>
        <v>57.423616600000003</v>
      </c>
      <c r="M7" s="100">
        <f t="shared" si="0"/>
        <v>114.84723320000001</v>
      </c>
      <c r="N7" s="100">
        <f t="shared" si="0"/>
        <v>114.84723320000001</v>
      </c>
      <c r="O7" s="100">
        <f t="shared" si="0"/>
        <v>229.69446640000001</v>
      </c>
      <c r="P7" s="100">
        <f t="shared" si="0"/>
        <v>229.69446640000001</v>
      </c>
      <c r="Q7" s="100">
        <f t="shared" si="0"/>
        <v>229.69446640000001</v>
      </c>
      <c r="R7" s="100">
        <f t="shared" si="0"/>
        <v>229.69446640000001</v>
      </c>
      <c r="S7" s="100">
        <f t="shared" si="0"/>
        <v>229.69446640000001</v>
      </c>
      <c r="T7" s="100">
        <f t="shared" si="0"/>
        <v>229.69446640000001</v>
      </c>
      <c r="U7" s="100">
        <f t="shared" si="0"/>
        <v>229.69446640000001</v>
      </c>
      <c r="V7" s="100">
        <f t="shared" si="0"/>
        <v>229.69446640000001</v>
      </c>
      <c r="W7" s="100">
        <f t="shared" si="0"/>
        <v>229.69446640000001</v>
      </c>
      <c r="X7" s="100">
        <f t="shared" si="0"/>
        <v>229.69884519999999</v>
      </c>
      <c r="Y7" s="100">
        <f t="shared" ref="Y7:AS7" si="1">+Y6/10^7</f>
        <v>218.39497890000001</v>
      </c>
      <c r="Z7" s="100">
        <f t="shared" si="1"/>
        <v>218.4114257</v>
      </c>
      <c r="AA7" s="100">
        <f t="shared" si="1"/>
        <v>218.4127091</v>
      </c>
      <c r="AB7" s="100">
        <f t="shared" si="1"/>
        <v>436.83829800000001</v>
      </c>
      <c r="AC7" s="100">
        <f t="shared" si="1"/>
        <v>436.86478979999998</v>
      </c>
      <c r="AD7" s="100">
        <f t="shared" si="1"/>
        <v>436.17334440000002</v>
      </c>
      <c r="AE7" s="100">
        <f t="shared" si="1"/>
        <v>429.5042444</v>
      </c>
      <c r="AF7" s="100">
        <f t="shared" si="1"/>
        <v>425.84121779999998</v>
      </c>
      <c r="AG7" s="100">
        <f t="shared" si="1"/>
        <v>425.85480000000001</v>
      </c>
      <c r="AH7" s="100">
        <f t="shared" si="1"/>
        <v>425.8992566</v>
      </c>
      <c r="AI7" s="100">
        <f t="shared" si="1"/>
        <v>425.9154628</v>
      </c>
      <c r="AJ7" s="100">
        <f t="shared" si="1"/>
        <v>425.94115979999998</v>
      </c>
      <c r="AK7" s="100">
        <f t="shared" si="1"/>
        <v>425.95878329999999</v>
      </c>
      <c r="AL7" s="100">
        <f t="shared" si="1"/>
        <v>426.06608460000001</v>
      </c>
      <c r="AM7" s="100">
        <f t="shared" si="1"/>
        <v>425.90857629999999</v>
      </c>
      <c r="AN7" s="100">
        <f t="shared" si="1"/>
        <v>420.54644259999998</v>
      </c>
      <c r="AO7" s="100">
        <f t="shared" si="1"/>
        <v>420.56179580000003</v>
      </c>
      <c r="AP7" s="100">
        <f t="shared" si="1"/>
        <v>420.6738641</v>
      </c>
      <c r="AQ7" s="100">
        <f t="shared" si="1"/>
        <v>420.76207190000002</v>
      </c>
      <c r="AR7" s="100">
        <f t="shared" si="1"/>
        <v>420.78275389999999</v>
      </c>
      <c r="AS7" s="100">
        <f t="shared" si="1"/>
        <v>418.60868429999999</v>
      </c>
      <c r="AT7" s="100">
        <f t="shared" ref="AT7:AX7" si="2">+AT6/10^7</f>
        <v>414.85600440000002</v>
      </c>
      <c r="AU7" s="100">
        <f t="shared" si="2"/>
        <v>415.01923649999998</v>
      </c>
      <c r="AV7" s="100">
        <f t="shared" si="2"/>
        <v>415.03841199999999</v>
      </c>
      <c r="AW7" s="100">
        <f t="shared" si="2"/>
        <v>415.04475539999999</v>
      </c>
      <c r="AX7" s="100">
        <f t="shared" si="2"/>
        <v>415.08674639999998</v>
      </c>
      <c r="AY7" s="100">
        <f t="shared" ref="AY7" si="3">+AY6/10^7</f>
        <v>415.20284750000002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100209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517</v>
      </c>
      <c r="C3" s="172" t="s">
        <v>518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518</v>
      </c>
      <c r="N3" s="173" t="s">
        <v>517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42005</v>
      </c>
      <c r="B4" s="116">
        <v>495.3</v>
      </c>
      <c r="C4" s="116">
        <v>493.95</v>
      </c>
      <c r="D4" s="116">
        <v>489.36250000000001</v>
      </c>
      <c r="E4" s="116">
        <v>491.95</v>
      </c>
      <c r="F4" s="116">
        <v>1975.8</v>
      </c>
      <c r="G4">
        <v>38031</v>
      </c>
      <c r="H4" s="116"/>
      <c r="I4" s="116"/>
      <c r="L4" s="170">
        <v>42005</v>
      </c>
      <c r="M4" s="116">
        <v>493.6</v>
      </c>
      <c r="N4" s="116">
        <v>495.5</v>
      </c>
      <c r="O4" s="116">
        <v>489.22500000000002</v>
      </c>
      <c r="P4" s="116">
        <v>492.23750000000001</v>
      </c>
      <c r="Q4" s="116">
        <v>1974.4</v>
      </c>
      <c r="R4">
        <v>500691</v>
      </c>
    </row>
    <row r="5" spans="1:18" x14ac:dyDescent="0.25">
      <c r="A5" s="170">
        <v>42006</v>
      </c>
      <c r="B5" s="116">
        <v>504.9</v>
      </c>
      <c r="C5" s="116">
        <v>503.36250000000001</v>
      </c>
      <c r="D5" s="116">
        <v>493.47500000000002</v>
      </c>
      <c r="E5" s="116">
        <v>493.75</v>
      </c>
      <c r="F5" s="116">
        <v>2013.45</v>
      </c>
      <c r="G5">
        <v>61011</v>
      </c>
      <c r="H5" s="116"/>
      <c r="I5" s="116"/>
      <c r="L5" s="170">
        <v>42006</v>
      </c>
      <c r="M5" s="116">
        <v>503.3</v>
      </c>
      <c r="N5" s="116">
        <v>504.76249999999999</v>
      </c>
      <c r="O5" s="116">
        <v>493</v>
      </c>
      <c r="P5" s="116">
        <v>493</v>
      </c>
      <c r="Q5" s="116">
        <v>2013.2</v>
      </c>
      <c r="R5">
        <v>1694580</v>
      </c>
    </row>
    <row r="6" spans="1:18" x14ac:dyDescent="0.25">
      <c r="A6" s="170">
        <v>42009</v>
      </c>
      <c r="B6" s="116">
        <v>507.41250000000002</v>
      </c>
      <c r="C6" s="116">
        <v>499.15</v>
      </c>
      <c r="D6" s="116">
        <v>494.41250000000002</v>
      </c>
      <c r="E6" s="116">
        <v>503.67500000000001</v>
      </c>
      <c r="F6" s="116">
        <v>1996.6</v>
      </c>
      <c r="G6">
        <v>82374</v>
      </c>
      <c r="H6" s="116"/>
      <c r="I6" s="116"/>
      <c r="L6" s="170">
        <v>42009</v>
      </c>
      <c r="M6" s="116">
        <v>498.97500000000002</v>
      </c>
      <c r="N6" s="116">
        <v>507.5</v>
      </c>
      <c r="O6" s="116">
        <v>494.375</v>
      </c>
      <c r="P6" s="116">
        <v>502.47500000000002</v>
      </c>
      <c r="Q6" s="116">
        <v>1995.9</v>
      </c>
      <c r="R6">
        <v>2484256</v>
      </c>
    </row>
    <row r="7" spans="1:18" x14ac:dyDescent="0.25">
      <c r="A7" s="170">
        <v>42010</v>
      </c>
      <c r="B7" s="116">
        <v>497</v>
      </c>
      <c r="C7" s="116">
        <v>489.21249999999998</v>
      </c>
      <c r="D7" s="116">
        <v>483.75</v>
      </c>
      <c r="E7" s="116">
        <v>496.22500000000002</v>
      </c>
      <c r="F7" s="116">
        <v>1956.85</v>
      </c>
      <c r="G7">
        <v>221586</v>
      </c>
      <c r="H7" s="116"/>
      <c r="I7" s="116"/>
      <c r="L7" s="170">
        <v>42010</v>
      </c>
      <c r="M7" s="116">
        <v>488.55</v>
      </c>
      <c r="N7" s="116">
        <v>496.25</v>
      </c>
      <c r="O7" s="116">
        <v>483.52499999999998</v>
      </c>
      <c r="P7" s="116">
        <v>495</v>
      </c>
      <c r="Q7" s="116">
        <v>1954.2</v>
      </c>
      <c r="R7">
        <v>2416829</v>
      </c>
    </row>
    <row r="8" spans="1:18" x14ac:dyDescent="0.25">
      <c r="A8" s="170">
        <v>42011</v>
      </c>
      <c r="B8" s="116">
        <v>493.82499999999999</v>
      </c>
      <c r="C8" s="116">
        <v>491.2</v>
      </c>
      <c r="D8" s="116">
        <v>487.5</v>
      </c>
      <c r="E8" s="116">
        <v>489.27499999999998</v>
      </c>
      <c r="F8" s="116">
        <v>1964.8</v>
      </c>
      <c r="G8">
        <v>774738</v>
      </c>
      <c r="H8" s="116"/>
      <c r="I8" s="116"/>
      <c r="L8" s="170">
        <v>42011</v>
      </c>
      <c r="M8" s="116">
        <v>490.88749999999999</v>
      </c>
      <c r="N8" s="116">
        <v>493.6875</v>
      </c>
      <c r="O8" s="116">
        <v>487.5</v>
      </c>
      <c r="P8" s="116">
        <v>491.25</v>
      </c>
      <c r="Q8" s="116">
        <v>1963.55</v>
      </c>
      <c r="R8">
        <v>1812479</v>
      </c>
    </row>
    <row r="9" spans="1:18" x14ac:dyDescent="0.25">
      <c r="A9" s="170">
        <v>42012</v>
      </c>
      <c r="B9" s="116">
        <v>499.21249999999998</v>
      </c>
      <c r="C9" s="116">
        <v>493.63749999999999</v>
      </c>
      <c r="D9" s="116">
        <v>487.75</v>
      </c>
      <c r="E9" s="116">
        <v>495.625</v>
      </c>
      <c r="F9" s="116">
        <v>1974.55</v>
      </c>
      <c r="G9">
        <v>787864</v>
      </c>
      <c r="H9" s="116"/>
      <c r="I9" s="116"/>
      <c r="L9" s="170">
        <v>42012</v>
      </c>
      <c r="M9" s="116">
        <v>493.36250000000001</v>
      </c>
      <c r="N9" s="116">
        <v>499.25</v>
      </c>
      <c r="O9" s="116">
        <v>487.5</v>
      </c>
      <c r="P9" s="116">
        <v>496.4</v>
      </c>
      <c r="Q9" s="116">
        <v>1973.45</v>
      </c>
      <c r="R9">
        <v>3391230</v>
      </c>
    </row>
    <row r="10" spans="1:18" x14ac:dyDescent="0.25">
      <c r="A10" s="170">
        <v>42013</v>
      </c>
      <c r="B10" s="116">
        <v>527</v>
      </c>
      <c r="C10" s="116">
        <v>518.4</v>
      </c>
      <c r="D10" s="116">
        <v>478.52499999999998</v>
      </c>
      <c r="E10" s="116">
        <v>496.25</v>
      </c>
      <c r="F10" s="116">
        <v>2073.6</v>
      </c>
      <c r="G10">
        <v>1128867</v>
      </c>
      <c r="H10" s="116"/>
      <c r="I10" s="116"/>
      <c r="L10" s="170">
        <v>42013</v>
      </c>
      <c r="M10" s="116">
        <v>518.61249999999995</v>
      </c>
      <c r="N10" s="116">
        <v>527.25</v>
      </c>
      <c r="O10" s="116">
        <v>478.26249999999999</v>
      </c>
      <c r="P10" s="116">
        <v>495.02499999999998</v>
      </c>
      <c r="Q10" s="116">
        <v>2074.4499999999998</v>
      </c>
      <c r="R10">
        <v>11215832</v>
      </c>
    </row>
    <row r="11" spans="1:18" x14ac:dyDescent="0.25">
      <c r="A11" s="170">
        <v>42016</v>
      </c>
      <c r="B11" s="116">
        <v>529.75</v>
      </c>
      <c r="C11" s="116">
        <v>528.6875</v>
      </c>
      <c r="D11" s="116">
        <v>519.0625</v>
      </c>
      <c r="E11" s="116">
        <v>523.76250000000005</v>
      </c>
      <c r="F11" s="116">
        <v>2114.75</v>
      </c>
      <c r="G11">
        <v>221565</v>
      </c>
      <c r="H11" s="116"/>
      <c r="I11" s="116"/>
      <c r="L11" s="170">
        <v>42016</v>
      </c>
      <c r="M11" s="116">
        <v>528.98749999999995</v>
      </c>
      <c r="N11" s="116">
        <v>529.79999999999995</v>
      </c>
      <c r="O11" s="116">
        <v>518.75</v>
      </c>
      <c r="P11" s="116">
        <v>523</v>
      </c>
      <c r="Q11" s="116">
        <v>2115.9499999999998</v>
      </c>
      <c r="R11">
        <v>3189722</v>
      </c>
    </row>
    <row r="12" spans="1:18" x14ac:dyDescent="0.25">
      <c r="A12" s="170">
        <v>42017</v>
      </c>
      <c r="B12" s="116">
        <v>528.6</v>
      </c>
      <c r="C12" s="116">
        <v>521.8125</v>
      </c>
      <c r="D12" s="116">
        <v>518.78750000000002</v>
      </c>
      <c r="E12" s="116">
        <v>528.6</v>
      </c>
      <c r="F12" s="116">
        <v>2087.25</v>
      </c>
      <c r="G12">
        <v>93215</v>
      </c>
      <c r="H12" s="116"/>
      <c r="I12" s="116"/>
      <c r="L12" s="170">
        <v>42017</v>
      </c>
      <c r="M12" s="116">
        <v>522.22500000000002</v>
      </c>
      <c r="N12" s="116">
        <v>526.95000000000005</v>
      </c>
      <c r="O12" s="116">
        <v>518.75</v>
      </c>
      <c r="P12" s="116">
        <v>526.95000000000005</v>
      </c>
      <c r="Q12" s="116">
        <v>2088.9</v>
      </c>
      <c r="R12">
        <v>2200309</v>
      </c>
    </row>
    <row r="13" spans="1:18" x14ac:dyDescent="0.25">
      <c r="A13" s="170">
        <v>42018</v>
      </c>
      <c r="B13" s="116">
        <v>533.75</v>
      </c>
      <c r="C13" s="116">
        <v>532.20000000000005</v>
      </c>
      <c r="D13" s="116">
        <v>523.22500000000002</v>
      </c>
      <c r="E13" s="116">
        <v>523.75</v>
      </c>
      <c r="F13" s="116">
        <v>2128.8000000000002</v>
      </c>
      <c r="G13">
        <v>153260</v>
      </c>
      <c r="H13" s="116"/>
      <c r="I13" s="116"/>
      <c r="L13" s="170">
        <v>42018</v>
      </c>
      <c r="M13" s="116">
        <v>532.16250000000002</v>
      </c>
      <c r="N13" s="116">
        <v>533.25</v>
      </c>
      <c r="O13" s="116">
        <v>523.15</v>
      </c>
      <c r="P13" s="116">
        <v>524.625</v>
      </c>
      <c r="Q13" s="116">
        <v>2128.65</v>
      </c>
      <c r="R13">
        <v>2480315</v>
      </c>
    </row>
    <row r="14" spans="1:18" x14ac:dyDescent="0.25">
      <c r="A14" s="170">
        <v>42019</v>
      </c>
      <c r="B14" s="116">
        <v>538.22500000000002</v>
      </c>
      <c r="C14" s="116">
        <v>533.48749999999995</v>
      </c>
      <c r="D14" s="116">
        <v>528.625</v>
      </c>
      <c r="E14" s="116">
        <v>536</v>
      </c>
      <c r="F14" s="116">
        <v>2133.9499999999998</v>
      </c>
      <c r="G14">
        <v>119513</v>
      </c>
      <c r="H14" s="116"/>
      <c r="I14" s="116"/>
      <c r="L14" s="170">
        <v>42019</v>
      </c>
      <c r="M14" s="116">
        <v>533.5625</v>
      </c>
      <c r="N14" s="116">
        <v>538.20000000000005</v>
      </c>
      <c r="O14" s="116">
        <v>528.0625</v>
      </c>
      <c r="P14" s="116">
        <v>533.79999999999995</v>
      </c>
      <c r="Q14" s="116">
        <v>2134.25</v>
      </c>
      <c r="R14">
        <v>2085613</v>
      </c>
    </row>
    <row r="15" spans="1:18" x14ac:dyDescent="0.25">
      <c r="A15" s="170">
        <v>42020</v>
      </c>
      <c r="B15" s="116">
        <v>536.83749999999998</v>
      </c>
      <c r="C15" s="116">
        <v>528.53750000000002</v>
      </c>
      <c r="D15" s="116">
        <v>527.5</v>
      </c>
      <c r="E15" s="116">
        <v>535.04999999999995</v>
      </c>
      <c r="F15" s="116">
        <v>2114.15</v>
      </c>
      <c r="G15">
        <v>68114</v>
      </c>
      <c r="H15" s="116"/>
      <c r="I15" s="116"/>
      <c r="L15" s="170">
        <v>42020</v>
      </c>
      <c r="M15" s="116">
        <v>529.57500000000005</v>
      </c>
      <c r="N15" s="116">
        <v>540</v>
      </c>
      <c r="O15" s="116">
        <v>528</v>
      </c>
      <c r="P15" s="116">
        <v>537</v>
      </c>
      <c r="Q15" s="116">
        <v>2118.3000000000002</v>
      </c>
      <c r="R15">
        <v>1672740</v>
      </c>
    </row>
    <row r="16" spans="1:18" x14ac:dyDescent="0.25">
      <c r="A16" s="170">
        <v>42023</v>
      </c>
      <c r="B16" s="116">
        <v>532.75</v>
      </c>
      <c r="C16" s="116">
        <v>525.6</v>
      </c>
      <c r="D16" s="116">
        <v>523.95000000000005</v>
      </c>
      <c r="E16" s="116">
        <v>529.5</v>
      </c>
      <c r="F16" s="116">
        <v>2102.4</v>
      </c>
      <c r="G16">
        <v>60895</v>
      </c>
      <c r="H16" s="116"/>
      <c r="I16" s="116"/>
      <c r="L16" s="170">
        <v>42023</v>
      </c>
      <c r="M16" s="116">
        <v>525.625</v>
      </c>
      <c r="N16" s="116">
        <v>533.08749999999998</v>
      </c>
      <c r="O16" s="116">
        <v>523.65</v>
      </c>
      <c r="P16" s="116">
        <v>530</v>
      </c>
      <c r="Q16" s="116">
        <v>2102.5</v>
      </c>
      <c r="R16">
        <v>1021936</v>
      </c>
    </row>
    <row r="17" spans="1:18" x14ac:dyDescent="0.25">
      <c r="A17" s="170">
        <v>42024</v>
      </c>
      <c r="B17" s="116">
        <v>533.22500000000002</v>
      </c>
      <c r="C17" s="116">
        <v>530.58749999999998</v>
      </c>
      <c r="D17" s="116">
        <v>525.11249999999995</v>
      </c>
      <c r="E17" s="116">
        <v>525.6</v>
      </c>
      <c r="F17" s="116">
        <v>2122.35</v>
      </c>
      <c r="G17">
        <v>68958</v>
      </c>
      <c r="H17" s="116"/>
      <c r="I17" s="116"/>
      <c r="L17" s="170">
        <v>42024</v>
      </c>
      <c r="M17" s="116">
        <v>531.04999999999995</v>
      </c>
      <c r="N17" s="116">
        <v>533.25</v>
      </c>
      <c r="O17" s="116">
        <v>525.36249999999995</v>
      </c>
      <c r="P17" s="116">
        <v>526.75</v>
      </c>
      <c r="Q17" s="116">
        <v>2124.1999999999998</v>
      </c>
      <c r="R17">
        <v>1701126</v>
      </c>
    </row>
    <row r="18" spans="1:18" x14ac:dyDescent="0.25">
      <c r="A18" s="170">
        <v>42025</v>
      </c>
      <c r="B18" s="116">
        <v>542.5</v>
      </c>
      <c r="C18" s="116">
        <v>541.27499999999998</v>
      </c>
      <c r="D18" s="116">
        <v>529.32500000000005</v>
      </c>
      <c r="E18" s="116">
        <v>531.54999999999995</v>
      </c>
      <c r="F18" s="116">
        <v>2165.1</v>
      </c>
      <c r="G18">
        <v>360800</v>
      </c>
      <c r="H18" s="116"/>
      <c r="I18" s="116"/>
      <c r="L18" s="170">
        <v>42025</v>
      </c>
      <c r="M18" s="116">
        <v>542.47500000000002</v>
      </c>
      <c r="N18" s="116">
        <v>543.98749999999995</v>
      </c>
      <c r="O18" s="116">
        <v>529.5</v>
      </c>
      <c r="P18" s="116">
        <v>532.875</v>
      </c>
      <c r="Q18" s="116">
        <v>2169.9</v>
      </c>
      <c r="R18">
        <v>2123727</v>
      </c>
    </row>
    <row r="19" spans="1:18" x14ac:dyDescent="0.25">
      <c r="A19" s="170">
        <v>42026</v>
      </c>
      <c r="B19" s="116">
        <v>550.5</v>
      </c>
      <c r="C19" s="116">
        <v>548.92499999999995</v>
      </c>
      <c r="D19" s="116">
        <v>540.45000000000005</v>
      </c>
      <c r="E19" s="116">
        <v>542.25</v>
      </c>
      <c r="F19" s="116">
        <v>2195.6999999999998</v>
      </c>
      <c r="G19">
        <v>84270</v>
      </c>
      <c r="H19" s="116"/>
      <c r="I19" s="116"/>
      <c r="L19" s="170">
        <v>42026</v>
      </c>
      <c r="M19" s="116">
        <v>549.11249999999995</v>
      </c>
      <c r="N19" s="116">
        <v>550.75</v>
      </c>
      <c r="O19" s="116">
        <v>540.32500000000005</v>
      </c>
      <c r="P19" s="116">
        <v>543.70000000000005</v>
      </c>
      <c r="Q19" s="116">
        <v>2196.4499999999998</v>
      </c>
      <c r="R19">
        <v>2489599</v>
      </c>
    </row>
    <row r="20" spans="1:18" x14ac:dyDescent="0.25">
      <c r="A20" s="170">
        <v>42027</v>
      </c>
      <c r="B20" s="116">
        <v>555.5</v>
      </c>
      <c r="C20" s="116">
        <v>553.51250000000005</v>
      </c>
      <c r="D20" s="116">
        <v>541.6875</v>
      </c>
      <c r="E20" s="116">
        <v>550</v>
      </c>
      <c r="F20" s="116">
        <v>2214.0500000000002</v>
      </c>
      <c r="G20">
        <v>105912</v>
      </c>
      <c r="H20" s="116"/>
      <c r="I20" s="116"/>
      <c r="L20" s="170">
        <v>42027</v>
      </c>
      <c r="M20" s="116">
        <v>553.76250000000005</v>
      </c>
      <c r="N20" s="116">
        <v>556.25</v>
      </c>
      <c r="O20" s="116">
        <v>541.27499999999998</v>
      </c>
      <c r="P20" s="116">
        <v>550</v>
      </c>
      <c r="Q20" s="116">
        <v>2215.0500000000002</v>
      </c>
      <c r="R20">
        <v>2371582</v>
      </c>
    </row>
    <row r="21" spans="1:18" x14ac:dyDescent="0.25">
      <c r="A21" s="170">
        <v>42031</v>
      </c>
      <c r="B21" s="116">
        <v>554</v>
      </c>
      <c r="C21" s="116">
        <v>534</v>
      </c>
      <c r="D21" s="116">
        <v>532.75</v>
      </c>
      <c r="E21" s="116">
        <v>553.51250000000005</v>
      </c>
      <c r="F21" s="116">
        <v>2136</v>
      </c>
      <c r="G21">
        <v>112739</v>
      </c>
      <c r="H21" s="116"/>
      <c r="I21" s="116"/>
      <c r="L21" s="170">
        <v>42031</v>
      </c>
      <c r="M21" s="116">
        <v>534.125</v>
      </c>
      <c r="N21" s="116">
        <v>555.25</v>
      </c>
      <c r="O21" s="116">
        <v>532.52499999999998</v>
      </c>
      <c r="P21" s="116">
        <v>555.25</v>
      </c>
      <c r="Q21" s="116">
        <v>2136.5</v>
      </c>
      <c r="R21">
        <v>3434992</v>
      </c>
    </row>
    <row r="22" spans="1:18" x14ac:dyDescent="0.25">
      <c r="A22" s="170">
        <v>42032</v>
      </c>
      <c r="B22" s="116">
        <v>538.625</v>
      </c>
      <c r="C22" s="116">
        <v>536.27499999999998</v>
      </c>
      <c r="D22" s="116">
        <v>533.25</v>
      </c>
      <c r="E22" s="116">
        <v>536.63750000000005</v>
      </c>
      <c r="F22" s="116">
        <v>2145.1</v>
      </c>
      <c r="G22">
        <v>84013</v>
      </c>
      <c r="H22" s="116"/>
      <c r="I22" s="116"/>
      <c r="L22" s="170">
        <v>42032</v>
      </c>
      <c r="M22" s="116">
        <v>536.13750000000005</v>
      </c>
      <c r="N22" s="116">
        <v>538.70000000000005</v>
      </c>
      <c r="O22" s="116">
        <v>532.57500000000005</v>
      </c>
      <c r="P22" s="116">
        <v>537.5</v>
      </c>
      <c r="Q22" s="116">
        <v>2144.5500000000002</v>
      </c>
      <c r="R22">
        <v>3283589</v>
      </c>
    </row>
    <row r="23" spans="1:18" x14ac:dyDescent="0.25">
      <c r="A23" s="170">
        <v>42033</v>
      </c>
      <c r="B23" s="116">
        <v>537.33749999999998</v>
      </c>
      <c r="C23" s="116">
        <v>535.72500000000002</v>
      </c>
      <c r="D23" s="116">
        <v>532.0625</v>
      </c>
      <c r="E23" s="116">
        <v>533.79999999999995</v>
      </c>
      <c r="F23" s="116">
        <v>2142.9</v>
      </c>
      <c r="G23">
        <v>158005</v>
      </c>
      <c r="H23" s="116"/>
      <c r="I23" s="116"/>
      <c r="L23" s="170">
        <v>42033</v>
      </c>
      <c r="M23" s="116">
        <v>536.375</v>
      </c>
      <c r="N23" s="116">
        <v>537.47500000000002</v>
      </c>
      <c r="O23" s="116">
        <v>531.9</v>
      </c>
      <c r="P23" s="116">
        <v>536.25</v>
      </c>
      <c r="Q23" s="116">
        <v>2145.5</v>
      </c>
      <c r="R23">
        <v>3842356</v>
      </c>
    </row>
    <row r="24" spans="1:18" x14ac:dyDescent="0.25">
      <c r="A24" s="170">
        <v>42034</v>
      </c>
      <c r="B24" s="116">
        <v>540.9</v>
      </c>
      <c r="C24" s="116">
        <v>535.6875</v>
      </c>
      <c r="D24" s="116">
        <v>531.6</v>
      </c>
      <c r="E24" s="116">
        <v>538</v>
      </c>
      <c r="F24" s="116">
        <v>2142.75</v>
      </c>
      <c r="G24">
        <v>241853</v>
      </c>
      <c r="H24" s="116"/>
      <c r="I24" s="116"/>
      <c r="L24" s="170">
        <v>42034</v>
      </c>
      <c r="M24" s="116">
        <v>535.47500000000002</v>
      </c>
      <c r="N24" s="116">
        <v>540.63750000000005</v>
      </c>
      <c r="O24" s="116">
        <v>531.73749999999995</v>
      </c>
      <c r="P24" s="116">
        <v>540.375</v>
      </c>
      <c r="Q24" s="116">
        <v>2141.9</v>
      </c>
      <c r="R24">
        <v>2708436</v>
      </c>
    </row>
    <row r="25" spans="1:18" x14ac:dyDescent="0.25">
      <c r="A25" s="170">
        <v>42037</v>
      </c>
      <c r="B25" s="116">
        <v>537.79999999999995</v>
      </c>
      <c r="C25" s="116">
        <v>533.58749999999998</v>
      </c>
      <c r="D25" s="116">
        <v>531.91250000000002</v>
      </c>
      <c r="E25" s="116">
        <v>535</v>
      </c>
      <c r="F25" s="116">
        <v>2134.35</v>
      </c>
      <c r="G25">
        <v>64483</v>
      </c>
      <c r="H25" s="116"/>
      <c r="I25" s="116"/>
      <c r="L25" s="170">
        <v>42037</v>
      </c>
      <c r="M25" s="116">
        <v>534.21249999999998</v>
      </c>
      <c r="N25" s="116">
        <v>538</v>
      </c>
      <c r="O25" s="116">
        <v>531.51250000000005</v>
      </c>
      <c r="P25" s="116">
        <v>535.375</v>
      </c>
      <c r="Q25" s="116">
        <v>2136.85</v>
      </c>
      <c r="R25">
        <v>2175635</v>
      </c>
    </row>
    <row r="26" spans="1:18" x14ac:dyDescent="0.25">
      <c r="A26" s="170">
        <v>42038</v>
      </c>
      <c r="B26" s="116">
        <v>535</v>
      </c>
      <c r="C26" s="116">
        <v>530.08749999999998</v>
      </c>
      <c r="D26" s="116">
        <v>525.76250000000005</v>
      </c>
      <c r="E26" s="116">
        <v>535</v>
      </c>
      <c r="F26" s="116">
        <v>2120.35</v>
      </c>
      <c r="G26">
        <v>73571</v>
      </c>
      <c r="H26" s="116"/>
      <c r="I26" s="116"/>
      <c r="L26" s="170">
        <v>42038</v>
      </c>
      <c r="M26" s="116">
        <v>530.22500000000002</v>
      </c>
      <c r="N26" s="116">
        <v>534.98749999999995</v>
      </c>
      <c r="O26" s="116">
        <v>525.5</v>
      </c>
      <c r="P26" s="116">
        <v>534.21249999999998</v>
      </c>
      <c r="Q26" s="116">
        <v>2120.9</v>
      </c>
      <c r="R26">
        <v>1316489</v>
      </c>
    </row>
    <row r="27" spans="1:18" x14ac:dyDescent="0.25">
      <c r="A27" s="170">
        <v>42039</v>
      </c>
      <c r="B27" s="116">
        <v>537.375</v>
      </c>
      <c r="C27" s="116">
        <v>535.51250000000005</v>
      </c>
      <c r="D27" s="116">
        <v>532</v>
      </c>
      <c r="E27" s="116">
        <v>532</v>
      </c>
      <c r="F27" s="116">
        <v>2142.0500000000002</v>
      </c>
      <c r="G27">
        <v>54536</v>
      </c>
      <c r="H27" s="116"/>
      <c r="I27" s="116"/>
      <c r="L27" s="170">
        <v>42039</v>
      </c>
      <c r="M27" s="116">
        <v>535.71249999999998</v>
      </c>
      <c r="N27" s="116">
        <v>537.5</v>
      </c>
      <c r="O27" s="116">
        <v>531.6</v>
      </c>
      <c r="P27" s="116">
        <v>534.97500000000002</v>
      </c>
      <c r="Q27" s="116">
        <v>2142.85</v>
      </c>
      <c r="R27">
        <v>1290004</v>
      </c>
    </row>
    <row r="28" spans="1:18" x14ac:dyDescent="0.25">
      <c r="A28" s="170">
        <v>42040</v>
      </c>
      <c r="B28" s="116">
        <v>555</v>
      </c>
      <c r="C28" s="116">
        <v>548.4</v>
      </c>
      <c r="D28" s="116">
        <v>536</v>
      </c>
      <c r="E28" s="116">
        <v>536</v>
      </c>
      <c r="F28" s="116">
        <v>2193.6</v>
      </c>
      <c r="G28">
        <v>179273</v>
      </c>
      <c r="H28" s="116"/>
      <c r="I28" s="116"/>
      <c r="L28" s="170">
        <v>42040</v>
      </c>
      <c r="M28" s="116">
        <v>548.45000000000005</v>
      </c>
      <c r="N28" s="116">
        <v>555</v>
      </c>
      <c r="O28" s="116">
        <v>537</v>
      </c>
      <c r="P28" s="116">
        <v>537.70000000000005</v>
      </c>
      <c r="Q28" s="116">
        <v>2193.8000000000002</v>
      </c>
      <c r="R28">
        <v>2968984</v>
      </c>
    </row>
    <row r="29" spans="1:18" x14ac:dyDescent="0.25">
      <c r="A29" s="170">
        <v>42041</v>
      </c>
      <c r="B29" s="116">
        <v>561.6875</v>
      </c>
      <c r="C29" s="116">
        <v>557.33749999999998</v>
      </c>
      <c r="D29" s="116">
        <v>548.1</v>
      </c>
      <c r="E29" s="116">
        <v>548.25</v>
      </c>
      <c r="F29" s="116">
        <v>2229.35</v>
      </c>
      <c r="G29">
        <v>121493</v>
      </c>
      <c r="H29" s="116"/>
      <c r="I29" s="116"/>
      <c r="L29" s="170">
        <v>42041</v>
      </c>
      <c r="M29" s="116">
        <v>557.625</v>
      </c>
      <c r="N29" s="116">
        <v>561.95000000000005</v>
      </c>
      <c r="O29" s="116">
        <v>547.125</v>
      </c>
      <c r="P29" s="116">
        <v>551.25</v>
      </c>
      <c r="Q29" s="116">
        <v>2230.5</v>
      </c>
      <c r="R29">
        <v>1863432</v>
      </c>
    </row>
    <row r="30" spans="1:18" x14ac:dyDescent="0.25">
      <c r="A30" s="170">
        <v>42044</v>
      </c>
      <c r="B30" s="116">
        <v>563.75</v>
      </c>
      <c r="C30" s="116">
        <v>562.54999999999995</v>
      </c>
      <c r="D30" s="116">
        <v>551.6</v>
      </c>
      <c r="E30" s="116">
        <v>557.33749999999998</v>
      </c>
      <c r="F30" s="116">
        <v>2250.1999999999998</v>
      </c>
      <c r="G30">
        <v>160907</v>
      </c>
      <c r="H30" s="116"/>
      <c r="I30" s="116"/>
      <c r="L30" s="170">
        <v>42044</v>
      </c>
      <c r="M30" s="116">
        <v>562.22500000000002</v>
      </c>
      <c r="N30" s="116">
        <v>563.5</v>
      </c>
      <c r="O30" s="116">
        <v>550</v>
      </c>
      <c r="P30" s="116">
        <v>550</v>
      </c>
      <c r="Q30" s="116">
        <v>2248.9</v>
      </c>
      <c r="R30">
        <v>1634217</v>
      </c>
    </row>
    <row r="31" spans="1:18" x14ac:dyDescent="0.25">
      <c r="A31" s="170">
        <v>42045</v>
      </c>
      <c r="B31" s="116">
        <v>574.35</v>
      </c>
      <c r="C31" s="116">
        <v>570.07500000000005</v>
      </c>
      <c r="D31" s="116">
        <v>556.25</v>
      </c>
      <c r="E31" s="116">
        <v>561.22500000000002</v>
      </c>
      <c r="F31" s="116">
        <v>2280.3000000000002</v>
      </c>
      <c r="G31">
        <v>141656</v>
      </c>
      <c r="H31" s="116"/>
      <c r="I31" s="116"/>
      <c r="L31" s="170">
        <v>42045</v>
      </c>
      <c r="M31" s="116">
        <v>569.57500000000005</v>
      </c>
      <c r="N31" s="116">
        <v>574.5</v>
      </c>
      <c r="O31" s="116">
        <v>560.25</v>
      </c>
      <c r="P31" s="116">
        <v>560.75</v>
      </c>
      <c r="Q31" s="116">
        <v>2278.3000000000002</v>
      </c>
      <c r="R31">
        <v>2129230</v>
      </c>
    </row>
    <row r="32" spans="1:18" x14ac:dyDescent="0.25">
      <c r="A32" s="170">
        <v>42046</v>
      </c>
      <c r="B32" s="116">
        <v>573.75</v>
      </c>
      <c r="C32" s="116">
        <v>571.79999999999995</v>
      </c>
      <c r="D32" s="116">
        <v>564.5625</v>
      </c>
      <c r="E32" s="116">
        <v>568.75</v>
      </c>
      <c r="F32" s="116">
        <v>2287.1999999999998</v>
      </c>
      <c r="G32">
        <v>60563</v>
      </c>
      <c r="H32" s="116"/>
      <c r="I32" s="116"/>
      <c r="L32" s="170">
        <v>42046</v>
      </c>
      <c r="M32" s="116">
        <v>571.21249999999998</v>
      </c>
      <c r="N32" s="116">
        <v>573.29999999999995</v>
      </c>
      <c r="O32" s="116">
        <v>564.0625</v>
      </c>
      <c r="P32" s="116">
        <v>570.125</v>
      </c>
      <c r="Q32" s="116">
        <v>2284.85</v>
      </c>
      <c r="R32">
        <v>1449243</v>
      </c>
    </row>
    <row r="33" spans="1:18" x14ac:dyDescent="0.25">
      <c r="A33" s="170">
        <v>42047</v>
      </c>
      <c r="B33" s="116">
        <v>580.71249999999998</v>
      </c>
      <c r="C33" s="116">
        <v>578.86249999999995</v>
      </c>
      <c r="D33" s="116">
        <v>568.75</v>
      </c>
      <c r="E33" s="116">
        <v>570</v>
      </c>
      <c r="F33" s="116">
        <v>2315.4499999999998</v>
      </c>
      <c r="G33">
        <v>79766</v>
      </c>
      <c r="H33" s="116"/>
      <c r="I33" s="116"/>
      <c r="L33" s="170">
        <v>42047</v>
      </c>
      <c r="M33" s="116">
        <v>577.79999999999995</v>
      </c>
      <c r="N33" s="116">
        <v>580.48749999999995</v>
      </c>
      <c r="O33" s="116">
        <v>568.25</v>
      </c>
      <c r="P33" s="116">
        <v>570.75</v>
      </c>
      <c r="Q33" s="116">
        <v>2311.1999999999998</v>
      </c>
      <c r="R33">
        <v>1571884</v>
      </c>
    </row>
    <row r="34" spans="1:18" x14ac:dyDescent="0.25">
      <c r="A34" s="170">
        <v>42048</v>
      </c>
      <c r="B34" s="116">
        <v>581.22500000000002</v>
      </c>
      <c r="C34" s="116">
        <v>574.1</v>
      </c>
      <c r="D34" s="116">
        <v>571.73749999999995</v>
      </c>
      <c r="E34" s="116">
        <v>577.75</v>
      </c>
      <c r="F34" s="116">
        <v>2296.4</v>
      </c>
      <c r="G34">
        <v>109731</v>
      </c>
      <c r="H34" s="116"/>
      <c r="I34" s="116"/>
      <c r="L34" s="170">
        <v>42048</v>
      </c>
      <c r="M34" s="116">
        <v>574.02499999999998</v>
      </c>
      <c r="N34" s="116">
        <v>581.67499999999995</v>
      </c>
      <c r="O34" s="116">
        <v>571.5</v>
      </c>
      <c r="P34" s="116">
        <v>574.9</v>
      </c>
      <c r="Q34" s="116">
        <v>2296.1</v>
      </c>
      <c r="R34">
        <v>1414379</v>
      </c>
    </row>
    <row r="35" spans="1:18" x14ac:dyDescent="0.25">
      <c r="A35" s="170">
        <v>42051</v>
      </c>
      <c r="B35" s="116">
        <v>576.46249999999998</v>
      </c>
      <c r="C35" s="116">
        <v>569.625</v>
      </c>
      <c r="D35" s="116">
        <v>566.5</v>
      </c>
      <c r="E35" s="116">
        <v>570.25</v>
      </c>
      <c r="F35" s="116">
        <v>2278.5</v>
      </c>
      <c r="G35">
        <v>85541</v>
      </c>
      <c r="H35" s="116"/>
      <c r="I35" s="116"/>
      <c r="L35" s="170">
        <v>42051</v>
      </c>
      <c r="M35" s="116">
        <v>569.6875</v>
      </c>
      <c r="N35" s="116">
        <v>576.72500000000002</v>
      </c>
      <c r="O35" s="116">
        <v>566.3125</v>
      </c>
      <c r="P35" s="116">
        <v>570.07500000000005</v>
      </c>
      <c r="Q35" s="116">
        <v>2278.75</v>
      </c>
      <c r="R35">
        <v>1561069</v>
      </c>
    </row>
    <row r="36" spans="1:18" x14ac:dyDescent="0.25">
      <c r="A36" s="170">
        <v>42053</v>
      </c>
      <c r="B36" s="116">
        <v>576.25</v>
      </c>
      <c r="C36" s="116">
        <v>573.9375</v>
      </c>
      <c r="D36" s="116">
        <v>565.27499999999998</v>
      </c>
      <c r="E36" s="116">
        <v>571</v>
      </c>
      <c r="F36" s="116">
        <v>2295.75</v>
      </c>
      <c r="G36">
        <v>69884</v>
      </c>
      <c r="H36" s="116"/>
      <c r="I36" s="116"/>
      <c r="L36" s="170">
        <v>42053</v>
      </c>
      <c r="M36" s="116">
        <v>574.125</v>
      </c>
      <c r="N36" s="116">
        <v>576.23749999999995</v>
      </c>
      <c r="O36" s="116">
        <v>564.53750000000002</v>
      </c>
      <c r="P36" s="116">
        <v>572.63750000000005</v>
      </c>
      <c r="Q36" s="116">
        <v>2296.5</v>
      </c>
      <c r="R36">
        <v>2153441</v>
      </c>
    </row>
    <row r="37" spans="1:18" x14ac:dyDescent="0.25">
      <c r="A37" s="170">
        <v>42054</v>
      </c>
      <c r="B37" s="116">
        <v>583.47500000000002</v>
      </c>
      <c r="C37" s="116">
        <v>581.65</v>
      </c>
      <c r="D37" s="116">
        <v>573</v>
      </c>
      <c r="E37" s="116">
        <v>576</v>
      </c>
      <c r="F37" s="116">
        <v>2326.6</v>
      </c>
      <c r="G37">
        <v>85835</v>
      </c>
      <c r="H37" s="116"/>
      <c r="I37" s="116"/>
      <c r="L37" s="170">
        <v>42054</v>
      </c>
      <c r="M37" s="116">
        <v>581.17499999999995</v>
      </c>
      <c r="N37" s="116">
        <v>583.5</v>
      </c>
      <c r="O37" s="116">
        <v>573.01250000000005</v>
      </c>
      <c r="P37" s="116">
        <v>573.5</v>
      </c>
      <c r="Q37" s="116">
        <v>2324.6999999999998</v>
      </c>
      <c r="R37">
        <v>2418406</v>
      </c>
    </row>
    <row r="38" spans="1:18" x14ac:dyDescent="0.25">
      <c r="A38" s="170">
        <v>42055</v>
      </c>
      <c r="B38" s="116">
        <v>583.79999999999995</v>
      </c>
      <c r="C38" s="116">
        <v>571.07500000000005</v>
      </c>
      <c r="D38" s="116">
        <v>569.25</v>
      </c>
      <c r="E38" s="116">
        <v>581</v>
      </c>
      <c r="F38" s="116">
        <v>2284.3000000000002</v>
      </c>
      <c r="G38">
        <v>79717</v>
      </c>
      <c r="H38" s="116"/>
      <c r="I38" s="116"/>
      <c r="L38" s="170">
        <v>42055</v>
      </c>
      <c r="M38" s="116">
        <v>570.77499999999998</v>
      </c>
      <c r="N38" s="116">
        <v>584</v>
      </c>
      <c r="O38" s="116">
        <v>569.22500000000002</v>
      </c>
      <c r="P38" s="116">
        <v>582.125</v>
      </c>
      <c r="Q38" s="116">
        <v>2283.1</v>
      </c>
      <c r="R38">
        <v>1742907</v>
      </c>
    </row>
    <row r="39" spans="1:18" x14ac:dyDescent="0.25">
      <c r="A39" s="170">
        <v>42058</v>
      </c>
      <c r="B39" s="116">
        <v>577.75</v>
      </c>
      <c r="C39" s="116">
        <v>567.67499999999995</v>
      </c>
      <c r="D39" s="116">
        <v>563.3125</v>
      </c>
      <c r="E39" s="116">
        <v>575.98749999999995</v>
      </c>
      <c r="F39" s="116">
        <v>2270.6999999999998</v>
      </c>
      <c r="G39">
        <v>75951</v>
      </c>
      <c r="H39" s="116"/>
      <c r="I39" s="116"/>
      <c r="L39" s="170">
        <v>42058</v>
      </c>
      <c r="M39" s="116">
        <v>566.4</v>
      </c>
      <c r="N39" s="116">
        <v>577.29999999999995</v>
      </c>
      <c r="O39" s="116">
        <v>562.02499999999998</v>
      </c>
      <c r="P39" s="116">
        <v>575</v>
      </c>
      <c r="Q39" s="116">
        <v>2265.6</v>
      </c>
      <c r="R39">
        <v>1272622</v>
      </c>
    </row>
    <row r="40" spans="1:18" x14ac:dyDescent="0.25">
      <c r="A40" s="170">
        <v>42059</v>
      </c>
      <c r="B40" s="116">
        <v>573.75</v>
      </c>
      <c r="C40" s="116">
        <v>569.53750000000002</v>
      </c>
      <c r="D40" s="116">
        <v>564.5</v>
      </c>
      <c r="E40" s="116">
        <v>569.01250000000005</v>
      </c>
      <c r="F40" s="116">
        <v>2278.15</v>
      </c>
      <c r="G40">
        <v>52251</v>
      </c>
      <c r="H40" s="116"/>
      <c r="I40" s="116"/>
      <c r="L40" s="170">
        <v>42059</v>
      </c>
      <c r="M40" s="116">
        <v>568.20000000000005</v>
      </c>
      <c r="N40" s="116">
        <v>573.98749999999995</v>
      </c>
      <c r="O40" s="116">
        <v>564.4</v>
      </c>
      <c r="P40" s="116">
        <v>569.75</v>
      </c>
      <c r="Q40" s="116">
        <v>2272.8000000000002</v>
      </c>
      <c r="R40">
        <v>1609419</v>
      </c>
    </row>
    <row r="41" spans="1:18" x14ac:dyDescent="0.25">
      <c r="A41" s="170">
        <v>42060</v>
      </c>
      <c r="B41" s="116">
        <v>583</v>
      </c>
      <c r="C41" s="116">
        <v>579.51250000000005</v>
      </c>
      <c r="D41" s="116">
        <v>569.58749999999998</v>
      </c>
      <c r="E41" s="116">
        <v>572.5</v>
      </c>
      <c r="F41" s="116">
        <v>2318.0500000000002</v>
      </c>
      <c r="G41">
        <v>161995</v>
      </c>
      <c r="H41" s="116"/>
      <c r="I41" s="116"/>
      <c r="L41" s="170">
        <v>42060</v>
      </c>
      <c r="M41" s="116">
        <v>579.4</v>
      </c>
      <c r="N41" s="116">
        <v>583.70000000000005</v>
      </c>
      <c r="O41" s="116">
        <v>570</v>
      </c>
      <c r="P41" s="116">
        <v>572.22500000000002</v>
      </c>
      <c r="Q41" s="116">
        <v>2317.6</v>
      </c>
      <c r="R41">
        <v>1511243</v>
      </c>
    </row>
    <row r="42" spans="1:18" x14ac:dyDescent="0.25">
      <c r="A42" s="170">
        <v>42061</v>
      </c>
      <c r="B42" s="116">
        <v>578.72500000000002</v>
      </c>
      <c r="C42" s="116">
        <v>564.875</v>
      </c>
      <c r="D42" s="116">
        <v>562.5</v>
      </c>
      <c r="E42" s="116">
        <v>578.72500000000002</v>
      </c>
      <c r="F42" s="116">
        <v>2259.5</v>
      </c>
      <c r="G42">
        <v>69845</v>
      </c>
      <c r="H42" s="116"/>
      <c r="I42" s="116"/>
      <c r="L42" s="170">
        <v>42061</v>
      </c>
      <c r="M42" s="116">
        <v>564.52499999999998</v>
      </c>
      <c r="N42" s="116">
        <v>577.25</v>
      </c>
      <c r="O42" s="116">
        <v>561.35</v>
      </c>
      <c r="P42" s="116">
        <v>576.875</v>
      </c>
      <c r="Q42" s="116">
        <v>2258.1</v>
      </c>
      <c r="R42">
        <v>1611444</v>
      </c>
    </row>
    <row r="43" spans="1:18" x14ac:dyDescent="0.25">
      <c r="A43" s="170">
        <v>42062</v>
      </c>
      <c r="B43" s="116">
        <v>570.21249999999998</v>
      </c>
      <c r="C43" s="116">
        <v>566.58749999999998</v>
      </c>
      <c r="D43" s="116">
        <v>564.5</v>
      </c>
      <c r="E43" s="116">
        <v>566.8125</v>
      </c>
      <c r="F43" s="116">
        <v>2266.35</v>
      </c>
      <c r="G43">
        <v>50721</v>
      </c>
      <c r="H43" s="116"/>
      <c r="I43" s="116"/>
      <c r="L43" s="170">
        <v>42062</v>
      </c>
      <c r="M43" s="116">
        <v>566.4375</v>
      </c>
      <c r="N43" s="116">
        <v>570.16250000000002</v>
      </c>
      <c r="O43" s="116">
        <v>562.875</v>
      </c>
      <c r="P43" s="116">
        <v>568.72500000000002</v>
      </c>
      <c r="Q43" s="116">
        <v>2265.75</v>
      </c>
      <c r="R43">
        <v>1950269</v>
      </c>
    </row>
    <row r="44" spans="1:18" x14ac:dyDescent="0.25">
      <c r="A44" s="170">
        <v>42063</v>
      </c>
      <c r="B44" s="116">
        <v>577.5</v>
      </c>
      <c r="C44" s="116">
        <v>573.71249999999998</v>
      </c>
      <c r="D44" s="116">
        <v>564.5</v>
      </c>
      <c r="E44" s="116">
        <v>567.5</v>
      </c>
      <c r="F44" s="116">
        <v>2294.85</v>
      </c>
      <c r="G44">
        <v>73422</v>
      </c>
      <c r="H44" s="116"/>
      <c r="I44" s="116"/>
      <c r="L44" s="170">
        <v>42063</v>
      </c>
      <c r="M44" s="116">
        <v>574.11249999999995</v>
      </c>
      <c r="N44" s="116">
        <v>576.97500000000002</v>
      </c>
      <c r="O44" s="116">
        <v>564.04999999999995</v>
      </c>
      <c r="P44" s="116">
        <v>568.6875</v>
      </c>
      <c r="Q44" s="116">
        <v>2296.4499999999998</v>
      </c>
      <c r="R44">
        <v>799334</v>
      </c>
    </row>
    <row r="45" spans="1:18" x14ac:dyDescent="0.25">
      <c r="A45" s="170">
        <v>42065</v>
      </c>
      <c r="B45" s="116">
        <v>577</v>
      </c>
      <c r="C45" s="116">
        <v>572.86249999999995</v>
      </c>
      <c r="D45" s="116">
        <v>569.6</v>
      </c>
      <c r="E45" s="116">
        <v>575</v>
      </c>
      <c r="F45" s="116">
        <v>2291.4499999999998</v>
      </c>
      <c r="G45">
        <v>38621</v>
      </c>
      <c r="H45" s="116"/>
      <c r="I45" s="116"/>
      <c r="L45" s="170">
        <v>42065</v>
      </c>
      <c r="M45" s="116">
        <v>572.92499999999995</v>
      </c>
      <c r="N45" s="116">
        <v>577.125</v>
      </c>
      <c r="O45" s="116">
        <v>569.51250000000005</v>
      </c>
      <c r="P45" s="116">
        <v>575.75</v>
      </c>
      <c r="Q45" s="116">
        <v>2291.6999999999998</v>
      </c>
      <c r="R45">
        <v>1760248</v>
      </c>
    </row>
    <row r="46" spans="1:18" x14ac:dyDescent="0.25">
      <c r="A46" s="170">
        <v>42066</v>
      </c>
      <c r="B46" s="116">
        <v>577.25</v>
      </c>
      <c r="C46" s="116">
        <v>574.33749999999998</v>
      </c>
      <c r="D46" s="116">
        <v>569.86249999999995</v>
      </c>
      <c r="E46" s="116">
        <v>572.75</v>
      </c>
      <c r="F46" s="116">
        <v>2297.35</v>
      </c>
      <c r="G46">
        <v>39781</v>
      </c>
      <c r="H46" s="116"/>
      <c r="I46" s="116"/>
      <c r="L46" s="170">
        <v>42066</v>
      </c>
      <c r="M46" s="116">
        <v>574.46249999999998</v>
      </c>
      <c r="N46" s="116">
        <v>575.73749999999995</v>
      </c>
      <c r="O46" s="116">
        <v>569.57500000000005</v>
      </c>
      <c r="P46" s="116">
        <v>572.5</v>
      </c>
      <c r="Q46" s="116">
        <v>2297.85</v>
      </c>
      <c r="R46">
        <v>1226388</v>
      </c>
    </row>
    <row r="47" spans="1:18" x14ac:dyDescent="0.25">
      <c r="A47" s="170">
        <v>42067</v>
      </c>
      <c r="B47" s="116">
        <v>578.375</v>
      </c>
      <c r="C47" s="116">
        <v>568.15</v>
      </c>
      <c r="D47" s="116">
        <v>563.08749999999998</v>
      </c>
      <c r="E47" s="116">
        <v>574.75</v>
      </c>
      <c r="F47" s="116">
        <v>2272.6</v>
      </c>
      <c r="G47">
        <v>71430</v>
      </c>
      <c r="H47" s="116"/>
      <c r="I47" s="116"/>
      <c r="L47" s="170">
        <v>42067</v>
      </c>
      <c r="M47" s="116">
        <v>568.66250000000002</v>
      </c>
      <c r="N47" s="116">
        <v>578.47500000000002</v>
      </c>
      <c r="O47" s="116">
        <v>562.97500000000002</v>
      </c>
      <c r="P47" s="116">
        <v>575</v>
      </c>
      <c r="Q47" s="116">
        <v>2274.65</v>
      </c>
      <c r="R47">
        <v>1093807</v>
      </c>
    </row>
    <row r="48" spans="1:18" x14ac:dyDescent="0.25">
      <c r="A48" s="170">
        <v>42068</v>
      </c>
      <c r="B48" s="116">
        <v>574.35</v>
      </c>
      <c r="C48" s="116">
        <v>562.92499999999995</v>
      </c>
      <c r="D48" s="116">
        <v>559</v>
      </c>
      <c r="E48" s="116">
        <v>567.1</v>
      </c>
      <c r="F48" s="116">
        <v>2251.6999999999998</v>
      </c>
      <c r="G48">
        <v>62659</v>
      </c>
      <c r="H48" s="116"/>
      <c r="I48" s="116"/>
      <c r="L48" s="170">
        <v>42068</v>
      </c>
      <c r="M48" s="116">
        <v>561.9</v>
      </c>
      <c r="N48" s="116">
        <v>574.6875</v>
      </c>
      <c r="O48" s="116">
        <v>558.33749999999998</v>
      </c>
      <c r="P48" s="116">
        <v>566.76250000000005</v>
      </c>
      <c r="Q48" s="116">
        <v>2247.6</v>
      </c>
      <c r="R48">
        <v>1421229</v>
      </c>
    </row>
    <row r="49" spans="1:18" x14ac:dyDescent="0.25">
      <c r="A49" s="170">
        <v>42072</v>
      </c>
      <c r="B49" s="116">
        <v>564</v>
      </c>
      <c r="C49" s="116">
        <v>547.63750000000005</v>
      </c>
      <c r="D49" s="116">
        <v>544.79999999999995</v>
      </c>
      <c r="E49" s="116">
        <v>563.75</v>
      </c>
      <c r="F49" s="116">
        <v>2190.5500000000002</v>
      </c>
      <c r="G49">
        <v>121463</v>
      </c>
      <c r="H49" s="116"/>
      <c r="I49" s="116"/>
      <c r="L49" s="170">
        <v>42072</v>
      </c>
      <c r="M49" s="116">
        <v>547.51250000000005</v>
      </c>
      <c r="N49" s="116">
        <v>564.75</v>
      </c>
      <c r="O49" s="116">
        <v>544.75</v>
      </c>
      <c r="P49" s="116">
        <v>564.75</v>
      </c>
      <c r="Q49" s="116">
        <v>2190.0500000000002</v>
      </c>
      <c r="R49">
        <v>1996180</v>
      </c>
    </row>
    <row r="50" spans="1:18" x14ac:dyDescent="0.25">
      <c r="A50" s="170">
        <v>42073</v>
      </c>
      <c r="B50" s="116">
        <v>551.75</v>
      </c>
      <c r="C50" s="116">
        <v>550.02499999999998</v>
      </c>
      <c r="D50" s="116">
        <v>540.82500000000005</v>
      </c>
      <c r="E50" s="116">
        <v>550</v>
      </c>
      <c r="F50" s="116">
        <v>2200.1</v>
      </c>
      <c r="G50">
        <v>90340</v>
      </c>
      <c r="H50" s="116"/>
      <c r="I50" s="116"/>
      <c r="L50" s="170">
        <v>42073</v>
      </c>
      <c r="M50" s="116">
        <v>549.5</v>
      </c>
      <c r="N50" s="116">
        <v>551.73749999999995</v>
      </c>
      <c r="O50" s="116">
        <v>540.04999999999995</v>
      </c>
      <c r="P50" s="116">
        <v>549.52499999999998</v>
      </c>
      <c r="Q50" s="116">
        <v>2198</v>
      </c>
      <c r="R50">
        <v>1582479</v>
      </c>
    </row>
    <row r="51" spans="1:18" x14ac:dyDescent="0.25">
      <c r="A51" s="170">
        <v>42074</v>
      </c>
      <c r="B51" s="116">
        <v>560</v>
      </c>
      <c r="C51" s="116">
        <v>545.9</v>
      </c>
      <c r="D51" s="116">
        <v>543.15</v>
      </c>
      <c r="E51" s="116">
        <v>547.5</v>
      </c>
      <c r="F51" s="116">
        <v>2183.6</v>
      </c>
      <c r="G51">
        <v>127073</v>
      </c>
      <c r="H51" s="116"/>
      <c r="I51" s="116"/>
      <c r="L51" s="170">
        <v>42074</v>
      </c>
      <c r="M51" s="116">
        <v>545.54999999999995</v>
      </c>
      <c r="N51" s="116">
        <v>560</v>
      </c>
      <c r="O51" s="116">
        <v>542.27499999999998</v>
      </c>
      <c r="P51" s="116">
        <v>548.52499999999998</v>
      </c>
      <c r="Q51" s="116">
        <v>2182.1999999999998</v>
      </c>
      <c r="R51">
        <v>1695228</v>
      </c>
    </row>
    <row r="52" spans="1:18" x14ac:dyDescent="0.25">
      <c r="A52" s="170">
        <v>42075</v>
      </c>
      <c r="B52" s="116">
        <v>556.58749999999998</v>
      </c>
      <c r="C52" s="116">
        <v>554.45000000000005</v>
      </c>
      <c r="D52" s="116">
        <v>544.375</v>
      </c>
      <c r="E52" s="116">
        <v>546.22500000000002</v>
      </c>
      <c r="F52" s="116">
        <v>2217.8000000000002</v>
      </c>
      <c r="G52">
        <v>86262</v>
      </c>
      <c r="H52" s="116"/>
      <c r="I52" s="116"/>
      <c r="L52" s="170">
        <v>42075</v>
      </c>
      <c r="M52" s="116">
        <v>554.57500000000005</v>
      </c>
      <c r="N52" s="116">
        <v>556.61249999999995</v>
      </c>
      <c r="O52" s="116">
        <v>544.25</v>
      </c>
      <c r="P52" s="116">
        <v>544.75</v>
      </c>
      <c r="Q52" s="116">
        <v>2218.3000000000002</v>
      </c>
      <c r="R52">
        <v>1422141</v>
      </c>
    </row>
    <row r="53" spans="1:18" x14ac:dyDescent="0.25">
      <c r="A53" s="170">
        <v>42076</v>
      </c>
      <c r="B53" s="116">
        <v>557.20000000000005</v>
      </c>
      <c r="C53" s="116">
        <v>554.11249999999995</v>
      </c>
      <c r="D53" s="116">
        <v>548.6</v>
      </c>
      <c r="E53" s="116">
        <v>556.52499999999998</v>
      </c>
      <c r="F53" s="116">
        <v>2216.4499999999998</v>
      </c>
      <c r="G53">
        <v>55664</v>
      </c>
      <c r="H53" s="116"/>
      <c r="I53" s="116"/>
      <c r="L53" s="170">
        <v>42076</v>
      </c>
      <c r="M53" s="116">
        <v>555.1</v>
      </c>
      <c r="N53" s="116">
        <v>557.5</v>
      </c>
      <c r="O53" s="116">
        <v>548.1</v>
      </c>
      <c r="P53" s="116">
        <v>556.25</v>
      </c>
      <c r="Q53" s="116">
        <v>2220.4</v>
      </c>
      <c r="R53">
        <v>1544921</v>
      </c>
    </row>
    <row r="54" spans="1:18" x14ac:dyDescent="0.25">
      <c r="A54" s="170">
        <v>42079</v>
      </c>
      <c r="B54" s="116">
        <v>570.5</v>
      </c>
      <c r="C54" s="116">
        <v>566.75</v>
      </c>
      <c r="D54" s="116">
        <v>552.5</v>
      </c>
      <c r="E54" s="116">
        <v>552.5</v>
      </c>
      <c r="F54" s="116">
        <v>2267</v>
      </c>
      <c r="G54">
        <v>77167</v>
      </c>
      <c r="H54" s="116"/>
      <c r="I54" s="116"/>
      <c r="L54" s="170">
        <v>42079</v>
      </c>
      <c r="M54" s="116">
        <v>566.66250000000002</v>
      </c>
      <c r="N54" s="116">
        <v>570.5</v>
      </c>
      <c r="O54" s="116">
        <v>552.63750000000005</v>
      </c>
      <c r="P54" s="116">
        <v>552.63750000000005</v>
      </c>
      <c r="Q54" s="116">
        <v>2266.65</v>
      </c>
      <c r="R54">
        <v>1704658</v>
      </c>
    </row>
    <row r="55" spans="1:18" x14ac:dyDescent="0.25">
      <c r="A55" s="170">
        <v>42080</v>
      </c>
      <c r="B55" s="116">
        <v>569.625</v>
      </c>
      <c r="C55" s="116">
        <v>560.48749999999995</v>
      </c>
      <c r="D55" s="116">
        <v>554.54999999999995</v>
      </c>
      <c r="E55" s="116">
        <v>565.04999999999995</v>
      </c>
      <c r="F55" s="116">
        <v>2241.9499999999998</v>
      </c>
      <c r="G55">
        <v>84879</v>
      </c>
      <c r="H55" s="116"/>
      <c r="I55" s="116"/>
      <c r="L55" s="170">
        <v>42080</v>
      </c>
      <c r="M55" s="116">
        <v>560.125</v>
      </c>
      <c r="N55" s="116">
        <v>569.875</v>
      </c>
      <c r="O55" s="116">
        <v>554.3125</v>
      </c>
      <c r="P55" s="116">
        <v>566.66250000000002</v>
      </c>
      <c r="Q55" s="116">
        <v>2240.5</v>
      </c>
      <c r="R55">
        <v>1384828</v>
      </c>
    </row>
    <row r="56" spans="1:18" x14ac:dyDescent="0.25">
      <c r="A56" s="170">
        <v>42081</v>
      </c>
      <c r="B56" s="116">
        <v>565.1875</v>
      </c>
      <c r="C56" s="116">
        <v>557.54999999999995</v>
      </c>
      <c r="D56" s="116">
        <v>555</v>
      </c>
      <c r="E56" s="116">
        <v>562.5</v>
      </c>
      <c r="F56" s="116">
        <v>2230.1999999999998</v>
      </c>
      <c r="G56">
        <v>41571</v>
      </c>
      <c r="H56" s="116"/>
      <c r="I56" s="116"/>
      <c r="L56" s="170">
        <v>42081</v>
      </c>
      <c r="M56" s="116">
        <v>557.375</v>
      </c>
      <c r="N56" s="116">
        <v>565.71249999999998</v>
      </c>
      <c r="O56" s="116">
        <v>555.63750000000005</v>
      </c>
      <c r="P56" s="116">
        <v>563.625</v>
      </c>
      <c r="Q56" s="116">
        <v>2229.5</v>
      </c>
      <c r="R56">
        <v>1226391</v>
      </c>
    </row>
    <row r="57" spans="1:18" x14ac:dyDescent="0.25">
      <c r="A57" s="170">
        <v>42082</v>
      </c>
      <c r="B57" s="116">
        <v>561.03750000000002</v>
      </c>
      <c r="C57" s="116">
        <v>557.47500000000002</v>
      </c>
      <c r="D57" s="116">
        <v>556.04999999999995</v>
      </c>
      <c r="E57" s="116">
        <v>556.75</v>
      </c>
      <c r="F57" s="116">
        <v>2229.9</v>
      </c>
      <c r="G57">
        <v>510708</v>
      </c>
      <c r="H57" s="116"/>
      <c r="I57" s="116"/>
      <c r="L57" s="170">
        <v>42082</v>
      </c>
      <c r="M57" s="116">
        <v>557.61249999999995</v>
      </c>
      <c r="N57" s="116">
        <v>562.25</v>
      </c>
      <c r="O57" s="116">
        <v>555.6875</v>
      </c>
      <c r="P57" s="116">
        <v>558.65</v>
      </c>
      <c r="Q57" s="116">
        <v>2230.4499999999998</v>
      </c>
      <c r="R57">
        <v>1722935</v>
      </c>
    </row>
    <row r="58" spans="1:18" x14ac:dyDescent="0.25">
      <c r="A58" s="170">
        <v>42083</v>
      </c>
      <c r="B58" s="116">
        <v>567.375</v>
      </c>
      <c r="C58" s="116">
        <v>564.73749999999995</v>
      </c>
      <c r="D58" s="116">
        <v>558.25</v>
      </c>
      <c r="E58" s="116">
        <v>558.25</v>
      </c>
      <c r="F58" s="116">
        <v>2258.9499999999998</v>
      </c>
      <c r="G58">
        <v>78706</v>
      </c>
      <c r="H58" s="116"/>
      <c r="I58" s="116"/>
      <c r="L58" s="170">
        <v>42083</v>
      </c>
      <c r="M58" s="116">
        <v>564.36249999999995</v>
      </c>
      <c r="N58" s="116">
        <v>567.22500000000002</v>
      </c>
      <c r="O58" s="116">
        <v>558.23749999999995</v>
      </c>
      <c r="P58" s="116">
        <v>560.25</v>
      </c>
      <c r="Q58" s="116">
        <v>2257.4499999999998</v>
      </c>
      <c r="R58">
        <v>1607724</v>
      </c>
    </row>
    <row r="59" spans="1:18" x14ac:dyDescent="0.25">
      <c r="A59" s="170">
        <v>42086</v>
      </c>
      <c r="B59" s="116">
        <v>568.75</v>
      </c>
      <c r="C59" s="116">
        <v>558.1</v>
      </c>
      <c r="D59" s="116">
        <v>556.71249999999998</v>
      </c>
      <c r="E59" s="116">
        <v>563</v>
      </c>
      <c r="F59" s="116">
        <v>2232.4</v>
      </c>
      <c r="G59">
        <v>360348</v>
      </c>
      <c r="H59" s="116"/>
      <c r="I59" s="116"/>
      <c r="L59" s="170">
        <v>42086</v>
      </c>
      <c r="M59" s="116">
        <v>558.36249999999995</v>
      </c>
      <c r="N59" s="116">
        <v>568.75</v>
      </c>
      <c r="O59" s="116">
        <v>556.375</v>
      </c>
      <c r="P59" s="116">
        <v>563.25</v>
      </c>
      <c r="Q59" s="116">
        <v>2233.4499999999998</v>
      </c>
      <c r="R59">
        <v>1269675</v>
      </c>
    </row>
    <row r="60" spans="1:18" x14ac:dyDescent="0.25">
      <c r="A60" s="170">
        <v>42087</v>
      </c>
      <c r="B60" s="116">
        <v>563</v>
      </c>
      <c r="C60" s="116">
        <v>553.02499999999998</v>
      </c>
      <c r="D60" s="116">
        <v>551.5625</v>
      </c>
      <c r="E60" s="116">
        <v>557.5</v>
      </c>
      <c r="F60" s="116">
        <v>2212.1</v>
      </c>
      <c r="G60">
        <v>54726</v>
      </c>
      <c r="H60" s="116"/>
      <c r="I60" s="116"/>
      <c r="L60" s="170">
        <v>42087</v>
      </c>
      <c r="M60" s="116">
        <v>552.86249999999995</v>
      </c>
      <c r="N60" s="116">
        <v>563.35</v>
      </c>
      <c r="O60" s="116">
        <v>551.5</v>
      </c>
      <c r="P60" s="116">
        <v>558.72500000000002</v>
      </c>
      <c r="Q60" s="116">
        <v>2211.4499999999998</v>
      </c>
      <c r="R60">
        <v>1684133</v>
      </c>
    </row>
    <row r="61" spans="1:18" x14ac:dyDescent="0.25">
      <c r="A61" s="170">
        <v>42088</v>
      </c>
      <c r="B61" s="116">
        <v>556.92499999999995</v>
      </c>
      <c r="C61" s="116">
        <v>554.42499999999995</v>
      </c>
      <c r="D61" s="116">
        <v>550</v>
      </c>
      <c r="E61" s="116">
        <v>554.32500000000005</v>
      </c>
      <c r="F61" s="116">
        <v>2217.6999999999998</v>
      </c>
      <c r="G61">
        <v>73237</v>
      </c>
      <c r="H61" s="116"/>
      <c r="I61" s="116"/>
      <c r="L61" s="170">
        <v>42088</v>
      </c>
      <c r="M61" s="116">
        <v>554.77499999999998</v>
      </c>
      <c r="N61" s="116">
        <v>557.28750000000002</v>
      </c>
      <c r="O61" s="116">
        <v>550.1875</v>
      </c>
      <c r="P61" s="116">
        <v>555.72500000000002</v>
      </c>
      <c r="Q61" s="116">
        <v>2219.1</v>
      </c>
      <c r="R61">
        <v>1542742</v>
      </c>
    </row>
    <row r="62" spans="1:18" x14ac:dyDescent="0.25">
      <c r="A62" s="170">
        <v>42089</v>
      </c>
      <c r="B62" s="116">
        <v>553.375</v>
      </c>
      <c r="C62" s="116">
        <v>536.11249999999995</v>
      </c>
      <c r="D62" s="116">
        <v>532.5</v>
      </c>
      <c r="E62" s="116">
        <v>553</v>
      </c>
      <c r="F62" s="116">
        <v>2144.4499999999998</v>
      </c>
      <c r="G62">
        <v>113160</v>
      </c>
      <c r="H62" s="116"/>
      <c r="I62" s="116"/>
      <c r="L62" s="170">
        <v>42089</v>
      </c>
      <c r="M62" s="116">
        <v>536.58749999999998</v>
      </c>
      <c r="N62" s="116">
        <v>553.72500000000002</v>
      </c>
      <c r="O62" s="116">
        <v>533</v>
      </c>
      <c r="P62" s="116">
        <v>552</v>
      </c>
      <c r="Q62" s="116">
        <v>2146.35</v>
      </c>
      <c r="R62">
        <v>3935210</v>
      </c>
    </row>
    <row r="63" spans="1:18" x14ac:dyDescent="0.25">
      <c r="A63" s="170">
        <v>42090</v>
      </c>
      <c r="B63" s="116">
        <v>556.25</v>
      </c>
      <c r="C63" s="116">
        <v>550.48749999999995</v>
      </c>
      <c r="D63" s="116">
        <v>540</v>
      </c>
      <c r="E63" s="116">
        <v>541</v>
      </c>
      <c r="F63" s="116">
        <v>2201.9499999999998</v>
      </c>
      <c r="G63">
        <v>80772</v>
      </c>
      <c r="H63" s="116"/>
      <c r="I63" s="116"/>
      <c r="L63" s="170">
        <v>42090</v>
      </c>
      <c r="M63" s="116">
        <v>550.53750000000002</v>
      </c>
      <c r="N63" s="116">
        <v>556.17499999999995</v>
      </c>
      <c r="O63" s="116">
        <v>540.75</v>
      </c>
      <c r="P63" s="116">
        <v>541</v>
      </c>
      <c r="Q63" s="116">
        <v>2202.15</v>
      </c>
      <c r="R63">
        <v>2518555</v>
      </c>
    </row>
    <row r="64" spans="1:18" x14ac:dyDescent="0.25">
      <c r="A64" s="170">
        <v>42093</v>
      </c>
      <c r="B64" s="116">
        <v>561.01250000000005</v>
      </c>
      <c r="C64" s="116">
        <v>557.45000000000005</v>
      </c>
      <c r="D64" s="116">
        <v>548.86249999999995</v>
      </c>
      <c r="E64" s="116">
        <v>553.5</v>
      </c>
      <c r="F64" s="116">
        <v>2229.8000000000002</v>
      </c>
      <c r="G64">
        <v>57982</v>
      </c>
      <c r="H64" s="116"/>
      <c r="I64" s="116"/>
      <c r="L64" s="170">
        <v>42093</v>
      </c>
      <c r="M64" s="116">
        <v>557</v>
      </c>
      <c r="N64" s="116">
        <v>560</v>
      </c>
      <c r="O64" s="116">
        <v>548.72500000000002</v>
      </c>
      <c r="P64" s="116">
        <v>551.4</v>
      </c>
      <c r="Q64" s="116">
        <v>2228</v>
      </c>
      <c r="R64">
        <v>1155772</v>
      </c>
    </row>
    <row r="65" spans="1:18" x14ac:dyDescent="0.25">
      <c r="A65" s="170">
        <v>42094</v>
      </c>
      <c r="B65" s="116">
        <v>568</v>
      </c>
      <c r="C65" s="116">
        <v>554.15</v>
      </c>
      <c r="D65" s="116">
        <v>551.21249999999998</v>
      </c>
      <c r="E65" s="116">
        <v>560.9</v>
      </c>
      <c r="F65" s="116">
        <v>2216.6</v>
      </c>
      <c r="G65">
        <v>76544</v>
      </c>
      <c r="H65" s="116"/>
      <c r="I65" s="116"/>
      <c r="L65" s="170">
        <v>42094</v>
      </c>
      <c r="M65" s="116">
        <v>554.58749999999998</v>
      </c>
      <c r="N65" s="116">
        <v>568.41250000000002</v>
      </c>
      <c r="O65" s="116">
        <v>551.08749999999998</v>
      </c>
      <c r="P65" s="116">
        <v>561.25</v>
      </c>
      <c r="Q65" s="116">
        <v>2218.35</v>
      </c>
      <c r="R65">
        <v>2004103</v>
      </c>
    </row>
    <row r="66" spans="1:18" x14ac:dyDescent="0.25">
      <c r="A66" s="170">
        <v>42095</v>
      </c>
      <c r="B66" s="116">
        <v>552.35</v>
      </c>
      <c r="C66" s="116">
        <v>543.0625</v>
      </c>
      <c r="D66" s="116">
        <v>540</v>
      </c>
      <c r="E66" s="116">
        <v>552.35</v>
      </c>
      <c r="F66" s="116">
        <v>2172.25</v>
      </c>
      <c r="G66">
        <v>158123</v>
      </c>
      <c r="H66" s="116"/>
      <c r="I66" s="116"/>
      <c r="L66" s="170">
        <v>42095</v>
      </c>
      <c r="M66" s="116">
        <v>543.48749999999995</v>
      </c>
      <c r="N66" s="116">
        <v>549.875</v>
      </c>
      <c r="O66" s="116">
        <v>539.42499999999995</v>
      </c>
      <c r="P66" s="116">
        <v>549.72500000000002</v>
      </c>
      <c r="Q66" s="116">
        <v>2173.9499999999998</v>
      </c>
      <c r="R66">
        <v>1684622</v>
      </c>
    </row>
    <row r="67" spans="1:18" x14ac:dyDescent="0.25">
      <c r="A67" s="170">
        <v>42100</v>
      </c>
      <c r="B67" s="116">
        <v>546.25</v>
      </c>
      <c r="C67" s="116">
        <v>544.29999999999995</v>
      </c>
      <c r="D67" s="116">
        <v>540.5</v>
      </c>
      <c r="E67" s="116">
        <v>544.5</v>
      </c>
      <c r="F67" s="116">
        <v>2177.1999999999998</v>
      </c>
      <c r="G67">
        <v>58059</v>
      </c>
      <c r="H67" s="116"/>
      <c r="I67" s="116"/>
      <c r="L67" s="170">
        <v>42100</v>
      </c>
      <c r="M67" s="116">
        <v>544.54999999999995</v>
      </c>
      <c r="N67" s="116">
        <v>546.17499999999995</v>
      </c>
      <c r="O67" s="116">
        <v>540.1</v>
      </c>
      <c r="P67" s="116">
        <v>544.75</v>
      </c>
      <c r="Q67" s="116">
        <v>2178.1999999999998</v>
      </c>
      <c r="R67">
        <v>1935438</v>
      </c>
    </row>
    <row r="68" spans="1:18" x14ac:dyDescent="0.25">
      <c r="A68" s="170">
        <v>42101</v>
      </c>
      <c r="B68" s="116">
        <v>545.98749999999995</v>
      </c>
      <c r="C68" s="116">
        <v>540.3125</v>
      </c>
      <c r="D68" s="116">
        <v>535.45000000000005</v>
      </c>
      <c r="E68" s="116">
        <v>545</v>
      </c>
      <c r="F68" s="116">
        <v>2161.25</v>
      </c>
      <c r="G68">
        <v>70057</v>
      </c>
      <c r="H68" s="116"/>
      <c r="I68" s="116"/>
      <c r="L68" s="170">
        <v>42101</v>
      </c>
      <c r="M68" s="116">
        <v>539.875</v>
      </c>
      <c r="N68" s="116">
        <v>545.70000000000005</v>
      </c>
      <c r="O68" s="116">
        <v>534.5</v>
      </c>
      <c r="P68" s="116">
        <v>543.75</v>
      </c>
      <c r="Q68" s="116">
        <v>2159.5</v>
      </c>
      <c r="R68">
        <v>2135567</v>
      </c>
    </row>
    <row r="69" spans="1:18" x14ac:dyDescent="0.25">
      <c r="A69" s="170">
        <v>42102</v>
      </c>
      <c r="B69" s="116">
        <v>551.71249999999998</v>
      </c>
      <c r="C69" s="116">
        <v>550.20000000000005</v>
      </c>
      <c r="D69" s="116">
        <v>543.5</v>
      </c>
      <c r="E69" s="116">
        <v>543.875</v>
      </c>
      <c r="F69" s="116">
        <v>2200.8000000000002</v>
      </c>
      <c r="G69">
        <v>39799</v>
      </c>
      <c r="H69" s="116"/>
      <c r="I69" s="116"/>
      <c r="L69" s="170">
        <v>42102</v>
      </c>
      <c r="M69" s="116">
        <v>550.13750000000005</v>
      </c>
      <c r="N69" s="116">
        <v>551.22500000000002</v>
      </c>
      <c r="O69" s="116">
        <v>543.26250000000005</v>
      </c>
      <c r="P69" s="116">
        <v>545.625</v>
      </c>
      <c r="Q69" s="116">
        <v>2200.5500000000002</v>
      </c>
      <c r="R69">
        <v>2546394</v>
      </c>
    </row>
    <row r="70" spans="1:18" x14ac:dyDescent="0.25">
      <c r="A70" s="170">
        <v>42103</v>
      </c>
      <c r="B70" s="116">
        <v>554.1</v>
      </c>
      <c r="C70" s="116">
        <v>552.85</v>
      </c>
      <c r="D70" s="116">
        <v>546.75</v>
      </c>
      <c r="E70" s="116">
        <v>552.5</v>
      </c>
      <c r="F70" s="116">
        <v>2211.4</v>
      </c>
      <c r="G70">
        <v>34035</v>
      </c>
      <c r="H70" s="116"/>
      <c r="I70" s="116"/>
      <c r="L70" s="170">
        <v>42103</v>
      </c>
      <c r="M70" s="116">
        <v>553.75</v>
      </c>
      <c r="N70" s="116">
        <v>554.72500000000002</v>
      </c>
      <c r="O70" s="116">
        <v>546.1</v>
      </c>
      <c r="P70" s="116">
        <v>552.85</v>
      </c>
      <c r="Q70" s="116">
        <v>2215</v>
      </c>
      <c r="R70">
        <v>2645387</v>
      </c>
    </row>
    <row r="71" spans="1:18" x14ac:dyDescent="0.25">
      <c r="A71" s="170">
        <v>42104</v>
      </c>
      <c r="B71" s="116">
        <v>559.75</v>
      </c>
      <c r="C71" s="116">
        <v>558.32500000000005</v>
      </c>
      <c r="D71" s="116">
        <v>552.5</v>
      </c>
      <c r="E71" s="116">
        <v>552.5</v>
      </c>
      <c r="F71" s="116">
        <v>2233.3000000000002</v>
      </c>
      <c r="G71">
        <v>46425</v>
      </c>
      <c r="H71" s="116"/>
      <c r="I71" s="116"/>
      <c r="L71" s="170">
        <v>42104</v>
      </c>
      <c r="M71" s="116">
        <v>558.48749999999995</v>
      </c>
      <c r="N71" s="116">
        <v>559.5</v>
      </c>
      <c r="O71" s="116">
        <v>552.54999999999995</v>
      </c>
      <c r="P71" s="116">
        <v>552.54999999999995</v>
      </c>
      <c r="Q71" s="116">
        <v>2233.9499999999998</v>
      </c>
      <c r="R71">
        <v>1780944</v>
      </c>
    </row>
    <row r="72" spans="1:18" x14ac:dyDescent="0.25">
      <c r="A72" s="170">
        <v>42107</v>
      </c>
      <c r="B72" s="116">
        <v>561</v>
      </c>
      <c r="C72" s="116">
        <v>559.75</v>
      </c>
      <c r="D72" s="116">
        <v>554.4</v>
      </c>
      <c r="E72" s="116">
        <v>558.75</v>
      </c>
      <c r="F72" s="116">
        <v>2239</v>
      </c>
      <c r="G72">
        <v>33879</v>
      </c>
      <c r="H72" s="116"/>
      <c r="I72" s="116"/>
      <c r="L72" s="170">
        <v>42107</v>
      </c>
      <c r="M72" s="116">
        <v>559.70000000000005</v>
      </c>
      <c r="N72" s="116">
        <v>561</v>
      </c>
      <c r="O72" s="116">
        <v>554.02499999999998</v>
      </c>
      <c r="P72" s="116">
        <v>559.5</v>
      </c>
      <c r="Q72" s="116">
        <v>2238.8000000000002</v>
      </c>
      <c r="R72">
        <v>1218084</v>
      </c>
    </row>
    <row r="73" spans="1:18" x14ac:dyDescent="0.25">
      <c r="A73" s="170">
        <v>42109</v>
      </c>
      <c r="B73" s="116">
        <v>560.72500000000002</v>
      </c>
      <c r="C73" s="116">
        <v>553.29999999999995</v>
      </c>
      <c r="D73" s="116">
        <v>548.875</v>
      </c>
      <c r="E73" s="116">
        <v>559.72500000000002</v>
      </c>
      <c r="F73" s="116">
        <v>2213.1999999999998</v>
      </c>
      <c r="G73">
        <v>44205</v>
      </c>
      <c r="H73" s="116"/>
      <c r="I73" s="116"/>
      <c r="L73" s="170">
        <v>42109</v>
      </c>
      <c r="M73" s="116">
        <v>553.42499999999995</v>
      </c>
      <c r="N73" s="116">
        <v>561.25</v>
      </c>
      <c r="O73" s="116">
        <v>548.76250000000005</v>
      </c>
      <c r="P73" s="116">
        <v>559.125</v>
      </c>
      <c r="Q73" s="116">
        <v>2213.6999999999998</v>
      </c>
      <c r="R73">
        <v>1559446</v>
      </c>
    </row>
    <row r="74" spans="1:18" x14ac:dyDescent="0.25">
      <c r="A74" s="170">
        <v>42110</v>
      </c>
      <c r="B74" s="116">
        <v>557.5</v>
      </c>
      <c r="C74" s="116">
        <v>547.77499999999998</v>
      </c>
      <c r="D74" s="116">
        <v>539.0625</v>
      </c>
      <c r="E74" s="116">
        <v>553.75</v>
      </c>
      <c r="F74" s="116">
        <v>2191.1</v>
      </c>
      <c r="G74">
        <v>74490</v>
      </c>
      <c r="H74" s="116"/>
      <c r="I74" s="116"/>
      <c r="L74" s="170">
        <v>42110</v>
      </c>
      <c r="M74" s="116">
        <v>548.66250000000002</v>
      </c>
      <c r="N74" s="116">
        <v>557.75</v>
      </c>
      <c r="O74" s="116">
        <v>540.125</v>
      </c>
      <c r="P74" s="116">
        <v>555.5</v>
      </c>
      <c r="Q74" s="116">
        <v>2194.65</v>
      </c>
      <c r="R74">
        <v>2251953</v>
      </c>
    </row>
    <row r="75" spans="1:18" x14ac:dyDescent="0.25">
      <c r="A75" s="170">
        <v>42111</v>
      </c>
      <c r="B75" s="116">
        <v>548.75</v>
      </c>
      <c r="C75" s="116">
        <v>545.48749999999995</v>
      </c>
      <c r="D75" s="116">
        <v>538.36249999999995</v>
      </c>
      <c r="E75" s="116">
        <v>547</v>
      </c>
      <c r="F75" s="116">
        <v>2181.9499999999998</v>
      </c>
      <c r="G75">
        <v>32599</v>
      </c>
      <c r="H75" s="116"/>
      <c r="I75" s="116"/>
      <c r="L75" s="170">
        <v>42111</v>
      </c>
      <c r="M75" s="116">
        <v>544.8125</v>
      </c>
      <c r="N75" s="116">
        <v>548.73749999999995</v>
      </c>
      <c r="O75" s="116">
        <v>538.36249999999995</v>
      </c>
      <c r="P75" s="116">
        <v>545.01250000000005</v>
      </c>
      <c r="Q75" s="116">
        <v>2179.25</v>
      </c>
      <c r="R75">
        <v>1612579</v>
      </c>
    </row>
    <row r="76" spans="1:18" x14ac:dyDescent="0.25">
      <c r="A76" s="170">
        <v>42114</v>
      </c>
      <c r="B76" s="116">
        <v>546</v>
      </c>
      <c r="C76" s="116">
        <v>533.3125</v>
      </c>
      <c r="D76" s="116">
        <v>529.3125</v>
      </c>
      <c r="E76" s="116">
        <v>545.25</v>
      </c>
      <c r="F76" s="116">
        <v>2133.25</v>
      </c>
      <c r="G76">
        <v>803964</v>
      </c>
      <c r="H76" s="116"/>
      <c r="I76" s="116"/>
      <c r="L76" s="170">
        <v>42114</v>
      </c>
      <c r="M76" s="116">
        <v>533.03750000000002</v>
      </c>
      <c r="N76" s="116">
        <v>545</v>
      </c>
      <c r="O76" s="116">
        <v>528.78750000000002</v>
      </c>
      <c r="P76" s="116">
        <v>544</v>
      </c>
      <c r="Q76" s="116">
        <v>2132.15</v>
      </c>
      <c r="R76">
        <v>3206346</v>
      </c>
    </row>
    <row r="77" spans="1:18" x14ac:dyDescent="0.25">
      <c r="A77" s="170">
        <v>42115</v>
      </c>
      <c r="B77" s="116">
        <v>538.11249999999995</v>
      </c>
      <c r="C77" s="116">
        <v>536.1</v>
      </c>
      <c r="D77" s="116">
        <v>529.95000000000005</v>
      </c>
      <c r="E77" s="116">
        <v>534.5</v>
      </c>
      <c r="F77" s="116">
        <v>2144.4</v>
      </c>
      <c r="G77">
        <v>165766</v>
      </c>
      <c r="H77" s="116"/>
      <c r="I77" s="116"/>
      <c r="L77" s="170">
        <v>42115</v>
      </c>
      <c r="M77" s="116">
        <v>535.65</v>
      </c>
      <c r="N77" s="116">
        <v>538.77499999999998</v>
      </c>
      <c r="O77" s="116">
        <v>530.02499999999998</v>
      </c>
      <c r="P77" s="116">
        <v>537</v>
      </c>
      <c r="Q77" s="116">
        <v>2142.6</v>
      </c>
      <c r="R77">
        <v>2220412</v>
      </c>
    </row>
    <row r="78" spans="1:18" x14ac:dyDescent="0.25">
      <c r="A78" s="170">
        <v>42116</v>
      </c>
      <c r="B78" s="116">
        <v>543.75</v>
      </c>
      <c r="C78" s="116">
        <v>534.61249999999995</v>
      </c>
      <c r="D78" s="116">
        <v>525.0625</v>
      </c>
      <c r="E78" s="116">
        <v>536.53750000000002</v>
      </c>
      <c r="F78" s="116">
        <v>2138.4499999999998</v>
      </c>
      <c r="G78">
        <v>79181</v>
      </c>
      <c r="H78" s="116"/>
      <c r="I78" s="116"/>
      <c r="L78" s="170">
        <v>42116</v>
      </c>
      <c r="M78" s="116">
        <v>534.42499999999995</v>
      </c>
      <c r="N78" s="116">
        <v>538.75</v>
      </c>
      <c r="O78" s="116">
        <v>524.48749999999995</v>
      </c>
      <c r="P78" s="116">
        <v>537.76250000000005</v>
      </c>
      <c r="Q78" s="116">
        <v>2137.6999999999998</v>
      </c>
      <c r="R78">
        <v>3087746</v>
      </c>
    </row>
    <row r="79" spans="1:18" x14ac:dyDescent="0.25">
      <c r="A79" s="170">
        <v>42117</v>
      </c>
      <c r="B79" s="116">
        <v>536.32500000000005</v>
      </c>
      <c r="C79" s="116">
        <v>530.63750000000005</v>
      </c>
      <c r="D79" s="116">
        <v>528.125</v>
      </c>
      <c r="E79" s="116">
        <v>536.32500000000005</v>
      </c>
      <c r="F79" s="116">
        <v>2122.5500000000002</v>
      </c>
      <c r="G79">
        <v>106525</v>
      </c>
      <c r="H79" s="116"/>
      <c r="I79" s="116"/>
      <c r="L79" s="170">
        <v>42117</v>
      </c>
      <c r="M79" s="116">
        <v>530.5</v>
      </c>
      <c r="N79" s="116">
        <v>537.5</v>
      </c>
      <c r="O79" s="116">
        <v>528</v>
      </c>
      <c r="P79" s="116">
        <v>537.17499999999995</v>
      </c>
      <c r="Q79" s="116">
        <v>2122</v>
      </c>
      <c r="R79">
        <v>2972950</v>
      </c>
    </row>
    <row r="80" spans="1:18" x14ac:dyDescent="0.25">
      <c r="A80" s="170">
        <v>42118</v>
      </c>
      <c r="B80" s="116">
        <v>537.5</v>
      </c>
      <c r="C80" s="116">
        <v>499.0625</v>
      </c>
      <c r="D80" s="116">
        <v>495.5</v>
      </c>
      <c r="E80" s="116">
        <v>532.75</v>
      </c>
      <c r="F80" s="116">
        <v>1996.25</v>
      </c>
      <c r="G80">
        <v>1521097</v>
      </c>
      <c r="H80" s="116"/>
      <c r="I80" s="116"/>
      <c r="L80" s="170">
        <v>42118</v>
      </c>
      <c r="M80" s="116">
        <v>498.8</v>
      </c>
      <c r="N80" s="116">
        <v>537.54999999999995</v>
      </c>
      <c r="O80" s="116">
        <v>495</v>
      </c>
      <c r="P80" s="116">
        <v>533.97500000000002</v>
      </c>
      <c r="Q80" s="116">
        <v>1995.2</v>
      </c>
      <c r="R80">
        <v>10891363</v>
      </c>
    </row>
    <row r="81" spans="1:18" x14ac:dyDescent="0.25">
      <c r="A81" s="170">
        <v>42121</v>
      </c>
      <c r="B81" s="116">
        <v>502.5</v>
      </c>
      <c r="C81" s="116">
        <v>496.5</v>
      </c>
      <c r="D81" s="116">
        <v>487.5</v>
      </c>
      <c r="E81" s="116">
        <v>500.25</v>
      </c>
      <c r="F81" s="116">
        <v>1986</v>
      </c>
      <c r="G81">
        <v>342672</v>
      </c>
      <c r="H81" s="116"/>
      <c r="I81" s="116"/>
      <c r="L81" s="170">
        <v>42121</v>
      </c>
      <c r="M81" s="116">
        <v>496.16250000000002</v>
      </c>
      <c r="N81" s="116">
        <v>500.5</v>
      </c>
      <c r="O81" s="116">
        <v>487.02499999999998</v>
      </c>
      <c r="P81" s="116">
        <v>500</v>
      </c>
      <c r="Q81" s="116">
        <v>1984.65</v>
      </c>
      <c r="R81">
        <v>4955660</v>
      </c>
    </row>
    <row r="82" spans="1:18" x14ac:dyDescent="0.25">
      <c r="A82" s="170">
        <v>42122</v>
      </c>
      <c r="B82" s="116">
        <v>497</v>
      </c>
      <c r="C82" s="116">
        <v>490.33749999999998</v>
      </c>
      <c r="D82" s="116">
        <v>488.25</v>
      </c>
      <c r="E82" s="116">
        <v>497</v>
      </c>
      <c r="F82" s="116">
        <v>1961.35</v>
      </c>
      <c r="G82">
        <v>245184</v>
      </c>
      <c r="H82" s="116"/>
      <c r="I82" s="116"/>
      <c r="L82" s="170">
        <v>42122</v>
      </c>
      <c r="M82" s="116">
        <v>490.22500000000002</v>
      </c>
      <c r="N82" s="116">
        <v>495.5</v>
      </c>
      <c r="O82" s="116">
        <v>488</v>
      </c>
      <c r="P82" s="116">
        <v>495.5</v>
      </c>
      <c r="Q82" s="116">
        <v>1960.9</v>
      </c>
      <c r="R82">
        <v>2598375</v>
      </c>
    </row>
    <row r="83" spans="1:18" x14ac:dyDescent="0.25">
      <c r="A83" s="170">
        <v>42123</v>
      </c>
      <c r="B83" s="116">
        <v>493</v>
      </c>
      <c r="C83" s="116">
        <v>490.4</v>
      </c>
      <c r="D83" s="116">
        <v>484.63749999999999</v>
      </c>
      <c r="E83" s="116">
        <v>491.25</v>
      </c>
      <c r="F83" s="116">
        <v>1961.6</v>
      </c>
      <c r="G83">
        <v>157079</v>
      </c>
      <c r="H83" s="116"/>
      <c r="I83" s="116"/>
      <c r="L83" s="170">
        <v>42123</v>
      </c>
      <c r="M83" s="116">
        <v>490.28750000000002</v>
      </c>
      <c r="N83" s="116">
        <v>493</v>
      </c>
      <c r="O83" s="116">
        <v>484.48750000000001</v>
      </c>
      <c r="P83" s="116">
        <v>490.22500000000002</v>
      </c>
      <c r="Q83" s="116">
        <v>1961.15</v>
      </c>
      <c r="R83">
        <v>2072264</v>
      </c>
    </row>
    <row r="84" spans="1:18" x14ac:dyDescent="0.25">
      <c r="A84" s="170">
        <v>42124</v>
      </c>
      <c r="B84" s="116">
        <v>490.03750000000002</v>
      </c>
      <c r="C84" s="116">
        <v>485.6</v>
      </c>
      <c r="D84" s="116">
        <v>483.16250000000002</v>
      </c>
      <c r="E84" s="116">
        <v>490</v>
      </c>
      <c r="F84" s="116">
        <v>1942.4</v>
      </c>
      <c r="G84">
        <v>349958</v>
      </c>
      <c r="H84" s="116"/>
      <c r="I84" s="116"/>
      <c r="L84" s="170">
        <v>42124</v>
      </c>
      <c r="M84" s="116">
        <v>485.5625</v>
      </c>
      <c r="N84" s="116">
        <v>491.25</v>
      </c>
      <c r="O84" s="116">
        <v>483.07499999999999</v>
      </c>
      <c r="P84" s="116">
        <v>490</v>
      </c>
      <c r="Q84" s="116">
        <v>1942.25</v>
      </c>
      <c r="R84">
        <v>3283565</v>
      </c>
    </row>
    <row r="85" spans="1:18" x14ac:dyDescent="0.25">
      <c r="A85" s="170">
        <v>42128</v>
      </c>
      <c r="B85" s="116">
        <v>499.75</v>
      </c>
      <c r="C85" s="116">
        <v>498.57499999999999</v>
      </c>
      <c r="D85" s="116">
        <v>487.5</v>
      </c>
      <c r="E85" s="116">
        <v>490.25</v>
      </c>
      <c r="F85" s="116">
        <v>1994.3</v>
      </c>
      <c r="G85">
        <v>104050</v>
      </c>
      <c r="H85" s="116"/>
      <c r="I85" s="116"/>
      <c r="L85" s="170">
        <v>42128</v>
      </c>
      <c r="M85" s="116">
        <v>498.27499999999998</v>
      </c>
      <c r="N85" s="116">
        <v>500</v>
      </c>
      <c r="O85" s="116">
        <v>487.47500000000002</v>
      </c>
      <c r="P85" s="116">
        <v>489.875</v>
      </c>
      <c r="Q85" s="116">
        <v>1993.1</v>
      </c>
      <c r="R85">
        <v>3340398</v>
      </c>
    </row>
    <row r="86" spans="1:18" x14ac:dyDescent="0.25">
      <c r="A86" s="170">
        <v>42129</v>
      </c>
      <c r="B86" s="116">
        <v>501.25</v>
      </c>
      <c r="C86" s="116">
        <v>491.6875</v>
      </c>
      <c r="D86" s="116">
        <v>488.75</v>
      </c>
      <c r="E86" s="116">
        <v>500</v>
      </c>
      <c r="F86" s="116">
        <v>1966.75</v>
      </c>
      <c r="G86">
        <v>240455</v>
      </c>
      <c r="H86" s="116"/>
      <c r="I86" s="116"/>
      <c r="L86" s="170">
        <v>42129</v>
      </c>
      <c r="M86" s="116">
        <v>490.6875</v>
      </c>
      <c r="N86" s="116">
        <v>500.92500000000001</v>
      </c>
      <c r="O86" s="116">
        <v>488.01249999999999</v>
      </c>
      <c r="P86" s="116">
        <v>500</v>
      </c>
      <c r="Q86" s="116">
        <v>1962.75</v>
      </c>
      <c r="R86">
        <v>2352129</v>
      </c>
    </row>
    <row r="87" spans="1:18" x14ac:dyDescent="0.25">
      <c r="A87" s="170">
        <v>42130</v>
      </c>
      <c r="B87" s="116">
        <v>495</v>
      </c>
      <c r="C87" s="116">
        <v>480.625</v>
      </c>
      <c r="D87" s="116">
        <v>479.375</v>
      </c>
      <c r="E87" s="116">
        <v>494.75</v>
      </c>
      <c r="F87" s="116">
        <v>1922.5</v>
      </c>
      <c r="G87">
        <v>426919</v>
      </c>
      <c r="H87" s="116"/>
      <c r="I87" s="116"/>
      <c r="L87" s="170">
        <v>42130</v>
      </c>
      <c r="M87" s="116">
        <v>480.51249999999999</v>
      </c>
      <c r="N87" s="116">
        <v>493.75</v>
      </c>
      <c r="O87" s="116">
        <v>478.82499999999999</v>
      </c>
      <c r="P87" s="116">
        <v>493.75</v>
      </c>
      <c r="Q87" s="116">
        <v>1922.05</v>
      </c>
      <c r="R87">
        <v>2627102</v>
      </c>
    </row>
    <row r="88" spans="1:18" x14ac:dyDescent="0.25">
      <c r="A88" s="170">
        <v>42131</v>
      </c>
      <c r="B88" s="116">
        <v>491.75</v>
      </c>
      <c r="C88" s="116">
        <v>485.7</v>
      </c>
      <c r="D88" s="116">
        <v>477.77499999999998</v>
      </c>
      <c r="E88" s="116">
        <v>482.2</v>
      </c>
      <c r="F88" s="116">
        <v>1942.8</v>
      </c>
      <c r="G88">
        <v>128016</v>
      </c>
      <c r="H88" s="116"/>
      <c r="I88" s="116"/>
      <c r="L88" s="170">
        <v>42131</v>
      </c>
      <c r="M88" s="116">
        <v>486</v>
      </c>
      <c r="N88" s="116">
        <v>491.77499999999998</v>
      </c>
      <c r="O88" s="116">
        <v>477.5</v>
      </c>
      <c r="P88" s="116">
        <v>480.5</v>
      </c>
      <c r="Q88" s="116">
        <v>1944</v>
      </c>
      <c r="R88">
        <v>1694996</v>
      </c>
    </row>
    <row r="89" spans="1:18" x14ac:dyDescent="0.25">
      <c r="A89" s="170">
        <v>42132</v>
      </c>
      <c r="B89" s="116">
        <v>492.15</v>
      </c>
      <c r="C89" s="116">
        <v>489.5</v>
      </c>
      <c r="D89" s="116">
        <v>486.45</v>
      </c>
      <c r="E89" s="116">
        <v>490.97500000000002</v>
      </c>
      <c r="F89" s="116">
        <v>1958</v>
      </c>
      <c r="G89">
        <v>68142</v>
      </c>
      <c r="H89" s="116"/>
      <c r="I89" s="116"/>
      <c r="L89" s="170">
        <v>42132</v>
      </c>
      <c r="M89" s="116">
        <v>489.48750000000001</v>
      </c>
      <c r="N89" s="116">
        <v>491.88749999999999</v>
      </c>
      <c r="O89" s="116">
        <v>486.3125</v>
      </c>
      <c r="P89" s="116">
        <v>489.5</v>
      </c>
      <c r="Q89" s="116">
        <v>1957.95</v>
      </c>
      <c r="R89">
        <v>1444419</v>
      </c>
    </row>
    <row r="90" spans="1:18" x14ac:dyDescent="0.25">
      <c r="A90" s="170">
        <v>42135</v>
      </c>
      <c r="B90" s="116">
        <v>500</v>
      </c>
      <c r="C90" s="116">
        <v>498</v>
      </c>
      <c r="D90" s="116">
        <v>488.5</v>
      </c>
      <c r="E90" s="116">
        <v>491.27499999999998</v>
      </c>
      <c r="F90" s="116">
        <v>1992</v>
      </c>
      <c r="G90">
        <v>121332</v>
      </c>
      <c r="H90" s="116"/>
      <c r="I90" s="116"/>
      <c r="L90" s="170">
        <v>42135</v>
      </c>
      <c r="M90" s="116">
        <v>498.41250000000002</v>
      </c>
      <c r="N90" s="116">
        <v>500</v>
      </c>
      <c r="O90" s="116">
        <v>488.05</v>
      </c>
      <c r="P90" s="116">
        <v>491.25</v>
      </c>
      <c r="Q90" s="116">
        <v>1993.65</v>
      </c>
      <c r="R90">
        <v>1196378</v>
      </c>
    </row>
    <row r="91" spans="1:18" x14ac:dyDescent="0.25">
      <c r="A91" s="170">
        <v>42136</v>
      </c>
      <c r="B91" s="116">
        <v>499.72500000000002</v>
      </c>
      <c r="C91" s="116">
        <v>487.4</v>
      </c>
      <c r="D91" s="116">
        <v>485.3125</v>
      </c>
      <c r="E91" s="116">
        <v>499.72500000000002</v>
      </c>
      <c r="F91" s="116">
        <v>1949.6</v>
      </c>
      <c r="G91">
        <v>183414</v>
      </c>
      <c r="H91" s="116"/>
      <c r="I91" s="116"/>
      <c r="L91" s="170">
        <v>42136</v>
      </c>
      <c r="M91" s="116">
        <v>486.77499999999998</v>
      </c>
      <c r="N91" s="116">
        <v>498.65</v>
      </c>
      <c r="O91" s="116">
        <v>485.5</v>
      </c>
      <c r="P91" s="116">
        <v>498.41250000000002</v>
      </c>
      <c r="Q91" s="116">
        <v>1947.1</v>
      </c>
      <c r="R91">
        <v>2071223</v>
      </c>
    </row>
    <row r="92" spans="1:18" x14ac:dyDescent="0.25">
      <c r="A92" s="170">
        <v>42137</v>
      </c>
      <c r="B92" s="116">
        <v>491.25</v>
      </c>
      <c r="C92" s="116">
        <v>488.98750000000001</v>
      </c>
      <c r="D92" s="116">
        <v>483.15</v>
      </c>
      <c r="E92" s="116">
        <v>488.5</v>
      </c>
      <c r="F92" s="116">
        <v>1955.95</v>
      </c>
      <c r="G92">
        <v>1676667</v>
      </c>
      <c r="H92" s="116"/>
      <c r="I92" s="116"/>
      <c r="L92" s="170">
        <v>42137</v>
      </c>
      <c r="M92" s="116">
        <v>489.17500000000001</v>
      </c>
      <c r="N92" s="116">
        <v>491.22500000000002</v>
      </c>
      <c r="O92" s="116">
        <v>482.125</v>
      </c>
      <c r="P92" s="116">
        <v>487.9375</v>
      </c>
      <c r="Q92" s="116">
        <v>1956.7</v>
      </c>
      <c r="R92">
        <v>1774771</v>
      </c>
    </row>
    <row r="93" spans="1:18" x14ac:dyDescent="0.25">
      <c r="A93" s="170">
        <v>42138</v>
      </c>
      <c r="B93" s="116">
        <v>490</v>
      </c>
      <c r="C93" s="116">
        <v>483.63749999999999</v>
      </c>
      <c r="D93" s="116">
        <v>477.5</v>
      </c>
      <c r="E93" s="116">
        <v>490</v>
      </c>
      <c r="F93" s="116">
        <v>1934.55</v>
      </c>
      <c r="G93">
        <v>132623</v>
      </c>
      <c r="H93" s="116"/>
      <c r="I93" s="116"/>
      <c r="L93" s="170">
        <v>42138</v>
      </c>
      <c r="M93" s="116">
        <v>483.7</v>
      </c>
      <c r="N93" s="116">
        <v>490.2</v>
      </c>
      <c r="O93" s="116">
        <v>477</v>
      </c>
      <c r="P93" s="116">
        <v>490</v>
      </c>
      <c r="Q93" s="116">
        <v>1934.8</v>
      </c>
      <c r="R93">
        <v>1558461</v>
      </c>
    </row>
    <row r="94" spans="1:18" x14ac:dyDescent="0.25">
      <c r="A94" s="170">
        <v>42139</v>
      </c>
      <c r="B94" s="116">
        <v>491.25</v>
      </c>
      <c r="C94" s="116">
        <v>489.9375</v>
      </c>
      <c r="D94" s="116">
        <v>483.75</v>
      </c>
      <c r="E94" s="116">
        <v>483.77499999999998</v>
      </c>
      <c r="F94" s="116">
        <v>1959.75</v>
      </c>
      <c r="G94">
        <v>85168</v>
      </c>
      <c r="H94" s="116"/>
      <c r="I94" s="116"/>
      <c r="L94" s="170">
        <v>42139</v>
      </c>
      <c r="M94" s="116">
        <v>490.4375</v>
      </c>
      <c r="N94" s="116">
        <v>491.65</v>
      </c>
      <c r="O94" s="116">
        <v>483.07499999999999</v>
      </c>
      <c r="P94" s="116">
        <v>483.75</v>
      </c>
      <c r="Q94" s="116">
        <v>1961.75</v>
      </c>
      <c r="R94">
        <v>1297336</v>
      </c>
    </row>
    <row r="95" spans="1:18" x14ac:dyDescent="0.25">
      <c r="A95" s="170">
        <v>42142</v>
      </c>
      <c r="B95" s="116">
        <v>499.5</v>
      </c>
      <c r="C95" s="116">
        <v>497.9375</v>
      </c>
      <c r="D95" s="116">
        <v>490.51249999999999</v>
      </c>
      <c r="E95" s="116">
        <v>491.05</v>
      </c>
      <c r="F95" s="116">
        <v>1991.75</v>
      </c>
      <c r="G95">
        <v>117246</v>
      </c>
      <c r="H95" s="116"/>
      <c r="I95" s="116"/>
      <c r="L95" s="170">
        <v>42142</v>
      </c>
      <c r="M95" s="116">
        <v>498.26249999999999</v>
      </c>
      <c r="N95" s="116">
        <v>499.72500000000002</v>
      </c>
      <c r="O95" s="116">
        <v>490.4</v>
      </c>
      <c r="P95" s="116">
        <v>492.5</v>
      </c>
      <c r="Q95" s="116">
        <v>1993.05</v>
      </c>
      <c r="R95">
        <v>1617494</v>
      </c>
    </row>
    <row r="96" spans="1:18" x14ac:dyDescent="0.25">
      <c r="A96" s="170">
        <v>42143</v>
      </c>
      <c r="B96" s="116">
        <v>508.17500000000001</v>
      </c>
      <c r="C96" s="116">
        <v>504.53750000000002</v>
      </c>
      <c r="D96" s="116">
        <v>496.1</v>
      </c>
      <c r="E96" s="116">
        <v>497.25</v>
      </c>
      <c r="F96" s="116">
        <v>2018.15</v>
      </c>
      <c r="G96">
        <v>92395</v>
      </c>
      <c r="H96" s="116"/>
      <c r="I96" s="116"/>
      <c r="L96" s="170">
        <v>42143</v>
      </c>
      <c r="M96" s="116">
        <v>505.58749999999998</v>
      </c>
      <c r="N96" s="116">
        <v>508.92500000000001</v>
      </c>
      <c r="O96" s="116">
        <v>496.5</v>
      </c>
      <c r="P96" s="116">
        <v>496.82499999999999</v>
      </c>
      <c r="Q96" s="116">
        <v>2022.35</v>
      </c>
      <c r="R96">
        <v>2568019</v>
      </c>
    </row>
    <row r="97" spans="1:18" x14ac:dyDescent="0.25">
      <c r="A97" s="170">
        <v>42144</v>
      </c>
      <c r="B97" s="116">
        <v>512.75</v>
      </c>
      <c r="C97" s="116">
        <v>511.17500000000001</v>
      </c>
      <c r="D97" s="116">
        <v>508.38749999999999</v>
      </c>
      <c r="E97" s="116">
        <v>508.38749999999999</v>
      </c>
      <c r="F97" s="116">
        <v>2044.7</v>
      </c>
      <c r="G97">
        <v>68143</v>
      </c>
      <c r="H97" s="116"/>
      <c r="I97" s="116"/>
      <c r="L97" s="170">
        <v>42144</v>
      </c>
      <c r="M97" s="116">
        <v>511.82499999999999</v>
      </c>
      <c r="N97" s="116">
        <v>513</v>
      </c>
      <c r="O97" s="116">
        <v>508.4</v>
      </c>
      <c r="P97" s="116">
        <v>510</v>
      </c>
      <c r="Q97" s="116">
        <v>2047.3</v>
      </c>
      <c r="R97">
        <v>1470547</v>
      </c>
    </row>
    <row r="98" spans="1:18" x14ac:dyDescent="0.25">
      <c r="A98" s="170">
        <v>42145</v>
      </c>
      <c r="B98" s="116">
        <v>515.25</v>
      </c>
      <c r="C98" s="116">
        <v>510.83749999999998</v>
      </c>
      <c r="D98" s="116">
        <v>508.75</v>
      </c>
      <c r="E98" s="116">
        <v>512.25</v>
      </c>
      <c r="F98" s="116">
        <v>2043.35</v>
      </c>
      <c r="G98">
        <v>54123</v>
      </c>
      <c r="H98" s="116"/>
      <c r="I98" s="116"/>
      <c r="L98" s="170">
        <v>42145</v>
      </c>
      <c r="M98" s="116">
        <v>512.11249999999995</v>
      </c>
      <c r="N98" s="116">
        <v>515.47500000000002</v>
      </c>
      <c r="O98" s="116">
        <v>509.3125</v>
      </c>
      <c r="P98" s="116">
        <v>512.22500000000002</v>
      </c>
      <c r="Q98" s="116">
        <v>2048.4499999999998</v>
      </c>
      <c r="R98">
        <v>2514828</v>
      </c>
    </row>
    <row r="99" spans="1:18" x14ac:dyDescent="0.25">
      <c r="A99" s="170">
        <v>42146</v>
      </c>
      <c r="B99" s="116">
        <v>512.35</v>
      </c>
      <c r="C99" s="116">
        <v>510.45</v>
      </c>
      <c r="D99" s="116">
        <v>507.51249999999999</v>
      </c>
      <c r="E99" s="116">
        <v>511.25</v>
      </c>
      <c r="F99" s="116">
        <v>2041.8</v>
      </c>
      <c r="G99">
        <v>172287</v>
      </c>
      <c r="H99" s="116"/>
      <c r="I99" s="116"/>
      <c r="L99" s="170">
        <v>42146</v>
      </c>
      <c r="M99" s="116">
        <v>511.61250000000001</v>
      </c>
      <c r="N99" s="116">
        <v>512.88750000000005</v>
      </c>
      <c r="O99" s="116">
        <v>507.52499999999998</v>
      </c>
      <c r="P99" s="116">
        <v>511</v>
      </c>
      <c r="Q99" s="116">
        <v>2046.45</v>
      </c>
      <c r="R99">
        <v>1722206</v>
      </c>
    </row>
    <row r="100" spans="1:18" x14ac:dyDescent="0.25">
      <c r="A100" s="170">
        <v>42149</v>
      </c>
      <c r="B100" s="116">
        <v>514.22500000000002</v>
      </c>
      <c r="C100" s="116">
        <v>504.5</v>
      </c>
      <c r="D100" s="116">
        <v>501.75</v>
      </c>
      <c r="E100" s="116">
        <v>512.5</v>
      </c>
      <c r="F100" s="116">
        <v>2018</v>
      </c>
      <c r="G100">
        <v>84132</v>
      </c>
      <c r="H100" s="116"/>
      <c r="I100" s="116"/>
      <c r="L100" s="170">
        <v>42149</v>
      </c>
      <c r="M100" s="116">
        <v>504.2</v>
      </c>
      <c r="N100" s="116">
        <v>514.13750000000005</v>
      </c>
      <c r="O100" s="116">
        <v>501.76249999999999</v>
      </c>
      <c r="P100" s="116">
        <v>512.625</v>
      </c>
      <c r="Q100" s="116">
        <v>2016.8</v>
      </c>
      <c r="R100">
        <v>1168952</v>
      </c>
    </row>
    <row r="101" spans="1:18" x14ac:dyDescent="0.25">
      <c r="A101" s="170">
        <v>42150</v>
      </c>
      <c r="B101" s="116">
        <v>507.76249999999999</v>
      </c>
      <c r="C101" s="116">
        <v>502.32499999999999</v>
      </c>
      <c r="D101" s="116">
        <v>500.125</v>
      </c>
      <c r="E101" s="116">
        <v>505.25</v>
      </c>
      <c r="F101" s="116">
        <v>2009.3</v>
      </c>
      <c r="G101">
        <v>119724</v>
      </c>
      <c r="H101" s="116"/>
      <c r="I101" s="116"/>
      <c r="L101" s="170">
        <v>42150</v>
      </c>
      <c r="M101" s="116">
        <v>501.82499999999999</v>
      </c>
      <c r="N101" s="116">
        <v>507.86250000000001</v>
      </c>
      <c r="O101" s="116">
        <v>500.53750000000002</v>
      </c>
      <c r="P101" s="116">
        <v>505</v>
      </c>
      <c r="Q101" s="116">
        <v>2007.3</v>
      </c>
      <c r="R101">
        <v>991260</v>
      </c>
    </row>
    <row r="102" spans="1:18" x14ac:dyDescent="0.25">
      <c r="A102" s="170">
        <v>42151</v>
      </c>
      <c r="B102" s="116">
        <v>503.75</v>
      </c>
      <c r="C102" s="116">
        <v>492.26249999999999</v>
      </c>
      <c r="D102" s="116">
        <v>488.4375</v>
      </c>
      <c r="E102" s="116">
        <v>503.75</v>
      </c>
      <c r="F102" s="116">
        <v>1969.05</v>
      </c>
      <c r="G102">
        <v>137813</v>
      </c>
      <c r="H102" s="116"/>
      <c r="I102" s="116"/>
      <c r="L102" s="170">
        <v>42151</v>
      </c>
      <c r="M102" s="116">
        <v>492.125</v>
      </c>
      <c r="N102" s="116">
        <v>502.25</v>
      </c>
      <c r="O102" s="116">
        <v>488.75</v>
      </c>
      <c r="P102" s="116">
        <v>501.75</v>
      </c>
      <c r="Q102" s="116">
        <v>1968.5</v>
      </c>
      <c r="R102">
        <v>2113677</v>
      </c>
    </row>
    <row r="103" spans="1:18" x14ac:dyDescent="0.25">
      <c r="A103" s="170">
        <v>42152</v>
      </c>
      <c r="B103" s="116">
        <v>506.75</v>
      </c>
      <c r="C103" s="116">
        <v>503.57499999999999</v>
      </c>
      <c r="D103" s="116">
        <v>494.07499999999999</v>
      </c>
      <c r="E103" s="116">
        <v>495</v>
      </c>
      <c r="F103" s="116">
        <v>2014.3</v>
      </c>
      <c r="G103">
        <v>105359</v>
      </c>
      <c r="H103" s="116"/>
      <c r="I103" s="116"/>
      <c r="L103" s="170">
        <v>42152</v>
      </c>
      <c r="M103" s="116">
        <v>504.15</v>
      </c>
      <c r="N103" s="116">
        <v>508</v>
      </c>
      <c r="O103" s="116">
        <v>493.8</v>
      </c>
      <c r="P103" s="116">
        <v>493.8</v>
      </c>
      <c r="Q103" s="116">
        <v>2016.6</v>
      </c>
      <c r="R103">
        <v>2745135</v>
      </c>
    </row>
    <row r="104" spans="1:18" x14ac:dyDescent="0.25">
      <c r="A104" s="170">
        <v>42153</v>
      </c>
      <c r="B104" s="116">
        <v>513.375</v>
      </c>
      <c r="C104" s="116">
        <v>505.6</v>
      </c>
      <c r="D104" s="116">
        <v>500.9375</v>
      </c>
      <c r="E104" s="116">
        <v>504.25</v>
      </c>
      <c r="F104" s="116">
        <v>2022.4</v>
      </c>
      <c r="G104">
        <v>186598</v>
      </c>
      <c r="H104" s="116"/>
      <c r="I104" s="116"/>
      <c r="L104" s="170">
        <v>42153</v>
      </c>
      <c r="M104" s="116">
        <v>505.78750000000002</v>
      </c>
      <c r="N104" s="116">
        <v>514.11249999999995</v>
      </c>
      <c r="O104" s="116">
        <v>500.25</v>
      </c>
      <c r="P104" s="116">
        <v>501.21249999999998</v>
      </c>
      <c r="Q104" s="116">
        <v>2023.15</v>
      </c>
      <c r="R104">
        <v>4748261</v>
      </c>
    </row>
    <row r="105" spans="1:18" x14ac:dyDescent="0.25">
      <c r="A105" s="170">
        <v>42156</v>
      </c>
      <c r="B105" s="116">
        <v>515.75</v>
      </c>
      <c r="C105" s="116">
        <v>511.42500000000001</v>
      </c>
      <c r="D105" s="116">
        <v>505.82499999999999</v>
      </c>
      <c r="E105" s="116">
        <v>507.5</v>
      </c>
      <c r="F105" s="116">
        <v>2045.7</v>
      </c>
      <c r="G105">
        <v>79075</v>
      </c>
      <c r="H105" s="116"/>
      <c r="I105" s="116"/>
      <c r="L105" s="170">
        <v>42156</v>
      </c>
      <c r="M105" s="116">
        <v>511.95</v>
      </c>
      <c r="N105" s="116">
        <v>516</v>
      </c>
      <c r="O105" s="116">
        <v>505.8125</v>
      </c>
      <c r="P105" s="116">
        <v>508.2</v>
      </c>
      <c r="Q105" s="116">
        <v>2047.8</v>
      </c>
      <c r="R105">
        <v>1431223</v>
      </c>
    </row>
    <row r="106" spans="1:18" x14ac:dyDescent="0.25">
      <c r="A106" s="170">
        <v>42157</v>
      </c>
      <c r="B106" s="116">
        <v>513.70000000000005</v>
      </c>
      <c r="C106" s="116">
        <v>502.2</v>
      </c>
      <c r="D106" s="116">
        <v>501.27499999999998</v>
      </c>
      <c r="E106" s="116">
        <v>511.25</v>
      </c>
      <c r="F106" s="116">
        <v>2008.8</v>
      </c>
      <c r="G106">
        <v>138784</v>
      </c>
      <c r="H106" s="116"/>
      <c r="I106" s="116"/>
      <c r="L106" s="170">
        <v>42157</v>
      </c>
      <c r="M106" s="116">
        <v>502.16250000000002</v>
      </c>
      <c r="N106" s="116">
        <v>513.77499999999998</v>
      </c>
      <c r="O106" s="116">
        <v>501.25</v>
      </c>
      <c r="P106" s="116">
        <v>512.02499999999998</v>
      </c>
      <c r="Q106" s="116">
        <v>2008.65</v>
      </c>
      <c r="R106">
        <v>1168285</v>
      </c>
    </row>
    <row r="107" spans="1:18" x14ac:dyDescent="0.25">
      <c r="A107" s="170">
        <v>42158</v>
      </c>
      <c r="B107" s="116">
        <v>515</v>
      </c>
      <c r="C107" s="116">
        <v>505.77499999999998</v>
      </c>
      <c r="D107" s="116">
        <v>502.0625</v>
      </c>
      <c r="E107" s="116">
        <v>505</v>
      </c>
      <c r="F107" s="116">
        <v>2023.1</v>
      </c>
      <c r="G107">
        <v>174177</v>
      </c>
      <c r="H107" s="116"/>
      <c r="I107" s="116"/>
      <c r="L107" s="170">
        <v>42158</v>
      </c>
      <c r="M107" s="116">
        <v>505.22500000000002</v>
      </c>
      <c r="N107" s="116">
        <v>509.86250000000001</v>
      </c>
      <c r="O107" s="116">
        <v>502</v>
      </c>
      <c r="P107" s="116">
        <v>504.55</v>
      </c>
      <c r="Q107" s="116">
        <v>2020.9</v>
      </c>
      <c r="R107">
        <v>1373949</v>
      </c>
    </row>
    <row r="108" spans="1:18" x14ac:dyDescent="0.25">
      <c r="A108" s="170">
        <v>42159</v>
      </c>
      <c r="B108" s="116">
        <v>514.15</v>
      </c>
      <c r="C108" s="116">
        <v>507.01249999999999</v>
      </c>
      <c r="D108" s="116">
        <v>503.58749999999998</v>
      </c>
      <c r="E108" s="116">
        <v>507.75</v>
      </c>
      <c r="F108" s="116">
        <v>2028.05</v>
      </c>
      <c r="G108">
        <v>86442</v>
      </c>
      <c r="H108" s="116"/>
      <c r="I108" s="116"/>
      <c r="L108" s="170">
        <v>42159</v>
      </c>
      <c r="M108" s="116">
        <v>507.01249999999999</v>
      </c>
      <c r="N108" s="116">
        <v>513.75</v>
      </c>
      <c r="O108" s="116">
        <v>503.15</v>
      </c>
      <c r="P108" s="116">
        <v>507.5</v>
      </c>
      <c r="Q108" s="116">
        <v>2028.05</v>
      </c>
      <c r="R108">
        <v>1872366</v>
      </c>
    </row>
    <row r="109" spans="1:18" x14ac:dyDescent="0.25">
      <c r="A109" s="170">
        <v>42160</v>
      </c>
      <c r="B109" s="116">
        <v>511</v>
      </c>
      <c r="C109" s="116">
        <v>503.02499999999998</v>
      </c>
      <c r="D109" s="116">
        <v>502.28750000000002</v>
      </c>
      <c r="E109" s="116">
        <v>509.75</v>
      </c>
      <c r="F109" s="116">
        <v>2012.1</v>
      </c>
      <c r="G109">
        <v>119921</v>
      </c>
      <c r="H109" s="116"/>
      <c r="I109" s="116"/>
      <c r="L109" s="170">
        <v>42160</v>
      </c>
      <c r="M109" s="116">
        <v>502.91250000000002</v>
      </c>
      <c r="N109" s="116">
        <v>511</v>
      </c>
      <c r="O109" s="116">
        <v>502.03750000000002</v>
      </c>
      <c r="P109" s="116">
        <v>507.5</v>
      </c>
      <c r="Q109" s="116">
        <v>2011.65</v>
      </c>
      <c r="R109">
        <v>1531447</v>
      </c>
    </row>
    <row r="110" spans="1:18" x14ac:dyDescent="0.25">
      <c r="A110" s="170">
        <v>42163</v>
      </c>
      <c r="B110" s="116">
        <v>505.0625</v>
      </c>
      <c r="C110" s="116">
        <v>500.0625</v>
      </c>
      <c r="D110" s="116">
        <v>497.5</v>
      </c>
      <c r="E110" s="116">
        <v>503</v>
      </c>
      <c r="F110" s="116">
        <v>2000.25</v>
      </c>
      <c r="G110">
        <v>56073</v>
      </c>
      <c r="H110" s="116"/>
      <c r="I110" s="116"/>
      <c r="L110" s="170">
        <v>42163</v>
      </c>
      <c r="M110" s="116">
        <v>500.01249999999999</v>
      </c>
      <c r="N110" s="116">
        <v>506.16250000000002</v>
      </c>
      <c r="O110" s="116">
        <v>496.75</v>
      </c>
      <c r="P110" s="116">
        <v>505</v>
      </c>
      <c r="Q110" s="116">
        <v>2000.05</v>
      </c>
      <c r="R110">
        <v>1535262</v>
      </c>
    </row>
    <row r="111" spans="1:18" x14ac:dyDescent="0.25">
      <c r="A111" s="170">
        <v>42164</v>
      </c>
      <c r="B111" s="116">
        <v>503.25</v>
      </c>
      <c r="C111" s="116">
        <v>498.13749999999999</v>
      </c>
      <c r="D111" s="116">
        <v>496.27499999999998</v>
      </c>
      <c r="E111" s="116">
        <v>503.25</v>
      </c>
      <c r="F111" s="116">
        <v>1992.55</v>
      </c>
      <c r="G111">
        <v>162858</v>
      </c>
      <c r="H111" s="116"/>
      <c r="I111" s="116"/>
      <c r="L111" s="170">
        <v>42164</v>
      </c>
      <c r="M111" s="116">
        <v>498.02499999999998</v>
      </c>
      <c r="N111" s="116">
        <v>501.91250000000002</v>
      </c>
      <c r="O111" s="116">
        <v>495.75</v>
      </c>
      <c r="P111" s="116">
        <v>500.9375</v>
      </c>
      <c r="Q111" s="116">
        <v>1992.1</v>
      </c>
      <c r="R111">
        <v>1890435</v>
      </c>
    </row>
    <row r="112" spans="1:18" x14ac:dyDescent="0.25">
      <c r="A112" s="170">
        <v>42165</v>
      </c>
      <c r="B112" s="116">
        <v>509.92500000000001</v>
      </c>
      <c r="C112" s="116">
        <v>506.55</v>
      </c>
      <c r="D112" s="116">
        <v>496.5</v>
      </c>
      <c r="E112" s="116">
        <v>502.5</v>
      </c>
      <c r="F112" s="116">
        <v>2026.2</v>
      </c>
      <c r="G112">
        <v>106086</v>
      </c>
      <c r="H112" s="116"/>
      <c r="I112" s="116"/>
      <c r="L112" s="170">
        <v>42165</v>
      </c>
      <c r="M112" s="116">
        <v>506.625</v>
      </c>
      <c r="N112" s="116">
        <v>509.83749999999998</v>
      </c>
      <c r="O112" s="116">
        <v>496.25</v>
      </c>
      <c r="P112" s="116">
        <v>497.5</v>
      </c>
      <c r="Q112" s="116">
        <v>2026.5</v>
      </c>
      <c r="R112">
        <v>1596460</v>
      </c>
    </row>
    <row r="113" spans="1:18" x14ac:dyDescent="0.25">
      <c r="A113" s="170">
        <v>42166</v>
      </c>
      <c r="B113" s="116">
        <v>511.25</v>
      </c>
      <c r="C113" s="116">
        <v>500.46249999999998</v>
      </c>
      <c r="D113" s="116">
        <v>499.26249999999999</v>
      </c>
      <c r="E113" s="116">
        <v>508.75</v>
      </c>
      <c r="F113" s="116">
        <v>2001.85</v>
      </c>
      <c r="G113">
        <v>219093</v>
      </c>
      <c r="H113" s="116"/>
      <c r="I113" s="116"/>
      <c r="L113" s="170">
        <v>42166</v>
      </c>
      <c r="M113" s="116">
        <v>499.41250000000002</v>
      </c>
      <c r="N113" s="116">
        <v>511.1875</v>
      </c>
      <c r="O113" s="116">
        <v>498.76249999999999</v>
      </c>
      <c r="P113" s="116">
        <v>508.98750000000001</v>
      </c>
      <c r="Q113" s="116">
        <v>1997.65</v>
      </c>
      <c r="R113">
        <v>2307366</v>
      </c>
    </row>
    <row r="114" spans="1:18" x14ac:dyDescent="0.25">
      <c r="A114" s="170">
        <v>42167</v>
      </c>
      <c r="B114" s="116">
        <v>506.125</v>
      </c>
      <c r="C114" s="116">
        <v>494.16250000000002</v>
      </c>
      <c r="D114" s="116">
        <v>488.875</v>
      </c>
      <c r="E114" s="116">
        <v>500.5</v>
      </c>
      <c r="F114" s="116">
        <v>1976.65</v>
      </c>
      <c r="G114">
        <v>364406</v>
      </c>
      <c r="H114" s="116"/>
      <c r="I114" s="116"/>
      <c r="L114" s="170">
        <v>42167</v>
      </c>
      <c r="M114" s="116">
        <v>493.76249999999999</v>
      </c>
      <c r="N114" s="116">
        <v>506.38749999999999</v>
      </c>
      <c r="O114" s="116">
        <v>488.875</v>
      </c>
      <c r="P114" s="116">
        <v>501.25</v>
      </c>
      <c r="Q114" s="116">
        <v>1975.05</v>
      </c>
      <c r="R114">
        <v>2463231</v>
      </c>
    </row>
    <row r="115" spans="1:18" x14ac:dyDescent="0.25">
      <c r="A115" s="170">
        <v>42170</v>
      </c>
      <c r="B115" s="116">
        <v>499.42500000000001</v>
      </c>
      <c r="C115" s="116">
        <v>495.55</v>
      </c>
      <c r="D115" s="116">
        <v>484.25</v>
      </c>
      <c r="E115" s="116">
        <v>490</v>
      </c>
      <c r="F115" s="116">
        <v>991.1</v>
      </c>
      <c r="G115">
        <v>352567</v>
      </c>
      <c r="H115" s="116"/>
      <c r="I115" s="116"/>
      <c r="L115" s="170">
        <v>42170</v>
      </c>
      <c r="M115" s="116">
        <v>495.22500000000002</v>
      </c>
      <c r="N115" s="116">
        <v>499.4</v>
      </c>
      <c r="O115" s="116">
        <v>484</v>
      </c>
      <c r="P115" s="116">
        <v>488.47500000000002</v>
      </c>
      <c r="Q115" s="116">
        <v>990.45</v>
      </c>
      <c r="R115">
        <v>2618213</v>
      </c>
    </row>
    <row r="116" spans="1:18" x14ac:dyDescent="0.25">
      <c r="A116" s="170">
        <v>42171</v>
      </c>
      <c r="B116" s="116">
        <v>501</v>
      </c>
      <c r="C116" s="116">
        <v>499.72500000000002</v>
      </c>
      <c r="D116" s="116">
        <v>492.5</v>
      </c>
      <c r="E116" s="116">
        <v>497</v>
      </c>
      <c r="F116" s="116">
        <v>999.45</v>
      </c>
      <c r="G116">
        <v>124572</v>
      </c>
      <c r="H116" s="116"/>
      <c r="I116" s="116"/>
      <c r="L116" s="170">
        <v>42171</v>
      </c>
      <c r="M116" s="116">
        <v>499.67500000000001</v>
      </c>
      <c r="N116" s="116">
        <v>501.5</v>
      </c>
      <c r="O116" s="116">
        <v>492.5</v>
      </c>
      <c r="P116" s="116">
        <v>497.17500000000001</v>
      </c>
      <c r="Q116" s="116">
        <v>999.35</v>
      </c>
      <c r="R116">
        <v>2611722</v>
      </c>
    </row>
    <row r="117" spans="1:18" x14ac:dyDescent="0.25">
      <c r="A117" s="170">
        <v>42172</v>
      </c>
      <c r="B117" s="116">
        <v>510.2</v>
      </c>
      <c r="C117" s="116">
        <v>497.9</v>
      </c>
      <c r="D117" s="116">
        <v>496.65</v>
      </c>
      <c r="E117" s="116">
        <v>503.5</v>
      </c>
      <c r="F117" s="116">
        <v>995.8</v>
      </c>
      <c r="G117">
        <v>200684</v>
      </c>
      <c r="H117" s="116"/>
      <c r="I117" s="116"/>
      <c r="L117" s="170">
        <v>42172</v>
      </c>
      <c r="M117" s="116">
        <v>497.85</v>
      </c>
      <c r="N117" s="116">
        <v>510.5</v>
      </c>
      <c r="O117" s="116">
        <v>496.1</v>
      </c>
      <c r="P117" s="116">
        <v>505.5</v>
      </c>
      <c r="Q117" s="116">
        <v>995.7</v>
      </c>
      <c r="R117">
        <v>3206034</v>
      </c>
    </row>
    <row r="118" spans="1:18" x14ac:dyDescent="0.25">
      <c r="A118" s="170">
        <v>42173</v>
      </c>
      <c r="B118" s="116">
        <v>502.97500000000002</v>
      </c>
      <c r="C118" s="116">
        <v>500.45</v>
      </c>
      <c r="D118" s="116">
        <v>498</v>
      </c>
      <c r="E118" s="116">
        <v>500.125</v>
      </c>
      <c r="F118" s="116">
        <v>1000.9</v>
      </c>
      <c r="G118">
        <v>98293</v>
      </c>
      <c r="H118" s="116"/>
      <c r="I118" s="116"/>
      <c r="L118" s="170">
        <v>42173</v>
      </c>
      <c r="M118" s="116">
        <v>500.97500000000002</v>
      </c>
      <c r="N118" s="116">
        <v>503.97500000000002</v>
      </c>
      <c r="O118" s="116">
        <v>497.9</v>
      </c>
      <c r="P118" s="116">
        <v>502.8</v>
      </c>
      <c r="Q118" s="116">
        <v>1001.95</v>
      </c>
      <c r="R118">
        <v>1737213</v>
      </c>
    </row>
    <row r="119" spans="1:18" x14ac:dyDescent="0.25">
      <c r="A119" s="170">
        <v>42174</v>
      </c>
      <c r="B119" s="116">
        <v>505.15</v>
      </c>
      <c r="C119" s="116">
        <v>498.375</v>
      </c>
      <c r="D119" s="116">
        <v>496.25</v>
      </c>
      <c r="E119" s="116">
        <v>502.5</v>
      </c>
      <c r="F119" s="116">
        <v>996.75</v>
      </c>
      <c r="G119">
        <v>105608</v>
      </c>
      <c r="H119" s="116"/>
      <c r="I119" s="116"/>
      <c r="L119" s="170">
        <v>42174</v>
      </c>
      <c r="M119" s="116">
        <v>497.67500000000001</v>
      </c>
      <c r="N119" s="116">
        <v>505.2</v>
      </c>
      <c r="O119" s="116">
        <v>496.55</v>
      </c>
      <c r="P119" s="116">
        <v>505.15</v>
      </c>
      <c r="Q119" s="116">
        <v>995.35</v>
      </c>
      <c r="R119">
        <v>3335229</v>
      </c>
    </row>
    <row r="120" spans="1:18" x14ac:dyDescent="0.25">
      <c r="A120" s="170">
        <v>42177</v>
      </c>
      <c r="B120" s="116">
        <v>514.4</v>
      </c>
      <c r="C120" s="116">
        <v>512.20000000000005</v>
      </c>
      <c r="D120" s="116">
        <v>498.75</v>
      </c>
      <c r="E120" s="116">
        <v>504.5</v>
      </c>
      <c r="F120" s="116">
        <v>1024.4000000000001</v>
      </c>
      <c r="G120">
        <v>189597</v>
      </c>
      <c r="H120" s="116"/>
      <c r="I120" s="116"/>
      <c r="L120" s="170">
        <v>42177</v>
      </c>
      <c r="M120" s="116">
        <v>511.92500000000001</v>
      </c>
      <c r="N120" s="116">
        <v>514.375</v>
      </c>
      <c r="O120" s="116">
        <v>498.5</v>
      </c>
      <c r="P120" s="116">
        <v>502.45</v>
      </c>
      <c r="Q120" s="116">
        <v>1023.85</v>
      </c>
      <c r="R120">
        <v>2855434</v>
      </c>
    </row>
    <row r="121" spans="1:18" x14ac:dyDescent="0.25">
      <c r="A121" s="170">
        <v>42178</v>
      </c>
      <c r="B121" s="116">
        <v>514</v>
      </c>
      <c r="C121" s="116">
        <v>500.57499999999999</v>
      </c>
      <c r="D121" s="116">
        <v>499.55</v>
      </c>
      <c r="E121" s="116">
        <v>512.5</v>
      </c>
      <c r="F121" s="116">
        <v>1001.15</v>
      </c>
      <c r="G121">
        <v>219714</v>
      </c>
      <c r="H121" s="116"/>
      <c r="I121" s="116"/>
      <c r="L121" s="170">
        <v>42178</v>
      </c>
      <c r="M121" s="116">
        <v>500.2</v>
      </c>
      <c r="N121" s="116">
        <v>513.70000000000005</v>
      </c>
      <c r="O121" s="116">
        <v>499.07499999999999</v>
      </c>
      <c r="P121" s="116">
        <v>512.5</v>
      </c>
      <c r="Q121" s="116">
        <v>1000.4</v>
      </c>
      <c r="R121">
        <v>3476058</v>
      </c>
    </row>
    <row r="122" spans="1:18" x14ac:dyDescent="0.25">
      <c r="A122" s="170">
        <v>42179</v>
      </c>
      <c r="B122" s="116">
        <v>506.7</v>
      </c>
      <c r="C122" s="116">
        <v>497.55</v>
      </c>
      <c r="D122" s="116">
        <v>495.8</v>
      </c>
      <c r="E122" s="116">
        <v>505</v>
      </c>
      <c r="F122" s="116">
        <v>995.1</v>
      </c>
      <c r="G122">
        <v>151837</v>
      </c>
      <c r="H122" s="116"/>
      <c r="I122" s="116"/>
      <c r="L122" s="170">
        <v>42179</v>
      </c>
      <c r="M122" s="116">
        <v>497.55</v>
      </c>
      <c r="N122" s="116">
        <v>507.5</v>
      </c>
      <c r="O122" s="116">
        <v>495.6</v>
      </c>
      <c r="P122" s="116">
        <v>507.5</v>
      </c>
      <c r="Q122" s="116">
        <v>995.1</v>
      </c>
      <c r="R122">
        <v>3536847</v>
      </c>
    </row>
    <row r="123" spans="1:18" x14ac:dyDescent="0.25">
      <c r="A123" s="170">
        <v>42180</v>
      </c>
      <c r="B123" s="116">
        <v>501.5</v>
      </c>
      <c r="C123" s="116">
        <v>495.57499999999999</v>
      </c>
      <c r="D123" s="116">
        <v>493.92500000000001</v>
      </c>
      <c r="E123" s="116">
        <v>500</v>
      </c>
      <c r="F123" s="116">
        <v>991.15</v>
      </c>
      <c r="G123">
        <v>187888</v>
      </c>
      <c r="H123" s="116"/>
      <c r="I123" s="116"/>
      <c r="L123" s="170">
        <v>42180</v>
      </c>
      <c r="M123" s="116">
        <v>495.22500000000002</v>
      </c>
      <c r="N123" s="116">
        <v>501.75</v>
      </c>
      <c r="O123" s="116">
        <v>493.82499999999999</v>
      </c>
      <c r="P123" s="116">
        <v>499.6</v>
      </c>
      <c r="Q123" s="116">
        <v>990.45</v>
      </c>
      <c r="R123">
        <v>3558733</v>
      </c>
    </row>
    <row r="124" spans="1:18" x14ac:dyDescent="0.25">
      <c r="A124" s="170">
        <v>42181</v>
      </c>
      <c r="B124" s="116">
        <v>505.875</v>
      </c>
      <c r="C124" s="116">
        <v>503.05</v>
      </c>
      <c r="D124" s="116">
        <v>497.5</v>
      </c>
      <c r="E124" s="116">
        <v>497.5</v>
      </c>
      <c r="F124" s="116">
        <v>1006.1</v>
      </c>
      <c r="G124">
        <v>177156</v>
      </c>
      <c r="H124" s="116"/>
      <c r="I124" s="116"/>
      <c r="L124" s="170">
        <v>42181</v>
      </c>
      <c r="M124" s="116">
        <v>502.625</v>
      </c>
      <c r="N124" s="116">
        <v>505.8</v>
      </c>
      <c r="O124" s="116">
        <v>499.05</v>
      </c>
      <c r="P124" s="116">
        <v>499.5</v>
      </c>
      <c r="Q124" s="116">
        <v>1005.25</v>
      </c>
      <c r="R124">
        <v>2660142</v>
      </c>
    </row>
    <row r="125" spans="1:18" x14ac:dyDescent="0.25">
      <c r="A125" s="170">
        <v>42184</v>
      </c>
      <c r="B125" s="116">
        <v>499.5</v>
      </c>
      <c r="C125" s="116">
        <v>495.125</v>
      </c>
      <c r="D125" s="116">
        <v>490</v>
      </c>
      <c r="E125" s="116">
        <v>494</v>
      </c>
      <c r="F125" s="116">
        <v>990.25</v>
      </c>
      <c r="G125">
        <v>214778</v>
      </c>
      <c r="H125" s="116"/>
      <c r="I125" s="116"/>
      <c r="L125" s="170">
        <v>42184</v>
      </c>
      <c r="M125" s="116">
        <v>495.07499999999999</v>
      </c>
      <c r="N125" s="116">
        <v>499.75</v>
      </c>
      <c r="O125" s="116">
        <v>491.25</v>
      </c>
      <c r="P125" s="116">
        <v>493.5</v>
      </c>
      <c r="Q125" s="116">
        <v>990.15</v>
      </c>
      <c r="R125">
        <v>2845334</v>
      </c>
    </row>
    <row r="126" spans="1:18" x14ac:dyDescent="0.25">
      <c r="A126" s="170">
        <v>42185</v>
      </c>
      <c r="B126" s="116">
        <v>496.5</v>
      </c>
      <c r="C126" s="116">
        <v>492.67500000000001</v>
      </c>
      <c r="D126" s="116">
        <v>491.55</v>
      </c>
      <c r="E126" s="116">
        <v>496.5</v>
      </c>
      <c r="F126" s="116">
        <v>985.35</v>
      </c>
      <c r="G126">
        <v>130902</v>
      </c>
      <c r="H126" s="116"/>
      <c r="I126" s="116"/>
      <c r="L126" s="170">
        <v>42185</v>
      </c>
      <c r="M126" s="116">
        <v>492.17500000000001</v>
      </c>
      <c r="N126" s="116">
        <v>496.72500000000002</v>
      </c>
      <c r="O126" s="116">
        <v>490</v>
      </c>
      <c r="P126" s="116">
        <v>495</v>
      </c>
      <c r="Q126" s="116">
        <v>984.35</v>
      </c>
      <c r="R126">
        <v>3106265</v>
      </c>
    </row>
    <row r="127" spans="1:18" x14ac:dyDescent="0.25">
      <c r="A127" s="170">
        <v>42186</v>
      </c>
      <c r="B127" s="116">
        <v>500</v>
      </c>
      <c r="C127" s="116">
        <v>498.85</v>
      </c>
      <c r="D127" s="116">
        <v>493.07499999999999</v>
      </c>
      <c r="E127" s="116">
        <v>495</v>
      </c>
      <c r="F127" s="116">
        <v>997.7</v>
      </c>
      <c r="G127">
        <v>92268</v>
      </c>
      <c r="H127" s="116"/>
      <c r="I127" s="116"/>
      <c r="L127" s="170">
        <v>42186</v>
      </c>
      <c r="M127" s="116">
        <v>498.7</v>
      </c>
      <c r="N127" s="116">
        <v>502.5</v>
      </c>
      <c r="O127" s="116">
        <v>493</v>
      </c>
      <c r="P127" s="116">
        <v>494.5</v>
      </c>
      <c r="Q127" s="116">
        <v>997.4</v>
      </c>
      <c r="R127">
        <v>3440426</v>
      </c>
    </row>
    <row r="128" spans="1:18" x14ac:dyDescent="0.25">
      <c r="A128" s="170">
        <v>42187</v>
      </c>
      <c r="B128" s="116">
        <v>500.2</v>
      </c>
      <c r="C128" s="116">
        <v>494.07499999999999</v>
      </c>
      <c r="D128" s="116">
        <v>492.57499999999999</v>
      </c>
      <c r="E128" s="116">
        <v>500</v>
      </c>
      <c r="F128" s="116">
        <v>988.15</v>
      </c>
      <c r="G128">
        <v>123814</v>
      </c>
      <c r="H128" s="116"/>
      <c r="I128" s="116"/>
      <c r="L128" s="170">
        <v>42187</v>
      </c>
      <c r="M128" s="116">
        <v>494</v>
      </c>
      <c r="N128" s="116">
        <v>500.7</v>
      </c>
      <c r="O128" s="116">
        <v>492.52499999999998</v>
      </c>
      <c r="P128" s="116">
        <v>499.5</v>
      </c>
      <c r="Q128" s="116">
        <v>988</v>
      </c>
      <c r="R128">
        <v>2003784</v>
      </c>
    </row>
    <row r="129" spans="1:18" x14ac:dyDescent="0.25">
      <c r="A129" s="170">
        <v>42188</v>
      </c>
      <c r="B129" s="116">
        <v>496.5</v>
      </c>
      <c r="C129" s="116">
        <v>494.97500000000002</v>
      </c>
      <c r="D129" s="116">
        <v>491.77499999999998</v>
      </c>
      <c r="E129" s="116">
        <v>493.5</v>
      </c>
      <c r="F129" s="116">
        <v>989.95</v>
      </c>
      <c r="G129">
        <v>97141</v>
      </c>
      <c r="H129" s="116"/>
      <c r="I129" s="116"/>
      <c r="L129" s="170">
        <v>42188</v>
      </c>
      <c r="M129" s="116">
        <v>495.15</v>
      </c>
      <c r="N129" s="116">
        <v>496.5</v>
      </c>
      <c r="O129" s="116">
        <v>491</v>
      </c>
      <c r="P129" s="116">
        <v>494</v>
      </c>
      <c r="Q129" s="116">
        <v>990.3</v>
      </c>
      <c r="R129">
        <v>1347653</v>
      </c>
    </row>
    <row r="130" spans="1:18" x14ac:dyDescent="0.25">
      <c r="A130" s="170">
        <v>42191</v>
      </c>
      <c r="B130" s="116">
        <v>494.125</v>
      </c>
      <c r="C130" s="116">
        <v>491.75</v>
      </c>
      <c r="D130" s="116">
        <v>487.75</v>
      </c>
      <c r="E130" s="116">
        <v>490</v>
      </c>
      <c r="F130" s="116">
        <v>983.5</v>
      </c>
      <c r="G130">
        <v>137500</v>
      </c>
      <c r="H130" s="116"/>
      <c r="I130" s="116"/>
      <c r="L130" s="170">
        <v>42191</v>
      </c>
      <c r="M130" s="116">
        <v>491.65</v>
      </c>
      <c r="N130" s="116">
        <v>494</v>
      </c>
      <c r="O130" s="116">
        <v>487.5</v>
      </c>
      <c r="P130" s="116">
        <v>492.5</v>
      </c>
      <c r="Q130" s="116">
        <v>983.3</v>
      </c>
      <c r="R130">
        <v>2152801</v>
      </c>
    </row>
    <row r="131" spans="1:18" x14ac:dyDescent="0.25">
      <c r="A131" s="170">
        <v>42192</v>
      </c>
      <c r="B131" s="116">
        <v>495.375</v>
      </c>
      <c r="C131" s="116">
        <v>491.02499999999998</v>
      </c>
      <c r="D131" s="116">
        <v>490.02499999999998</v>
      </c>
      <c r="E131" s="116">
        <v>495</v>
      </c>
      <c r="F131" s="116">
        <v>982.05</v>
      </c>
      <c r="G131">
        <v>86525</v>
      </c>
      <c r="H131" s="116"/>
      <c r="I131" s="116"/>
      <c r="L131" s="170">
        <v>42192</v>
      </c>
      <c r="M131" s="116">
        <v>490.25</v>
      </c>
      <c r="N131" s="116">
        <v>495</v>
      </c>
      <c r="O131" s="116">
        <v>489.5</v>
      </c>
      <c r="P131" s="116">
        <v>492.5</v>
      </c>
      <c r="Q131" s="116">
        <v>980.5</v>
      </c>
      <c r="R131">
        <v>1748709</v>
      </c>
    </row>
    <row r="132" spans="1:18" x14ac:dyDescent="0.25">
      <c r="A132" s="170">
        <v>42193</v>
      </c>
      <c r="B132" s="116">
        <v>492.5</v>
      </c>
      <c r="C132" s="116">
        <v>478.6</v>
      </c>
      <c r="D132" s="116">
        <v>477.5</v>
      </c>
      <c r="E132" s="116">
        <v>492.5</v>
      </c>
      <c r="F132" s="116">
        <v>957.2</v>
      </c>
      <c r="G132">
        <v>335285</v>
      </c>
      <c r="H132" s="116"/>
      <c r="I132" s="116"/>
      <c r="L132" s="170">
        <v>42193</v>
      </c>
      <c r="M132" s="116">
        <v>478.75</v>
      </c>
      <c r="N132" s="116">
        <v>489.5</v>
      </c>
      <c r="O132" s="116">
        <v>477.4</v>
      </c>
      <c r="P132" s="116">
        <v>489.5</v>
      </c>
      <c r="Q132" s="116">
        <v>957.5</v>
      </c>
      <c r="R132">
        <v>3512089</v>
      </c>
    </row>
    <row r="133" spans="1:18" x14ac:dyDescent="0.25">
      <c r="A133" s="170">
        <v>42194</v>
      </c>
      <c r="B133" s="116">
        <v>483.47500000000002</v>
      </c>
      <c r="C133" s="116">
        <v>468.85</v>
      </c>
      <c r="D133" s="116">
        <v>467</v>
      </c>
      <c r="E133" s="116">
        <v>480</v>
      </c>
      <c r="F133" s="116">
        <v>937.7</v>
      </c>
      <c r="G133">
        <v>325585</v>
      </c>
      <c r="H133" s="116"/>
      <c r="I133" s="116"/>
      <c r="L133" s="170">
        <v>42194</v>
      </c>
      <c r="M133" s="116">
        <v>469</v>
      </c>
      <c r="N133" s="116">
        <v>483</v>
      </c>
      <c r="O133" s="116">
        <v>467.02499999999998</v>
      </c>
      <c r="P133" s="116">
        <v>478.75</v>
      </c>
      <c r="Q133" s="116">
        <v>938</v>
      </c>
      <c r="R133">
        <v>4293886</v>
      </c>
    </row>
    <row r="134" spans="1:18" x14ac:dyDescent="0.25">
      <c r="A134" s="170">
        <v>42195</v>
      </c>
      <c r="B134" s="116">
        <v>475.92500000000001</v>
      </c>
      <c r="C134" s="116">
        <v>468.5</v>
      </c>
      <c r="D134" s="116">
        <v>466.27499999999998</v>
      </c>
      <c r="E134" s="116">
        <v>475</v>
      </c>
      <c r="F134" s="116">
        <v>937</v>
      </c>
      <c r="G134">
        <v>154023</v>
      </c>
      <c r="H134" s="116"/>
      <c r="I134" s="116"/>
      <c r="L134" s="170">
        <v>42195</v>
      </c>
      <c r="M134" s="116">
        <v>468.75</v>
      </c>
      <c r="N134" s="116">
        <v>476.05</v>
      </c>
      <c r="O134" s="116">
        <v>466.32499999999999</v>
      </c>
      <c r="P134" s="116">
        <v>474.05</v>
      </c>
      <c r="Q134" s="116">
        <v>937.5</v>
      </c>
      <c r="R134">
        <v>3705761</v>
      </c>
    </row>
    <row r="135" spans="1:18" x14ac:dyDescent="0.25">
      <c r="A135" s="170">
        <v>42198</v>
      </c>
      <c r="B135" s="116">
        <v>477.22500000000002</v>
      </c>
      <c r="C135" s="116">
        <v>475.02499999999998</v>
      </c>
      <c r="D135" s="116">
        <v>467.05</v>
      </c>
      <c r="E135" s="116">
        <v>470</v>
      </c>
      <c r="F135" s="116">
        <v>950.05</v>
      </c>
      <c r="G135">
        <v>199391</v>
      </c>
      <c r="H135" s="116"/>
      <c r="I135" s="116"/>
      <c r="L135" s="170">
        <v>42198</v>
      </c>
      <c r="M135" s="116">
        <v>475.07499999999999</v>
      </c>
      <c r="N135" s="116">
        <v>477.5</v>
      </c>
      <c r="O135" s="116">
        <v>467.02499999999998</v>
      </c>
      <c r="P135" s="116">
        <v>470.5</v>
      </c>
      <c r="Q135" s="116">
        <v>950.15</v>
      </c>
      <c r="R135">
        <v>3265884</v>
      </c>
    </row>
    <row r="136" spans="1:18" x14ac:dyDescent="0.25">
      <c r="A136" s="170">
        <v>42199</v>
      </c>
      <c r="B136" s="116">
        <v>486.8</v>
      </c>
      <c r="C136" s="116">
        <v>485.05</v>
      </c>
      <c r="D136" s="116">
        <v>472.67500000000001</v>
      </c>
      <c r="E136" s="116">
        <v>477.5</v>
      </c>
      <c r="F136" s="116">
        <v>970.1</v>
      </c>
      <c r="G136">
        <v>268169</v>
      </c>
      <c r="H136" s="116"/>
      <c r="I136" s="116"/>
      <c r="L136" s="170">
        <v>42199</v>
      </c>
      <c r="M136" s="116">
        <v>485.625</v>
      </c>
      <c r="N136" s="116">
        <v>486.75</v>
      </c>
      <c r="O136" s="116">
        <v>472.75</v>
      </c>
      <c r="P136" s="116">
        <v>477.5</v>
      </c>
      <c r="Q136" s="116">
        <v>971.25</v>
      </c>
      <c r="R136">
        <v>2683537</v>
      </c>
    </row>
    <row r="137" spans="1:18" x14ac:dyDescent="0.25">
      <c r="A137" s="170">
        <v>42200</v>
      </c>
      <c r="B137" s="116">
        <v>492.6</v>
      </c>
      <c r="C137" s="116">
        <v>491.32499999999999</v>
      </c>
      <c r="D137" s="116">
        <v>484.5</v>
      </c>
      <c r="E137" s="116">
        <v>485.95</v>
      </c>
      <c r="F137" s="116">
        <v>982.65</v>
      </c>
      <c r="G137">
        <v>135014</v>
      </c>
      <c r="H137" s="116"/>
      <c r="I137" s="116"/>
      <c r="L137" s="170">
        <v>42200</v>
      </c>
      <c r="M137" s="116">
        <v>492</v>
      </c>
      <c r="N137" s="116">
        <v>492.97500000000002</v>
      </c>
      <c r="O137" s="116">
        <v>484</v>
      </c>
      <c r="P137" s="116">
        <v>485</v>
      </c>
      <c r="Q137" s="116">
        <v>984</v>
      </c>
      <c r="R137">
        <v>2064783</v>
      </c>
    </row>
    <row r="138" spans="1:18" x14ac:dyDescent="0.25">
      <c r="A138" s="170">
        <v>42201</v>
      </c>
      <c r="B138" s="116">
        <v>495.6</v>
      </c>
      <c r="C138" s="116">
        <v>493.9</v>
      </c>
      <c r="D138" s="116">
        <v>489.55</v>
      </c>
      <c r="E138" s="116">
        <v>492.75</v>
      </c>
      <c r="F138" s="116">
        <v>987.8</v>
      </c>
      <c r="G138">
        <v>98765</v>
      </c>
      <c r="H138" s="116"/>
      <c r="I138" s="116"/>
      <c r="L138" s="170">
        <v>42201</v>
      </c>
      <c r="M138" s="116">
        <v>494.52499999999998</v>
      </c>
      <c r="N138" s="116">
        <v>495.75</v>
      </c>
      <c r="O138" s="116">
        <v>489.75</v>
      </c>
      <c r="P138" s="116">
        <v>493.85</v>
      </c>
      <c r="Q138" s="116">
        <v>989.05</v>
      </c>
      <c r="R138">
        <v>1736469</v>
      </c>
    </row>
    <row r="139" spans="1:18" x14ac:dyDescent="0.25">
      <c r="A139" s="170">
        <v>42202</v>
      </c>
      <c r="B139" s="116">
        <v>501.97500000000002</v>
      </c>
      <c r="C139" s="116">
        <v>501</v>
      </c>
      <c r="D139" s="116">
        <v>494.5</v>
      </c>
      <c r="E139" s="116">
        <v>494.95</v>
      </c>
      <c r="F139" s="116">
        <v>1002</v>
      </c>
      <c r="G139">
        <v>198520</v>
      </c>
      <c r="H139" s="116"/>
      <c r="I139" s="116"/>
      <c r="L139" s="170">
        <v>42202</v>
      </c>
      <c r="M139" s="116">
        <v>500.92500000000001</v>
      </c>
      <c r="N139" s="116">
        <v>502.25</v>
      </c>
      <c r="O139" s="116">
        <v>494.55</v>
      </c>
      <c r="P139" s="116">
        <v>495.5</v>
      </c>
      <c r="Q139" s="116">
        <v>1001.85</v>
      </c>
      <c r="R139">
        <v>1723989</v>
      </c>
    </row>
    <row r="140" spans="1:18" x14ac:dyDescent="0.25">
      <c r="A140" s="170">
        <v>42205</v>
      </c>
      <c r="B140" s="116">
        <v>505</v>
      </c>
      <c r="C140" s="116">
        <v>500.95</v>
      </c>
      <c r="D140" s="116">
        <v>493.625</v>
      </c>
      <c r="E140" s="116">
        <v>501.625</v>
      </c>
      <c r="F140" s="116">
        <v>1001.9</v>
      </c>
      <c r="G140">
        <v>173740</v>
      </c>
      <c r="H140" s="116"/>
      <c r="I140" s="116"/>
      <c r="L140" s="170">
        <v>42205</v>
      </c>
      <c r="M140" s="116">
        <v>500.625</v>
      </c>
      <c r="N140" s="116">
        <v>505.4</v>
      </c>
      <c r="O140" s="116">
        <v>493.7</v>
      </c>
      <c r="P140" s="116">
        <v>500.7</v>
      </c>
      <c r="Q140" s="116">
        <v>1001.25</v>
      </c>
      <c r="R140">
        <v>2188590</v>
      </c>
    </row>
    <row r="141" spans="1:18" x14ac:dyDescent="0.25">
      <c r="A141" s="170">
        <v>42206</v>
      </c>
      <c r="B141" s="116">
        <v>563.875</v>
      </c>
      <c r="C141" s="116">
        <v>556.32500000000005</v>
      </c>
      <c r="D141" s="116">
        <v>511.1</v>
      </c>
      <c r="E141" s="116">
        <v>511.1</v>
      </c>
      <c r="F141" s="116">
        <v>1112.6500000000001</v>
      </c>
      <c r="G141">
        <v>1417565</v>
      </c>
      <c r="H141" s="116"/>
      <c r="I141" s="116"/>
      <c r="L141" s="170">
        <v>42206</v>
      </c>
      <c r="M141" s="116">
        <v>556.32500000000005</v>
      </c>
      <c r="N141" s="116">
        <v>574.5</v>
      </c>
      <c r="O141" s="116">
        <v>517.5</v>
      </c>
      <c r="P141" s="116">
        <v>517.5</v>
      </c>
      <c r="Q141" s="116">
        <v>1112.6500000000001</v>
      </c>
      <c r="R141">
        <v>19155056</v>
      </c>
    </row>
    <row r="142" spans="1:18" x14ac:dyDescent="0.25">
      <c r="A142" s="170">
        <v>42207</v>
      </c>
      <c r="B142" s="116">
        <v>555.72500000000002</v>
      </c>
      <c r="C142" s="116">
        <v>551.29999999999995</v>
      </c>
      <c r="D142" s="116">
        <v>537.875</v>
      </c>
      <c r="E142" s="116">
        <v>552.5</v>
      </c>
      <c r="F142" s="116">
        <v>1102.5999999999999</v>
      </c>
      <c r="G142">
        <v>304363</v>
      </c>
      <c r="H142" s="116"/>
      <c r="I142" s="116"/>
      <c r="L142" s="170">
        <v>42207</v>
      </c>
      <c r="M142" s="116">
        <v>551.57500000000005</v>
      </c>
      <c r="N142" s="116">
        <v>556</v>
      </c>
      <c r="O142" s="116">
        <v>538.32500000000005</v>
      </c>
      <c r="P142" s="116">
        <v>552.5</v>
      </c>
      <c r="Q142" s="116">
        <v>1103.1500000000001</v>
      </c>
      <c r="R142">
        <v>6332830</v>
      </c>
    </row>
    <row r="143" spans="1:18" x14ac:dyDescent="0.25">
      <c r="A143" s="170">
        <v>42208</v>
      </c>
      <c r="B143" s="116">
        <v>558.85</v>
      </c>
      <c r="C143" s="116">
        <v>549.42499999999995</v>
      </c>
      <c r="D143" s="116">
        <v>545.5</v>
      </c>
      <c r="E143" s="116">
        <v>551.5</v>
      </c>
      <c r="F143" s="116">
        <v>1098.8499999999999</v>
      </c>
      <c r="G143">
        <v>184063</v>
      </c>
      <c r="H143" s="116"/>
      <c r="I143" s="116"/>
      <c r="L143" s="170">
        <v>42208</v>
      </c>
      <c r="M143" s="116">
        <v>549</v>
      </c>
      <c r="N143" s="116">
        <v>558.5</v>
      </c>
      <c r="O143" s="116">
        <v>545</v>
      </c>
      <c r="P143" s="116">
        <v>551.97500000000002</v>
      </c>
      <c r="Q143" s="116">
        <v>1098</v>
      </c>
      <c r="R143">
        <v>3855374</v>
      </c>
    </row>
    <row r="144" spans="1:18" x14ac:dyDescent="0.25">
      <c r="A144" s="170">
        <v>42209</v>
      </c>
      <c r="B144" s="116">
        <v>553.1</v>
      </c>
      <c r="C144" s="116">
        <v>544.67499999999995</v>
      </c>
      <c r="D144" s="116">
        <v>541.20000000000005</v>
      </c>
      <c r="E144" s="116">
        <v>550</v>
      </c>
      <c r="F144" s="116">
        <v>1089.3499999999999</v>
      </c>
      <c r="G144">
        <v>123690</v>
      </c>
      <c r="H144" s="116"/>
      <c r="I144" s="116"/>
      <c r="L144" s="170">
        <v>42209</v>
      </c>
      <c r="M144" s="116">
        <v>543.79999999999995</v>
      </c>
      <c r="N144" s="116">
        <v>553.22500000000002</v>
      </c>
      <c r="O144" s="116">
        <v>541.54999999999995</v>
      </c>
      <c r="P144" s="116">
        <v>547.77499999999998</v>
      </c>
      <c r="Q144" s="116">
        <v>1087.5999999999999</v>
      </c>
      <c r="R144">
        <v>2240151</v>
      </c>
    </row>
    <row r="145" spans="1:18" x14ac:dyDescent="0.25">
      <c r="A145" s="170">
        <v>42212</v>
      </c>
      <c r="B145" s="116">
        <v>544.5</v>
      </c>
      <c r="C145" s="116">
        <v>532.5</v>
      </c>
      <c r="D145" s="116">
        <v>530.25</v>
      </c>
      <c r="E145" s="116">
        <v>544.5</v>
      </c>
      <c r="F145" s="116">
        <v>1065</v>
      </c>
      <c r="G145">
        <v>221136</v>
      </c>
      <c r="H145" s="116"/>
      <c r="I145" s="116"/>
      <c r="L145" s="170">
        <v>42212</v>
      </c>
      <c r="M145" s="116">
        <v>532.65</v>
      </c>
      <c r="N145" s="116">
        <v>543.97500000000002</v>
      </c>
      <c r="O145" s="116">
        <v>530.22500000000002</v>
      </c>
      <c r="P145" s="116">
        <v>543.45000000000005</v>
      </c>
      <c r="Q145" s="116">
        <v>1065.3</v>
      </c>
      <c r="R145">
        <v>3376122</v>
      </c>
    </row>
    <row r="146" spans="1:18" x14ac:dyDescent="0.25">
      <c r="A146" s="170">
        <v>42213</v>
      </c>
      <c r="B146" s="116">
        <v>538.5</v>
      </c>
      <c r="C146" s="116">
        <v>531.75</v>
      </c>
      <c r="D146" s="116">
        <v>527.75</v>
      </c>
      <c r="E146" s="116">
        <v>538.5</v>
      </c>
      <c r="F146" s="116">
        <v>1063.5</v>
      </c>
      <c r="G146">
        <v>126104</v>
      </c>
      <c r="H146" s="116"/>
      <c r="I146" s="116"/>
      <c r="L146" s="170">
        <v>42213</v>
      </c>
      <c r="M146" s="116">
        <v>531.42499999999995</v>
      </c>
      <c r="N146" s="116">
        <v>538</v>
      </c>
      <c r="O146" s="116">
        <v>527.125</v>
      </c>
      <c r="P146" s="116">
        <v>534.25</v>
      </c>
      <c r="Q146" s="116">
        <v>1062.8499999999999</v>
      </c>
      <c r="R146">
        <v>4238301</v>
      </c>
    </row>
    <row r="147" spans="1:18" x14ac:dyDescent="0.25">
      <c r="A147" s="170">
        <v>42214</v>
      </c>
      <c r="B147" s="116">
        <v>546.125</v>
      </c>
      <c r="C147" s="116">
        <v>542.6</v>
      </c>
      <c r="D147" s="116">
        <v>532.5</v>
      </c>
      <c r="E147" s="116">
        <v>534</v>
      </c>
      <c r="F147" s="116">
        <v>1085.2</v>
      </c>
      <c r="G147">
        <v>130349</v>
      </c>
      <c r="H147" s="116"/>
      <c r="I147" s="116"/>
      <c r="L147" s="170">
        <v>42214</v>
      </c>
      <c r="M147" s="116">
        <v>542.70000000000005</v>
      </c>
      <c r="N147" s="116">
        <v>546</v>
      </c>
      <c r="O147" s="116">
        <v>532.5</v>
      </c>
      <c r="P147" s="116">
        <v>537</v>
      </c>
      <c r="Q147" s="116">
        <v>1085.4000000000001</v>
      </c>
      <c r="R147">
        <v>3535667</v>
      </c>
    </row>
    <row r="148" spans="1:18" x14ac:dyDescent="0.25">
      <c r="A148" s="170">
        <v>42215</v>
      </c>
      <c r="B148" s="116">
        <v>545</v>
      </c>
      <c r="C148" s="116">
        <v>534.54999999999995</v>
      </c>
      <c r="D148" s="116">
        <v>529.875</v>
      </c>
      <c r="E148" s="116">
        <v>545</v>
      </c>
      <c r="F148" s="116">
        <v>1069.0999999999999</v>
      </c>
      <c r="G148">
        <v>111411</v>
      </c>
      <c r="H148" s="116"/>
      <c r="I148" s="116"/>
      <c r="L148" s="170">
        <v>42215</v>
      </c>
      <c r="M148" s="116">
        <v>535</v>
      </c>
      <c r="N148" s="116">
        <v>545</v>
      </c>
      <c r="O148" s="116">
        <v>529</v>
      </c>
      <c r="P148" s="116">
        <v>545</v>
      </c>
      <c r="Q148" s="116">
        <v>1070</v>
      </c>
      <c r="R148">
        <v>5978299</v>
      </c>
    </row>
    <row r="149" spans="1:18" x14ac:dyDescent="0.25">
      <c r="A149" s="170">
        <v>42216</v>
      </c>
      <c r="B149" s="116">
        <v>540.6</v>
      </c>
      <c r="C149" s="116">
        <v>539.02499999999998</v>
      </c>
      <c r="D149" s="116">
        <v>530.79999999999995</v>
      </c>
      <c r="E149" s="116">
        <v>539.5</v>
      </c>
      <c r="F149" s="116">
        <v>1078.05</v>
      </c>
      <c r="G149">
        <v>143459</v>
      </c>
      <c r="H149" s="116"/>
      <c r="I149" s="116"/>
      <c r="L149" s="170">
        <v>42216</v>
      </c>
      <c r="M149" s="116">
        <v>538.52499999999998</v>
      </c>
      <c r="N149" s="116">
        <v>540.67499999999995</v>
      </c>
      <c r="O149" s="116">
        <v>530</v>
      </c>
      <c r="P149" s="116">
        <v>539.27499999999998</v>
      </c>
      <c r="Q149" s="116">
        <v>1077.05</v>
      </c>
      <c r="R149">
        <v>3965506</v>
      </c>
    </row>
    <row r="150" spans="1:18" x14ac:dyDescent="0.25">
      <c r="A150" s="170">
        <v>42219</v>
      </c>
      <c r="B150" s="116">
        <v>545.75</v>
      </c>
      <c r="C150" s="116">
        <v>539.52499999999998</v>
      </c>
      <c r="D150" s="116">
        <v>534.5</v>
      </c>
      <c r="E150" s="116">
        <v>540</v>
      </c>
      <c r="F150" s="116">
        <v>1079.05</v>
      </c>
      <c r="G150">
        <v>126860</v>
      </c>
      <c r="H150" s="116"/>
      <c r="I150" s="116"/>
      <c r="L150" s="170">
        <v>42219</v>
      </c>
      <c r="M150" s="116">
        <v>539.47500000000002</v>
      </c>
      <c r="N150" s="116">
        <v>546</v>
      </c>
      <c r="O150" s="116">
        <v>534.47500000000002</v>
      </c>
      <c r="P150" s="116">
        <v>539</v>
      </c>
      <c r="Q150" s="116">
        <v>1078.95</v>
      </c>
      <c r="R150">
        <v>3980506</v>
      </c>
    </row>
    <row r="151" spans="1:18" x14ac:dyDescent="0.25">
      <c r="A151" s="170">
        <v>42220</v>
      </c>
      <c r="B151" s="116">
        <v>540</v>
      </c>
      <c r="C151" s="116">
        <v>529.9</v>
      </c>
      <c r="D151" s="116">
        <v>526.5</v>
      </c>
      <c r="E151" s="116">
        <v>539</v>
      </c>
      <c r="F151" s="116">
        <v>1059.8</v>
      </c>
      <c r="G151">
        <v>176101</v>
      </c>
      <c r="H151" s="116"/>
      <c r="I151" s="116"/>
      <c r="L151" s="170">
        <v>42220</v>
      </c>
      <c r="M151" s="116">
        <v>528.625</v>
      </c>
      <c r="N151" s="116">
        <v>539.47500000000002</v>
      </c>
      <c r="O151" s="116">
        <v>525.5</v>
      </c>
      <c r="P151" s="116">
        <v>539</v>
      </c>
      <c r="Q151" s="116">
        <v>1057.25</v>
      </c>
      <c r="R151">
        <v>4549527</v>
      </c>
    </row>
    <row r="152" spans="1:18" x14ac:dyDescent="0.25">
      <c r="A152" s="170">
        <v>42221</v>
      </c>
      <c r="B152" s="116">
        <v>545</v>
      </c>
      <c r="C152" s="116">
        <v>543.27499999999998</v>
      </c>
      <c r="D152" s="116">
        <v>532.5</v>
      </c>
      <c r="E152" s="116">
        <v>532.5</v>
      </c>
      <c r="F152" s="116">
        <v>1086.55</v>
      </c>
      <c r="G152">
        <v>107932</v>
      </c>
      <c r="H152" s="116"/>
      <c r="I152" s="116"/>
      <c r="L152" s="170">
        <v>42221</v>
      </c>
      <c r="M152" s="116">
        <v>543.17499999999995</v>
      </c>
      <c r="N152" s="116">
        <v>545</v>
      </c>
      <c r="O152" s="116">
        <v>530.97500000000002</v>
      </c>
      <c r="P152" s="116">
        <v>531</v>
      </c>
      <c r="Q152" s="116">
        <v>1086.3499999999999</v>
      </c>
      <c r="R152">
        <v>2376738</v>
      </c>
    </row>
    <row r="153" spans="1:18" x14ac:dyDescent="0.25">
      <c r="A153" s="170">
        <v>42222</v>
      </c>
      <c r="B153" s="116">
        <v>552.97500000000002</v>
      </c>
      <c r="C153" s="116">
        <v>544.72500000000002</v>
      </c>
      <c r="D153" s="116">
        <v>539.5</v>
      </c>
      <c r="E153" s="116">
        <v>545.1</v>
      </c>
      <c r="F153" s="116">
        <v>1089.45</v>
      </c>
      <c r="G153">
        <v>185927</v>
      </c>
      <c r="H153" s="116"/>
      <c r="I153" s="116"/>
      <c r="L153" s="170">
        <v>42222</v>
      </c>
      <c r="M153" s="116">
        <v>543.47500000000002</v>
      </c>
      <c r="N153" s="116">
        <v>552.75</v>
      </c>
      <c r="O153" s="116">
        <v>538.5</v>
      </c>
      <c r="P153" s="116">
        <v>547</v>
      </c>
      <c r="Q153" s="116">
        <v>1086.95</v>
      </c>
      <c r="R153">
        <v>3619126</v>
      </c>
    </row>
    <row r="154" spans="1:18" x14ac:dyDescent="0.25">
      <c r="A154" s="170">
        <v>42223</v>
      </c>
      <c r="B154" s="116">
        <v>550.45000000000005</v>
      </c>
      <c r="C154" s="116">
        <v>547.79999999999995</v>
      </c>
      <c r="D154" s="116">
        <v>540</v>
      </c>
      <c r="E154" s="116">
        <v>544.72500000000002</v>
      </c>
      <c r="F154" s="116">
        <v>1095.5999999999999</v>
      </c>
      <c r="G154">
        <v>102142</v>
      </c>
      <c r="H154" s="116"/>
      <c r="I154" s="116"/>
      <c r="L154" s="170">
        <v>42223</v>
      </c>
      <c r="M154" s="116">
        <v>547.79999999999995</v>
      </c>
      <c r="N154" s="116">
        <v>550.5</v>
      </c>
      <c r="O154" s="116">
        <v>539.25</v>
      </c>
      <c r="P154" s="116">
        <v>539.75</v>
      </c>
      <c r="Q154" s="116">
        <v>1095.5999999999999</v>
      </c>
      <c r="R154">
        <v>2494029</v>
      </c>
    </row>
    <row r="155" spans="1:18" x14ac:dyDescent="0.25">
      <c r="A155" s="170">
        <v>42226</v>
      </c>
      <c r="B155" s="116">
        <v>553</v>
      </c>
      <c r="C155" s="116">
        <v>540.97500000000002</v>
      </c>
      <c r="D155" s="116">
        <v>534.04999999999995</v>
      </c>
      <c r="E155" s="116">
        <v>548.5</v>
      </c>
      <c r="F155" s="116">
        <v>1081.95</v>
      </c>
      <c r="G155">
        <v>102736</v>
      </c>
      <c r="H155" s="116"/>
      <c r="I155" s="116"/>
      <c r="L155" s="170">
        <v>42226</v>
      </c>
      <c r="M155" s="116">
        <v>543</v>
      </c>
      <c r="N155" s="116">
        <v>553.17499999999995</v>
      </c>
      <c r="O155" s="116">
        <v>533.5</v>
      </c>
      <c r="P155" s="116">
        <v>549</v>
      </c>
      <c r="Q155" s="116">
        <v>1086</v>
      </c>
      <c r="R155">
        <v>1996377</v>
      </c>
    </row>
    <row r="156" spans="1:18" x14ac:dyDescent="0.25">
      <c r="A156" s="170">
        <v>42227</v>
      </c>
      <c r="B156" s="116">
        <v>557.5</v>
      </c>
      <c r="C156" s="116">
        <v>552.17499999999995</v>
      </c>
      <c r="D156" s="116">
        <v>536.75</v>
      </c>
      <c r="E156" s="116">
        <v>549.45000000000005</v>
      </c>
      <c r="F156" s="116">
        <v>1104.3499999999999</v>
      </c>
      <c r="G156">
        <v>228334</v>
      </c>
      <c r="H156" s="116"/>
      <c r="I156" s="116"/>
      <c r="L156" s="170">
        <v>42227</v>
      </c>
      <c r="M156" s="116">
        <v>554.57500000000005</v>
      </c>
      <c r="N156" s="116">
        <v>558.45000000000005</v>
      </c>
      <c r="O156" s="116">
        <v>547.85</v>
      </c>
      <c r="P156" s="116">
        <v>549.4</v>
      </c>
      <c r="Q156" s="116">
        <v>1109.1500000000001</v>
      </c>
      <c r="R156">
        <v>3787203</v>
      </c>
    </row>
    <row r="157" spans="1:18" x14ac:dyDescent="0.25">
      <c r="A157" s="170">
        <v>42228</v>
      </c>
      <c r="B157" s="116">
        <v>573.5</v>
      </c>
      <c r="C157" s="116">
        <v>570.875</v>
      </c>
      <c r="D157" s="116">
        <v>555</v>
      </c>
      <c r="E157" s="116">
        <v>555</v>
      </c>
      <c r="F157" s="116">
        <v>1141.75</v>
      </c>
      <c r="G157">
        <v>254659</v>
      </c>
      <c r="H157" s="116"/>
      <c r="I157" s="116"/>
      <c r="L157" s="170">
        <v>42228</v>
      </c>
      <c r="M157" s="116">
        <v>572.20000000000005</v>
      </c>
      <c r="N157" s="116">
        <v>574.5</v>
      </c>
      <c r="O157" s="116">
        <v>555.5</v>
      </c>
      <c r="P157" s="116">
        <v>557.5</v>
      </c>
      <c r="Q157" s="116">
        <v>1144.4000000000001</v>
      </c>
      <c r="R157">
        <v>5084220</v>
      </c>
    </row>
    <row r="158" spans="1:18" x14ac:dyDescent="0.25">
      <c r="A158" s="170">
        <v>42229</v>
      </c>
      <c r="B158" s="116">
        <v>583</v>
      </c>
      <c r="C158" s="116">
        <v>578.42499999999995</v>
      </c>
      <c r="D158" s="116">
        <v>565</v>
      </c>
      <c r="E158" s="116">
        <v>573.5</v>
      </c>
      <c r="F158" s="116">
        <v>1156.8499999999999</v>
      </c>
      <c r="G158">
        <v>295308</v>
      </c>
      <c r="H158" s="116"/>
      <c r="I158" s="116"/>
      <c r="L158" s="170">
        <v>42229</v>
      </c>
      <c r="M158" s="116">
        <v>579</v>
      </c>
      <c r="N158" s="116">
        <v>583.42499999999995</v>
      </c>
      <c r="O158" s="116">
        <v>527.77499999999998</v>
      </c>
      <c r="P158" s="116">
        <v>573.5</v>
      </c>
      <c r="Q158" s="116">
        <v>1158</v>
      </c>
      <c r="R158">
        <v>4893980</v>
      </c>
    </row>
    <row r="159" spans="1:18" x14ac:dyDescent="0.25">
      <c r="A159" s="170">
        <v>42230</v>
      </c>
      <c r="B159" s="116">
        <v>584.4</v>
      </c>
      <c r="C159" s="116">
        <v>574.5</v>
      </c>
      <c r="D159" s="116">
        <v>571.5</v>
      </c>
      <c r="E159" s="116">
        <v>583</v>
      </c>
      <c r="F159" s="116">
        <v>1149</v>
      </c>
      <c r="G159">
        <v>184615</v>
      </c>
      <c r="H159" s="116"/>
      <c r="I159" s="116"/>
      <c r="L159" s="170">
        <v>42230</v>
      </c>
      <c r="M159" s="116">
        <v>574.625</v>
      </c>
      <c r="N159" s="116">
        <v>584.35</v>
      </c>
      <c r="O159" s="116">
        <v>571.54999999999995</v>
      </c>
      <c r="P159" s="116">
        <v>582.5</v>
      </c>
      <c r="Q159" s="116">
        <v>1149.25</v>
      </c>
      <c r="R159">
        <v>2554533</v>
      </c>
    </row>
    <row r="160" spans="1:18" x14ac:dyDescent="0.25">
      <c r="A160" s="170">
        <v>42233</v>
      </c>
      <c r="B160" s="116">
        <v>575.375</v>
      </c>
      <c r="C160" s="116">
        <v>570.92499999999995</v>
      </c>
      <c r="D160" s="116">
        <v>561.25</v>
      </c>
      <c r="E160" s="116">
        <v>575</v>
      </c>
      <c r="F160" s="116">
        <v>1141.8499999999999</v>
      </c>
      <c r="G160">
        <v>94446</v>
      </c>
      <c r="H160" s="116"/>
      <c r="I160" s="116"/>
      <c r="L160" s="170">
        <v>42233</v>
      </c>
      <c r="M160" s="116">
        <v>571.07500000000005</v>
      </c>
      <c r="N160" s="116">
        <v>576.72500000000002</v>
      </c>
      <c r="O160" s="116">
        <v>561.25</v>
      </c>
      <c r="P160" s="116">
        <v>575</v>
      </c>
      <c r="Q160" s="116">
        <v>1142.1500000000001</v>
      </c>
      <c r="R160">
        <v>1553718</v>
      </c>
    </row>
    <row r="161" spans="1:18" x14ac:dyDescent="0.25">
      <c r="A161" s="170">
        <v>42234</v>
      </c>
      <c r="B161" s="116">
        <v>588.5</v>
      </c>
      <c r="C161" s="116">
        <v>581.9</v>
      </c>
      <c r="D161" s="116">
        <v>573.5</v>
      </c>
      <c r="E161" s="116">
        <v>573.5</v>
      </c>
      <c r="F161" s="116">
        <v>1163.8</v>
      </c>
      <c r="G161">
        <v>182975</v>
      </c>
      <c r="H161" s="116"/>
      <c r="I161" s="116"/>
      <c r="L161" s="170">
        <v>42234</v>
      </c>
      <c r="M161" s="116">
        <v>582.17499999999995</v>
      </c>
      <c r="N161" s="116">
        <v>588.85</v>
      </c>
      <c r="O161" s="116">
        <v>575</v>
      </c>
      <c r="P161" s="116">
        <v>575</v>
      </c>
      <c r="Q161" s="116">
        <v>1164.3499999999999</v>
      </c>
      <c r="R161">
        <v>2075223</v>
      </c>
    </row>
    <row r="162" spans="1:18" x14ac:dyDescent="0.25">
      <c r="A162" s="170">
        <v>42235</v>
      </c>
      <c r="B162" s="116">
        <v>593</v>
      </c>
      <c r="C162" s="116">
        <v>587.52499999999998</v>
      </c>
      <c r="D162" s="116">
        <v>581.9</v>
      </c>
      <c r="E162" s="116">
        <v>583</v>
      </c>
      <c r="F162" s="116">
        <v>1175.05</v>
      </c>
      <c r="G162">
        <v>284572</v>
      </c>
      <c r="H162" s="116"/>
      <c r="I162" s="116"/>
      <c r="L162" s="170">
        <v>42235</v>
      </c>
      <c r="M162" s="116">
        <v>587.77499999999998</v>
      </c>
      <c r="N162" s="116">
        <v>593.1</v>
      </c>
      <c r="O162" s="116">
        <v>581.4</v>
      </c>
      <c r="P162" s="116">
        <v>585</v>
      </c>
      <c r="Q162" s="116">
        <v>1175.55</v>
      </c>
      <c r="R162">
        <v>3434759</v>
      </c>
    </row>
    <row r="163" spans="1:18" x14ac:dyDescent="0.25">
      <c r="A163" s="170">
        <v>42236</v>
      </c>
      <c r="B163" s="116">
        <v>585</v>
      </c>
      <c r="C163" s="116">
        <v>569.1</v>
      </c>
      <c r="D163" s="116">
        <v>565.1</v>
      </c>
      <c r="E163" s="116">
        <v>585</v>
      </c>
      <c r="F163" s="116">
        <v>1138.2</v>
      </c>
      <c r="G163">
        <v>238532</v>
      </c>
      <c r="H163" s="116"/>
      <c r="I163" s="116"/>
      <c r="L163" s="170">
        <v>42236</v>
      </c>
      <c r="M163" s="116">
        <v>567.27499999999998</v>
      </c>
      <c r="N163" s="116">
        <v>584.25</v>
      </c>
      <c r="O163" s="116">
        <v>564</v>
      </c>
      <c r="P163" s="116">
        <v>579.5</v>
      </c>
      <c r="Q163" s="116">
        <v>1134.55</v>
      </c>
      <c r="R163">
        <v>4184557</v>
      </c>
    </row>
    <row r="164" spans="1:18" x14ac:dyDescent="0.25">
      <c r="A164" s="170">
        <v>42237</v>
      </c>
      <c r="B164" s="116">
        <v>579.70000000000005</v>
      </c>
      <c r="C164" s="116">
        <v>575.29999999999995</v>
      </c>
      <c r="D164" s="116">
        <v>559.54999999999995</v>
      </c>
      <c r="E164" s="116">
        <v>570.5</v>
      </c>
      <c r="F164" s="116">
        <v>1150.5999999999999</v>
      </c>
      <c r="G164">
        <v>232617</v>
      </c>
      <c r="H164" s="116"/>
      <c r="I164" s="116"/>
      <c r="L164" s="170">
        <v>42237</v>
      </c>
      <c r="M164" s="116">
        <v>574.95000000000005</v>
      </c>
      <c r="N164" s="116">
        <v>580.47500000000002</v>
      </c>
      <c r="O164" s="116">
        <v>558.75</v>
      </c>
      <c r="P164" s="116">
        <v>570.45000000000005</v>
      </c>
      <c r="Q164" s="116">
        <v>1149.9000000000001</v>
      </c>
      <c r="R164">
        <v>5411071</v>
      </c>
    </row>
    <row r="165" spans="1:18" x14ac:dyDescent="0.25">
      <c r="A165" s="170">
        <v>42240</v>
      </c>
      <c r="B165" s="116">
        <v>561.5</v>
      </c>
      <c r="C165" s="116">
        <v>546.32500000000005</v>
      </c>
      <c r="D165" s="116">
        <v>540.02499999999998</v>
      </c>
      <c r="E165" s="116">
        <v>560</v>
      </c>
      <c r="F165" s="116">
        <v>1092.6500000000001</v>
      </c>
      <c r="G165">
        <v>340349</v>
      </c>
      <c r="H165" s="116"/>
      <c r="I165" s="116"/>
      <c r="L165" s="170">
        <v>42240</v>
      </c>
      <c r="M165" s="116">
        <v>546.02499999999998</v>
      </c>
      <c r="N165" s="116">
        <v>561.5</v>
      </c>
      <c r="O165" s="116">
        <v>539.29999999999995</v>
      </c>
      <c r="P165" s="116">
        <v>554.97500000000002</v>
      </c>
      <c r="Q165" s="116">
        <v>1092.05</v>
      </c>
      <c r="R165">
        <v>7061342</v>
      </c>
    </row>
    <row r="166" spans="1:18" x14ac:dyDescent="0.25">
      <c r="A166" s="170">
        <v>42241</v>
      </c>
      <c r="B166" s="116">
        <v>560</v>
      </c>
      <c r="C166" s="116">
        <v>543.25</v>
      </c>
      <c r="D166" s="116">
        <v>522.5</v>
      </c>
      <c r="E166" s="116">
        <v>548</v>
      </c>
      <c r="F166" s="116">
        <v>1086.5</v>
      </c>
      <c r="G166">
        <v>252522</v>
      </c>
      <c r="H166" s="116"/>
      <c r="I166" s="116"/>
      <c r="L166" s="170">
        <v>42241</v>
      </c>
      <c r="M166" s="116">
        <v>542.82500000000005</v>
      </c>
      <c r="N166" s="116">
        <v>559.5</v>
      </c>
      <c r="O166" s="116">
        <v>522.25</v>
      </c>
      <c r="P166" s="116">
        <v>550</v>
      </c>
      <c r="Q166" s="116">
        <v>1085.6500000000001</v>
      </c>
      <c r="R166">
        <v>6867539</v>
      </c>
    </row>
    <row r="167" spans="1:18" x14ac:dyDescent="0.25">
      <c r="A167" s="170">
        <v>42242</v>
      </c>
      <c r="B167" s="116">
        <v>549.5</v>
      </c>
      <c r="C167" s="116">
        <v>532.67499999999995</v>
      </c>
      <c r="D167" s="116">
        <v>529.79999999999995</v>
      </c>
      <c r="E167" s="116">
        <v>549.5</v>
      </c>
      <c r="F167" s="116">
        <v>1065.3499999999999</v>
      </c>
      <c r="G167">
        <v>187394</v>
      </c>
      <c r="H167" s="116"/>
      <c r="I167" s="116"/>
      <c r="L167" s="170">
        <v>42242</v>
      </c>
      <c r="M167" s="116">
        <v>532.29999999999995</v>
      </c>
      <c r="N167" s="116">
        <v>548.5</v>
      </c>
      <c r="O167" s="116">
        <v>529.5</v>
      </c>
      <c r="P167" s="116">
        <v>544.9</v>
      </c>
      <c r="Q167" s="116">
        <v>1064.5999999999999</v>
      </c>
      <c r="R167">
        <v>5749106</v>
      </c>
    </row>
    <row r="168" spans="1:18" x14ac:dyDescent="0.25">
      <c r="A168" s="170">
        <v>42243</v>
      </c>
      <c r="B168" s="116">
        <v>549.45000000000005</v>
      </c>
      <c r="C168" s="116">
        <v>542.04999999999995</v>
      </c>
      <c r="D168" s="116">
        <v>538.25</v>
      </c>
      <c r="E168" s="116">
        <v>545</v>
      </c>
      <c r="F168" s="116">
        <v>1084.0999999999999</v>
      </c>
      <c r="G168">
        <v>119885</v>
      </c>
      <c r="H168" s="116"/>
      <c r="I168" s="116"/>
      <c r="L168" s="170">
        <v>42243</v>
      </c>
      <c r="M168" s="116">
        <v>541.4</v>
      </c>
      <c r="N168" s="116">
        <v>550.04999999999995</v>
      </c>
      <c r="O168" s="116">
        <v>539.02499999999998</v>
      </c>
      <c r="P168" s="116">
        <v>544</v>
      </c>
      <c r="Q168" s="116">
        <v>1082.8</v>
      </c>
      <c r="R168">
        <v>7671696</v>
      </c>
    </row>
    <row r="169" spans="1:18" x14ac:dyDescent="0.25">
      <c r="A169" s="170">
        <v>42244</v>
      </c>
      <c r="B169" s="116">
        <v>562</v>
      </c>
      <c r="C169" s="116">
        <v>555.35</v>
      </c>
      <c r="D169" s="116">
        <v>547.5</v>
      </c>
      <c r="E169" s="116">
        <v>547.6</v>
      </c>
      <c r="F169" s="116">
        <v>1110.7</v>
      </c>
      <c r="G169">
        <v>170300</v>
      </c>
      <c r="H169" s="116"/>
      <c r="I169" s="116"/>
      <c r="L169" s="170">
        <v>42244</v>
      </c>
      <c r="M169" s="116">
        <v>555.52499999999998</v>
      </c>
      <c r="N169" s="116">
        <v>562.45000000000005</v>
      </c>
      <c r="O169" s="116">
        <v>550.79999999999995</v>
      </c>
      <c r="P169" s="116">
        <v>550.79999999999995</v>
      </c>
      <c r="Q169" s="116">
        <v>1111.05</v>
      </c>
      <c r="R169">
        <v>3604410</v>
      </c>
    </row>
    <row r="170" spans="1:18" x14ac:dyDescent="0.25">
      <c r="A170" s="170">
        <v>42247</v>
      </c>
      <c r="B170" s="116">
        <v>565</v>
      </c>
      <c r="C170" s="116">
        <v>547.6</v>
      </c>
      <c r="D170" s="116">
        <v>541.79999999999995</v>
      </c>
      <c r="E170" s="116">
        <v>565</v>
      </c>
      <c r="F170" s="116">
        <v>1095.2</v>
      </c>
      <c r="G170">
        <v>194970</v>
      </c>
      <c r="H170" s="116"/>
      <c r="I170" s="116"/>
      <c r="L170" s="170">
        <v>42247</v>
      </c>
      <c r="M170" s="116">
        <v>547.20000000000005</v>
      </c>
      <c r="N170" s="116">
        <v>567.42499999999995</v>
      </c>
      <c r="O170" s="116">
        <v>541.25</v>
      </c>
      <c r="P170" s="116">
        <v>567.42499999999995</v>
      </c>
      <c r="Q170" s="116">
        <v>1094.4000000000001</v>
      </c>
      <c r="R170">
        <v>4958532</v>
      </c>
    </row>
    <row r="171" spans="1:18" x14ac:dyDescent="0.25">
      <c r="A171" s="170">
        <v>42248</v>
      </c>
      <c r="B171" s="116">
        <v>557.20000000000005</v>
      </c>
      <c r="C171" s="116">
        <v>544.82500000000005</v>
      </c>
      <c r="D171" s="116">
        <v>541.04999999999995</v>
      </c>
      <c r="E171" s="116">
        <v>544.97500000000002</v>
      </c>
      <c r="F171" s="116">
        <v>1089.6500000000001</v>
      </c>
      <c r="G171">
        <v>194363</v>
      </c>
      <c r="H171" s="116"/>
      <c r="I171" s="116"/>
      <c r="L171" s="170">
        <v>42248</v>
      </c>
      <c r="M171" s="116">
        <v>544.5</v>
      </c>
      <c r="N171" s="116">
        <v>557.29999999999995</v>
      </c>
      <c r="O171" s="116">
        <v>541</v>
      </c>
      <c r="P171" s="116">
        <v>545</v>
      </c>
      <c r="Q171" s="116">
        <v>1089</v>
      </c>
      <c r="R171">
        <v>4535775</v>
      </c>
    </row>
    <row r="172" spans="1:18" x14ac:dyDescent="0.25">
      <c r="A172" s="170">
        <v>42249</v>
      </c>
      <c r="B172" s="116">
        <v>557.29999999999995</v>
      </c>
      <c r="C172" s="116">
        <v>550.15</v>
      </c>
      <c r="D172" s="116">
        <v>545.04999999999995</v>
      </c>
      <c r="E172" s="116">
        <v>550</v>
      </c>
      <c r="F172" s="116">
        <v>1100.3</v>
      </c>
      <c r="G172">
        <v>157076</v>
      </c>
      <c r="H172" s="116"/>
      <c r="I172" s="116"/>
      <c r="L172" s="170">
        <v>42249</v>
      </c>
      <c r="M172" s="116">
        <v>549.72500000000002</v>
      </c>
      <c r="N172" s="116">
        <v>557.5</v>
      </c>
      <c r="O172" s="116">
        <v>545</v>
      </c>
      <c r="P172" s="116">
        <v>549</v>
      </c>
      <c r="Q172" s="116">
        <v>1099.45</v>
      </c>
      <c r="R172">
        <v>5585915</v>
      </c>
    </row>
    <row r="173" spans="1:18" x14ac:dyDescent="0.25">
      <c r="A173" s="170">
        <v>42250</v>
      </c>
      <c r="B173" s="116">
        <v>555.52499999999998</v>
      </c>
      <c r="C173" s="116">
        <v>550.32500000000005</v>
      </c>
      <c r="D173" s="116">
        <v>546.97500000000002</v>
      </c>
      <c r="E173" s="116">
        <v>555</v>
      </c>
      <c r="F173" s="116">
        <v>1100.6500000000001</v>
      </c>
      <c r="G173">
        <v>84826</v>
      </c>
      <c r="H173" s="116"/>
      <c r="I173" s="116"/>
      <c r="L173" s="170">
        <v>42250</v>
      </c>
      <c r="M173" s="116">
        <v>549.67499999999995</v>
      </c>
      <c r="N173" s="116">
        <v>556</v>
      </c>
      <c r="O173" s="116">
        <v>546.25</v>
      </c>
      <c r="P173" s="116">
        <v>555.07500000000005</v>
      </c>
      <c r="Q173" s="116">
        <v>1099.3499999999999</v>
      </c>
      <c r="R173">
        <v>4295268</v>
      </c>
    </row>
    <row r="174" spans="1:18" x14ac:dyDescent="0.25">
      <c r="A174" s="170">
        <v>42251</v>
      </c>
      <c r="B174" s="116">
        <v>555</v>
      </c>
      <c r="C174" s="116">
        <v>536.9</v>
      </c>
      <c r="D174" s="116">
        <v>534</v>
      </c>
      <c r="E174" s="116">
        <v>553.9</v>
      </c>
      <c r="F174" s="116">
        <v>1073.8</v>
      </c>
      <c r="G174">
        <v>158330</v>
      </c>
      <c r="H174" s="116"/>
      <c r="I174" s="116"/>
      <c r="L174" s="170">
        <v>42251</v>
      </c>
      <c r="M174" s="116">
        <v>536.97500000000002</v>
      </c>
      <c r="N174" s="116">
        <v>555.5</v>
      </c>
      <c r="O174" s="116">
        <v>533.5</v>
      </c>
      <c r="P174" s="116">
        <v>551.5</v>
      </c>
      <c r="Q174" s="116">
        <v>1073.95</v>
      </c>
      <c r="R174">
        <v>3659444</v>
      </c>
    </row>
    <row r="175" spans="1:18" x14ac:dyDescent="0.25">
      <c r="A175" s="170">
        <v>42254</v>
      </c>
      <c r="B175" s="116">
        <v>542</v>
      </c>
      <c r="C175" s="116">
        <v>529.79999999999995</v>
      </c>
      <c r="D175" s="116">
        <v>527.5</v>
      </c>
      <c r="E175" s="116">
        <v>540.5</v>
      </c>
      <c r="F175" s="116">
        <v>1059.5999999999999</v>
      </c>
      <c r="G175">
        <v>114695</v>
      </c>
      <c r="H175" s="116"/>
      <c r="I175" s="116"/>
      <c r="L175" s="170">
        <v>42254</v>
      </c>
      <c r="M175" s="116">
        <v>529.375</v>
      </c>
      <c r="N175" s="116">
        <v>542.5</v>
      </c>
      <c r="O175" s="116">
        <v>527.5</v>
      </c>
      <c r="P175" s="116">
        <v>542.47500000000002</v>
      </c>
      <c r="Q175" s="116">
        <v>1058.75</v>
      </c>
      <c r="R175">
        <v>2590494</v>
      </c>
    </row>
    <row r="176" spans="1:18" x14ac:dyDescent="0.25">
      <c r="A176" s="170">
        <v>42255</v>
      </c>
      <c r="B176" s="116">
        <v>537.22500000000002</v>
      </c>
      <c r="C176" s="116">
        <v>529.65</v>
      </c>
      <c r="D176" s="116">
        <v>526.17499999999995</v>
      </c>
      <c r="E176" s="116">
        <v>531.5</v>
      </c>
      <c r="F176" s="116">
        <v>1059.3</v>
      </c>
      <c r="G176">
        <v>144972</v>
      </c>
      <c r="H176" s="116"/>
      <c r="I176" s="116"/>
      <c r="L176" s="170">
        <v>42255</v>
      </c>
      <c r="M176" s="116">
        <v>529.4</v>
      </c>
      <c r="N176" s="116">
        <v>537</v>
      </c>
      <c r="O176" s="116">
        <v>526.15</v>
      </c>
      <c r="P176" s="116">
        <v>531</v>
      </c>
      <c r="Q176" s="116">
        <v>1058.8</v>
      </c>
      <c r="R176">
        <v>2729748</v>
      </c>
    </row>
    <row r="177" spans="1:18" x14ac:dyDescent="0.25">
      <c r="A177" s="170">
        <v>42256</v>
      </c>
      <c r="B177" s="116">
        <v>549.5</v>
      </c>
      <c r="C177" s="116">
        <v>544.25</v>
      </c>
      <c r="D177" s="116">
        <v>536.25</v>
      </c>
      <c r="E177" s="116">
        <v>544</v>
      </c>
      <c r="F177" s="116">
        <v>1088.5</v>
      </c>
      <c r="G177">
        <v>147657</v>
      </c>
      <c r="H177" s="116"/>
      <c r="I177" s="116"/>
      <c r="L177" s="170">
        <v>42256</v>
      </c>
      <c r="M177" s="116">
        <v>544.35</v>
      </c>
      <c r="N177" s="116">
        <v>549.79999999999995</v>
      </c>
      <c r="O177" s="116">
        <v>536</v>
      </c>
      <c r="P177" s="116">
        <v>543.54999999999995</v>
      </c>
      <c r="Q177" s="116">
        <v>1088.7</v>
      </c>
      <c r="R177">
        <v>4574332</v>
      </c>
    </row>
    <row r="178" spans="1:18" x14ac:dyDescent="0.25">
      <c r="A178" s="170">
        <v>42257</v>
      </c>
      <c r="B178" s="116">
        <v>545.5</v>
      </c>
      <c r="C178" s="116">
        <v>540.17499999999995</v>
      </c>
      <c r="D178" s="116">
        <v>530.85</v>
      </c>
      <c r="E178" s="116">
        <v>544</v>
      </c>
      <c r="F178" s="116">
        <v>1080.3499999999999</v>
      </c>
      <c r="G178">
        <v>124828</v>
      </c>
      <c r="H178" s="116"/>
      <c r="I178" s="116"/>
      <c r="L178" s="170">
        <v>42257</v>
      </c>
      <c r="M178" s="116">
        <v>540.22500000000002</v>
      </c>
      <c r="N178" s="116">
        <v>545.75</v>
      </c>
      <c r="O178" s="116">
        <v>530.5</v>
      </c>
      <c r="P178" s="116">
        <v>542.45000000000005</v>
      </c>
      <c r="Q178" s="116">
        <v>1080.45</v>
      </c>
      <c r="R178">
        <v>4181502</v>
      </c>
    </row>
    <row r="179" spans="1:18" x14ac:dyDescent="0.25">
      <c r="A179" s="170">
        <v>42258</v>
      </c>
      <c r="B179" s="116">
        <v>552.72500000000002</v>
      </c>
      <c r="C179" s="116">
        <v>545.35</v>
      </c>
      <c r="D179" s="116">
        <v>542.625</v>
      </c>
      <c r="E179" s="116">
        <v>546</v>
      </c>
      <c r="F179" s="116">
        <v>1090.7</v>
      </c>
      <c r="G179">
        <v>132213</v>
      </c>
      <c r="H179" s="116"/>
      <c r="I179" s="116"/>
      <c r="L179" s="170">
        <v>42258</v>
      </c>
      <c r="M179" s="116">
        <v>545.375</v>
      </c>
      <c r="N179" s="116">
        <v>553.20000000000005</v>
      </c>
      <c r="O179" s="116">
        <v>542.75</v>
      </c>
      <c r="P179" s="116">
        <v>545.77499999999998</v>
      </c>
      <c r="Q179" s="116">
        <v>1090.75</v>
      </c>
      <c r="R179">
        <v>4941905</v>
      </c>
    </row>
    <row r="180" spans="1:18" x14ac:dyDescent="0.25">
      <c r="A180" s="170">
        <v>42261</v>
      </c>
      <c r="B180" s="116">
        <v>550</v>
      </c>
      <c r="C180" s="116">
        <v>548.875</v>
      </c>
      <c r="D180" s="116">
        <v>541.27499999999998</v>
      </c>
      <c r="E180" s="116">
        <v>548.1</v>
      </c>
      <c r="F180" s="116">
        <v>1097.75</v>
      </c>
      <c r="G180">
        <v>87985</v>
      </c>
      <c r="H180" s="116"/>
      <c r="I180" s="116"/>
      <c r="L180" s="170">
        <v>42261</v>
      </c>
      <c r="M180" s="116">
        <v>549.875</v>
      </c>
      <c r="N180" s="116">
        <v>552</v>
      </c>
      <c r="O180" s="116">
        <v>541.32500000000005</v>
      </c>
      <c r="P180" s="116">
        <v>549.5</v>
      </c>
      <c r="Q180" s="116">
        <v>1099.75</v>
      </c>
      <c r="R180">
        <v>3278538</v>
      </c>
    </row>
    <row r="181" spans="1:18" x14ac:dyDescent="0.25">
      <c r="A181" s="170">
        <v>42262</v>
      </c>
      <c r="B181" s="116">
        <v>552.15</v>
      </c>
      <c r="C181" s="116">
        <v>549.20000000000005</v>
      </c>
      <c r="D181" s="116">
        <v>544.04999999999995</v>
      </c>
      <c r="E181" s="116">
        <v>549.5</v>
      </c>
      <c r="F181" s="116">
        <v>1098.4000000000001</v>
      </c>
      <c r="G181">
        <v>85527</v>
      </c>
      <c r="H181" s="116"/>
      <c r="I181" s="116"/>
      <c r="L181" s="170">
        <v>42262</v>
      </c>
      <c r="M181" s="116">
        <v>549.6</v>
      </c>
      <c r="N181" s="116">
        <v>551.6</v>
      </c>
      <c r="O181" s="116">
        <v>544.07500000000005</v>
      </c>
      <c r="P181" s="116">
        <v>549.70000000000005</v>
      </c>
      <c r="Q181" s="116">
        <v>1099.2</v>
      </c>
      <c r="R181">
        <v>2645943</v>
      </c>
    </row>
    <row r="182" spans="1:18" x14ac:dyDescent="0.25">
      <c r="A182" s="170">
        <v>42263</v>
      </c>
      <c r="B182" s="116">
        <v>554.22500000000002</v>
      </c>
      <c r="C182" s="116">
        <v>550.75</v>
      </c>
      <c r="D182" s="116">
        <v>549.1</v>
      </c>
      <c r="E182" s="116">
        <v>552.5</v>
      </c>
      <c r="F182" s="116">
        <v>1101.5</v>
      </c>
      <c r="G182">
        <v>254703</v>
      </c>
      <c r="H182" s="116"/>
      <c r="I182" s="116"/>
      <c r="L182" s="170">
        <v>42263</v>
      </c>
      <c r="M182" s="116">
        <v>550.82500000000005</v>
      </c>
      <c r="N182" s="116">
        <v>554.875</v>
      </c>
      <c r="O182" s="116">
        <v>549.15</v>
      </c>
      <c r="P182" s="116">
        <v>554</v>
      </c>
      <c r="Q182" s="116">
        <v>1101.6500000000001</v>
      </c>
      <c r="R182">
        <v>3739120</v>
      </c>
    </row>
    <row r="183" spans="1:18" x14ac:dyDescent="0.25">
      <c r="A183" s="170">
        <v>42265</v>
      </c>
      <c r="B183" s="116">
        <v>559</v>
      </c>
      <c r="C183" s="116">
        <v>552.375</v>
      </c>
      <c r="D183" s="116">
        <v>549.625</v>
      </c>
      <c r="E183" s="116">
        <v>555</v>
      </c>
      <c r="F183" s="116">
        <v>1104.75</v>
      </c>
      <c r="G183">
        <v>143076</v>
      </c>
      <c r="H183" s="116"/>
      <c r="I183" s="116"/>
      <c r="L183" s="170">
        <v>42265</v>
      </c>
      <c r="M183" s="116">
        <v>552.22500000000002</v>
      </c>
      <c r="N183" s="116">
        <v>558.95000000000005</v>
      </c>
      <c r="O183" s="116">
        <v>549.52499999999998</v>
      </c>
      <c r="P183" s="116">
        <v>555.9</v>
      </c>
      <c r="Q183" s="116">
        <v>1104.45</v>
      </c>
      <c r="R183">
        <v>5788438</v>
      </c>
    </row>
    <row r="184" spans="1:18" x14ac:dyDescent="0.25">
      <c r="A184" s="170">
        <v>42268</v>
      </c>
      <c r="B184" s="116">
        <v>554.4</v>
      </c>
      <c r="C184" s="116">
        <v>552.32500000000005</v>
      </c>
      <c r="D184" s="116">
        <v>546.77499999999998</v>
      </c>
      <c r="E184" s="116">
        <v>552.5</v>
      </c>
      <c r="F184" s="116">
        <v>1104.6500000000001</v>
      </c>
      <c r="G184">
        <v>87241</v>
      </c>
      <c r="H184" s="116"/>
      <c r="I184" s="116"/>
      <c r="L184" s="170">
        <v>42268</v>
      </c>
      <c r="M184" s="116">
        <v>552.32500000000005</v>
      </c>
      <c r="N184" s="116">
        <v>554.42499999999995</v>
      </c>
      <c r="O184" s="116">
        <v>546.25</v>
      </c>
      <c r="P184" s="116">
        <v>550</v>
      </c>
      <c r="Q184" s="116">
        <v>1104.6500000000001</v>
      </c>
      <c r="R184">
        <v>2175617</v>
      </c>
    </row>
    <row r="185" spans="1:18" x14ac:dyDescent="0.25">
      <c r="A185" s="170">
        <v>42269</v>
      </c>
      <c r="B185" s="116">
        <v>567.70000000000005</v>
      </c>
      <c r="C185" s="116">
        <v>552.75</v>
      </c>
      <c r="D185" s="116">
        <v>550</v>
      </c>
      <c r="E185" s="116">
        <v>557.5</v>
      </c>
      <c r="F185" s="116">
        <v>1105.5</v>
      </c>
      <c r="G185">
        <v>189121</v>
      </c>
      <c r="H185" s="116"/>
      <c r="I185" s="116"/>
      <c r="L185" s="170">
        <v>42269</v>
      </c>
      <c r="M185" s="116">
        <v>553.72500000000002</v>
      </c>
      <c r="N185" s="116">
        <v>567.97500000000002</v>
      </c>
      <c r="O185" s="116">
        <v>550.54999999999995</v>
      </c>
      <c r="P185" s="116">
        <v>557.5</v>
      </c>
      <c r="Q185" s="116">
        <v>1107.45</v>
      </c>
      <c r="R185">
        <v>4813493</v>
      </c>
    </row>
    <row r="186" spans="1:18" x14ac:dyDescent="0.25">
      <c r="A186" s="170">
        <v>42270</v>
      </c>
      <c r="B186" s="116">
        <v>563</v>
      </c>
      <c r="C186" s="116">
        <v>558.32500000000005</v>
      </c>
      <c r="D186" s="116">
        <v>548.75</v>
      </c>
      <c r="E186" s="116">
        <v>554.9</v>
      </c>
      <c r="F186" s="116">
        <v>1116.6500000000001</v>
      </c>
      <c r="G186">
        <v>111417</v>
      </c>
      <c r="H186" s="116"/>
      <c r="I186" s="116"/>
      <c r="L186" s="170">
        <v>42270</v>
      </c>
      <c r="M186" s="116">
        <v>558.125</v>
      </c>
      <c r="N186" s="116">
        <v>563.17499999999995</v>
      </c>
      <c r="O186" s="116">
        <v>548.72500000000002</v>
      </c>
      <c r="P186" s="116">
        <v>553.72500000000002</v>
      </c>
      <c r="Q186" s="116">
        <v>1116.25</v>
      </c>
      <c r="R186">
        <v>2379127</v>
      </c>
    </row>
    <row r="187" spans="1:18" x14ac:dyDescent="0.25">
      <c r="A187" s="170">
        <v>42271</v>
      </c>
      <c r="B187" s="116">
        <v>574.79999999999995</v>
      </c>
      <c r="C187" s="116">
        <v>570.70000000000005</v>
      </c>
      <c r="D187" s="116">
        <v>555.02499999999998</v>
      </c>
      <c r="E187" s="116">
        <v>555.5</v>
      </c>
      <c r="F187" s="116">
        <v>1141.4000000000001</v>
      </c>
      <c r="G187">
        <v>198943</v>
      </c>
      <c r="H187" s="116"/>
      <c r="I187" s="116"/>
      <c r="L187" s="170">
        <v>42271</v>
      </c>
      <c r="M187" s="116">
        <v>570.27499999999998</v>
      </c>
      <c r="N187" s="116">
        <v>576.35</v>
      </c>
      <c r="O187" s="116">
        <v>555</v>
      </c>
      <c r="P187" s="116">
        <v>556.75</v>
      </c>
      <c r="Q187" s="116">
        <v>1140.55</v>
      </c>
      <c r="R187">
        <v>6699631</v>
      </c>
    </row>
    <row r="188" spans="1:18" x14ac:dyDescent="0.25">
      <c r="A188" s="170">
        <v>42275</v>
      </c>
      <c r="B188" s="116">
        <v>571.67499999999995</v>
      </c>
      <c r="C188" s="116">
        <v>554.1</v>
      </c>
      <c r="D188" s="116">
        <v>551.52499999999998</v>
      </c>
      <c r="E188" s="116">
        <v>570</v>
      </c>
      <c r="F188" s="116">
        <v>1108.2</v>
      </c>
      <c r="G188">
        <v>152660</v>
      </c>
      <c r="H188" s="116"/>
      <c r="I188" s="116"/>
      <c r="L188" s="170">
        <v>42275</v>
      </c>
      <c r="M188" s="116">
        <v>552.77499999999998</v>
      </c>
      <c r="N188" s="116">
        <v>571.42499999999995</v>
      </c>
      <c r="O188" s="116">
        <v>550.5</v>
      </c>
      <c r="P188" s="116">
        <v>569.97500000000002</v>
      </c>
      <c r="Q188" s="116">
        <v>1105.55</v>
      </c>
      <c r="R188">
        <v>4894232</v>
      </c>
    </row>
    <row r="189" spans="1:18" x14ac:dyDescent="0.25">
      <c r="A189" s="170">
        <v>42276</v>
      </c>
      <c r="B189" s="116">
        <v>566</v>
      </c>
      <c r="C189" s="116">
        <v>560.54999999999995</v>
      </c>
      <c r="D189" s="116">
        <v>549</v>
      </c>
      <c r="E189" s="116">
        <v>551</v>
      </c>
      <c r="F189" s="116">
        <v>1121.0999999999999</v>
      </c>
      <c r="G189">
        <v>167616</v>
      </c>
      <c r="H189" s="116"/>
      <c r="I189" s="116"/>
      <c r="L189" s="170">
        <v>42276</v>
      </c>
      <c r="M189" s="116">
        <v>560.92499999999995</v>
      </c>
      <c r="N189" s="116">
        <v>566.70000000000005</v>
      </c>
      <c r="O189" s="116">
        <v>548.75</v>
      </c>
      <c r="P189" s="116">
        <v>551</v>
      </c>
      <c r="Q189" s="116">
        <v>1121.8499999999999</v>
      </c>
      <c r="R189">
        <v>4349685</v>
      </c>
    </row>
    <row r="190" spans="1:18" x14ac:dyDescent="0.25">
      <c r="A190" s="170">
        <v>42277</v>
      </c>
      <c r="B190" s="116">
        <v>582.67499999999995</v>
      </c>
      <c r="C190" s="116">
        <v>580.22500000000002</v>
      </c>
      <c r="D190" s="116">
        <v>563.77499999999998</v>
      </c>
      <c r="E190" s="116">
        <v>566.5</v>
      </c>
      <c r="F190" s="116">
        <v>1160.45</v>
      </c>
      <c r="G190">
        <v>217212</v>
      </c>
      <c r="H190" s="116"/>
      <c r="I190" s="116"/>
      <c r="L190" s="170">
        <v>42277</v>
      </c>
      <c r="M190" s="116">
        <v>580.97500000000002</v>
      </c>
      <c r="N190" s="116">
        <v>584.47500000000002</v>
      </c>
      <c r="O190" s="116">
        <v>562.97500000000002</v>
      </c>
      <c r="P190" s="116">
        <v>567.20000000000005</v>
      </c>
      <c r="Q190" s="116">
        <v>1161.95</v>
      </c>
      <c r="R190">
        <v>4747846</v>
      </c>
    </row>
    <row r="191" spans="1:18" x14ac:dyDescent="0.25">
      <c r="A191" s="170">
        <v>42278</v>
      </c>
      <c r="B191" s="116">
        <v>598.5</v>
      </c>
      <c r="C191" s="116">
        <v>586.625</v>
      </c>
      <c r="D191" s="116">
        <v>581.17499999999995</v>
      </c>
      <c r="E191" s="116">
        <v>584.95000000000005</v>
      </c>
      <c r="F191" s="116">
        <v>1173.25</v>
      </c>
      <c r="G191">
        <v>217864</v>
      </c>
      <c r="H191" s="116"/>
      <c r="I191" s="116"/>
      <c r="L191" s="170">
        <v>42278</v>
      </c>
      <c r="M191" s="116">
        <v>586.52499999999998</v>
      </c>
      <c r="N191" s="116">
        <v>598.875</v>
      </c>
      <c r="O191" s="116">
        <v>580</v>
      </c>
      <c r="P191" s="116">
        <v>584.95000000000005</v>
      </c>
      <c r="Q191" s="116">
        <v>1173.05</v>
      </c>
      <c r="R191">
        <v>5432197</v>
      </c>
    </row>
    <row r="192" spans="1:18" x14ac:dyDescent="0.25">
      <c r="A192" s="170">
        <v>42282</v>
      </c>
      <c r="B192" s="116">
        <v>594.45000000000005</v>
      </c>
      <c r="C192" s="116">
        <v>590.25</v>
      </c>
      <c r="D192" s="116">
        <v>581.27499999999998</v>
      </c>
      <c r="E192" s="116">
        <v>588.02499999999998</v>
      </c>
      <c r="F192" s="116">
        <v>1180.5</v>
      </c>
      <c r="G192">
        <v>149537</v>
      </c>
      <c r="H192" s="116"/>
      <c r="I192" s="116"/>
      <c r="L192" s="170">
        <v>42282</v>
      </c>
      <c r="M192" s="116">
        <v>590.875</v>
      </c>
      <c r="N192" s="116">
        <v>594.67499999999995</v>
      </c>
      <c r="O192" s="116">
        <v>581</v>
      </c>
      <c r="P192" s="116">
        <v>586.5</v>
      </c>
      <c r="Q192" s="116">
        <v>1181.75</v>
      </c>
      <c r="R192">
        <v>3440880</v>
      </c>
    </row>
    <row r="193" spans="1:18" x14ac:dyDescent="0.25">
      <c r="A193" s="170">
        <v>42283</v>
      </c>
      <c r="B193" s="116">
        <v>595</v>
      </c>
      <c r="C193" s="116">
        <v>577.42499999999995</v>
      </c>
      <c r="D193" s="116">
        <v>574.29999999999995</v>
      </c>
      <c r="E193" s="116">
        <v>592.5</v>
      </c>
      <c r="F193" s="116">
        <v>1154.8499999999999</v>
      </c>
      <c r="G193">
        <v>201793</v>
      </c>
      <c r="H193" s="116"/>
      <c r="I193" s="116"/>
      <c r="L193" s="170">
        <v>42283</v>
      </c>
      <c r="M193" s="116">
        <v>577.29999999999995</v>
      </c>
      <c r="N193" s="116">
        <v>596.27499999999998</v>
      </c>
      <c r="O193" s="116">
        <v>574.04999999999995</v>
      </c>
      <c r="P193" s="116">
        <v>593.52499999999998</v>
      </c>
      <c r="Q193" s="116">
        <v>1154.5999999999999</v>
      </c>
      <c r="R193">
        <v>4355940</v>
      </c>
    </row>
    <row r="194" spans="1:18" x14ac:dyDescent="0.25">
      <c r="A194" s="170">
        <v>42284</v>
      </c>
      <c r="B194" s="116">
        <v>584.45000000000005</v>
      </c>
      <c r="C194" s="116">
        <v>566.57500000000005</v>
      </c>
      <c r="D194" s="116">
        <v>564.17499999999995</v>
      </c>
      <c r="E194" s="116">
        <v>578.95000000000005</v>
      </c>
      <c r="F194" s="116">
        <v>1133.1500000000001</v>
      </c>
      <c r="G194">
        <v>203853</v>
      </c>
      <c r="H194" s="116"/>
      <c r="I194" s="116"/>
      <c r="L194" s="170">
        <v>42284</v>
      </c>
      <c r="M194" s="116">
        <v>566.6</v>
      </c>
      <c r="N194" s="116">
        <v>584.375</v>
      </c>
      <c r="O194" s="116">
        <v>564.22500000000002</v>
      </c>
      <c r="P194" s="116">
        <v>578</v>
      </c>
      <c r="Q194" s="116">
        <v>1133.2</v>
      </c>
      <c r="R194">
        <v>4591244</v>
      </c>
    </row>
    <row r="195" spans="1:18" x14ac:dyDescent="0.25">
      <c r="A195" s="170">
        <v>42285</v>
      </c>
      <c r="B195" s="116">
        <v>574.82500000000005</v>
      </c>
      <c r="C195" s="116">
        <v>566.22500000000002</v>
      </c>
      <c r="D195" s="116">
        <v>563</v>
      </c>
      <c r="E195" s="116">
        <v>570</v>
      </c>
      <c r="F195" s="116">
        <v>1132.45</v>
      </c>
      <c r="G195">
        <v>141959</v>
      </c>
      <c r="H195" s="116"/>
      <c r="I195" s="116"/>
      <c r="L195" s="170">
        <v>42285</v>
      </c>
      <c r="M195" s="116">
        <v>566.07500000000005</v>
      </c>
      <c r="N195" s="116">
        <v>574.79999999999995</v>
      </c>
      <c r="O195" s="116">
        <v>563.02499999999998</v>
      </c>
      <c r="P195" s="116">
        <v>568.20000000000005</v>
      </c>
      <c r="Q195" s="116">
        <v>1132.1500000000001</v>
      </c>
      <c r="R195">
        <v>4540437</v>
      </c>
    </row>
    <row r="196" spans="1:18" x14ac:dyDescent="0.25">
      <c r="A196" s="170">
        <v>42286</v>
      </c>
      <c r="B196" s="116">
        <v>586.29999999999995</v>
      </c>
      <c r="C196" s="116">
        <v>583.92499999999995</v>
      </c>
      <c r="D196" s="116">
        <v>566.5</v>
      </c>
      <c r="E196" s="116">
        <v>566.5</v>
      </c>
      <c r="F196" s="116">
        <v>1167.8499999999999</v>
      </c>
      <c r="G196">
        <v>363649</v>
      </c>
      <c r="H196" s="116"/>
      <c r="I196" s="116"/>
      <c r="L196" s="170">
        <v>42286</v>
      </c>
      <c r="M196" s="116">
        <v>583.70000000000005</v>
      </c>
      <c r="N196" s="116">
        <v>586.45000000000005</v>
      </c>
      <c r="O196" s="116">
        <v>568</v>
      </c>
      <c r="P196" s="116">
        <v>568</v>
      </c>
      <c r="Q196" s="116">
        <v>1167.4000000000001</v>
      </c>
      <c r="R196">
        <v>5891069</v>
      </c>
    </row>
    <row r="197" spans="1:18" x14ac:dyDescent="0.25">
      <c r="A197" s="170">
        <v>42289</v>
      </c>
      <c r="B197" s="116">
        <v>609.5</v>
      </c>
      <c r="C197" s="116">
        <v>561.25</v>
      </c>
      <c r="D197" s="116">
        <v>554.45000000000005</v>
      </c>
      <c r="E197" s="116">
        <v>601.35</v>
      </c>
      <c r="F197" s="116">
        <v>1122.5</v>
      </c>
      <c r="G197">
        <v>1271136</v>
      </c>
      <c r="H197" s="116"/>
      <c r="I197" s="116"/>
      <c r="L197" s="170">
        <v>42289</v>
      </c>
      <c r="M197" s="116">
        <v>561.45000000000005</v>
      </c>
      <c r="N197" s="116">
        <v>609.9</v>
      </c>
      <c r="O197" s="116">
        <v>554.5</v>
      </c>
      <c r="P197" s="116">
        <v>599.5</v>
      </c>
      <c r="Q197" s="116">
        <v>1122.9000000000001</v>
      </c>
      <c r="R197">
        <v>15202485</v>
      </c>
    </row>
    <row r="198" spans="1:18" x14ac:dyDescent="0.25">
      <c r="A198" s="170">
        <v>42290</v>
      </c>
      <c r="B198" s="116">
        <v>557.4</v>
      </c>
      <c r="C198" s="116">
        <v>549.32500000000005</v>
      </c>
      <c r="D198" s="116">
        <v>543.54999999999995</v>
      </c>
      <c r="E198" s="116">
        <v>553.5</v>
      </c>
      <c r="F198" s="116">
        <v>1098.6500000000001</v>
      </c>
      <c r="G198">
        <v>458188</v>
      </c>
      <c r="H198" s="116"/>
      <c r="I198" s="116"/>
      <c r="L198" s="170">
        <v>42290</v>
      </c>
      <c r="M198" s="116">
        <v>549.70000000000005</v>
      </c>
      <c r="N198" s="116">
        <v>555.5</v>
      </c>
      <c r="O198" s="116">
        <v>542.6</v>
      </c>
      <c r="P198" s="116">
        <v>553.72500000000002</v>
      </c>
      <c r="Q198" s="116">
        <v>1099.4000000000001</v>
      </c>
      <c r="R198">
        <v>7663431</v>
      </c>
    </row>
    <row r="199" spans="1:18" x14ac:dyDescent="0.25">
      <c r="A199" s="170">
        <v>42291</v>
      </c>
      <c r="B199" s="116">
        <v>557.5</v>
      </c>
      <c r="C199" s="116">
        <v>548.72500000000002</v>
      </c>
      <c r="D199" s="116">
        <v>545</v>
      </c>
      <c r="E199" s="116">
        <v>545</v>
      </c>
      <c r="F199" s="116">
        <v>1097.45</v>
      </c>
      <c r="G199">
        <v>240004</v>
      </c>
      <c r="H199" s="116"/>
      <c r="I199" s="116"/>
      <c r="L199" s="170">
        <v>42291</v>
      </c>
      <c r="M199" s="116">
        <v>548.79999999999995</v>
      </c>
      <c r="N199" s="116">
        <v>557.77499999999998</v>
      </c>
      <c r="O199" s="116">
        <v>543.6</v>
      </c>
      <c r="P199" s="116">
        <v>545.72500000000002</v>
      </c>
      <c r="Q199" s="116">
        <v>1097.5999999999999</v>
      </c>
      <c r="R199">
        <v>4432755</v>
      </c>
    </row>
    <row r="200" spans="1:18" x14ac:dyDescent="0.25">
      <c r="A200" s="170">
        <v>42292</v>
      </c>
      <c r="B200" s="116">
        <v>554</v>
      </c>
      <c r="C200" s="116">
        <v>548.5</v>
      </c>
      <c r="D200" s="116">
        <v>544.5</v>
      </c>
      <c r="E200" s="116">
        <v>551</v>
      </c>
      <c r="F200" s="116">
        <v>1097</v>
      </c>
      <c r="G200">
        <v>207401</v>
      </c>
      <c r="H200" s="116"/>
      <c r="I200" s="116"/>
      <c r="L200" s="170">
        <v>42292</v>
      </c>
      <c r="M200" s="116">
        <v>548.67499999999995</v>
      </c>
      <c r="N200" s="116">
        <v>552.17499999999995</v>
      </c>
      <c r="O200" s="116">
        <v>544.54999999999995</v>
      </c>
      <c r="P200" s="116">
        <v>549.95000000000005</v>
      </c>
      <c r="Q200" s="116">
        <v>1097.3499999999999</v>
      </c>
      <c r="R200">
        <v>4127833</v>
      </c>
    </row>
    <row r="201" spans="1:18" x14ac:dyDescent="0.25">
      <c r="A201" s="170">
        <v>42293</v>
      </c>
      <c r="B201" s="116">
        <v>551.6</v>
      </c>
      <c r="C201" s="116">
        <v>546.875</v>
      </c>
      <c r="D201" s="116">
        <v>545</v>
      </c>
      <c r="E201" s="116">
        <v>550</v>
      </c>
      <c r="F201" s="116">
        <v>1093.75</v>
      </c>
      <c r="G201">
        <v>145067</v>
      </c>
      <c r="H201" s="116"/>
      <c r="I201" s="116"/>
      <c r="L201" s="170">
        <v>42293</v>
      </c>
      <c r="M201" s="116">
        <v>547.45000000000005</v>
      </c>
      <c r="N201" s="116">
        <v>550.70000000000005</v>
      </c>
      <c r="O201" s="116">
        <v>545</v>
      </c>
      <c r="P201" s="116">
        <v>549.5</v>
      </c>
      <c r="Q201" s="116">
        <v>1094.9000000000001</v>
      </c>
      <c r="R201">
        <v>3209496</v>
      </c>
    </row>
    <row r="202" spans="1:18" x14ac:dyDescent="0.25">
      <c r="A202" s="170">
        <v>42296</v>
      </c>
      <c r="B202" s="116">
        <v>558.5</v>
      </c>
      <c r="C202" s="116">
        <v>556.1</v>
      </c>
      <c r="D202" s="116">
        <v>550</v>
      </c>
      <c r="E202" s="116">
        <v>550</v>
      </c>
      <c r="F202" s="116">
        <v>1112.2</v>
      </c>
      <c r="G202">
        <v>158370</v>
      </c>
      <c r="H202" s="116"/>
      <c r="I202" s="116"/>
      <c r="L202" s="170">
        <v>42296</v>
      </c>
      <c r="M202" s="116">
        <v>555.97500000000002</v>
      </c>
      <c r="N202" s="116">
        <v>558</v>
      </c>
      <c r="O202" s="116">
        <v>550.25</v>
      </c>
      <c r="P202" s="116">
        <v>551</v>
      </c>
      <c r="Q202" s="116">
        <v>1111.95</v>
      </c>
      <c r="R202">
        <v>3673747</v>
      </c>
    </row>
    <row r="203" spans="1:18" x14ac:dyDescent="0.25">
      <c r="A203" s="170">
        <v>42297</v>
      </c>
      <c r="B203" s="116">
        <v>564.9</v>
      </c>
      <c r="C203" s="116">
        <v>562.67499999999995</v>
      </c>
      <c r="D203" s="116">
        <v>555.79999999999995</v>
      </c>
      <c r="E203" s="116">
        <v>556.5</v>
      </c>
      <c r="F203" s="116">
        <v>1125.3499999999999</v>
      </c>
      <c r="G203">
        <v>170023</v>
      </c>
      <c r="H203" s="116"/>
      <c r="I203" s="116"/>
      <c r="L203" s="170">
        <v>42297</v>
      </c>
      <c r="M203" s="116">
        <v>562.97500000000002</v>
      </c>
      <c r="N203" s="116">
        <v>565</v>
      </c>
      <c r="O203" s="116">
        <v>555.29999999999995</v>
      </c>
      <c r="P203" s="116">
        <v>556.5</v>
      </c>
      <c r="Q203" s="116">
        <v>1125.95</v>
      </c>
      <c r="R203">
        <v>4394155</v>
      </c>
    </row>
    <row r="204" spans="1:18" x14ac:dyDescent="0.25">
      <c r="A204" s="170">
        <v>42298</v>
      </c>
      <c r="B204" s="116">
        <v>573</v>
      </c>
      <c r="C204" s="116">
        <v>568.79999999999995</v>
      </c>
      <c r="D204" s="116">
        <v>562.67499999999995</v>
      </c>
      <c r="E204" s="116">
        <v>562.97500000000002</v>
      </c>
      <c r="F204" s="116">
        <v>1137.5999999999999</v>
      </c>
      <c r="G204">
        <v>171006</v>
      </c>
      <c r="H204" s="116"/>
      <c r="I204" s="116"/>
      <c r="L204" s="170">
        <v>42298</v>
      </c>
      <c r="M204" s="116">
        <v>569.20000000000005</v>
      </c>
      <c r="N204" s="116">
        <v>573.42499999999995</v>
      </c>
      <c r="O204" s="116">
        <v>562.5</v>
      </c>
      <c r="P204" s="116">
        <v>562.5</v>
      </c>
      <c r="Q204" s="116">
        <v>1138.4000000000001</v>
      </c>
      <c r="R204">
        <v>3639049</v>
      </c>
    </row>
    <row r="205" spans="1:18" x14ac:dyDescent="0.25">
      <c r="A205" s="170">
        <v>42300</v>
      </c>
      <c r="B205" s="116">
        <v>576</v>
      </c>
      <c r="C205" s="116">
        <v>574.27499999999998</v>
      </c>
      <c r="D205" s="116">
        <v>562.54999999999995</v>
      </c>
      <c r="E205" s="116">
        <v>570</v>
      </c>
      <c r="F205" s="116">
        <v>1148.55</v>
      </c>
      <c r="G205">
        <v>149197</v>
      </c>
      <c r="H205" s="116"/>
      <c r="I205" s="116"/>
      <c r="L205" s="170">
        <v>42300</v>
      </c>
      <c r="M205" s="116">
        <v>574.95000000000005</v>
      </c>
      <c r="N205" s="116">
        <v>576.5</v>
      </c>
      <c r="O205" s="116">
        <v>562.54999999999995</v>
      </c>
      <c r="P205" s="116">
        <v>570.9</v>
      </c>
      <c r="Q205" s="116">
        <v>1149.9000000000001</v>
      </c>
      <c r="R205">
        <v>3016681</v>
      </c>
    </row>
    <row r="206" spans="1:18" x14ac:dyDescent="0.25">
      <c r="A206" s="170">
        <v>42303</v>
      </c>
      <c r="B206" s="116">
        <v>578.625</v>
      </c>
      <c r="C206" s="116">
        <v>575.70000000000005</v>
      </c>
      <c r="D206" s="116">
        <v>571.5</v>
      </c>
      <c r="E206" s="116">
        <v>575</v>
      </c>
      <c r="F206" s="116">
        <v>1151.4000000000001</v>
      </c>
      <c r="G206">
        <v>108324</v>
      </c>
      <c r="H206" s="116"/>
      <c r="I206" s="116"/>
      <c r="L206" s="170">
        <v>42303</v>
      </c>
      <c r="M206" s="116">
        <v>576.07500000000005</v>
      </c>
      <c r="N206" s="116">
        <v>579.25</v>
      </c>
      <c r="O206" s="116">
        <v>571.57500000000005</v>
      </c>
      <c r="P206" s="116">
        <v>577</v>
      </c>
      <c r="Q206" s="116">
        <v>1152.1500000000001</v>
      </c>
      <c r="R206">
        <v>1597971</v>
      </c>
    </row>
    <row r="207" spans="1:18" x14ac:dyDescent="0.25">
      <c r="A207" s="170">
        <v>42304</v>
      </c>
      <c r="B207" s="116">
        <v>577</v>
      </c>
      <c r="C207" s="116">
        <v>574.22500000000002</v>
      </c>
      <c r="D207" s="116">
        <v>572</v>
      </c>
      <c r="E207" s="116">
        <v>575.5</v>
      </c>
      <c r="F207" s="116">
        <v>1148.45</v>
      </c>
      <c r="G207">
        <v>64063</v>
      </c>
      <c r="H207" s="116"/>
      <c r="I207" s="116"/>
      <c r="L207" s="170">
        <v>42304</v>
      </c>
      <c r="M207" s="116">
        <v>574.70000000000005</v>
      </c>
      <c r="N207" s="116">
        <v>577.5</v>
      </c>
      <c r="O207" s="116">
        <v>572.04999999999995</v>
      </c>
      <c r="P207" s="116">
        <v>575</v>
      </c>
      <c r="Q207" s="116">
        <v>1149.4000000000001</v>
      </c>
      <c r="R207">
        <v>2631874</v>
      </c>
    </row>
    <row r="208" spans="1:18" x14ac:dyDescent="0.25">
      <c r="A208" s="170">
        <v>42305</v>
      </c>
      <c r="B208" s="116">
        <v>580</v>
      </c>
      <c r="C208" s="116">
        <v>575.67499999999995</v>
      </c>
      <c r="D208" s="116">
        <v>569.75</v>
      </c>
      <c r="E208" s="116">
        <v>573</v>
      </c>
      <c r="F208" s="116">
        <v>1151.3499999999999</v>
      </c>
      <c r="G208">
        <v>97512</v>
      </c>
      <c r="H208" s="116"/>
      <c r="I208" s="116"/>
      <c r="L208" s="170">
        <v>42305</v>
      </c>
      <c r="M208" s="116">
        <v>576.6</v>
      </c>
      <c r="N208" s="116">
        <v>579</v>
      </c>
      <c r="O208" s="116">
        <v>569.5</v>
      </c>
      <c r="P208" s="116">
        <v>572.25</v>
      </c>
      <c r="Q208" s="116">
        <v>1153.2</v>
      </c>
      <c r="R208">
        <v>2627736</v>
      </c>
    </row>
    <row r="209" spans="1:18" x14ac:dyDescent="0.25">
      <c r="A209" s="170">
        <v>42306</v>
      </c>
      <c r="B209" s="116">
        <v>577.5</v>
      </c>
      <c r="C209" s="116">
        <v>571.35</v>
      </c>
      <c r="D209" s="116">
        <v>568</v>
      </c>
      <c r="E209" s="116">
        <v>575</v>
      </c>
      <c r="F209" s="116">
        <v>1142.7</v>
      </c>
      <c r="G209">
        <v>67592</v>
      </c>
      <c r="H209" s="116"/>
      <c r="I209" s="116"/>
      <c r="L209" s="170">
        <v>42306</v>
      </c>
      <c r="M209" s="116">
        <v>572.52499999999998</v>
      </c>
      <c r="N209" s="116">
        <v>577.95000000000005</v>
      </c>
      <c r="O209" s="116">
        <v>568.02499999999998</v>
      </c>
      <c r="P209" s="116">
        <v>576.54999999999995</v>
      </c>
      <c r="Q209" s="116">
        <v>1145.05</v>
      </c>
      <c r="R209">
        <v>2943662</v>
      </c>
    </row>
    <row r="210" spans="1:18" x14ac:dyDescent="0.25">
      <c r="A210" s="170">
        <v>42307</v>
      </c>
      <c r="B210" s="116">
        <v>572</v>
      </c>
      <c r="C210" s="116">
        <v>568.02499999999998</v>
      </c>
      <c r="D210" s="116">
        <v>565.25</v>
      </c>
      <c r="E210" s="116">
        <v>571.35</v>
      </c>
      <c r="F210" s="116">
        <v>1136.05</v>
      </c>
      <c r="G210">
        <v>74766</v>
      </c>
      <c r="H210" s="116"/>
      <c r="I210" s="116"/>
      <c r="L210" s="170">
        <v>42307</v>
      </c>
      <c r="M210" s="116">
        <v>567.72500000000002</v>
      </c>
      <c r="N210" s="116">
        <v>572.5</v>
      </c>
      <c r="O210" s="116">
        <v>565</v>
      </c>
      <c r="P210" s="116">
        <v>572.5</v>
      </c>
      <c r="Q210" s="116">
        <v>1135.45</v>
      </c>
      <c r="R210">
        <v>2022338</v>
      </c>
    </row>
    <row r="211" spans="1:18" x14ac:dyDescent="0.25">
      <c r="A211" s="170">
        <v>42310</v>
      </c>
      <c r="B211" s="116">
        <v>567.5</v>
      </c>
      <c r="C211" s="116">
        <v>565.77499999999998</v>
      </c>
      <c r="D211" s="116">
        <v>557.15</v>
      </c>
      <c r="E211" s="116">
        <v>565</v>
      </c>
      <c r="F211" s="116">
        <v>1131.55</v>
      </c>
      <c r="G211">
        <v>80325</v>
      </c>
      <c r="H211" s="116"/>
      <c r="I211" s="116"/>
      <c r="L211" s="170">
        <v>42310</v>
      </c>
      <c r="M211" s="116">
        <v>565.6</v>
      </c>
      <c r="N211" s="116">
        <v>567.9</v>
      </c>
      <c r="O211" s="116">
        <v>557.04999999999995</v>
      </c>
      <c r="P211" s="116">
        <v>565</v>
      </c>
      <c r="Q211" s="116">
        <v>1131.2</v>
      </c>
      <c r="R211">
        <v>1772494</v>
      </c>
    </row>
    <row r="212" spans="1:18" x14ac:dyDescent="0.25">
      <c r="A212" s="170">
        <v>42311</v>
      </c>
      <c r="B212" s="116">
        <v>574.5</v>
      </c>
      <c r="C212" s="116">
        <v>571.5</v>
      </c>
      <c r="D212" s="116">
        <v>567</v>
      </c>
      <c r="E212" s="116">
        <v>567</v>
      </c>
      <c r="F212" s="116">
        <v>1143</v>
      </c>
      <c r="G212">
        <v>108784</v>
      </c>
      <c r="H212" s="116"/>
      <c r="I212" s="116"/>
      <c r="L212" s="170">
        <v>42311</v>
      </c>
      <c r="M212" s="116">
        <v>572.75</v>
      </c>
      <c r="N212" s="116">
        <v>575.22500000000002</v>
      </c>
      <c r="O212" s="116">
        <v>566.70000000000005</v>
      </c>
      <c r="P212" s="116">
        <v>566.70000000000005</v>
      </c>
      <c r="Q212" s="116">
        <v>1145.5</v>
      </c>
      <c r="R212">
        <v>1807341</v>
      </c>
    </row>
    <row r="213" spans="1:18" x14ac:dyDescent="0.25">
      <c r="A213" s="170">
        <v>42312</v>
      </c>
      <c r="B213" s="116">
        <v>577.79999999999995</v>
      </c>
      <c r="C213" s="116">
        <v>568.52499999999998</v>
      </c>
      <c r="D213" s="116">
        <v>566.54999999999995</v>
      </c>
      <c r="E213" s="116">
        <v>574</v>
      </c>
      <c r="F213" s="116">
        <v>1137.05</v>
      </c>
      <c r="G213">
        <v>92385</v>
      </c>
      <c r="H213" s="116"/>
      <c r="I213" s="116"/>
      <c r="L213" s="170">
        <v>42312</v>
      </c>
      <c r="M213" s="116">
        <v>568.4</v>
      </c>
      <c r="N213" s="116">
        <v>578.79999999999995</v>
      </c>
      <c r="O213" s="116">
        <v>566.15</v>
      </c>
      <c r="P213" s="116">
        <v>575.04999999999995</v>
      </c>
      <c r="Q213" s="116">
        <v>1136.8</v>
      </c>
      <c r="R213">
        <v>1602786</v>
      </c>
    </row>
    <row r="214" spans="1:18" x14ac:dyDescent="0.25">
      <c r="A214" s="170">
        <v>42313</v>
      </c>
      <c r="B214" s="116">
        <v>572.42499999999995</v>
      </c>
      <c r="C214" s="116">
        <v>561.22500000000002</v>
      </c>
      <c r="D214" s="116">
        <v>558.52499999999998</v>
      </c>
      <c r="E214" s="116">
        <v>569.5</v>
      </c>
      <c r="F214" s="116">
        <v>1122.45</v>
      </c>
      <c r="G214">
        <v>145382</v>
      </c>
      <c r="H214" s="116"/>
      <c r="I214" s="116"/>
      <c r="L214" s="170">
        <v>42313</v>
      </c>
      <c r="M214" s="116">
        <v>561.45000000000005</v>
      </c>
      <c r="N214" s="116">
        <v>572.5</v>
      </c>
      <c r="O214" s="116">
        <v>559.70000000000005</v>
      </c>
      <c r="P214" s="116">
        <v>571.47500000000002</v>
      </c>
      <c r="Q214" s="116">
        <v>1122.9000000000001</v>
      </c>
      <c r="R214">
        <v>1172653</v>
      </c>
    </row>
    <row r="215" spans="1:18" x14ac:dyDescent="0.25">
      <c r="A215" s="170">
        <v>42314</v>
      </c>
      <c r="B215" s="116">
        <v>571.35</v>
      </c>
      <c r="C215" s="116">
        <v>569.02499999999998</v>
      </c>
      <c r="D215" s="116">
        <v>562.5</v>
      </c>
      <c r="E215" s="116">
        <v>562.5</v>
      </c>
      <c r="F215" s="116">
        <v>1138.05</v>
      </c>
      <c r="G215">
        <v>81166</v>
      </c>
      <c r="H215" s="116"/>
      <c r="I215" s="116"/>
      <c r="L215" s="170">
        <v>42314</v>
      </c>
      <c r="M215" s="116">
        <v>569.15</v>
      </c>
      <c r="N215" s="116">
        <v>571.95000000000005</v>
      </c>
      <c r="O215" s="116">
        <v>561.45000000000005</v>
      </c>
      <c r="P215" s="116">
        <v>561.5</v>
      </c>
      <c r="Q215" s="116">
        <v>1138.3</v>
      </c>
      <c r="R215">
        <v>1513086</v>
      </c>
    </row>
    <row r="216" spans="1:18" x14ac:dyDescent="0.25">
      <c r="A216" s="170">
        <v>42317</v>
      </c>
      <c r="B216" s="116">
        <v>568.82500000000005</v>
      </c>
      <c r="C216" s="116">
        <v>566.97500000000002</v>
      </c>
      <c r="D216" s="116">
        <v>557.5</v>
      </c>
      <c r="E216" s="116">
        <v>560</v>
      </c>
      <c r="F216" s="116">
        <v>1133.95</v>
      </c>
      <c r="G216">
        <v>91972</v>
      </c>
      <c r="H216" s="116"/>
      <c r="I216" s="116"/>
      <c r="L216" s="170">
        <v>42317</v>
      </c>
      <c r="M216" s="116">
        <v>567.29999999999995</v>
      </c>
      <c r="N216" s="116">
        <v>570</v>
      </c>
      <c r="O216" s="116">
        <v>557.6</v>
      </c>
      <c r="P216" s="116">
        <v>560</v>
      </c>
      <c r="Q216" s="116">
        <v>1134.5999999999999</v>
      </c>
      <c r="R216">
        <v>3062838</v>
      </c>
    </row>
    <row r="217" spans="1:18" x14ac:dyDescent="0.25">
      <c r="A217" s="170">
        <v>42318</v>
      </c>
      <c r="B217" s="116">
        <v>567</v>
      </c>
      <c r="C217" s="116">
        <v>553.20000000000005</v>
      </c>
      <c r="D217" s="116">
        <v>551</v>
      </c>
      <c r="E217" s="116">
        <v>567</v>
      </c>
      <c r="F217" s="116">
        <v>1106.4000000000001</v>
      </c>
      <c r="G217">
        <v>113628</v>
      </c>
      <c r="H217" s="116"/>
      <c r="I217" s="116"/>
      <c r="L217" s="170">
        <v>42318</v>
      </c>
      <c r="M217" s="116">
        <v>551.92499999999995</v>
      </c>
      <c r="N217" s="116">
        <v>563.75</v>
      </c>
      <c r="O217" s="116">
        <v>550.04999999999995</v>
      </c>
      <c r="P217" s="116">
        <v>563.75</v>
      </c>
      <c r="Q217" s="116">
        <v>1103.8499999999999</v>
      </c>
      <c r="R217">
        <v>2340026</v>
      </c>
    </row>
    <row r="218" spans="1:18" x14ac:dyDescent="0.25">
      <c r="A218" s="170">
        <v>42319</v>
      </c>
      <c r="B218" s="116">
        <v>559.72500000000002</v>
      </c>
      <c r="C218" s="116">
        <v>554.57500000000005</v>
      </c>
      <c r="D218" s="116">
        <v>552</v>
      </c>
      <c r="E218" s="116">
        <v>557.5</v>
      </c>
      <c r="F218" s="116">
        <v>1109.1500000000001</v>
      </c>
      <c r="G218">
        <v>60395</v>
      </c>
      <c r="H218" s="116"/>
      <c r="I218" s="116"/>
      <c r="L218" s="170">
        <v>42319</v>
      </c>
      <c r="M218" s="116">
        <v>553.79999999999995</v>
      </c>
      <c r="N218" s="116">
        <v>559</v>
      </c>
      <c r="O218" s="116">
        <v>551.5</v>
      </c>
      <c r="P218" s="116">
        <v>559</v>
      </c>
      <c r="Q218" s="116">
        <v>1107.5999999999999</v>
      </c>
      <c r="R218">
        <v>353652</v>
      </c>
    </row>
    <row r="219" spans="1:18" x14ac:dyDescent="0.25">
      <c r="A219" s="170">
        <v>42321</v>
      </c>
      <c r="B219" s="116">
        <v>553.5</v>
      </c>
      <c r="C219" s="116">
        <v>550.22500000000002</v>
      </c>
      <c r="D219" s="116">
        <v>545</v>
      </c>
      <c r="E219" s="116">
        <v>553.5</v>
      </c>
      <c r="F219" s="116">
        <v>1100.45</v>
      </c>
      <c r="G219">
        <v>88143</v>
      </c>
      <c r="H219" s="116"/>
      <c r="I219" s="116"/>
      <c r="L219" s="170">
        <v>42321</v>
      </c>
      <c r="M219" s="116">
        <v>550.4</v>
      </c>
      <c r="N219" s="116">
        <v>553</v>
      </c>
      <c r="O219" s="116">
        <v>545</v>
      </c>
      <c r="P219" s="116">
        <v>549.97500000000002</v>
      </c>
      <c r="Q219" s="116">
        <v>1100.8</v>
      </c>
      <c r="R219">
        <v>1760434</v>
      </c>
    </row>
    <row r="220" spans="1:18" x14ac:dyDescent="0.25">
      <c r="A220" s="170">
        <v>42324</v>
      </c>
      <c r="B220" s="116">
        <v>546.875</v>
      </c>
      <c r="C220" s="116">
        <v>540.1</v>
      </c>
      <c r="D220" s="116">
        <v>533.54999999999995</v>
      </c>
      <c r="E220" s="116">
        <v>542.5</v>
      </c>
      <c r="F220" s="116">
        <v>1080.2</v>
      </c>
      <c r="G220">
        <v>159011</v>
      </c>
      <c r="H220" s="116"/>
      <c r="I220" s="116"/>
      <c r="L220" s="170">
        <v>42324</v>
      </c>
      <c r="M220" s="116">
        <v>540.1</v>
      </c>
      <c r="N220" s="116">
        <v>547</v>
      </c>
      <c r="O220" s="116">
        <v>533.6</v>
      </c>
      <c r="P220" s="116">
        <v>541.82500000000005</v>
      </c>
      <c r="Q220" s="116">
        <v>1080.2</v>
      </c>
      <c r="R220">
        <v>3404167</v>
      </c>
    </row>
    <row r="221" spans="1:18" x14ac:dyDescent="0.25">
      <c r="A221" s="170">
        <v>42325</v>
      </c>
      <c r="B221" s="116">
        <v>542</v>
      </c>
      <c r="C221" s="116">
        <v>530.54999999999995</v>
      </c>
      <c r="D221" s="116">
        <v>526.02499999999998</v>
      </c>
      <c r="E221" s="116">
        <v>541</v>
      </c>
      <c r="F221" s="116">
        <v>1061.0999999999999</v>
      </c>
      <c r="G221">
        <v>331519</v>
      </c>
      <c r="H221" s="116"/>
      <c r="I221" s="116"/>
      <c r="L221" s="170">
        <v>42325</v>
      </c>
      <c r="M221" s="116">
        <v>530.75</v>
      </c>
      <c r="N221" s="116">
        <v>541.45000000000005</v>
      </c>
      <c r="O221" s="116">
        <v>526</v>
      </c>
      <c r="P221" s="116">
        <v>540</v>
      </c>
      <c r="Q221" s="116">
        <v>1061.5</v>
      </c>
      <c r="R221">
        <v>3592053</v>
      </c>
    </row>
    <row r="222" spans="1:18" x14ac:dyDescent="0.25">
      <c r="A222" s="170">
        <v>42326</v>
      </c>
      <c r="B222" s="116">
        <v>522.17499999999995</v>
      </c>
      <c r="C222" s="116">
        <v>509.92500000000001</v>
      </c>
      <c r="D222" s="116">
        <v>506.125</v>
      </c>
      <c r="E222" s="116">
        <v>522</v>
      </c>
      <c r="F222" s="116">
        <v>1019.85</v>
      </c>
      <c r="G222">
        <v>408814</v>
      </c>
      <c r="H222" s="116"/>
      <c r="I222" s="116"/>
      <c r="L222" s="170">
        <v>42326</v>
      </c>
      <c r="M222" s="116">
        <v>510</v>
      </c>
      <c r="N222" s="116">
        <v>522.57500000000005</v>
      </c>
      <c r="O222" s="116">
        <v>505.625</v>
      </c>
      <c r="P222" s="116">
        <v>520.5</v>
      </c>
      <c r="Q222" s="116">
        <v>1020</v>
      </c>
      <c r="R222">
        <v>5062626</v>
      </c>
    </row>
    <row r="223" spans="1:18" x14ac:dyDescent="0.25">
      <c r="A223" s="170">
        <v>42327</v>
      </c>
      <c r="B223" s="116">
        <v>525.875</v>
      </c>
      <c r="C223" s="116">
        <v>523.65</v>
      </c>
      <c r="D223" s="116">
        <v>512.29999999999995</v>
      </c>
      <c r="E223" s="116">
        <v>516</v>
      </c>
      <c r="F223" s="116">
        <v>1047.3</v>
      </c>
      <c r="G223">
        <v>300690</v>
      </c>
      <c r="H223" s="116"/>
      <c r="I223" s="116"/>
      <c r="L223" s="170">
        <v>42327</v>
      </c>
      <c r="M223" s="116">
        <v>523.9</v>
      </c>
      <c r="N223" s="116">
        <v>526</v>
      </c>
      <c r="O223" s="116">
        <v>511.9</v>
      </c>
      <c r="P223" s="116">
        <v>515.125</v>
      </c>
      <c r="Q223" s="116">
        <v>1047.8</v>
      </c>
      <c r="R223">
        <v>4269811</v>
      </c>
    </row>
    <row r="224" spans="1:18" x14ac:dyDescent="0.25">
      <c r="A224" s="170">
        <v>42328</v>
      </c>
      <c r="B224" s="116">
        <v>531</v>
      </c>
      <c r="C224" s="116">
        <v>526.45000000000005</v>
      </c>
      <c r="D224" s="116">
        <v>521.32500000000005</v>
      </c>
      <c r="E224" s="116">
        <v>525</v>
      </c>
      <c r="F224" s="116">
        <v>1052.9000000000001</v>
      </c>
      <c r="G224">
        <v>141064</v>
      </c>
      <c r="H224" s="116"/>
      <c r="I224" s="116"/>
      <c r="L224" s="170">
        <v>42328</v>
      </c>
      <c r="M224" s="116">
        <v>526.20000000000005</v>
      </c>
      <c r="N224" s="116">
        <v>531.6</v>
      </c>
      <c r="O224" s="116">
        <v>521.02499999999998</v>
      </c>
      <c r="P224" s="116">
        <v>524</v>
      </c>
      <c r="Q224" s="116">
        <v>1052.4000000000001</v>
      </c>
      <c r="R224">
        <v>3041489</v>
      </c>
    </row>
    <row r="225" spans="1:18" x14ac:dyDescent="0.25">
      <c r="A225" s="170">
        <v>42331</v>
      </c>
      <c r="B225" s="116">
        <v>530.65</v>
      </c>
      <c r="C225" s="116">
        <v>526.75</v>
      </c>
      <c r="D225" s="116">
        <v>519.02499999999998</v>
      </c>
      <c r="E225" s="116">
        <v>525.75</v>
      </c>
      <c r="F225" s="116">
        <v>1053.5</v>
      </c>
      <c r="G225">
        <v>125236</v>
      </c>
      <c r="H225" s="116"/>
      <c r="I225" s="116"/>
      <c r="L225" s="170">
        <v>42331</v>
      </c>
      <c r="M225" s="116">
        <v>526.85</v>
      </c>
      <c r="N225" s="116">
        <v>531.20000000000005</v>
      </c>
      <c r="O225" s="116">
        <v>519</v>
      </c>
      <c r="P225" s="116">
        <v>525</v>
      </c>
      <c r="Q225" s="116">
        <v>1053.7</v>
      </c>
      <c r="R225">
        <v>2808175</v>
      </c>
    </row>
    <row r="226" spans="1:18" x14ac:dyDescent="0.25">
      <c r="A226" s="170">
        <v>42332</v>
      </c>
      <c r="B226" s="116">
        <v>525</v>
      </c>
      <c r="C226" s="116">
        <v>520.5</v>
      </c>
      <c r="D226" s="116">
        <v>518.5</v>
      </c>
      <c r="E226" s="116">
        <v>522.5</v>
      </c>
      <c r="F226" s="116">
        <v>1041</v>
      </c>
      <c r="G226">
        <v>120699</v>
      </c>
      <c r="H226" s="116"/>
      <c r="I226" s="116"/>
      <c r="L226" s="170">
        <v>42332</v>
      </c>
      <c r="M226" s="116">
        <v>520.57500000000005</v>
      </c>
      <c r="N226" s="116">
        <v>525.4</v>
      </c>
      <c r="O226" s="116">
        <v>518.5</v>
      </c>
      <c r="P226" s="116">
        <v>525</v>
      </c>
      <c r="Q226" s="116">
        <v>1041.1500000000001</v>
      </c>
      <c r="R226">
        <v>2162901</v>
      </c>
    </row>
    <row r="227" spans="1:18" x14ac:dyDescent="0.25">
      <c r="A227" s="170">
        <v>42334</v>
      </c>
      <c r="B227" s="116">
        <v>529.35</v>
      </c>
      <c r="C227" s="116">
        <v>526.6</v>
      </c>
      <c r="D227" s="116">
        <v>517.5</v>
      </c>
      <c r="E227" s="116">
        <v>522</v>
      </c>
      <c r="F227" s="116">
        <v>1053.2</v>
      </c>
      <c r="G227">
        <v>123381</v>
      </c>
      <c r="H227" s="116"/>
      <c r="I227" s="116"/>
      <c r="L227" s="170">
        <v>42334</v>
      </c>
      <c r="M227" s="116">
        <v>526.20000000000005</v>
      </c>
      <c r="N227" s="116">
        <v>529.75</v>
      </c>
      <c r="O227" s="116">
        <v>520.02499999999998</v>
      </c>
      <c r="P227" s="116">
        <v>520.47500000000002</v>
      </c>
      <c r="Q227" s="116">
        <v>1052.4000000000001</v>
      </c>
      <c r="R227">
        <v>4926984</v>
      </c>
    </row>
    <row r="228" spans="1:18" x14ac:dyDescent="0.25">
      <c r="A228" s="170">
        <v>42335</v>
      </c>
      <c r="B228" s="116">
        <v>534.82500000000005</v>
      </c>
      <c r="C228" s="116">
        <v>533.15</v>
      </c>
      <c r="D228" s="116">
        <v>523.1</v>
      </c>
      <c r="E228" s="116">
        <v>525</v>
      </c>
      <c r="F228" s="116">
        <v>1066.3</v>
      </c>
      <c r="G228">
        <v>117372</v>
      </c>
      <c r="H228" s="116"/>
      <c r="I228" s="116"/>
      <c r="L228" s="170">
        <v>42335</v>
      </c>
      <c r="M228" s="116">
        <v>533.17499999999995</v>
      </c>
      <c r="N228" s="116">
        <v>535</v>
      </c>
      <c r="O228" s="116">
        <v>522.5</v>
      </c>
      <c r="P228" s="116">
        <v>529</v>
      </c>
      <c r="Q228" s="116">
        <v>1066.3499999999999</v>
      </c>
      <c r="R228">
        <v>2571239</v>
      </c>
    </row>
    <row r="229" spans="1:18" x14ac:dyDescent="0.25">
      <c r="A229" s="170">
        <v>42338</v>
      </c>
      <c r="B229" s="116">
        <v>549</v>
      </c>
      <c r="C229" s="116">
        <v>544.22500000000002</v>
      </c>
      <c r="D229" s="116">
        <v>528</v>
      </c>
      <c r="E229" s="116">
        <v>535</v>
      </c>
      <c r="F229" s="116">
        <v>1088.45</v>
      </c>
      <c r="G229">
        <v>150439</v>
      </c>
      <c r="H229" s="116"/>
      <c r="I229" s="116"/>
      <c r="L229" s="170">
        <v>42338</v>
      </c>
      <c r="M229" s="116">
        <v>543.95000000000005</v>
      </c>
      <c r="N229" s="116">
        <v>549.15</v>
      </c>
      <c r="O229" s="116">
        <v>528.1</v>
      </c>
      <c r="P229" s="116">
        <v>535</v>
      </c>
      <c r="Q229" s="116">
        <v>1087.9000000000001</v>
      </c>
      <c r="R229">
        <v>9052767</v>
      </c>
    </row>
    <row r="230" spans="1:18" x14ac:dyDescent="0.25">
      <c r="A230" s="170">
        <v>42339</v>
      </c>
      <c r="B230" s="116">
        <v>546.52499999999998</v>
      </c>
      <c r="C230" s="116">
        <v>538.32500000000005</v>
      </c>
      <c r="D230" s="116">
        <v>536</v>
      </c>
      <c r="E230" s="116">
        <v>544.25</v>
      </c>
      <c r="F230" s="116">
        <v>1076.6500000000001</v>
      </c>
      <c r="G230">
        <v>103209</v>
      </c>
      <c r="H230" s="116"/>
      <c r="I230" s="116"/>
      <c r="L230" s="170">
        <v>42339</v>
      </c>
      <c r="M230" s="116">
        <v>539.5</v>
      </c>
      <c r="N230" s="116">
        <v>547.5</v>
      </c>
      <c r="O230" s="116">
        <v>536.47500000000002</v>
      </c>
      <c r="P230" s="116">
        <v>544</v>
      </c>
      <c r="Q230" s="116">
        <v>1079</v>
      </c>
      <c r="R230">
        <v>2949275</v>
      </c>
    </row>
    <row r="231" spans="1:18" x14ac:dyDescent="0.25">
      <c r="A231" s="170">
        <v>42340</v>
      </c>
      <c r="B231" s="116">
        <v>541</v>
      </c>
      <c r="C231" s="116">
        <v>530.1</v>
      </c>
      <c r="D231" s="116">
        <v>529.02499999999998</v>
      </c>
      <c r="E231" s="116">
        <v>541</v>
      </c>
      <c r="F231" s="116">
        <v>1060.2</v>
      </c>
      <c r="G231">
        <v>100417</v>
      </c>
      <c r="H231" s="116"/>
      <c r="I231" s="116"/>
      <c r="L231" s="170">
        <v>42340</v>
      </c>
      <c r="M231" s="116">
        <v>530.35</v>
      </c>
      <c r="N231" s="116">
        <v>539.97500000000002</v>
      </c>
      <c r="O231" s="116">
        <v>529.5</v>
      </c>
      <c r="P231" s="116">
        <v>539.97500000000002</v>
      </c>
      <c r="Q231" s="116">
        <v>1060.7</v>
      </c>
      <c r="R231">
        <v>3198808</v>
      </c>
    </row>
    <row r="232" spans="1:18" x14ac:dyDescent="0.25">
      <c r="A232" s="170">
        <v>42341</v>
      </c>
      <c r="B232" s="116">
        <v>532.625</v>
      </c>
      <c r="C232" s="116">
        <v>528</v>
      </c>
      <c r="D232" s="116">
        <v>525</v>
      </c>
      <c r="E232" s="116">
        <v>531.25</v>
      </c>
      <c r="F232" s="116">
        <v>1056</v>
      </c>
      <c r="G232">
        <v>177130</v>
      </c>
      <c r="H232" s="116"/>
      <c r="I232" s="116"/>
      <c r="L232" s="170">
        <v>42341</v>
      </c>
      <c r="M232" s="116">
        <v>528.875</v>
      </c>
      <c r="N232" s="116">
        <v>532.4</v>
      </c>
      <c r="O232" s="116">
        <v>524.52499999999998</v>
      </c>
      <c r="P232" s="116">
        <v>530.5</v>
      </c>
      <c r="Q232" s="116">
        <v>1057.75</v>
      </c>
      <c r="R232">
        <v>2752363</v>
      </c>
    </row>
    <row r="233" spans="1:18" x14ac:dyDescent="0.25">
      <c r="A233" s="170">
        <v>42342</v>
      </c>
      <c r="B233" s="116">
        <v>531.79999999999995</v>
      </c>
      <c r="C233" s="116">
        <v>523.9</v>
      </c>
      <c r="D233" s="116">
        <v>520.45000000000005</v>
      </c>
      <c r="E233" s="116">
        <v>526.5</v>
      </c>
      <c r="F233" s="116">
        <v>1047.8</v>
      </c>
      <c r="G233">
        <v>313869</v>
      </c>
      <c r="H233" s="116"/>
      <c r="I233" s="116"/>
      <c r="L233" s="170">
        <v>42342</v>
      </c>
      <c r="M233" s="116">
        <v>524.52499999999998</v>
      </c>
      <c r="N233" s="116">
        <v>532.45000000000005</v>
      </c>
      <c r="O233" s="116">
        <v>520.04999999999995</v>
      </c>
      <c r="P233" s="116">
        <v>524.5</v>
      </c>
      <c r="Q233" s="116">
        <v>1049.05</v>
      </c>
      <c r="R233">
        <v>4187765</v>
      </c>
    </row>
    <row r="234" spans="1:18" x14ac:dyDescent="0.25">
      <c r="A234" s="170">
        <v>42345</v>
      </c>
      <c r="B234" s="116">
        <v>529.27499999999998</v>
      </c>
      <c r="C234" s="116">
        <v>522.92499999999995</v>
      </c>
      <c r="D234" s="116">
        <v>520.125</v>
      </c>
      <c r="E234" s="116">
        <v>526</v>
      </c>
      <c r="F234" s="116">
        <v>1045.8499999999999</v>
      </c>
      <c r="G234">
        <v>89772</v>
      </c>
      <c r="H234" s="116"/>
      <c r="I234" s="116"/>
      <c r="L234" s="170">
        <v>42345</v>
      </c>
      <c r="M234" s="116">
        <v>523.125</v>
      </c>
      <c r="N234" s="116">
        <v>529.5</v>
      </c>
      <c r="O234" s="116">
        <v>520</v>
      </c>
      <c r="P234" s="116">
        <v>527.65</v>
      </c>
      <c r="Q234" s="116">
        <v>1046.25</v>
      </c>
      <c r="R234">
        <v>2256935</v>
      </c>
    </row>
    <row r="235" spans="1:18" x14ac:dyDescent="0.25">
      <c r="A235" s="170">
        <v>42346</v>
      </c>
      <c r="B235" s="116">
        <v>531</v>
      </c>
      <c r="C235" s="116">
        <v>522.47500000000002</v>
      </c>
      <c r="D235" s="116">
        <v>520.54999999999995</v>
      </c>
      <c r="E235" s="116">
        <v>522.5</v>
      </c>
      <c r="F235" s="116">
        <v>1044.95</v>
      </c>
      <c r="G235">
        <v>92596</v>
      </c>
      <c r="H235" s="116"/>
      <c r="I235" s="116"/>
      <c r="L235" s="170">
        <v>42346</v>
      </c>
      <c r="M235" s="116">
        <v>522.20000000000005</v>
      </c>
      <c r="N235" s="116">
        <v>531.375</v>
      </c>
      <c r="O235" s="116">
        <v>519.65</v>
      </c>
      <c r="P235" s="116">
        <v>522.52499999999998</v>
      </c>
      <c r="Q235" s="116">
        <v>1044.4000000000001</v>
      </c>
      <c r="R235">
        <v>2862186</v>
      </c>
    </row>
    <row r="236" spans="1:18" x14ac:dyDescent="0.25">
      <c r="A236" s="170">
        <v>42347</v>
      </c>
      <c r="B236" s="116">
        <v>523.79999999999995</v>
      </c>
      <c r="C236" s="116">
        <v>514.67499999999995</v>
      </c>
      <c r="D236" s="116">
        <v>511.75</v>
      </c>
      <c r="E236" s="116">
        <v>522</v>
      </c>
      <c r="F236" s="116">
        <v>1029.3499999999999</v>
      </c>
      <c r="G236">
        <v>371357</v>
      </c>
      <c r="H236" s="116"/>
      <c r="I236" s="116"/>
      <c r="L236" s="170">
        <v>42347</v>
      </c>
      <c r="M236" s="116">
        <v>514.1</v>
      </c>
      <c r="N236" s="116">
        <v>523.47500000000002</v>
      </c>
      <c r="O236" s="116">
        <v>511.27499999999998</v>
      </c>
      <c r="P236" s="116">
        <v>521.5</v>
      </c>
      <c r="Q236" s="116">
        <v>1028.2</v>
      </c>
      <c r="R236">
        <v>3409127</v>
      </c>
    </row>
    <row r="237" spans="1:18" x14ac:dyDescent="0.25">
      <c r="A237" s="170">
        <v>42348</v>
      </c>
      <c r="B237" s="116">
        <v>525.75</v>
      </c>
      <c r="C237" s="116">
        <v>523.20000000000005</v>
      </c>
      <c r="D237" s="116">
        <v>515.22500000000002</v>
      </c>
      <c r="E237" s="116">
        <v>517.54999999999995</v>
      </c>
      <c r="F237" s="116">
        <v>1046.4000000000001</v>
      </c>
      <c r="G237">
        <v>214797</v>
      </c>
      <c r="H237" s="116"/>
      <c r="I237" s="116"/>
      <c r="L237" s="170">
        <v>42348</v>
      </c>
      <c r="M237" s="116">
        <v>523.67499999999995</v>
      </c>
      <c r="N237" s="116">
        <v>525.79999999999995</v>
      </c>
      <c r="O237" s="116">
        <v>515.15</v>
      </c>
      <c r="P237" s="116">
        <v>518.29999999999995</v>
      </c>
      <c r="Q237" s="116">
        <v>1047.3499999999999</v>
      </c>
      <c r="R237">
        <v>2793873</v>
      </c>
    </row>
    <row r="238" spans="1:18" x14ac:dyDescent="0.25">
      <c r="A238" s="170">
        <v>42349</v>
      </c>
      <c r="B238" s="116">
        <v>530.45000000000005</v>
      </c>
      <c r="C238" s="116">
        <v>526.17499999999995</v>
      </c>
      <c r="D238" s="116">
        <v>523</v>
      </c>
      <c r="E238" s="116">
        <v>525.04999999999995</v>
      </c>
      <c r="F238" s="116">
        <v>1052.3499999999999</v>
      </c>
      <c r="G238">
        <v>183240</v>
      </c>
      <c r="H238" s="116"/>
      <c r="I238" s="116"/>
      <c r="L238" s="170">
        <v>42349</v>
      </c>
      <c r="M238" s="116">
        <v>526.4</v>
      </c>
      <c r="N238" s="116">
        <v>530.95000000000005</v>
      </c>
      <c r="O238" s="116">
        <v>522.95000000000005</v>
      </c>
      <c r="P238" s="116">
        <v>527</v>
      </c>
      <c r="Q238" s="116">
        <v>1052.8</v>
      </c>
      <c r="R238">
        <v>2695099</v>
      </c>
    </row>
    <row r="239" spans="1:18" x14ac:dyDescent="0.25">
      <c r="A239" s="170">
        <v>42352</v>
      </c>
      <c r="B239" s="116">
        <v>536.65</v>
      </c>
      <c r="C239" s="116">
        <v>534.75</v>
      </c>
      <c r="D239" s="116">
        <v>524.5</v>
      </c>
      <c r="E239" s="116">
        <v>525</v>
      </c>
      <c r="F239" s="116">
        <v>1069.5</v>
      </c>
      <c r="G239">
        <v>152225</v>
      </c>
      <c r="H239" s="116"/>
      <c r="I239" s="116"/>
      <c r="L239" s="170">
        <v>42352</v>
      </c>
      <c r="M239" s="116">
        <v>534.75</v>
      </c>
      <c r="N239" s="116">
        <v>536.57500000000005</v>
      </c>
      <c r="O239" s="116">
        <v>524.02499999999998</v>
      </c>
      <c r="P239" s="116">
        <v>524.75</v>
      </c>
      <c r="Q239" s="116">
        <v>1069.5</v>
      </c>
      <c r="R239">
        <v>2408336</v>
      </c>
    </row>
    <row r="240" spans="1:18" x14ac:dyDescent="0.25">
      <c r="A240" s="170">
        <v>42353</v>
      </c>
      <c r="B240" s="116">
        <v>539.9</v>
      </c>
      <c r="C240" s="116">
        <v>538.45000000000005</v>
      </c>
      <c r="D240" s="116">
        <v>529.07500000000005</v>
      </c>
      <c r="E240" s="116">
        <v>537.5</v>
      </c>
      <c r="F240" s="116">
        <v>1076.9000000000001</v>
      </c>
      <c r="G240">
        <v>122227</v>
      </c>
      <c r="H240" s="116"/>
      <c r="I240" s="116"/>
      <c r="L240" s="170">
        <v>42353</v>
      </c>
      <c r="M240" s="116">
        <v>538.77499999999998</v>
      </c>
      <c r="N240" s="116">
        <v>539.54999999999995</v>
      </c>
      <c r="O240" s="116">
        <v>529.4</v>
      </c>
      <c r="P240" s="116">
        <v>536.625</v>
      </c>
      <c r="Q240" s="116">
        <v>1077.55</v>
      </c>
      <c r="R240">
        <v>2715904</v>
      </c>
    </row>
    <row r="241" spans="1:18" x14ac:dyDescent="0.25">
      <c r="A241" s="170">
        <v>42354</v>
      </c>
      <c r="B241" s="116">
        <v>548.9</v>
      </c>
      <c r="C241" s="116">
        <v>547.70000000000005</v>
      </c>
      <c r="D241" s="116">
        <v>540</v>
      </c>
      <c r="E241" s="116">
        <v>540</v>
      </c>
      <c r="F241" s="116">
        <v>1095.4000000000001</v>
      </c>
      <c r="G241">
        <v>114102</v>
      </c>
      <c r="H241" s="116"/>
      <c r="I241" s="116"/>
      <c r="L241" s="170">
        <v>42354</v>
      </c>
      <c r="M241" s="116">
        <v>547.92499999999995</v>
      </c>
      <c r="N241" s="116">
        <v>549</v>
      </c>
      <c r="O241" s="116">
        <v>541.70000000000005</v>
      </c>
      <c r="P241" s="116">
        <v>541.70000000000005</v>
      </c>
      <c r="Q241" s="116">
        <v>1095.8499999999999</v>
      </c>
      <c r="R241">
        <v>2747926</v>
      </c>
    </row>
    <row r="242" spans="1:18" x14ac:dyDescent="0.25">
      <c r="A242" s="170">
        <v>42355</v>
      </c>
      <c r="B242" s="116">
        <v>555</v>
      </c>
      <c r="C242" s="116">
        <v>553.47500000000002</v>
      </c>
      <c r="D242" s="116">
        <v>544</v>
      </c>
      <c r="E242" s="116">
        <v>550</v>
      </c>
      <c r="F242" s="116">
        <v>1106.95</v>
      </c>
      <c r="G242">
        <v>239233</v>
      </c>
      <c r="H242" s="116"/>
      <c r="I242" s="116"/>
      <c r="L242" s="170">
        <v>42355</v>
      </c>
      <c r="M242" s="116">
        <v>553.54999999999995</v>
      </c>
      <c r="N242" s="116">
        <v>554.9</v>
      </c>
      <c r="O242" s="116">
        <v>544</v>
      </c>
      <c r="P242" s="116">
        <v>550</v>
      </c>
      <c r="Q242" s="116">
        <v>1107.0999999999999</v>
      </c>
      <c r="R242">
        <v>2479391</v>
      </c>
    </row>
    <row r="243" spans="1:18" x14ac:dyDescent="0.25">
      <c r="A243" s="170">
        <v>42356</v>
      </c>
      <c r="B243" s="116">
        <v>551.47500000000002</v>
      </c>
      <c r="C243" s="116">
        <v>542.97500000000002</v>
      </c>
      <c r="D243" s="116">
        <v>540.04999999999995</v>
      </c>
      <c r="E243" s="116">
        <v>549</v>
      </c>
      <c r="F243" s="116">
        <v>1085.95</v>
      </c>
      <c r="G243">
        <v>181304</v>
      </c>
      <c r="H243" s="116"/>
      <c r="I243" s="116"/>
      <c r="L243" s="170">
        <v>42356</v>
      </c>
      <c r="M243" s="116">
        <v>541.57500000000005</v>
      </c>
      <c r="N243" s="116">
        <v>551.70000000000005</v>
      </c>
      <c r="O243" s="116">
        <v>539.72500000000002</v>
      </c>
      <c r="P243" s="116">
        <v>551.70000000000005</v>
      </c>
      <c r="Q243" s="116">
        <v>1083.1500000000001</v>
      </c>
      <c r="R243">
        <v>3609910</v>
      </c>
    </row>
    <row r="244" spans="1:18" x14ac:dyDescent="0.25">
      <c r="A244" s="170">
        <v>42359</v>
      </c>
      <c r="B244" s="116">
        <v>552.375</v>
      </c>
      <c r="C244" s="116">
        <v>551</v>
      </c>
      <c r="D244" s="116">
        <v>535.45000000000005</v>
      </c>
      <c r="E244" s="116">
        <v>537.5</v>
      </c>
      <c r="F244" s="116">
        <v>1102</v>
      </c>
      <c r="G244">
        <v>113148</v>
      </c>
      <c r="H244" s="116"/>
      <c r="I244" s="116"/>
      <c r="L244" s="170">
        <v>42359</v>
      </c>
      <c r="M244" s="116">
        <v>551.72500000000002</v>
      </c>
      <c r="N244" s="116">
        <v>553.70000000000005</v>
      </c>
      <c r="O244" s="116">
        <v>532.97500000000002</v>
      </c>
      <c r="P244" s="116">
        <v>538.5</v>
      </c>
      <c r="Q244" s="116">
        <v>1103.45</v>
      </c>
      <c r="R244">
        <v>2165506</v>
      </c>
    </row>
    <row r="245" spans="1:18" x14ac:dyDescent="0.25">
      <c r="A245" s="170">
        <v>42360</v>
      </c>
      <c r="B245" s="116">
        <v>550</v>
      </c>
      <c r="C245" s="116">
        <v>541.79999999999995</v>
      </c>
      <c r="D245" s="116">
        <v>540.25</v>
      </c>
      <c r="E245" s="116">
        <v>550</v>
      </c>
      <c r="F245" s="116">
        <v>1083.5999999999999</v>
      </c>
      <c r="G245">
        <v>101654</v>
      </c>
      <c r="H245" s="116"/>
      <c r="I245" s="116"/>
      <c r="L245" s="170">
        <v>42360</v>
      </c>
      <c r="M245" s="116">
        <v>541.875</v>
      </c>
      <c r="N245" s="116">
        <v>548.72500000000002</v>
      </c>
      <c r="O245" s="116">
        <v>540.04999999999995</v>
      </c>
      <c r="P245" s="116">
        <v>548.72500000000002</v>
      </c>
      <c r="Q245" s="116">
        <v>1083.75</v>
      </c>
      <c r="R245">
        <v>2054627</v>
      </c>
    </row>
    <row r="246" spans="1:18" x14ac:dyDescent="0.25">
      <c r="A246" s="170">
        <v>42361</v>
      </c>
      <c r="B246" s="116">
        <v>550</v>
      </c>
      <c r="C246" s="116">
        <v>549</v>
      </c>
      <c r="D246" s="116">
        <v>543.5</v>
      </c>
      <c r="E246" s="116">
        <v>544</v>
      </c>
      <c r="F246" s="116">
        <v>1098</v>
      </c>
      <c r="G246">
        <v>84969</v>
      </c>
      <c r="H246" s="116"/>
      <c r="I246" s="116"/>
      <c r="L246" s="170">
        <v>42361</v>
      </c>
      <c r="M246" s="116">
        <v>550.42499999999995</v>
      </c>
      <c r="N246" s="116">
        <v>551.25</v>
      </c>
      <c r="O246" s="116">
        <v>543.52499999999998</v>
      </c>
      <c r="P246" s="116">
        <v>547.52499999999998</v>
      </c>
      <c r="Q246" s="116">
        <v>1100.8499999999999</v>
      </c>
      <c r="R246">
        <v>1435464</v>
      </c>
    </row>
    <row r="247" spans="1:18" x14ac:dyDescent="0.25">
      <c r="A247" s="170">
        <v>42362</v>
      </c>
      <c r="B247" s="116">
        <v>551.70000000000005</v>
      </c>
      <c r="C247" s="116">
        <v>547.92499999999995</v>
      </c>
      <c r="D247" s="116">
        <v>545.20000000000005</v>
      </c>
      <c r="E247" s="116">
        <v>550</v>
      </c>
      <c r="F247" s="116">
        <v>1095.8499999999999</v>
      </c>
      <c r="G247">
        <v>44727</v>
      </c>
      <c r="H247" s="116"/>
      <c r="I247" s="116"/>
      <c r="L247" s="170">
        <v>42362</v>
      </c>
      <c r="M247" s="116">
        <v>548.17499999999995</v>
      </c>
      <c r="N247" s="116">
        <v>552.22500000000002</v>
      </c>
      <c r="O247" s="116">
        <v>545.04999999999995</v>
      </c>
      <c r="P247" s="116">
        <v>551.02499999999998</v>
      </c>
      <c r="Q247" s="116">
        <v>1096.3499999999999</v>
      </c>
      <c r="R247">
        <v>615027</v>
      </c>
    </row>
    <row r="248" spans="1:18" x14ac:dyDescent="0.25">
      <c r="A248" s="170">
        <v>42366</v>
      </c>
      <c r="B248" s="116">
        <v>553.79999999999995</v>
      </c>
      <c r="C248" s="116">
        <v>550.82500000000005</v>
      </c>
      <c r="D248" s="116">
        <v>545</v>
      </c>
      <c r="E248" s="116">
        <v>546.35</v>
      </c>
      <c r="F248" s="116">
        <v>1101.6500000000001</v>
      </c>
      <c r="G248">
        <v>79575</v>
      </c>
      <c r="H248" s="116"/>
      <c r="I248" s="116"/>
      <c r="L248" s="170">
        <v>42366</v>
      </c>
      <c r="M248" s="116">
        <v>552.375</v>
      </c>
      <c r="N248" s="116">
        <v>555</v>
      </c>
      <c r="O248" s="116">
        <v>545</v>
      </c>
      <c r="P248" s="116">
        <v>545</v>
      </c>
      <c r="Q248" s="116">
        <v>1104.75</v>
      </c>
      <c r="R248">
        <v>2763476</v>
      </c>
    </row>
    <row r="249" spans="1:18" x14ac:dyDescent="0.25">
      <c r="A249" s="170">
        <v>42367</v>
      </c>
      <c r="B249" s="116">
        <v>554.82500000000005</v>
      </c>
      <c r="C249" s="116">
        <v>551.875</v>
      </c>
      <c r="D249" s="116">
        <v>548.75</v>
      </c>
      <c r="E249" s="116">
        <v>550.54999999999995</v>
      </c>
      <c r="F249" s="116">
        <v>1103.75</v>
      </c>
      <c r="G249">
        <v>56203</v>
      </c>
      <c r="H249" s="116"/>
      <c r="I249" s="116"/>
      <c r="L249" s="170">
        <v>42367</v>
      </c>
      <c r="M249" s="116">
        <v>552.35</v>
      </c>
      <c r="N249" s="116">
        <v>555</v>
      </c>
      <c r="O249" s="116">
        <v>548.65</v>
      </c>
      <c r="P249" s="116">
        <v>550.625</v>
      </c>
      <c r="Q249" s="116">
        <v>1104.7</v>
      </c>
      <c r="R249">
        <v>1672531</v>
      </c>
    </row>
    <row r="250" spans="1:18" x14ac:dyDescent="0.25">
      <c r="A250" s="170">
        <v>42368</v>
      </c>
      <c r="B250" s="116">
        <v>553.17499999999995</v>
      </c>
      <c r="C250" s="116">
        <v>543.02499999999998</v>
      </c>
      <c r="D250" s="116">
        <v>541.75</v>
      </c>
      <c r="E250" s="116">
        <v>550</v>
      </c>
      <c r="F250" s="116">
        <v>1086.05</v>
      </c>
      <c r="G250">
        <v>91402</v>
      </c>
      <c r="H250" s="116"/>
      <c r="I250" s="116"/>
      <c r="L250" s="170">
        <v>42368</v>
      </c>
      <c r="M250" s="116">
        <v>543.15</v>
      </c>
      <c r="N250" s="116">
        <v>553.29999999999995</v>
      </c>
      <c r="O250" s="116">
        <v>541.5</v>
      </c>
      <c r="P250" s="116">
        <v>550.54999999999995</v>
      </c>
      <c r="Q250" s="116">
        <v>1086.3</v>
      </c>
      <c r="R250">
        <v>2576985</v>
      </c>
    </row>
    <row r="251" spans="1:18" x14ac:dyDescent="0.25">
      <c r="A251" s="170">
        <v>42369</v>
      </c>
      <c r="B251" s="116">
        <v>554.5</v>
      </c>
      <c r="C251" s="116">
        <v>552.27499999999998</v>
      </c>
      <c r="D251" s="116">
        <v>544</v>
      </c>
      <c r="E251" s="116">
        <v>544</v>
      </c>
      <c r="F251" s="116">
        <v>1104.55</v>
      </c>
      <c r="G251">
        <v>80683</v>
      </c>
      <c r="H251" s="116"/>
      <c r="I251" s="116"/>
      <c r="L251" s="170">
        <v>42369</v>
      </c>
      <c r="M251" s="116">
        <v>552.70000000000005</v>
      </c>
      <c r="N251" s="116">
        <v>554.97500000000002</v>
      </c>
      <c r="O251" s="116">
        <v>543.5</v>
      </c>
      <c r="P251" s="116">
        <v>545.07500000000005</v>
      </c>
      <c r="Q251" s="116">
        <v>1105.4000000000001</v>
      </c>
      <c r="R251">
        <v>3971969</v>
      </c>
    </row>
    <row r="252" spans="1:18" x14ac:dyDescent="0.25">
      <c r="A252" s="170">
        <v>42370</v>
      </c>
      <c r="B252" s="116">
        <v>554.45000000000005</v>
      </c>
      <c r="C252" s="116">
        <v>551.57500000000005</v>
      </c>
      <c r="D252" s="116">
        <v>547.15</v>
      </c>
      <c r="E252" s="116">
        <v>550</v>
      </c>
      <c r="F252" s="116">
        <v>1103.1500000000001</v>
      </c>
      <c r="G252">
        <v>54123</v>
      </c>
      <c r="H252" s="116"/>
      <c r="I252" s="116"/>
      <c r="L252" s="170">
        <v>42370</v>
      </c>
      <c r="M252" s="116">
        <v>552.625</v>
      </c>
      <c r="N252" s="116">
        <v>554.47500000000002</v>
      </c>
      <c r="O252" s="116">
        <v>546.6</v>
      </c>
      <c r="P252" s="116">
        <v>550</v>
      </c>
      <c r="Q252" s="116">
        <v>1105.25</v>
      </c>
      <c r="R252">
        <v>903275</v>
      </c>
    </row>
    <row r="253" spans="1:18" x14ac:dyDescent="0.25">
      <c r="A253" s="170">
        <v>42373</v>
      </c>
      <c r="B253" s="116">
        <v>551.57500000000005</v>
      </c>
      <c r="C253" s="116">
        <v>540.29999999999995</v>
      </c>
      <c r="D253" s="116">
        <v>538.75</v>
      </c>
      <c r="E253" s="116">
        <v>551.57500000000005</v>
      </c>
      <c r="F253" s="116">
        <v>1080.5999999999999</v>
      </c>
      <c r="G253">
        <v>86761</v>
      </c>
      <c r="H253" s="116"/>
      <c r="I253" s="116"/>
      <c r="L253" s="170">
        <v>42373</v>
      </c>
      <c r="M253" s="116">
        <v>539.45000000000005</v>
      </c>
      <c r="N253" s="116">
        <v>551.22500000000002</v>
      </c>
      <c r="O253" s="116">
        <v>538.02499999999998</v>
      </c>
      <c r="P253" s="116">
        <v>549.97500000000002</v>
      </c>
      <c r="Q253" s="116">
        <v>1078.9000000000001</v>
      </c>
      <c r="R253">
        <v>1987681</v>
      </c>
    </row>
    <row r="254" spans="1:18" x14ac:dyDescent="0.25">
      <c r="A254" s="170">
        <v>42374</v>
      </c>
      <c r="B254" s="116">
        <v>544</v>
      </c>
      <c r="C254" s="116">
        <v>537.4</v>
      </c>
      <c r="D254" s="116">
        <v>531.5</v>
      </c>
      <c r="E254" s="116">
        <v>541.5</v>
      </c>
      <c r="F254" s="116">
        <v>1074.8</v>
      </c>
      <c r="G254">
        <v>118328</v>
      </c>
      <c r="H254" s="116"/>
      <c r="I254" s="116"/>
      <c r="L254" s="170">
        <v>42374</v>
      </c>
      <c r="M254" s="116">
        <v>537.02499999999998</v>
      </c>
      <c r="N254" s="116">
        <v>542.75</v>
      </c>
      <c r="O254" s="116">
        <v>531.125</v>
      </c>
      <c r="P254" s="116">
        <v>542.75</v>
      </c>
      <c r="Q254" s="116">
        <v>1074.05</v>
      </c>
      <c r="R254">
        <v>2474893</v>
      </c>
    </row>
    <row r="255" spans="1:18" x14ac:dyDescent="0.25">
      <c r="A255" s="170">
        <v>42375</v>
      </c>
      <c r="B255" s="116">
        <v>537.25</v>
      </c>
      <c r="C255" s="116">
        <v>534.72500000000002</v>
      </c>
      <c r="D255" s="116">
        <v>529.54999999999995</v>
      </c>
      <c r="E255" s="116">
        <v>536.5</v>
      </c>
      <c r="F255" s="116">
        <v>1069.45</v>
      </c>
      <c r="G255">
        <v>108090</v>
      </c>
      <c r="H255" s="116"/>
      <c r="I255" s="116"/>
      <c r="L255" s="170">
        <v>42375</v>
      </c>
      <c r="M255" s="116">
        <v>534.67499999999995</v>
      </c>
      <c r="N255" s="116">
        <v>537.32500000000005</v>
      </c>
      <c r="O255" s="116">
        <v>529.45000000000005</v>
      </c>
      <c r="P255" s="116">
        <v>537.32500000000005</v>
      </c>
      <c r="Q255" s="116">
        <v>1069.3499999999999</v>
      </c>
      <c r="R255">
        <v>2794164</v>
      </c>
    </row>
    <row r="256" spans="1:18" x14ac:dyDescent="0.25">
      <c r="A256" s="170">
        <v>42376</v>
      </c>
      <c r="B256" s="116">
        <v>533.97500000000002</v>
      </c>
      <c r="C256" s="116">
        <v>525.625</v>
      </c>
      <c r="D256" s="116">
        <v>524.15</v>
      </c>
      <c r="E256" s="116">
        <v>530</v>
      </c>
      <c r="F256" s="116">
        <v>1051.25</v>
      </c>
      <c r="G256">
        <v>96322</v>
      </c>
      <c r="H256" s="116"/>
      <c r="I256" s="116"/>
      <c r="L256" s="170">
        <v>42376</v>
      </c>
      <c r="M256" s="116">
        <v>525.4</v>
      </c>
      <c r="N256" s="116">
        <v>533.95000000000005</v>
      </c>
      <c r="O256" s="116">
        <v>523.95000000000005</v>
      </c>
      <c r="P256" s="116">
        <v>530.02499999999998</v>
      </c>
      <c r="Q256" s="116">
        <v>1050.8</v>
      </c>
      <c r="R256">
        <v>2647044</v>
      </c>
    </row>
    <row r="257" spans="1:18" x14ac:dyDescent="0.25">
      <c r="A257" s="170">
        <v>42377</v>
      </c>
      <c r="B257" s="116">
        <v>534.25</v>
      </c>
      <c r="C257" s="116">
        <v>531.32500000000005</v>
      </c>
      <c r="D257" s="116">
        <v>527.95000000000005</v>
      </c>
      <c r="E257" s="116">
        <v>528</v>
      </c>
      <c r="F257" s="116">
        <v>1062.6500000000001</v>
      </c>
      <c r="G257">
        <v>84418</v>
      </c>
      <c r="H257" s="116"/>
      <c r="I257" s="116"/>
      <c r="L257" s="170">
        <v>42377</v>
      </c>
      <c r="M257" s="116">
        <v>531.65</v>
      </c>
      <c r="N257" s="116">
        <v>533.70000000000005</v>
      </c>
      <c r="O257" s="116">
        <v>527.75</v>
      </c>
      <c r="P257" s="116">
        <v>530.75</v>
      </c>
      <c r="Q257" s="116">
        <v>1063.3</v>
      </c>
      <c r="R257">
        <v>1578358</v>
      </c>
    </row>
    <row r="258" spans="1:18" x14ac:dyDescent="0.25">
      <c r="A258" s="170">
        <v>42380</v>
      </c>
      <c r="B258" s="116">
        <v>534.72500000000002</v>
      </c>
      <c r="C258" s="116">
        <v>528.54999999999995</v>
      </c>
      <c r="D258" s="116">
        <v>526.25</v>
      </c>
      <c r="E258" s="116">
        <v>530</v>
      </c>
      <c r="F258" s="116">
        <v>1057.0999999999999</v>
      </c>
      <c r="G258">
        <v>257718</v>
      </c>
      <c r="H258" s="116"/>
      <c r="I258" s="116"/>
      <c r="L258" s="170">
        <v>42380</v>
      </c>
      <c r="M258" s="116">
        <v>527.85</v>
      </c>
      <c r="N258" s="116">
        <v>534.97500000000002</v>
      </c>
      <c r="O258" s="116">
        <v>526.04999999999995</v>
      </c>
      <c r="P258" s="116">
        <v>528.15</v>
      </c>
      <c r="Q258" s="116">
        <v>1055.7</v>
      </c>
      <c r="R258">
        <v>2680311</v>
      </c>
    </row>
    <row r="259" spans="1:18" x14ac:dyDescent="0.25">
      <c r="A259" s="170">
        <v>42381</v>
      </c>
      <c r="B259" s="116">
        <v>530.75</v>
      </c>
      <c r="C259" s="116">
        <v>525.02499999999998</v>
      </c>
      <c r="D259" s="116">
        <v>515.92499999999995</v>
      </c>
      <c r="E259" s="116">
        <v>529.5</v>
      </c>
      <c r="F259" s="116">
        <v>1050.05</v>
      </c>
      <c r="G259">
        <v>139898</v>
      </c>
      <c r="H259" s="116"/>
      <c r="I259" s="116"/>
      <c r="L259" s="170">
        <v>42381</v>
      </c>
      <c r="M259" s="116">
        <v>524.97500000000002</v>
      </c>
      <c r="N259" s="116">
        <v>531.47500000000002</v>
      </c>
      <c r="O259" s="116">
        <v>515.42499999999995</v>
      </c>
      <c r="P259" s="116">
        <v>531</v>
      </c>
      <c r="Q259" s="116">
        <v>1049.95</v>
      </c>
      <c r="R259">
        <v>3282606</v>
      </c>
    </row>
    <row r="260" spans="1:18" x14ac:dyDescent="0.25">
      <c r="A260" s="170">
        <v>42382</v>
      </c>
      <c r="B260" s="116">
        <v>545</v>
      </c>
      <c r="C260" s="116">
        <v>541.17499999999995</v>
      </c>
      <c r="D260" s="116">
        <v>523.79999999999995</v>
      </c>
      <c r="E260" s="116">
        <v>525</v>
      </c>
      <c r="F260" s="116">
        <v>1082.3499999999999</v>
      </c>
      <c r="G260">
        <v>246428</v>
      </c>
      <c r="H260" s="116"/>
      <c r="I260" s="116"/>
      <c r="L260" s="170">
        <v>42382</v>
      </c>
      <c r="M260" s="116">
        <v>541.70000000000005</v>
      </c>
      <c r="N260" s="116">
        <v>545.5</v>
      </c>
      <c r="O260" s="116">
        <v>524.04999999999995</v>
      </c>
      <c r="P260" s="116">
        <v>528.5</v>
      </c>
      <c r="Q260" s="116">
        <v>1083.4000000000001</v>
      </c>
      <c r="R260">
        <v>4375647</v>
      </c>
    </row>
    <row r="261" spans="1:18" x14ac:dyDescent="0.25">
      <c r="A261" s="170">
        <v>42383</v>
      </c>
      <c r="B261" s="116">
        <v>577.5</v>
      </c>
      <c r="C261" s="116">
        <v>564.35</v>
      </c>
      <c r="D261" s="116">
        <v>527.47500000000002</v>
      </c>
      <c r="E261" s="116">
        <v>534</v>
      </c>
      <c r="F261" s="116">
        <v>1128.7</v>
      </c>
      <c r="G261">
        <v>1741690</v>
      </c>
      <c r="H261" s="116"/>
      <c r="I261" s="116"/>
      <c r="L261" s="170">
        <v>42383</v>
      </c>
      <c r="M261" s="116">
        <v>566.5</v>
      </c>
      <c r="N261" s="116">
        <v>577.5</v>
      </c>
      <c r="O261" s="116">
        <v>527.17499999999995</v>
      </c>
      <c r="P261" s="116">
        <v>533</v>
      </c>
      <c r="Q261" s="116">
        <v>1133</v>
      </c>
      <c r="R261">
        <v>15113503</v>
      </c>
    </row>
    <row r="262" spans="1:18" x14ac:dyDescent="0.25">
      <c r="A262" s="170">
        <v>42384</v>
      </c>
      <c r="B262" s="116">
        <v>581.72500000000002</v>
      </c>
      <c r="C262" s="116">
        <v>570.1</v>
      </c>
      <c r="D262" s="116">
        <v>568.27499999999998</v>
      </c>
      <c r="E262" s="116">
        <v>572.5</v>
      </c>
      <c r="F262" s="116">
        <v>1140.2</v>
      </c>
      <c r="G262">
        <v>245741</v>
      </c>
      <c r="H262" s="116"/>
      <c r="I262" s="116"/>
      <c r="L262" s="170">
        <v>42384</v>
      </c>
      <c r="M262" s="116">
        <v>569.95000000000005</v>
      </c>
      <c r="N262" s="116">
        <v>582</v>
      </c>
      <c r="O262" s="116">
        <v>568.77499999999998</v>
      </c>
      <c r="P262" s="116">
        <v>574</v>
      </c>
      <c r="Q262" s="116">
        <v>1139.9000000000001</v>
      </c>
      <c r="R262">
        <v>6518307</v>
      </c>
    </row>
    <row r="263" spans="1:18" x14ac:dyDescent="0.25">
      <c r="A263" s="170">
        <v>42387</v>
      </c>
      <c r="B263" s="116">
        <v>580.72500000000002</v>
      </c>
      <c r="C263" s="116">
        <v>565.97500000000002</v>
      </c>
      <c r="D263" s="116">
        <v>564</v>
      </c>
      <c r="E263" s="116">
        <v>569</v>
      </c>
      <c r="F263" s="116">
        <v>1131.95</v>
      </c>
      <c r="G263">
        <v>182391</v>
      </c>
      <c r="H263" s="116"/>
      <c r="I263" s="116"/>
      <c r="L263" s="170">
        <v>42387</v>
      </c>
      <c r="M263" s="116">
        <v>565.95000000000005</v>
      </c>
      <c r="N263" s="116">
        <v>581.04999999999995</v>
      </c>
      <c r="O263" s="116">
        <v>564.17499999999995</v>
      </c>
      <c r="P263" s="116">
        <v>569.95000000000005</v>
      </c>
      <c r="Q263" s="116">
        <v>1131.9000000000001</v>
      </c>
      <c r="R263">
        <v>5033306</v>
      </c>
    </row>
    <row r="264" spans="1:18" x14ac:dyDescent="0.25">
      <c r="A264" s="170">
        <v>42388</v>
      </c>
      <c r="B264" s="116">
        <v>579.35</v>
      </c>
      <c r="C264" s="116">
        <v>569.54999999999995</v>
      </c>
      <c r="D264" s="116">
        <v>564.75</v>
      </c>
      <c r="E264" s="116">
        <v>567.5</v>
      </c>
      <c r="F264" s="116">
        <v>1139.0999999999999</v>
      </c>
      <c r="G264">
        <v>357103</v>
      </c>
      <c r="H264" s="116"/>
      <c r="I264" s="116"/>
      <c r="L264" s="170">
        <v>42388</v>
      </c>
      <c r="M264" s="116">
        <v>569.82500000000005</v>
      </c>
      <c r="N264" s="116">
        <v>579.47500000000002</v>
      </c>
      <c r="O264" s="116">
        <v>564.27499999999998</v>
      </c>
      <c r="P264" s="116">
        <v>567.5</v>
      </c>
      <c r="Q264" s="116">
        <v>1139.6500000000001</v>
      </c>
      <c r="R264">
        <v>3750218</v>
      </c>
    </row>
    <row r="265" spans="1:18" x14ac:dyDescent="0.25">
      <c r="A265" s="170">
        <v>42389</v>
      </c>
      <c r="B265" s="116">
        <v>572.5</v>
      </c>
      <c r="C265" s="116">
        <v>560.82500000000005</v>
      </c>
      <c r="D265" s="116">
        <v>558.29999999999995</v>
      </c>
      <c r="E265" s="116">
        <v>569.54999999999995</v>
      </c>
      <c r="F265" s="116">
        <v>1121.6500000000001</v>
      </c>
      <c r="G265">
        <v>210916</v>
      </c>
      <c r="H265" s="116"/>
      <c r="I265" s="116"/>
      <c r="L265" s="170">
        <v>42389</v>
      </c>
      <c r="M265" s="116">
        <v>560.625</v>
      </c>
      <c r="N265" s="116">
        <v>580</v>
      </c>
      <c r="O265" s="116">
        <v>558.5</v>
      </c>
      <c r="P265" s="116">
        <v>567</v>
      </c>
      <c r="Q265" s="116">
        <v>1121.25</v>
      </c>
      <c r="R265">
        <v>3753999</v>
      </c>
    </row>
    <row r="266" spans="1:18" x14ac:dyDescent="0.25">
      <c r="A266" s="170">
        <v>42390</v>
      </c>
      <c r="B266" s="116">
        <v>571.25</v>
      </c>
      <c r="C266" s="116">
        <v>568.25</v>
      </c>
      <c r="D266" s="116">
        <v>561.25</v>
      </c>
      <c r="E266" s="116">
        <v>564</v>
      </c>
      <c r="F266" s="116">
        <v>1136.5</v>
      </c>
      <c r="G266">
        <v>158126</v>
      </c>
      <c r="H266" s="116"/>
      <c r="I266" s="116"/>
      <c r="L266" s="170">
        <v>42390</v>
      </c>
      <c r="M266" s="116">
        <v>568.52499999999998</v>
      </c>
      <c r="N266" s="116">
        <v>571.25</v>
      </c>
      <c r="O266" s="116">
        <v>561</v>
      </c>
      <c r="P266" s="116">
        <v>567.5</v>
      </c>
      <c r="Q266" s="116">
        <v>1137.05</v>
      </c>
      <c r="R266">
        <v>3371500</v>
      </c>
    </row>
    <row r="267" spans="1:18" x14ac:dyDescent="0.25">
      <c r="A267" s="170">
        <v>42391</v>
      </c>
      <c r="B267" s="116">
        <v>576</v>
      </c>
      <c r="C267" s="116">
        <v>567.95000000000005</v>
      </c>
      <c r="D267" s="116">
        <v>565</v>
      </c>
      <c r="E267" s="116">
        <v>570</v>
      </c>
      <c r="F267" s="116">
        <v>1135.9000000000001</v>
      </c>
      <c r="G267">
        <v>114510</v>
      </c>
      <c r="H267" s="116"/>
      <c r="I267" s="116"/>
      <c r="L267" s="170">
        <v>42391</v>
      </c>
      <c r="M267" s="116">
        <v>568.125</v>
      </c>
      <c r="N267" s="116">
        <v>576.25</v>
      </c>
      <c r="O267" s="116">
        <v>565.5</v>
      </c>
      <c r="P267" s="116">
        <v>574.04999999999995</v>
      </c>
      <c r="Q267" s="116">
        <v>1136.25</v>
      </c>
      <c r="R267">
        <v>3218009</v>
      </c>
    </row>
    <row r="268" spans="1:18" x14ac:dyDescent="0.25">
      <c r="A268" s="170">
        <v>42394</v>
      </c>
      <c r="B268" s="116">
        <v>573.47500000000002</v>
      </c>
      <c r="C268" s="116">
        <v>568.82500000000005</v>
      </c>
      <c r="D268" s="116">
        <v>562.79999999999995</v>
      </c>
      <c r="E268" s="116">
        <v>570</v>
      </c>
      <c r="F268" s="116">
        <v>1137.6500000000001</v>
      </c>
      <c r="G268">
        <v>82957</v>
      </c>
      <c r="H268" s="116"/>
      <c r="I268" s="116"/>
      <c r="L268" s="170">
        <v>42394</v>
      </c>
      <c r="M268" s="116">
        <v>568.82500000000005</v>
      </c>
      <c r="N268" s="116">
        <v>573.42499999999995</v>
      </c>
      <c r="O268" s="116">
        <v>562.27499999999998</v>
      </c>
      <c r="P268" s="116">
        <v>570.125</v>
      </c>
      <c r="Q268" s="116">
        <v>1137.6500000000001</v>
      </c>
      <c r="R268">
        <v>2289631</v>
      </c>
    </row>
    <row r="269" spans="1:18" x14ac:dyDescent="0.25">
      <c r="A269" s="170">
        <v>42396</v>
      </c>
      <c r="B269" s="116">
        <v>574.92499999999995</v>
      </c>
      <c r="C269" s="116">
        <v>569.17499999999995</v>
      </c>
      <c r="D269" s="116">
        <v>568</v>
      </c>
      <c r="E269" s="116">
        <v>574.70000000000005</v>
      </c>
      <c r="F269" s="116">
        <v>1138.3499999999999</v>
      </c>
      <c r="G269">
        <v>65148</v>
      </c>
      <c r="H269" s="116"/>
      <c r="I269" s="116"/>
      <c r="L269" s="170">
        <v>42396</v>
      </c>
      <c r="M269" s="116">
        <v>569.25</v>
      </c>
      <c r="N269" s="116">
        <v>574.79999999999995</v>
      </c>
      <c r="O269" s="116">
        <v>567.5</v>
      </c>
      <c r="P269" s="116">
        <v>573.22500000000002</v>
      </c>
      <c r="Q269" s="116">
        <v>1138.5</v>
      </c>
      <c r="R269">
        <v>3485981</v>
      </c>
    </row>
    <row r="270" spans="1:18" x14ac:dyDescent="0.25">
      <c r="A270" s="170">
        <v>42397</v>
      </c>
      <c r="B270" s="116">
        <v>571.25</v>
      </c>
      <c r="C270" s="116">
        <v>565.67499999999995</v>
      </c>
      <c r="D270" s="116">
        <v>563.85</v>
      </c>
      <c r="E270" s="116">
        <v>569</v>
      </c>
      <c r="F270" s="116">
        <v>1131.3499999999999</v>
      </c>
      <c r="G270">
        <v>51720</v>
      </c>
      <c r="H270" s="116"/>
      <c r="I270" s="116"/>
      <c r="L270" s="170">
        <v>42397</v>
      </c>
      <c r="M270" s="116">
        <v>564.79999999999995</v>
      </c>
      <c r="N270" s="116">
        <v>571.29999999999995</v>
      </c>
      <c r="O270" s="116">
        <v>563.1</v>
      </c>
      <c r="P270" s="116">
        <v>568</v>
      </c>
      <c r="Q270" s="116">
        <v>1129.5999999999999</v>
      </c>
      <c r="R270">
        <v>3894299</v>
      </c>
    </row>
    <row r="271" spans="1:18" x14ac:dyDescent="0.25">
      <c r="A271" s="170">
        <v>42398</v>
      </c>
      <c r="B271" s="116">
        <v>584.85</v>
      </c>
      <c r="C271" s="116">
        <v>582.42499999999995</v>
      </c>
      <c r="D271" s="116">
        <v>566</v>
      </c>
      <c r="E271" s="116">
        <v>567.5</v>
      </c>
      <c r="F271" s="116">
        <v>1164.8499999999999</v>
      </c>
      <c r="G271">
        <v>253783</v>
      </c>
      <c r="H271" s="116"/>
      <c r="I271" s="116"/>
      <c r="L271" s="170">
        <v>42398</v>
      </c>
      <c r="M271" s="116">
        <v>582.45000000000005</v>
      </c>
      <c r="N271" s="116">
        <v>585</v>
      </c>
      <c r="O271" s="116">
        <v>565.79999999999995</v>
      </c>
      <c r="P271" s="116">
        <v>569</v>
      </c>
      <c r="Q271" s="116">
        <v>1164.9000000000001</v>
      </c>
      <c r="R271">
        <v>5116054</v>
      </c>
    </row>
    <row r="272" spans="1:18" x14ac:dyDescent="0.25">
      <c r="A272" s="170">
        <v>42401</v>
      </c>
      <c r="B272" s="116">
        <v>589.92499999999995</v>
      </c>
      <c r="C272" s="116">
        <v>585.65</v>
      </c>
      <c r="D272" s="116">
        <v>581.5</v>
      </c>
      <c r="E272" s="116">
        <v>585</v>
      </c>
      <c r="F272" s="116">
        <v>1171.3</v>
      </c>
      <c r="G272">
        <v>81396</v>
      </c>
      <c r="H272" s="116"/>
      <c r="I272" s="116"/>
      <c r="L272" s="170">
        <v>42401</v>
      </c>
      <c r="M272" s="116">
        <v>586.67499999999995</v>
      </c>
      <c r="N272" s="116">
        <v>589.95000000000005</v>
      </c>
      <c r="O272" s="116">
        <v>580.79999999999995</v>
      </c>
      <c r="P272" s="116">
        <v>585</v>
      </c>
      <c r="Q272" s="116">
        <v>1173.3499999999999</v>
      </c>
      <c r="R272">
        <v>2125563</v>
      </c>
    </row>
    <row r="273" spans="1:18" x14ac:dyDescent="0.25">
      <c r="A273" s="170">
        <v>42402</v>
      </c>
      <c r="B273" s="116">
        <v>594.125</v>
      </c>
      <c r="C273" s="116">
        <v>587.4</v>
      </c>
      <c r="D273" s="116">
        <v>584</v>
      </c>
      <c r="E273" s="116">
        <v>586</v>
      </c>
      <c r="F273" s="116">
        <v>1174.8</v>
      </c>
      <c r="G273">
        <v>159252</v>
      </c>
      <c r="H273" s="116"/>
      <c r="I273" s="116"/>
      <c r="L273" s="170">
        <v>42402</v>
      </c>
      <c r="M273" s="116">
        <v>587.77499999999998</v>
      </c>
      <c r="N273" s="116">
        <v>595</v>
      </c>
      <c r="O273" s="116">
        <v>582</v>
      </c>
      <c r="P273" s="116">
        <v>588.42499999999995</v>
      </c>
      <c r="Q273" s="116">
        <v>1175.55</v>
      </c>
      <c r="R273">
        <v>3816351</v>
      </c>
    </row>
    <row r="274" spans="1:18" x14ac:dyDescent="0.25">
      <c r="A274" s="170">
        <v>42403</v>
      </c>
      <c r="B274" s="116">
        <v>587.5</v>
      </c>
      <c r="C274" s="116">
        <v>579.07500000000005</v>
      </c>
      <c r="D274" s="116">
        <v>576.35</v>
      </c>
      <c r="E274" s="116">
        <v>585.5</v>
      </c>
      <c r="F274" s="116">
        <v>1158.1500000000001</v>
      </c>
      <c r="G274">
        <v>59095</v>
      </c>
      <c r="H274" s="116"/>
      <c r="I274" s="116"/>
      <c r="L274" s="170">
        <v>42403</v>
      </c>
      <c r="M274" s="116">
        <v>578.85</v>
      </c>
      <c r="N274" s="116">
        <v>587.95000000000005</v>
      </c>
      <c r="O274" s="116">
        <v>576.375</v>
      </c>
      <c r="P274" s="116">
        <v>583.9</v>
      </c>
      <c r="Q274" s="116">
        <v>1157.7</v>
      </c>
      <c r="R274">
        <v>2622983</v>
      </c>
    </row>
    <row r="275" spans="1:18" x14ac:dyDescent="0.25">
      <c r="A275" s="170">
        <v>42404</v>
      </c>
      <c r="B275" s="116">
        <v>596.79999999999995</v>
      </c>
      <c r="C275" s="116">
        <v>589.95000000000005</v>
      </c>
      <c r="D275" s="116">
        <v>580.875</v>
      </c>
      <c r="E275" s="116">
        <v>582</v>
      </c>
      <c r="F275" s="116">
        <v>1179.9000000000001</v>
      </c>
      <c r="G275">
        <v>111132</v>
      </c>
      <c r="H275" s="116"/>
      <c r="I275" s="116"/>
      <c r="L275" s="170">
        <v>42404</v>
      </c>
      <c r="M275" s="116">
        <v>589.875</v>
      </c>
      <c r="N275" s="116">
        <v>597.47500000000002</v>
      </c>
      <c r="O275" s="116">
        <v>580.02499999999998</v>
      </c>
      <c r="P275" s="116">
        <v>580.02499999999998</v>
      </c>
      <c r="Q275" s="116">
        <v>1179.75</v>
      </c>
      <c r="R275">
        <v>2774673</v>
      </c>
    </row>
    <row r="276" spans="1:18" x14ac:dyDescent="0.25">
      <c r="A276" s="170">
        <v>42405</v>
      </c>
      <c r="B276" s="116">
        <v>592.72500000000002</v>
      </c>
      <c r="C276" s="116">
        <v>587.47500000000002</v>
      </c>
      <c r="D276" s="116">
        <v>586.04999999999995</v>
      </c>
      <c r="E276" s="116">
        <v>589.5</v>
      </c>
      <c r="F276" s="116">
        <v>1174.95</v>
      </c>
      <c r="G276">
        <v>64237</v>
      </c>
      <c r="H276" s="116"/>
      <c r="I276" s="116"/>
      <c r="L276" s="170">
        <v>42405</v>
      </c>
      <c r="M276" s="116">
        <v>587.35</v>
      </c>
      <c r="N276" s="116">
        <v>593.32500000000005</v>
      </c>
      <c r="O276" s="116">
        <v>585.92499999999995</v>
      </c>
      <c r="P276" s="116">
        <v>587.75</v>
      </c>
      <c r="Q276" s="116">
        <v>1174.7</v>
      </c>
      <c r="R276">
        <v>1992112</v>
      </c>
    </row>
    <row r="277" spans="1:18" x14ac:dyDescent="0.25">
      <c r="A277" s="170">
        <v>42408</v>
      </c>
      <c r="B277" s="116">
        <v>585.9</v>
      </c>
      <c r="C277" s="116">
        <v>574.54999999999995</v>
      </c>
      <c r="D277" s="116">
        <v>571.67499999999995</v>
      </c>
      <c r="E277" s="116">
        <v>585</v>
      </c>
      <c r="F277" s="116">
        <v>1149.0999999999999</v>
      </c>
      <c r="G277">
        <v>105756</v>
      </c>
      <c r="H277" s="116"/>
      <c r="I277" s="116"/>
      <c r="L277" s="170">
        <v>42408</v>
      </c>
      <c r="M277" s="116">
        <v>575.4</v>
      </c>
      <c r="N277" s="116">
        <v>586.1</v>
      </c>
      <c r="O277" s="116">
        <v>571.9</v>
      </c>
      <c r="P277" s="116">
        <v>581.875</v>
      </c>
      <c r="Q277" s="116">
        <v>1150.8</v>
      </c>
      <c r="R277">
        <v>2110522</v>
      </c>
    </row>
    <row r="278" spans="1:18" x14ac:dyDescent="0.25">
      <c r="A278" s="170">
        <v>42409</v>
      </c>
      <c r="B278" s="116">
        <v>565</v>
      </c>
      <c r="C278" s="116">
        <v>554.65</v>
      </c>
      <c r="D278" s="116">
        <v>547</v>
      </c>
      <c r="E278" s="116">
        <v>565</v>
      </c>
      <c r="F278" s="116">
        <v>1109.3</v>
      </c>
      <c r="G278">
        <v>151274</v>
      </c>
      <c r="H278" s="116"/>
      <c r="I278" s="116"/>
      <c r="L278" s="170">
        <v>42409</v>
      </c>
      <c r="M278" s="116">
        <v>553.82500000000005</v>
      </c>
      <c r="N278" s="116">
        <v>564.15</v>
      </c>
      <c r="O278" s="116">
        <v>546.75</v>
      </c>
      <c r="P278" s="116">
        <v>564.15</v>
      </c>
      <c r="Q278" s="116">
        <v>1107.6500000000001</v>
      </c>
      <c r="R278">
        <v>3789786</v>
      </c>
    </row>
    <row r="279" spans="1:18" x14ac:dyDescent="0.25">
      <c r="A279" s="170">
        <v>42410</v>
      </c>
      <c r="B279" s="116">
        <v>563.5</v>
      </c>
      <c r="C279" s="116">
        <v>555.07500000000005</v>
      </c>
      <c r="D279" s="116">
        <v>552.77499999999998</v>
      </c>
      <c r="E279" s="116">
        <v>554</v>
      </c>
      <c r="F279" s="116">
        <v>1110.1500000000001</v>
      </c>
      <c r="G279">
        <v>119313</v>
      </c>
      <c r="H279" s="116"/>
      <c r="I279" s="116"/>
      <c r="L279" s="170">
        <v>42410</v>
      </c>
      <c r="M279" s="116">
        <v>554.27499999999998</v>
      </c>
      <c r="N279" s="116">
        <v>563.75</v>
      </c>
      <c r="O279" s="116">
        <v>552.5</v>
      </c>
      <c r="P279" s="116">
        <v>554</v>
      </c>
      <c r="Q279" s="116">
        <v>1108.55</v>
      </c>
      <c r="R279">
        <v>2933027</v>
      </c>
    </row>
    <row r="280" spans="1:18" x14ac:dyDescent="0.25">
      <c r="A280" s="170">
        <v>42411</v>
      </c>
      <c r="B280" s="116">
        <v>557</v>
      </c>
      <c r="C280" s="116">
        <v>540.57500000000005</v>
      </c>
      <c r="D280" s="116">
        <v>536.17499999999995</v>
      </c>
      <c r="E280" s="116">
        <v>557</v>
      </c>
      <c r="F280" s="116">
        <v>1081.1500000000001</v>
      </c>
      <c r="G280">
        <v>122451</v>
      </c>
      <c r="H280" s="116"/>
      <c r="I280" s="116"/>
      <c r="L280" s="170">
        <v>42411</v>
      </c>
      <c r="M280" s="116">
        <v>539.32500000000005</v>
      </c>
      <c r="N280" s="116">
        <v>556.5</v>
      </c>
      <c r="O280" s="116">
        <v>535.57500000000005</v>
      </c>
      <c r="P280" s="116">
        <v>555.5</v>
      </c>
      <c r="Q280" s="116">
        <v>1078.6500000000001</v>
      </c>
      <c r="R280">
        <v>2607189</v>
      </c>
    </row>
    <row r="281" spans="1:18" x14ac:dyDescent="0.25">
      <c r="A281" s="170">
        <v>42412</v>
      </c>
      <c r="B281" s="116">
        <v>551.75</v>
      </c>
      <c r="C281" s="116">
        <v>541.75</v>
      </c>
      <c r="D281" s="116">
        <v>533.5</v>
      </c>
      <c r="E281" s="116">
        <v>543</v>
      </c>
      <c r="F281" s="116">
        <v>1083.5</v>
      </c>
      <c r="G281">
        <v>162881</v>
      </c>
      <c r="H281" s="116"/>
      <c r="I281" s="116"/>
      <c r="L281" s="170">
        <v>42412</v>
      </c>
      <c r="M281" s="116">
        <v>542.32500000000005</v>
      </c>
      <c r="N281" s="116">
        <v>552.20000000000005</v>
      </c>
      <c r="O281" s="116">
        <v>533.5</v>
      </c>
      <c r="P281" s="116">
        <v>547.35</v>
      </c>
      <c r="Q281" s="116">
        <v>1084.6500000000001</v>
      </c>
      <c r="R281">
        <v>3704048</v>
      </c>
    </row>
    <row r="282" spans="1:18" x14ac:dyDescent="0.25">
      <c r="A282" s="170">
        <v>42415</v>
      </c>
      <c r="B282" s="116">
        <v>549.97500000000002</v>
      </c>
      <c r="C282" s="116">
        <v>545.67499999999995</v>
      </c>
      <c r="D282" s="116">
        <v>541.75</v>
      </c>
      <c r="E282" s="116">
        <v>545</v>
      </c>
      <c r="F282" s="116">
        <v>1091.3499999999999</v>
      </c>
      <c r="G282">
        <v>1511012</v>
      </c>
      <c r="H282" s="116"/>
      <c r="I282" s="116"/>
      <c r="L282" s="170">
        <v>42415</v>
      </c>
      <c r="M282" s="116">
        <v>545.875</v>
      </c>
      <c r="N282" s="116">
        <v>550.1</v>
      </c>
      <c r="O282" s="116">
        <v>543.29999999999995</v>
      </c>
      <c r="P282" s="116">
        <v>548.125</v>
      </c>
      <c r="Q282" s="116">
        <v>1091.75</v>
      </c>
      <c r="R282">
        <v>2546739</v>
      </c>
    </row>
    <row r="283" spans="1:18" x14ac:dyDescent="0.25">
      <c r="A283" s="170">
        <v>42416</v>
      </c>
      <c r="B283" s="116">
        <v>546</v>
      </c>
      <c r="C283" s="116">
        <v>540.5</v>
      </c>
      <c r="D283" s="116">
        <v>537.57500000000005</v>
      </c>
      <c r="E283" s="116">
        <v>545</v>
      </c>
      <c r="F283" s="116">
        <v>1081</v>
      </c>
      <c r="G283">
        <v>290852</v>
      </c>
      <c r="H283" s="116"/>
      <c r="I283" s="116"/>
      <c r="L283" s="170">
        <v>42416</v>
      </c>
      <c r="M283" s="116">
        <v>539.57500000000005</v>
      </c>
      <c r="N283" s="116">
        <v>546.375</v>
      </c>
      <c r="O283" s="116">
        <v>536.85</v>
      </c>
      <c r="P283" s="116">
        <v>543.5</v>
      </c>
      <c r="Q283" s="116">
        <v>1079.1500000000001</v>
      </c>
      <c r="R283">
        <v>2562724</v>
      </c>
    </row>
    <row r="284" spans="1:18" x14ac:dyDescent="0.25">
      <c r="A284" s="170">
        <v>42417</v>
      </c>
      <c r="B284" s="116">
        <v>550.70000000000005</v>
      </c>
      <c r="C284" s="116">
        <v>547.72500000000002</v>
      </c>
      <c r="D284" s="116">
        <v>538.5</v>
      </c>
      <c r="E284" s="116">
        <v>541</v>
      </c>
      <c r="F284" s="116">
        <v>1095.45</v>
      </c>
      <c r="G284">
        <v>388379</v>
      </c>
      <c r="H284" s="116"/>
      <c r="I284" s="116"/>
      <c r="L284" s="170">
        <v>42417</v>
      </c>
      <c r="M284" s="116">
        <v>548.92499999999995</v>
      </c>
      <c r="N284" s="116">
        <v>551.5</v>
      </c>
      <c r="O284" s="116">
        <v>538.5</v>
      </c>
      <c r="P284" s="116">
        <v>540.875</v>
      </c>
      <c r="Q284" s="116">
        <v>1097.8499999999999</v>
      </c>
      <c r="R284">
        <v>2082299</v>
      </c>
    </row>
    <row r="285" spans="1:18" x14ac:dyDescent="0.25">
      <c r="A285" s="170">
        <v>42418</v>
      </c>
      <c r="B285" s="116">
        <v>563.22500000000002</v>
      </c>
      <c r="C285" s="116">
        <v>561.35</v>
      </c>
      <c r="D285" s="116">
        <v>548.5</v>
      </c>
      <c r="E285" s="116">
        <v>548.5</v>
      </c>
      <c r="F285" s="116">
        <v>1122.7</v>
      </c>
      <c r="G285">
        <v>90760</v>
      </c>
      <c r="H285" s="116"/>
      <c r="I285" s="116"/>
      <c r="L285" s="170">
        <v>42418</v>
      </c>
      <c r="M285" s="116">
        <v>561.70000000000005</v>
      </c>
      <c r="N285" s="116">
        <v>563.5</v>
      </c>
      <c r="O285" s="116">
        <v>550</v>
      </c>
      <c r="P285" s="116">
        <v>550</v>
      </c>
      <c r="Q285" s="116">
        <v>1123.4000000000001</v>
      </c>
      <c r="R285">
        <v>2094536</v>
      </c>
    </row>
    <row r="286" spans="1:18" x14ac:dyDescent="0.25">
      <c r="A286" s="170">
        <v>42419</v>
      </c>
      <c r="B286" s="116">
        <v>566.625</v>
      </c>
      <c r="C286" s="116">
        <v>562.77499999999998</v>
      </c>
      <c r="D286" s="116">
        <v>557.32500000000005</v>
      </c>
      <c r="E286" s="116">
        <v>561.45000000000005</v>
      </c>
      <c r="F286" s="116">
        <v>1125.55</v>
      </c>
      <c r="G286">
        <v>74901</v>
      </c>
      <c r="H286" s="116"/>
      <c r="I286" s="116"/>
      <c r="L286" s="170">
        <v>42419</v>
      </c>
      <c r="M286" s="116">
        <v>563.625</v>
      </c>
      <c r="N286" s="116">
        <v>567.1</v>
      </c>
      <c r="O286" s="116">
        <v>556.92499999999995</v>
      </c>
      <c r="P286" s="116">
        <v>559.6</v>
      </c>
      <c r="Q286" s="116">
        <v>1127.25</v>
      </c>
      <c r="R286">
        <v>1987009</v>
      </c>
    </row>
    <row r="287" spans="1:18" x14ac:dyDescent="0.25">
      <c r="A287" s="170">
        <v>42422</v>
      </c>
      <c r="B287" s="116">
        <v>566.5</v>
      </c>
      <c r="C287" s="116">
        <v>562.65</v>
      </c>
      <c r="D287" s="116">
        <v>557.15</v>
      </c>
      <c r="E287" s="116">
        <v>566.5</v>
      </c>
      <c r="F287" s="116">
        <v>1125.3</v>
      </c>
      <c r="G287">
        <v>107010</v>
      </c>
      <c r="H287" s="116"/>
      <c r="I287" s="116"/>
      <c r="L287" s="170">
        <v>42422</v>
      </c>
      <c r="M287" s="116">
        <v>563.32500000000005</v>
      </c>
      <c r="N287" s="116">
        <v>566.97500000000002</v>
      </c>
      <c r="O287" s="116">
        <v>557.02499999999998</v>
      </c>
      <c r="P287" s="116">
        <v>565.5</v>
      </c>
      <c r="Q287" s="116">
        <v>1126.6500000000001</v>
      </c>
      <c r="R287">
        <v>1928505</v>
      </c>
    </row>
    <row r="288" spans="1:18" x14ac:dyDescent="0.25">
      <c r="A288" s="170">
        <v>42423</v>
      </c>
      <c r="B288" s="116">
        <v>566.5</v>
      </c>
      <c r="C288" s="116">
        <v>561.97500000000002</v>
      </c>
      <c r="D288" s="116">
        <v>558.52499999999998</v>
      </c>
      <c r="E288" s="116">
        <v>566.5</v>
      </c>
      <c r="F288" s="116">
        <v>1123.95</v>
      </c>
      <c r="G288">
        <v>79735</v>
      </c>
      <c r="H288" s="116"/>
      <c r="I288" s="116"/>
      <c r="L288" s="170">
        <v>42423</v>
      </c>
      <c r="M288" s="116">
        <v>561.95000000000005</v>
      </c>
      <c r="N288" s="116">
        <v>566.25</v>
      </c>
      <c r="O288" s="116">
        <v>558.02499999999998</v>
      </c>
      <c r="P288" s="116">
        <v>565.125</v>
      </c>
      <c r="Q288" s="116">
        <v>1123.9000000000001</v>
      </c>
      <c r="R288">
        <v>1250980</v>
      </c>
    </row>
    <row r="289" spans="1:18" x14ac:dyDescent="0.25">
      <c r="A289" s="170">
        <v>42424</v>
      </c>
      <c r="B289" s="116">
        <v>571.97500000000002</v>
      </c>
      <c r="C289" s="116">
        <v>562.70000000000005</v>
      </c>
      <c r="D289" s="116">
        <v>559.5</v>
      </c>
      <c r="E289" s="116">
        <v>561.5</v>
      </c>
      <c r="F289" s="116">
        <v>1125.4000000000001</v>
      </c>
      <c r="G289">
        <v>205289</v>
      </c>
      <c r="H289" s="116"/>
      <c r="I289" s="116"/>
      <c r="L289" s="170">
        <v>42424</v>
      </c>
      <c r="M289" s="116">
        <v>562.67499999999995</v>
      </c>
      <c r="N289" s="116">
        <v>571.875</v>
      </c>
      <c r="O289" s="116">
        <v>559.17499999999995</v>
      </c>
      <c r="P289" s="116">
        <v>559.75</v>
      </c>
      <c r="Q289" s="116">
        <v>1125.3499999999999</v>
      </c>
      <c r="R289">
        <v>2475357</v>
      </c>
    </row>
    <row r="290" spans="1:18" x14ac:dyDescent="0.25">
      <c r="A290" s="170">
        <v>42425</v>
      </c>
      <c r="B290" s="116">
        <v>565.20000000000005</v>
      </c>
      <c r="C290" s="116">
        <v>555.625</v>
      </c>
      <c r="D290" s="116">
        <v>551</v>
      </c>
      <c r="E290" s="116">
        <v>562.5</v>
      </c>
      <c r="F290" s="116">
        <v>1111.25</v>
      </c>
      <c r="G290">
        <v>289872</v>
      </c>
      <c r="H290" s="116"/>
      <c r="I290" s="116"/>
      <c r="L290" s="170">
        <v>42425</v>
      </c>
      <c r="M290" s="116">
        <v>555.15</v>
      </c>
      <c r="N290" s="116">
        <v>565.29999999999995</v>
      </c>
      <c r="O290" s="116">
        <v>550.54999999999995</v>
      </c>
      <c r="P290" s="116">
        <v>562.70000000000005</v>
      </c>
      <c r="Q290" s="116">
        <v>1110.3</v>
      </c>
      <c r="R290">
        <v>2242264</v>
      </c>
    </row>
    <row r="291" spans="1:18" x14ac:dyDescent="0.25">
      <c r="A291" s="170">
        <v>42426</v>
      </c>
      <c r="B291" s="116">
        <v>565.375</v>
      </c>
      <c r="C291" s="116">
        <v>560.52499999999998</v>
      </c>
      <c r="D291" s="116">
        <v>556.5</v>
      </c>
      <c r="E291" s="116">
        <v>556.5</v>
      </c>
      <c r="F291" s="116">
        <v>1121.05</v>
      </c>
      <c r="G291">
        <v>160687</v>
      </c>
      <c r="H291" s="116"/>
      <c r="I291" s="116"/>
      <c r="L291" s="170">
        <v>42426</v>
      </c>
      <c r="M291" s="116">
        <v>560.57500000000005</v>
      </c>
      <c r="N291" s="116">
        <v>566</v>
      </c>
      <c r="O291" s="116">
        <v>558</v>
      </c>
      <c r="P291" s="116">
        <v>560.07500000000005</v>
      </c>
      <c r="Q291" s="116">
        <v>1121.1500000000001</v>
      </c>
      <c r="R291">
        <v>2117818</v>
      </c>
    </row>
    <row r="292" spans="1:18" x14ac:dyDescent="0.25">
      <c r="A292" s="170">
        <v>42429</v>
      </c>
      <c r="B292" s="116">
        <v>565</v>
      </c>
      <c r="C292" s="116">
        <v>541.875</v>
      </c>
      <c r="D292" s="116">
        <v>534.67499999999995</v>
      </c>
      <c r="E292" s="116">
        <v>565</v>
      </c>
      <c r="F292" s="116">
        <v>1083.75</v>
      </c>
      <c r="G292">
        <v>215509</v>
      </c>
      <c r="H292" s="116"/>
      <c r="I292" s="116"/>
      <c r="L292" s="170">
        <v>42429</v>
      </c>
      <c r="M292" s="116">
        <v>542.02499999999998</v>
      </c>
      <c r="N292" s="116">
        <v>565.20000000000005</v>
      </c>
      <c r="O292" s="116">
        <v>534.15</v>
      </c>
      <c r="P292" s="116">
        <v>564.75</v>
      </c>
      <c r="Q292" s="116">
        <v>1084.05</v>
      </c>
      <c r="R292">
        <v>4083038</v>
      </c>
    </row>
    <row r="293" spans="1:18" x14ac:dyDescent="0.25">
      <c r="A293" s="170">
        <v>42430</v>
      </c>
      <c r="B293" s="116">
        <v>565.5</v>
      </c>
      <c r="C293" s="116">
        <v>562.25</v>
      </c>
      <c r="D293" s="116">
        <v>544.5</v>
      </c>
      <c r="E293" s="116">
        <v>549</v>
      </c>
      <c r="F293" s="116">
        <v>1124.5</v>
      </c>
      <c r="G293">
        <v>126194</v>
      </c>
      <c r="H293" s="116"/>
      <c r="I293" s="116"/>
      <c r="L293" s="170">
        <v>42430</v>
      </c>
      <c r="M293" s="116">
        <v>562.72500000000002</v>
      </c>
      <c r="N293" s="116">
        <v>565.15</v>
      </c>
      <c r="O293" s="116">
        <v>547.4</v>
      </c>
      <c r="P293" s="116">
        <v>547.4</v>
      </c>
      <c r="Q293" s="116">
        <v>1125.45</v>
      </c>
      <c r="R293">
        <v>3193077</v>
      </c>
    </row>
    <row r="294" spans="1:18" x14ac:dyDescent="0.25">
      <c r="A294" s="170">
        <v>42431</v>
      </c>
      <c r="B294" s="116">
        <v>581</v>
      </c>
      <c r="C294" s="116">
        <v>578.125</v>
      </c>
      <c r="D294" s="116">
        <v>562.5</v>
      </c>
      <c r="E294" s="116">
        <v>566</v>
      </c>
      <c r="F294" s="116">
        <v>1156.25</v>
      </c>
      <c r="G294">
        <v>198991</v>
      </c>
      <c r="H294" s="116"/>
      <c r="I294" s="116"/>
      <c r="L294" s="170">
        <v>42431</v>
      </c>
      <c r="M294" s="116">
        <v>578</v>
      </c>
      <c r="N294" s="116">
        <v>581.75</v>
      </c>
      <c r="O294" s="116">
        <v>562.5</v>
      </c>
      <c r="P294" s="116">
        <v>568.52499999999998</v>
      </c>
      <c r="Q294" s="116">
        <v>1156</v>
      </c>
      <c r="R294">
        <v>3607449</v>
      </c>
    </row>
    <row r="295" spans="1:18" x14ac:dyDescent="0.25">
      <c r="A295" s="170">
        <v>42432</v>
      </c>
      <c r="B295" s="116">
        <v>596.45000000000005</v>
      </c>
      <c r="C295" s="116">
        <v>584.57500000000005</v>
      </c>
      <c r="D295" s="116">
        <v>577.57500000000005</v>
      </c>
      <c r="E295" s="116">
        <v>584.5</v>
      </c>
      <c r="F295" s="116">
        <v>1169.1500000000001</v>
      </c>
      <c r="G295">
        <v>197098</v>
      </c>
      <c r="H295" s="116"/>
      <c r="I295" s="116"/>
      <c r="L295" s="170">
        <v>42432</v>
      </c>
      <c r="M295" s="116">
        <v>584.65</v>
      </c>
      <c r="N295" s="116">
        <v>596.42499999999995</v>
      </c>
      <c r="O295" s="116">
        <v>577</v>
      </c>
      <c r="P295" s="116">
        <v>584</v>
      </c>
      <c r="Q295" s="116">
        <v>1169.3</v>
      </c>
      <c r="R295">
        <v>2907152</v>
      </c>
    </row>
    <row r="296" spans="1:18" x14ac:dyDescent="0.25">
      <c r="A296" s="170">
        <v>42433</v>
      </c>
      <c r="B296" s="116">
        <v>592.20000000000005</v>
      </c>
      <c r="C296" s="116">
        <v>585.27499999999998</v>
      </c>
      <c r="D296" s="116">
        <v>580</v>
      </c>
      <c r="E296" s="116">
        <v>585</v>
      </c>
      <c r="F296" s="116">
        <v>1170.55</v>
      </c>
      <c r="G296">
        <v>125974</v>
      </c>
      <c r="H296" s="116"/>
      <c r="I296" s="116"/>
      <c r="L296" s="170">
        <v>42433</v>
      </c>
      <c r="M296" s="116">
        <v>585.32500000000005</v>
      </c>
      <c r="N296" s="116">
        <v>592.5</v>
      </c>
      <c r="O296" s="116">
        <v>579.54999999999995</v>
      </c>
      <c r="P296" s="116">
        <v>587.79999999999995</v>
      </c>
      <c r="Q296" s="116">
        <v>1170.6500000000001</v>
      </c>
      <c r="R296">
        <v>2140840</v>
      </c>
    </row>
    <row r="297" spans="1:18" x14ac:dyDescent="0.25">
      <c r="A297" s="170">
        <v>42437</v>
      </c>
      <c r="B297" s="116">
        <v>595</v>
      </c>
      <c r="C297" s="116">
        <v>581.77499999999998</v>
      </c>
      <c r="D297" s="116">
        <v>574</v>
      </c>
      <c r="E297" s="116">
        <v>585</v>
      </c>
      <c r="F297" s="116">
        <v>1163.55</v>
      </c>
      <c r="G297">
        <v>126706</v>
      </c>
      <c r="H297" s="116"/>
      <c r="I297" s="116"/>
      <c r="L297" s="170">
        <v>42437</v>
      </c>
      <c r="M297" s="116">
        <v>581.72500000000002</v>
      </c>
      <c r="N297" s="116">
        <v>595.25</v>
      </c>
      <c r="O297" s="116">
        <v>573.70000000000005</v>
      </c>
      <c r="P297" s="116">
        <v>581.5</v>
      </c>
      <c r="Q297" s="116">
        <v>1163.45</v>
      </c>
      <c r="R297">
        <v>3808873</v>
      </c>
    </row>
    <row r="298" spans="1:18" x14ac:dyDescent="0.25">
      <c r="A298" s="170">
        <v>42438</v>
      </c>
      <c r="B298" s="116">
        <v>591.9</v>
      </c>
      <c r="C298" s="116">
        <v>589.25</v>
      </c>
      <c r="D298" s="116">
        <v>572</v>
      </c>
      <c r="E298" s="116">
        <v>573.5</v>
      </c>
      <c r="F298" s="116">
        <v>1178.5</v>
      </c>
      <c r="G298">
        <v>119628</v>
      </c>
      <c r="H298" s="116"/>
      <c r="I298" s="116"/>
      <c r="L298" s="170">
        <v>42438</v>
      </c>
      <c r="M298" s="116">
        <v>589.25</v>
      </c>
      <c r="N298" s="116">
        <v>591.875</v>
      </c>
      <c r="O298" s="116">
        <v>571.47500000000002</v>
      </c>
      <c r="P298" s="116">
        <v>572.5</v>
      </c>
      <c r="Q298" s="116">
        <v>1178.5</v>
      </c>
      <c r="R298">
        <v>3152891</v>
      </c>
    </row>
    <row r="299" spans="1:18" x14ac:dyDescent="0.25">
      <c r="A299" s="170">
        <v>42439</v>
      </c>
      <c r="B299" s="116">
        <v>582.04999999999995</v>
      </c>
      <c r="C299" s="116">
        <v>572.97500000000002</v>
      </c>
      <c r="D299" s="116">
        <v>571.47500000000002</v>
      </c>
      <c r="E299" s="116">
        <v>582</v>
      </c>
      <c r="F299" s="116">
        <v>1145.95</v>
      </c>
      <c r="G299">
        <v>1577978</v>
      </c>
      <c r="H299" s="116"/>
      <c r="I299" s="116"/>
      <c r="L299" s="170">
        <v>42439</v>
      </c>
      <c r="M299" s="116">
        <v>571.25</v>
      </c>
      <c r="N299" s="116">
        <v>581.45000000000005</v>
      </c>
      <c r="O299" s="116">
        <v>569.67499999999995</v>
      </c>
      <c r="P299" s="116">
        <v>581.45000000000005</v>
      </c>
      <c r="Q299" s="116">
        <v>1142.5</v>
      </c>
      <c r="R299">
        <v>12190508</v>
      </c>
    </row>
    <row r="300" spans="1:18" x14ac:dyDescent="0.25">
      <c r="A300" s="170">
        <v>42440</v>
      </c>
      <c r="B300" s="116">
        <v>578.04999999999995</v>
      </c>
      <c r="C300" s="116">
        <v>571.25</v>
      </c>
      <c r="D300" s="116">
        <v>569.5</v>
      </c>
      <c r="E300" s="116">
        <v>573</v>
      </c>
      <c r="F300" s="116">
        <v>1142.5</v>
      </c>
      <c r="G300">
        <v>79183</v>
      </c>
      <c r="H300" s="116"/>
      <c r="I300" s="116"/>
      <c r="L300" s="170">
        <v>42440</v>
      </c>
      <c r="M300" s="116">
        <v>571.5</v>
      </c>
      <c r="N300" s="116">
        <v>577.97500000000002</v>
      </c>
      <c r="O300" s="116">
        <v>569.1</v>
      </c>
      <c r="P300" s="116">
        <v>573.1</v>
      </c>
      <c r="Q300" s="116">
        <v>1143</v>
      </c>
      <c r="R300">
        <v>2029274</v>
      </c>
    </row>
    <row r="301" spans="1:18" x14ac:dyDescent="0.25">
      <c r="A301" s="170">
        <v>42443</v>
      </c>
      <c r="B301" s="116">
        <v>577.25</v>
      </c>
      <c r="C301" s="116">
        <v>570.47500000000002</v>
      </c>
      <c r="D301" s="116">
        <v>569</v>
      </c>
      <c r="E301" s="116">
        <v>575</v>
      </c>
      <c r="F301" s="116">
        <v>1140.95</v>
      </c>
      <c r="G301">
        <v>74870</v>
      </c>
      <c r="H301" s="116"/>
      <c r="I301" s="116"/>
      <c r="L301" s="170">
        <v>42443</v>
      </c>
      <c r="M301" s="116">
        <v>570.6</v>
      </c>
      <c r="N301" s="116">
        <v>577.125</v>
      </c>
      <c r="O301" s="116">
        <v>569.25</v>
      </c>
      <c r="P301" s="116">
        <v>573</v>
      </c>
      <c r="Q301" s="116">
        <v>1141.2</v>
      </c>
      <c r="R301">
        <v>2087131</v>
      </c>
    </row>
    <row r="302" spans="1:18" x14ac:dyDescent="0.25">
      <c r="A302" s="170">
        <v>42444</v>
      </c>
      <c r="B302" s="116">
        <v>576.95000000000005</v>
      </c>
      <c r="C302" s="116">
        <v>567.17499999999995</v>
      </c>
      <c r="D302" s="116">
        <v>564.5</v>
      </c>
      <c r="E302" s="116">
        <v>573</v>
      </c>
      <c r="F302" s="116">
        <v>1134.3499999999999</v>
      </c>
      <c r="G302">
        <v>75943</v>
      </c>
      <c r="H302" s="116"/>
      <c r="I302" s="116"/>
      <c r="L302" s="170">
        <v>42444</v>
      </c>
      <c r="M302" s="116">
        <v>567.20000000000005</v>
      </c>
      <c r="N302" s="116">
        <v>577.25</v>
      </c>
      <c r="O302" s="116">
        <v>564.47500000000002</v>
      </c>
      <c r="P302" s="116">
        <v>572</v>
      </c>
      <c r="Q302" s="116">
        <v>1134.4000000000001</v>
      </c>
      <c r="R302">
        <v>3360129</v>
      </c>
    </row>
    <row r="303" spans="1:18" x14ac:dyDescent="0.25">
      <c r="A303" s="170">
        <v>42445</v>
      </c>
      <c r="B303" s="116">
        <v>577.45000000000005</v>
      </c>
      <c r="C303" s="116">
        <v>576</v>
      </c>
      <c r="D303" s="116">
        <v>566.02499999999998</v>
      </c>
      <c r="E303" s="116">
        <v>569.97500000000002</v>
      </c>
      <c r="F303" s="116">
        <v>1152</v>
      </c>
      <c r="G303">
        <v>69839</v>
      </c>
      <c r="H303" s="116"/>
      <c r="I303" s="116"/>
      <c r="L303" s="170">
        <v>42445</v>
      </c>
      <c r="M303" s="116">
        <v>576.22500000000002</v>
      </c>
      <c r="N303" s="116">
        <v>577.5</v>
      </c>
      <c r="O303" s="116">
        <v>565.77499999999998</v>
      </c>
      <c r="P303" s="116">
        <v>570.95000000000005</v>
      </c>
      <c r="Q303" s="116">
        <v>1152.45</v>
      </c>
      <c r="R303">
        <v>2794425</v>
      </c>
    </row>
    <row r="304" spans="1:18" x14ac:dyDescent="0.25">
      <c r="A304" s="170">
        <v>42446</v>
      </c>
      <c r="B304" s="116">
        <v>584.95000000000005</v>
      </c>
      <c r="C304" s="116">
        <v>580.1</v>
      </c>
      <c r="D304" s="116">
        <v>577</v>
      </c>
      <c r="E304" s="116">
        <v>578</v>
      </c>
      <c r="F304" s="116">
        <v>1160.2</v>
      </c>
      <c r="G304">
        <v>67113</v>
      </c>
      <c r="H304" s="116"/>
      <c r="I304" s="116"/>
      <c r="L304" s="170">
        <v>42446</v>
      </c>
      <c r="M304" s="116">
        <v>580.875</v>
      </c>
      <c r="N304" s="116">
        <v>584.875</v>
      </c>
      <c r="O304" s="116">
        <v>577.02499999999998</v>
      </c>
      <c r="P304" s="116">
        <v>578.45000000000005</v>
      </c>
      <c r="Q304" s="116">
        <v>1161.75</v>
      </c>
      <c r="R304">
        <v>3237311</v>
      </c>
    </row>
    <row r="305" spans="1:18" x14ac:dyDescent="0.25">
      <c r="A305" s="170">
        <v>42447</v>
      </c>
      <c r="B305" s="116">
        <v>597.9</v>
      </c>
      <c r="C305" s="116">
        <v>595.1</v>
      </c>
      <c r="D305" s="116">
        <v>580.5</v>
      </c>
      <c r="E305" s="116">
        <v>580.5</v>
      </c>
      <c r="F305" s="116">
        <v>1190.2</v>
      </c>
      <c r="G305">
        <v>148307</v>
      </c>
      <c r="H305" s="116"/>
      <c r="I305" s="116"/>
      <c r="L305" s="170">
        <v>42447</v>
      </c>
      <c r="M305" s="116">
        <v>596.70000000000005</v>
      </c>
      <c r="N305" s="116">
        <v>599.5</v>
      </c>
      <c r="O305" s="116">
        <v>581</v>
      </c>
      <c r="P305" s="116">
        <v>581.4</v>
      </c>
      <c r="Q305" s="116">
        <v>1193.4000000000001</v>
      </c>
      <c r="R305">
        <v>4238711</v>
      </c>
    </row>
    <row r="306" spans="1:18" x14ac:dyDescent="0.25">
      <c r="A306" s="170">
        <v>42450</v>
      </c>
      <c r="B306" s="116">
        <v>599.5</v>
      </c>
      <c r="C306" s="116">
        <v>597.5</v>
      </c>
      <c r="D306" s="116">
        <v>590.1</v>
      </c>
      <c r="E306" s="116">
        <v>593.5</v>
      </c>
      <c r="F306" s="116">
        <v>1195</v>
      </c>
      <c r="G306">
        <v>120111</v>
      </c>
      <c r="H306" s="116"/>
      <c r="I306" s="116"/>
      <c r="L306" s="170">
        <v>42450</v>
      </c>
      <c r="M306" s="116">
        <v>597.45000000000005</v>
      </c>
      <c r="N306" s="116">
        <v>599.5</v>
      </c>
      <c r="O306" s="116">
        <v>590.02499999999998</v>
      </c>
      <c r="P306" s="116">
        <v>594</v>
      </c>
      <c r="Q306" s="116">
        <v>1194.9000000000001</v>
      </c>
      <c r="R306">
        <v>2569196</v>
      </c>
    </row>
    <row r="307" spans="1:18" x14ac:dyDescent="0.25">
      <c r="A307" s="170">
        <v>42451</v>
      </c>
      <c r="B307" s="116">
        <v>597</v>
      </c>
      <c r="C307" s="116">
        <v>594.95000000000005</v>
      </c>
      <c r="D307" s="116">
        <v>586.15</v>
      </c>
      <c r="E307" s="116">
        <v>597</v>
      </c>
      <c r="F307" s="116">
        <v>1189.9000000000001</v>
      </c>
      <c r="G307">
        <v>106871</v>
      </c>
      <c r="H307" s="116"/>
      <c r="I307" s="116"/>
      <c r="L307" s="170">
        <v>42451</v>
      </c>
      <c r="M307" s="116">
        <v>594.97500000000002</v>
      </c>
      <c r="N307" s="116">
        <v>597</v>
      </c>
      <c r="O307" s="116">
        <v>586</v>
      </c>
      <c r="P307" s="116">
        <v>595.625</v>
      </c>
      <c r="Q307" s="116">
        <v>1189.95</v>
      </c>
      <c r="R307">
        <v>3548975</v>
      </c>
    </row>
    <row r="308" spans="1:18" x14ac:dyDescent="0.25">
      <c r="A308" s="170">
        <v>42452</v>
      </c>
      <c r="B308" s="116">
        <v>606</v>
      </c>
      <c r="C308" s="116">
        <v>603.875</v>
      </c>
      <c r="D308" s="116">
        <v>590.97500000000002</v>
      </c>
      <c r="E308" s="116">
        <v>594.5</v>
      </c>
      <c r="F308" s="116">
        <v>1207.75</v>
      </c>
      <c r="G308">
        <v>159976</v>
      </c>
      <c r="H308" s="116"/>
      <c r="I308" s="116"/>
      <c r="L308" s="170">
        <v>42452</v>
      </c>
      <c r="M308" s="116">
        <v>603.9</v>
      </c>
      <c r="N308" s="116">
        <v>605.35</v>
      </c>
      <c r="O308" s="116">
        <v>591.04999999999995</v>
      </c>
      <c r="P308" s="116">
        <v>595</v>
      </c>
      <c r="Q308" s="116">
        <v>1207.8</v>
      </c>
      <c r="R308">
        <v>3166588</v>
      </c>
    </row>
    <row r="309" spans="1:18" x14ac:dyDescent="0.25">
      <c r="A309" s="170">
        <v>42457</v>
      </c>
      <c r="B309" s="116">
        <v>617.32500000000005</v>
      </c>
      <c r="C309" s="116">
        <v>602.35</v>
      </c>
      <c r="D309" s="116">
        <v>598.1</v>
      </c>
      <c r="E309" s="116">
        <v>614.97500000000002</v>
      </c>
      <c r="F309" s="116">
        <v>1204.7</v>
      </c>
      <c r="G309">
        <v>162252</v>
      </c>
      <c r="H309" s="116"/>
      <c r="I309" s="116"/>
      <c r="L309" s="170">
        <v>42457</v>
      </c>
      <c r="M309" s="116">
        <v>602.45000000000005</v>
      </c>
      <c r="N309" s="116">
        <v>618.5</v>
      </c>
      <c r="O309" s="116">
        <v>597.875</v>
      </c>
      <c r="P309" s="116">
        <v>616.20000000000005</v>
      </c>
      <c r="Q309" s="116">
        <v>1204.9000000000001</v>
      </c>
      <c r="R309">
        <v>5393755</v>
      </c>
    </row>
    <row r="310" spans="1:18" x14ac:dyDescent="0.25">
      <c r="A310" s="170">
        <v>42458</v>
      </c>
      <c r="B310" s="116">
        <v>608.75</v>
      </c>
      <c r="C310" s="116">
        <v>599.47500000000002</v>
      </c>
      <c r="D310" s="116">
        <v>595.79999999999995</v>
      </c>
      <c r="E310" s="116">
        <v>600</v>
      </c>
      <c r="F310" s="116">
        <v>1198.95</v>
      </c>
      <c r="G310">
        <v>114575</v>
      </c>
      <c r="H310" s="116"/>
      <c r="I310" s="116"/>
      <c r="L310" s="170">
        <v>42458</v>
      </c>
      <c r="M310" s="116">
        <v>598.625</v>
      </c>
      <c r="N310" s="116">
        <v>609.45000000000005</v>
      </c>
      <c r="O310" s="116">
        <v>595.77499999999998</v>
      </c>
      <c r="P310" s="116">
        <v>599.5</v>
      </c>
      <c r="Q310" s="116">
        <v>1197.25</v>
      </c>
      <c r="R310">
        <v>3497678</v>
      </c>
    </row>
    <row r="311" spans="1:18" x14ac:dyDescent="0.25">
      <c r="A311" s="170">
        <v>42459</v>
      </c>
      <c r="B311" s="116">
        <v>604.5</v>
      </c>
      <c r="C311" s="116">
        <v>602.9</v>
      </c>
      <c r="D311" s="116">
        <v>598</v>
      </c>
      <c r="E311" s="116">
        <v>600</v>
      </c>
      <c r="F311" s="116">
        <v>1205.8</v>
      </c>
      <c r="G311">
        <v>78561</v>
      </c>
      <c r="H311" s="116"/>
      <c r="I311" s="116"/>
      <c r="L311" s="170">
        <v>42459</v>
      </c>
      <c r="M311" s="116">
        <v>602.97500000000002</v>
      </c>
      <c r="N311" s="116">
        <v>605</v>
      </c>
      <c r="O311" s="116">
        <v>597.77499999999998</v>
      </c>
      <c r="P311" s="116">
        <v>598.79999999999995</v>
      </c>
      <c r="Q311" s="116">
        <v>1205.95</v>
      </c>
      <c r="R311">
        <v>2878409</v>
      </c>
    </row>
    <row r="312" spans="1:18" x14ac:dyDescent="0.25">
      <c r="A312" s="170">
        <v>42460</v>
      </c>
      <c r="B312" s="116">
        <v>614.47500000000002</v>
      </c>
      <c r="C312" s="116">
        <v>608.97500000000002</v>
      </c>
      <c r="D312" s="116">
        <v>600.29999999999995</v>
      </c>
      <c r="E312" s="116">
        <v>605</v>
      </c>
      <c r="F312" s="116">
        <v>1217.95</v>
      </c>
      <c r="G312">
        <v>113873</v>
      </c>
      <c r="H312" s="116"/>
      <c r="I312" s="116"/>
      <c r="L312" s="170">
        <v>42460</v>
      </c>
      <c r="M312" s="116">
        <v>609.15</v>
      </c>
      <c r="N312" s="116">
        <v>614.95000000000005</v>
      </c>
      <c r="O312" s="116">
        <v>600.15</v>
      </c>
      <c r="P312" s="116">
        <v>605.125</v>
      </c>
      <c r="Q312" s="116">
        <v>1218.3</v>
      </c>
      <c r="R312">
        <v>8998160</v>
      </c>
    </row>
    <row r="313" spans="1:18" x14ac:dyDescent="0.25">
      <c r="A313" s="170">
        <v>42461</v>
      </c>
      <c r="B313" s="116">
        <v>610.9</v>
      </c>
      <c r="C313" s="116">
        <v>602.95000000000005</v>
      </c>
      <c r="D313" s="116">
        <v>598.5</v>
      </c>
      <c r="E313" s="116">
        <v>606</v>
      </c>
      <c r="F313" s="116">
        <v>1205.9000000000001</v>
      </c>
      <c r="G313">
        <v>123298</v>
      </c>
      <c r="H313" s="116"/>
      <c r="I313" s="116"/>
      <c r="L313" s="170">
        <v>42461</v>
      </c>
      <c r="M313" s="116">
        <v>602.72500000000002</v>
      </c>
      <c r="N313" s="116">
        <v>611.1</v>
      </c>
      <c r="O313" s="116">
        <v>597.54999999999995</v>
      </c>
      <c r="P313" s="116">
        <v>608</v>
      </c>
      <c r="Q313" s="116">
        <v>1205.45</v>
      </c>
      <c r="R313">
        <v>2755714</v>
      </c>
    </row>
    <row r="314" spans="1:18" x14ac:dyDescent="0.25">
      <c r="A314" s="170">
        <v>42464</v>
      </c>
      <c r="B314" s="116">
        <v>624.95000000000005</v>
      </c>
      <c r="C314" s="116">
        <v>621.77499999999998</v>
      </c>
      <c r="D314" s="116">
        <v>606</v>
      </c>
      <c r="E314" s="116">
        <v>606</v>
      </c>
      <c r="F314" s="116">
        <v>1243.55</v>
      </c>
      <c r="G314">
        <v>119168</v>
      </c>
      <c r="H314" s="116"/>
      <c r="I314" s="116"/>
      <c r="L314" s="170">
        <v>42464</v>
      </c>
      <c r="M314" s="116">
        <v>621.85</v>
      </c>
      <c r="N314" s="116">
        <v>624</v>
      </c>
      <c r="O314" s="116">
        <v>606.77499999999998</v>
      </c>
      <c r="P314" s="116">
        <v>606.77499999999998</v>
      </c>
      <c r="Q314" s="116">
        <v>1243.7</v>
      </c>
      <c r="R314">
        <v>2288527</v>
      </c>
    </row>
    <row r="315" spans="1:18" x14ac:dyDescent="0.25">
      <c r="A315" s="170">
        <v>42465</v>
      </c>
      <c r="B315" s="116">
        <v>621.5</v>
      </c>
      <c r="C315" s="116">
        <v>609.29999999999995</v>
      </c>
      <c r="D315" s="116">
        <v>607.5</v>
      </c>
      <c r="E315" s="116">
        <v>621.5</v>
      </c>
      <c r="F315" s="116">
        <v>1218.5999999999999</v>
      </c>
      <c r="G315">
        <v>246634</v>
      </c>
      <c r="H315" s="116"/>
      <c r="I315" s="116"/>
      <c r="L315" s="170">
        <v>42465</v>
      </c>
      <c r="M315" s="116">
        <v>609.9</v>
      </c>
      <c r="N315" s="116">
        <v>621.15</v>
      </c>
      <c r="O315" s="116">
        <v>607</v>
      </c>
      <c r="P315" s="116">
        <v>621</v>
      </c>
      <c r="Q315" s="116">
        <v>1219.8</v>
      </c>
      <c r="R315">
        <v>2395358</v>
      </c>
    </row>
    <row r="316" spans="1:18" x14ac:dyDescent="0.25">
      <c r="A316" s="170">
        <v>42466</v>
      </c>
      <c r="B316" s="116">
        <v>614</v>
      </c>
      <c r="C316" s="116">
        <v>600.54999999999995</v>
      </c>
      <c r="D316" s="116">
        <v>598.5</v>
      </c>
      <c r="E316" s="116">
        <v>612.25</v>
      </c>
      <c r="F316" s="116">
        <v>1201.0999999999999</v>
      </c>
      <c r="G316">
        <v>103294</v>
      </c>
      <c r="H316" s="116"/>
      <c r="I316" s="116"/>
      <c r="L316" s="170">
        <v>42466</v>
      </c>
      <c r="M316" s="116">
        <v>600.35</v>
      </c>
      <c r="N316" s="116">
        <v>614</v>
      </c>
      <c r="O316" s="116">
        <v>598</v>
      </c>
      <c r="P316" s="116">
        <v>614</v>
      </c>
      <c r="Q316" s="116">
        <v>1200.7</v>
      </c>
      <c r="R316">
        <v>2465677</v>
      </c>
    </row>
    <row r="317" spans="1:18" x14ac:dyDescent="0.25">
      <c r="A317" s="170">
        <v>42467</v>
      </c>
      <c r="B317" s="116">
        <v>607.42499999999995</v>
      </c>
      <c r="C317" s="116">
        <v>590.82500000000005</v>
      </c>
      <c r="D317" s="116">
        <v>582</v>
      </c>
      <c r="E317" s="116">
        <v>606</v>
      </c>
      <c r="F317" s="116">
        <v>1181.6500000000001</v>
      </c>
      <c r="G317">
        <v>5832025</v>
      </c>
      <c r="H317" s="116"/>
      <c r="I317" s="116"/>
      <c r="L317" s="170">
        <v>42467</v>
      </c>
      <c r="M317" s="116">
        <v>590.75</v>
      </c>
      <c r="N317" s="116">
        <v>604.20000000000005</v>
      </c>
      <c r="O317" s="116">
        <v>587.5</v>
      </c>
      <c r="P317" s="116">
        <v>604.20000000000005</v>
      </c>
      <c r="Q317" s="116">
        <v>1181.5</v>
      </c>
      <c r="R317">
        <v>2828945</v>
      </c>
    </row>
    <row r="318" spans="1:18" x14ac:dyDescent="0.25">
      <c r="A318" s="170">
        <v>42468</v>
      </c>
      <c r="B318" s="116">
        <v>589</v>
      </c>
      <c r="C318" s="116">
        <v>583.67499999999995</v>
      </c>
      <c r="D318" s="116">
        <v>581.02499999999998</v>
      </c>
      <c r="E318" s="116">
        <v>587.5</v>
      </c>
      <c r="F318" s="116">
        <v>1167.3499999999999</v>
      </c>
      <c r="G318">
        <v>92191</v>
      </c>
      <c r="H318" s="116"/>
      <c r="I318" s="116"/>
      <c r="L318" s="170">
        <v>42468</v>
      </c>
      <c r="M318" s="116">
        <v>582.875</v>
      </c>
      <c r="N318" s="116">
        <v>588.75</v>
      </c>
      <c r="O318" s="116">
        <v>581.02499999999998</v>
      </c>
      <c r="P318" s="116">
        <v>587.92499999999995</v>
      </c>
      <c r="Q318" s="116">
        <v>1165.75</v>
      </c>
      <c r="R318">
        <v>2097789</v>
      </c>
    </row>
    <row r="319" spans="1:18" x14ac:dyDescent="0.25">
      <c r="A319" s="170">
        <v>42471</v>
      </c>
      <c r="B319" s="116">
        <v>593.625</v>
      </c>
      <c r="C319" s="116">
        <v>592.20000000000005</v>
      </c>
      <c r="D319" s="116">
        <v>575.70000000000005</v>
      </c>
      <c r="E319" s="116">
        <v>583.5</v>
      </c>
      <c r="F319" s="116">
        <v>1184.4000000000001</v>
      </c>
      <c r="G319">
        <v>147732</v>
      </c>
      <c r="H319" s="116"/>
      <c r="I319" s="116"/>
      <c r="L319" s="170">
        <v>42471</v>
      </c>
      <c r="M319" s="116">
        <v>591.95000000000005</v>
      </c>
      <c r="N319" s="116">
        <v>593.375</v>
      </c>
      <c r="O319" s="116">
        <v>575.54999999999995</v>
      </c>
      <c r="P319" s="116">
        <v>582.9</v>
      </c>
      <c r="Q319" s="116">
        <v>1183.9000000000001</v>
      </c>
      <c r="R319">
        <v>2884339</v>
      </c>
    </row>
    <row r="320" spans="1:18" x14ac:dyDescent="0.25">
      <c r="A320" s="170">
        <v>42472</v>
      </c>
      <c r="B320" s="116">
        <v>597.47500000000002</v>
      </c>
      <c r="C320" s="116">
        <v>591.15</v>
      </c>
      <c r="D320" s="116">
        <v>589.29999999999995</v>
      </c>
      <c r="E320" s="116">
        <v>592.5</v>
      </c>
      <c r="F320" s="116">
        <v>1182.3</v>
      </c>
      <c r="G320">
        <v>170027</v>
      </c>
      <c r="H320" s="116"/>
      <c r="I320" s="116"/>
      <c r="L320" s="170">
        <v>42472</v>
      </c>
      <c r="M320" s="116">
        <v>591.1</v>
      </c>
      <c r="N320" s="116">
        <v>597.45000000000005</v>
      </c>
      <c r="O320" s="116">
        <v>589.29999999999995</v>
      </c>
      <c r="P320" s="116">
        <v>590.25</v>
      </c>
      <c r="Q320" s="116">
        <v>1182.2</v>
      </c>
      <c r="R320">
        <v>2921069</v>
      </c>
    </row>
    <row r="321" spans="1:18" x14ac:dyDescent="0.25">
      <c r="A321" s="170">
        <v>42473</v>
      </c>
      <c r="B321" s="116">
        <v>597.5</v>
      </c>
      <c r="C321" s="116">
        <v>586.02499999999998</v>
      </c>
      <c r="D321" s="116">
        <v>583.25</v>
      </c>
      <c r="E321" s="116">
        <v>597</v>
      </c>
      <c r="F321" s="116">
        <v>1172.05</v>
      </c>
      <c r="G321">
        <v>801832</v>
      </c>
      <c r="H321" s="116"/>
      <c r="I321" s="116"/>
      <c r="L321" s="170">
        <v>42473</v>
      </c>
      <c r="M321" s="116">
        <v>586.35</v>
      </c>
      <c r="N321" s="116">
        <v>597.47500000000002</v>
      </c>
      <c r="O321" s="116">
        <v>583.17499999999995</v>
      </c>
      <c r="P321" s="116">
        <v>597.47500000000002</v>
      </c>
      <c r="Q321" s="116">
        <v>1172.7</v>
      </c>
      <c r="R321">
        <v>6255693</v>
      </c>
    </row>
    <row r="322" spans="1:18" x14ac:dyDescent="0.25">
      <c r="A322" s="170">
        <v>42478</v>
      </c>
      <c r="B322" s="116">
        <v>633.95000000000005</v>
      </c>
      <c r="C322" s="116">
        <v>619.4</v>
      </c>
      <c r="D322" s="116">
        <v>616.72500000000002</v>
      </c>
      <c r="E322" s="116">
        <v>622.77499999999998</v>
      </c>
      <c r="F322" s="116">
        <v>1238.8</v>
      </c>
      <c r="G322">
        <v>753862</v>
      </c>
      <c r="H322" s="116"/>
      <c r="I322" s="116"/>
      <c r="L322" s="170">
        <v>42478</v>
      </c>
      <c r="M322" s="116">
        <v>619.35</v>
      </c>
      <c r="N322" s="116">
        <v>633.95000000000005</v>
      </c>
      <c r="O322" s="116">
        <v>616.75</v>
      </c>
      <c r="P322" s="116">
        <v>625</v>
      </c>
      <c r="Q322" s="116">
        <v>1238.7</v>
      </c>
      <c r="R322">
        <v>12507995</v>
      </c>
    </row>
    <row r="323" spans="1:18" x14ac:dyDescent="0.25">
      <c r="A323" s="170">
        <v>42480</v>
      </c>
      <c r="B323" s="116">
        <v>624.97500000000002</v>
      </c>
      <c r="C323" s="116">
        <v>621.625</v>
      </c>
      <c r="D323" s="116">
        <v>612.75</v>
      </c>
      <c r="E323" s="116">
        <v>622.5</v>
      </c>
      <c r="F323" s="116">
        <v>1243.25</v>
      </c>
      <c r="G323">
        <v>151925</v>
      </c>
      <c r="H323" s="116"/>
      <c r="I323" s="116"/>
      <c r="L323" s="170">
        <v>42480</v>
      </c>
      <c r="M323" s="116">
        <v>621.79999999999995</v>
      </c>
      <c r="N323" s="116">
        <v>623.22500000000002</v>
      </c>
      <c r="O323" s="116">
        <v>612.9</v>
      </c>
      <c r="P323" s="116">
        <v>622</v>
      </c>
      <c r="Q323" s="116">
        <v>1243.5999999999999</v>
      </c>
      <c r="R323">
        <v>4036424</v>
      </c>
    </row>
    <row r="324" spans="1:18" x14ac:dyDescent="0.25">
      <c r="A324" s="170">
        <v>42481</v>
      </c>
      <c r="B324" s="116">
        <v>625</v>
      </c>
      <c r="C324" s="116">
        <v>613.20000000000005</v>
      </c>
      <c r="D324" s="116">
        <v>609.5</v>
      </c>
      <c r="E324" s="116">
        <v>625</v>
      </c>
      <c r="F324" s="116">
        <v>1226.4000000000001</v>
      </c>
      <c r="G324">
        <v>151414</v>
      </c>
      <c r="H324" s="116"/>
      <c r="I324" s="116"/>
      <c r="L324" s="170">
        <v>42481</v>
      </c>
      <c r="M324" s="116">
        <v>613.15</v>
      </c>
      <c r="N324" s="116">
        <v>625.5</v>
      </c>
      <c r="O324" s="116">
        <v>609.04999999999995</v>
      </c>
      <c r="P324" s="116">
        <v>625.5</v>
      </c>
      <c r="Q324" s="116">
        <v>1226.3</v>
      </c>
      <c r="R324">
        <v>2720550</v>
      </c>
    </row>
    <row r="325" spans="1:18" x14ac:dyDescent="0.25">
      <c r="A325" s="170">
        <v>42482</v>
      </c>
      <c r="B325" s="116">
        <v>614.5</v>
      </c>
      <c r="C325" s="116">
        <v>606.92499999999995</v>
      </c>
      <c r="D325" s="116">
        <v>605</v>
      </c>
      <c r="E325" s="116">
        <v>610.5</v>
      </c>
      <c r="F325" s="116">
        <v>1213.8499999999999</v>
      </c>
      <c r="G325">
        <v>96304</v>
      </c>
      <c r="H325" s="116"/>
      <c r="I325" s="116"/>
      <c r="L325" s="170">
        <v>42482</v>
      </c>
      <c r="M325" s="116">
        <v>605.625</v>
      </c>
      <c r="N325" s="116">
        <v>614.25</v>
      </c>
      <c r="O325" s="116">
        <v>603.5</v>
      </c>
      <c r="P325" s="116">
        <v>613.15</v>
      </c>
      <c r="Q325" s="116">
        <v>1211.25</v>
      </c>
      <c r="R325">
        <v>2571969</v>
      </c>
    </row>
    <row r="326" spans="1:18" x14ac:dyDescent="0.25">
      <c r="A326" s="170">
        <v>42485</v>
      </c>
      <c r="B326" s="116">
        <v>612.22500000000002</v>
      </c>
      <c r="C326" s="116">
        <v>608.52499999999998</v>
      </c>
      <c r="D326" s="116">
        <v>600.52499999999998</v>
      </c>
      <c r="E326" s="116">
        <v>607</v>
      </c>
      <c r="F326" s="116">
        <v>1217.05</v>
      </c>
      <c r="G326">
        <v>129233</v>
      </c>
      <c r="H326" s="116"/>
      <c r="I326" s="116"/>
      <c r="L326" s="170">
        <v>42485</v>
      </c>
      <c r="M326" s="116">
        <v>607.92499999999995</v>
      </c>
      <c r="N326" s="116">
        <v>612.4</v>
      </c>
      <c r="O326" s="116">
        <v>600.54999999999995</v>
      </c>
      <c r="P326" s="116">
        <v>606.02499999999998</v>
      </c>
      <c r="Q326" s="116">
        <v>1215.8499999999999</v>
      </c>
      <c r="R326">
        <v>2682067</v>
      </c>
    </row>
    <row r="327" spans="1:18" x14ac:dyDescent="0.25">
      <c r="A327" s="170">
        <v>42486</v>
      </c>
      <c r="B327" s="116">
        <v>619.5</v>
      </c>
      <c r="C327" s="116">
        <v>616.47500000000002</v>
      </c>
      <c r="D327" s="116">
        <v>604.5</v>
      </c>
      <c r="E327" s="116">
        <v>607.5</v>
      </c>
      <c r="F327" s="116">
        <v>1232.95</v>
      </c>
      <c r="G327">
        <v>120720</v>
      </c>
      <c r="H327" s="116"/>
      <c r="I327" s="116"/>
      <c r="L327" s="170">
        <v>42486</v>
      </c>
      <c r="M327" s="116">
        <v>616.07500000000005</v>
      </c>
      <c r="N327" s="116">
        <v>619.77499999999998</v>
      </c>
      <c r="O327" s="116">
        <v>604.29999999999995</v>
      </c>
      <c r="P327" s="116">
        <v>607.72500000000002</v>
      </c>
      <c r="Q327" s="116">
        <v>1232.1500000000001</v>
      </c>
      <c r="R327">
        <v>2923372</v>
      </c>
    </row>
    <row r="328" spans="1:18" x14ac:dyDescent="0.25">
      <c r="A328" s="170">
        <v>42487</v>
      </c>
      <c r="B328" s="116">
        <v>621</v>
      </c>
      <c r="C328" s="116">
        <v>620</v>
      </c>
      <c r="D328" s="116">
        <v>614.1</v>
      </c>
      <c r="E328" s="116">
        <v>614.95000000000005</v>
      </c>
      <c r="F328" s="116">
        <v>1240</v>
      </c>
      <c r="G328">
        <v>69424</v>
      </c>
      <c r="H328" s="116"/>
      <c r="I328" s="116"/>
      <c r="L328" s="170">
        <v>42487</v>
      </c>
      <c r="M328" s="116">
        <v>620.07500000000005</v>
      </c>
      <c r="N328" s="116">
        <v>621.17499999999995</v>
      </c>
      <c r="O328" s="116">
        <v>614.27499999999998</v>
      </c>
      <c r="P328" s="116">
        <v>614.6</v>
      </c>
      <c r="Q328" s="116">
        <v>1240.1500000000001</v>
      </c>
      <c r="R328">
        <v>2243104</v>
      </c>
    </row>
    <row r="329" spans="1:18" x14ac:dyDescent="0.25">
      <c r="A329" s="170">
        <v>42488</v>
      </c>
      <c r="B329" s="116">
        <v>619.95000000000005</v>
      </c>
      <c r="C329" s="116">
        <v>605.72500000000002</v>
      </c>
      <c r="D329" s="116">
        <v>605.02499999999998</v>
      </c>
      <c r="E329" s="116">
        <v>616.5</v>
      </c>
      <c r="F329" s="116">
        <v>1211.45</v>
      </c>
      <c r="G329">
        <v>517659</v>
      </c>
      <c r="H329" s="116"/>
      <c r="I329" s="116"/>
      <c r="L329" s="170">
        <v>42488</v>
      </c>
      <c r="M329" s="116">
        <v>604.57500000000005</v>
      </c>
      <c r="N329" s="116">
        <v>619.79999999999995</v>
      </c>
      <c r="O329" s="116">
        <v>603.5</v>
      </c>
      <c r="P329" s="116">
        <v>615.5</v>
      </c>
      <c r="Q329" s="116">
        <v>1209.1500000000001</v>
      </c>
      <c r="R329">
        <v>6082584</v>
      </c>
    </row>
    <row r="330" spans="1:18" x14ac:dyDescent="0.25">
      <c r="A330" s="170">
        <v>42489</v>
      </c>
      <c r="B330" s="116">
        <v>612.20000000000005</v>
      </c>
      <c r="C330" s="116">
        <v>605.42499999999995</v>
      </c>
      <c r="D330" s="116">
        <v>603</v>
      </c>
      <c r="E330" s="116">
        <v>606</v>
      </c>
      <c r="F330" s="116">
        <v>1210.8499999999999</v>
      </c>
      <c r="G330">
        <v>93993</v>
      </c>
      <c r="H330" s="116"/>
      <c r="I330" s="116"/>
      <c r="L330" s="170">
        <v>42489</v>
      </c>
      <c r="M330" s="116">
        <v>604.04999999999995</v>
      </c>
      <c r="N330" s="116">
        <v>611.77499999999998</v>
      </c>
      <c r="O330" s="116">
        <v>602.5</v>
      </c>
      <c r="P330" s="116">
        <v>605.72500000000002</v>
      </c>
      <c r="Q330" s="116">
        <v>1208.0999999999999</v>
      </c>
      <c r="R330">
        <v>2518205</v>
      </c>
    </row>
    <row r="331" spans="1:18" x14ac:dyDescent="0.25">
      <c r="A331" s="170">
        <v>42492</v>
      </c>
      <c r="B331" s="116">
        <v>607</v>
      </c>
      <c r="C331" s="116">
        <v>600.32500000000005</v>
      </c>
      <c r="D331" s="116">
        <v>598.15</v>
      </c>
      <c r="E331" s="116">
        <v>607</v>
      </c>
      <c r="F331" s="116">
        <v>1200.6500000000001</v>
      </c>
      <c r="G331">
        <v>116483</v>
      </c>
      <c r="H331" s="116"/>
      <c r="I331" s="116"/>
      <c r="L331" s="170">
        <v>42492</v>
      </c>
      <c r="M331" s="116">
        <v>600.52499999999998</v>
      </c>
      <c r="N331" s="116">
        <v>605.57500000000005</v>
      </c>
      <c r="O331" s="116">
        <v>598.07500000000005</v>
      </c>
      <c r="P331" s="116">
        <v>605</v>
      </c>
      <c r="Q331" s="116">
        <v>1201.05</v>
      </c>
      <c r="R331">
        <v>1807625</v>
      </c>
    </row>
    <row r="332" spans="1:18" x14ac:dyDescent="0.25">
      <c r="A332" s="170">
        <v>42493</v>
      </c>
      <c r="B332" s="116">
        <v>606.02499999999998</v>
      </c>
      <c r="C332" s="116">
        <v>590.375</v>
      </c>
      <c r="D332" s="116">
        <v>587.15</v>
      </c>
      <c r="E332" s="116">
        <v>600</v>
      </c>
      <c r="F332" s="116">
        <v>1180.75</v>
      </c>
      <c r="G332">
        <v>138555</v>
      </c>
      <c r="H332" s="116"/>
      <c r="I332" s="116"/>
      <c r="L332" s="170">
        <v>42493</v>
      </c>
      <c r="M332" s="116">
        <v>588.9</v>
      </c>
      <c r="N332" s="116">
        <v>606.1</v>
      </c>
      <c r="O332" s="116">
        <v>585.9</v>
      </c>
      <c r="P332" s="116">
        <v>601.375</v>
      </c>
      <c r="Q332" s="116">
        <v>1177.8</v>
      </c>
      <c r="R332">
        <v>3412405</v>
      </c>
    </row>
    <row r="333" spans="1:18" x14ac:dyDescent="0.25">
      <c r="A333" s="170">
        <v>42494</v>
      </c>
      <c r="B333" s="116">
        <v>596.25</v>
      </c>
      <c r="C333" s="116">
        <v>594.77499999999998</v>
      </c>
      <c r="D333" s="116">
        <v>585.77499999999998</v>
      </c>
      <c r="E333" s="116">
        <v>595.5</v>
      </c>
      <c r="F333" s="116">
        <v>1189.55</v>
      </c>
      <c r="G333">
        <v>108048</v>
      </c>
      <c r="H333" s="116"/>
      <c r="I333" s="116"/>
      <c r="L333" s="170">
        <v>42494</v>
      </c>
      <c r="M333" s="116">
        <v>594.42499999999995</v>
      </c>
      <c r="N333" s="116">
        <v>596.5</v>
      </c>
      <c r="O333" s="116">
        <v>585.32500000000005</v>
      </c>
      <c r="P333" s="116">
        <v>590.5</v>
      </c>
      <c r="Q333" s="116">
        <v>1188.8499999999999</v>
      </c>
      <c r="R333">
        <v>2906421</v>
      </c>
    </row>
    <row r="334" spans="1:18" x14ac:dyDescent="0.25">
      <c r="A334" s="170">
        <v>42495</v>
      </c>
      <c r="B334" s="116">
        <v>599.5</v>
      </c>
      <c r="C334" s="116">
        <v>596.22500000000002</v>
      </c>
      <c r="D334" s="116">
        <v>590.92499999999995</v>
      </c>
      <c r="E334" s="116">
        <v>595.5</v>
      </c>
      <c r="F334" s="116">
        <v>1192.45</v>
      </c>
      <c r="G334">
        <v>531520</v>
      </c>
      <c r="H334" s="116"/>
      <c r="I334" s="116"/>
      <c r="L334" s="170">
        <v>42495</v>
      </c>
      <c r="M334" s="116">
        <v>596.22500000000002</v>
      </c>
      <c r="N334" s="116">
        <v>599.5</v>
      </c>
      <c r="O334" s="116">
        <v>590.54999999999995</v>
      </c>
      <c r="P334" s="116">
        <v>597.57500000000005</v>
      </c>
      <c r="Q334" s="116">
        <v>1192.45</v>
      </c>
      <c r="R334">
        <v>3151334</v>
      </c>
    </row>
    <row r="335" spans="1:18" x14ac:dyDescent="0.25">
      <c r="A335" s="170">
        <v>42496</v>
      </c>
      <c r="B335" s="116">
        <v>596</v>
      </c>
      <c r="C335" s="116">
        <v>590.72500000000002</v>
      </c>
      <c r="D335" s="116">
        <v>588.35</v>
      </c>
      <c r="E335" s="116">
        <v>596</v>
      </c>
      <c r="F335" s="116">
        <v>1181.45</v>
      </c>
      <c r="G335">
        <v>73541</v>
      </c>
      <c r="H335" s="116"/>
      <c r="I335" s="116"/>
      <c r="L335" s="170">
        <v>42496</v>
      </c>
      <c r="M335" s="116">
        <v>590.75</v>
      </c>
      <c r="N335" s="116">
        <v>594.9</v>
      </c>
      <c r="O335" s="116">
        <v>588.52499999999998</v>
      </c>
      <c r="P335" s="116">
        <v>594.9</v>
      </c>
      <c r="Q335" s="116">
        <v>1181.5</v>
      </c>
      <c r="R335">
        <v>1298360</v>
      </c>
    </row>
    <row r="336" spans="1:18" x14ac:dyDescent="0.25">
      <c r="A336" s="170">
        <v>42499</v>
      </c>
      <c r="B336" s="116">
        <v>600.25</v>
      </c>
      <c r="C336" s="116">
        <v>599.57500000000005</v>
      </c>
      <c r="D336" s="116">
        <v>590.77499999999998</v>
      </c>
      <c r="E336" s="116">
        <v>595</v>
      </c>
      <c r="F336" s="116">
        <v>1199.1500000000001</v>
      </c>
      <c r="G336">
        <v>76269</v>
      </c>
      <c r="H336" s="116"/>
      <c r="I336" s="116"/>
      <c r="L336" s="170">
        <v>42499</v>
      </c>
      <c r="M336" s="116">
        <v>599.52499999999998</v>
      </c>
      <c r="N336" s="116">
        <v>600.77499999999998</v>
      </c>
      <c r="O336" s="116">
        <v>590.29999999999995</v>
      </c>
      <c r="P336" s="116">
        <v>591</v>
      </c>
      <c r="Q336" s="116">
        <v>1199.05</v>
      </c>
      <c r="R336">
        <v>2561839</v>
      </c>
    </row>
    <row r="337" spans="1:18" x14ac:dyDescent="0.25">
      <c r="A337" s="170">
        <v>42500</v>
      </c>
      <c r="B337" s="116">
        <v>608</v>
      </c>
      <c r="C337" s="116">
        <v>606.27499999999998</v>
      </c>
      <c r="D337" s="116">
        <v>598.20000000000005</v>
      </c>
      <c r="E337" s="116">
        <v>600</v>
      </c>
      <c r="F337" s="116">
        <v>1212.55</v>
      </c>
      <c r="G337">
        <v>74273</v>
      </c>
      <c r="H337" s="116"/>
      <c r="I337" s="116"/>
      <c r="L337" s="170">
        <v>42500</v>
      </c>
      <c r="M337" s="116">
        <v>606.4</v>
      </c>
      <c r="N337" s="116">
        <v>608.32500000000005</v>
      </c>
      <c r="O337" s="116">
        <v>598.29999999999995</v>
      </c>
      <c r="P337" s="116">
        <v>601.25</v>
      </c>
      <c r="Q337" s="116">
        <v>1212.8</v>
      </c>
      <c r="R337">
        <v>1697852</v>
      </c>
    </row>
    <row r="338" spans="1:18" x14ac:dyDescent="0.25">
      <c r="A338" s="170">
        <v>42501</v>
      </c>
      <c r="B338" s="116">
        <v>607.47500000000002</v>
      </c>
      <c r="C338" s="116">
        <v>600.52499999999998</v>
      </c>
      <c r="D338" s="116">
        <v>596.5</v>
      </c>
      <c r="E338" s="116">
        <v>602.5</v>
      </c>
      <c r="F338" s="116">
        <v>1201.05</v>
      </c>
      <c r="G338">
        <v>109159</v>
      </c>
      <c r="H338" s="116"/>
      <c r="I338" s="116"/>
      <c r="L338" s="170">
        <v>42501</v>
      </c>
      <c r="M338" s="116">
        <v>600.92499999999995</v>
      </c>
      <c r="N338" s="116">
        <v>607.35</v>
      </c>
      <c r="O338" s="116">
        <v>596.25</v>
      </c>
      <c r="P338" s="116">
        <v>599.25</v>
      </c>
      <c r="Q338" s="116">
        <v>1201.8499999999999</v>
      </c>
      <c r="R338">
        <v>1854944</v>
      </c>
    </row>
    <row r="339" spans="1:18" x14ac:dyDescent="0.25">
      <c r="A339" s="170">
        <v>42502</v>
      </c>
      <c r="B339" s="116">
        <v>606.25</v>
      </c>
      <c r="C339" s="116">
        <v>605.1</v>
      </c>
      <c r="D339" s="116">
        <v>598.9</v>
      </c>
      <c r="E339" s="116">
        <v>604.47500000000002</v>
      </c>
      <c r="F339" s="116">
        <v>1210.2</v>
      </c>
      <c r="G339">
        <v>115768</v>
      </c>
      <c r="H339" s="116"/>
      <c r="I339" s="116"/>
      <c r="L339" s="170">
        <v>42502</v>
      </c>
      <c r="M339" s="116">
        <v>605</v>
      </c>
      <c r="N339" s="116">
        <v>606.5</v>
      </c>
      <c r="O339" s="116">
        <v>598.4</v>
      </c>
      <c r="P339" s="116">
        <v>601.95000000000005</v>
      </c>
      <c r="Q339" s="116">
        <v>1210</v>
      </c>
      <c r="R339">
        <v>1703466</v>
      </c>
    </row>
    <row r="340" spans="1:18" x14ac:dyDescent="0.25">
      <c r="A340" s="170">
        <v>42503</v>
      </c>
      <c r="B340" s="116">
        <v>604.5</v>
      </c>
      <c r="C340" s="116">
        <v>603.35</v>
      </c>
      <c r="D340" s="116">
        <v>596.32500000000005</v>
      </c>
      <c r="E340" s="116">
        <v>603.5</v>
      </c>
      <c r="F340" s="116">
        <v>1206.7</v>
      </c>
      <c r="G340">
        <v>82888</v>
      </c>
      <c r="H340" s="116"/>
      <c r="I340" s="116"/>
      <c r="L340" s="170">
        <v>42503</v>
      </c>
      <c r="M340" s="116">
        <v>603.625</v>
      </c>
      <c r="N340" s="116">
        <v>605</v>
      </c>
      <c r="O340" s="116">
        <v>596.07500000000005</v>
      </c>
      <c r="P340" s="116">
        <v>603</v>
      </c>
      <c r="Q340" s="116">
        <v>1207.25</v>
      </c>
      <c r="R340">
        <v>2826032</v>
      </c>
    </row>
    <row r="341" spans="1:18" x14ac:dyDescent="0.25">
      <c r="A341" s="170">
        <v>42506</v>
      </c>
      <c r="B341" s="116">
        <v>610.875</v>
      </c>
      <c r="C341" s="116">
        <v>606.97500000000002</v>
      </c>
      <c r="D341" s="116">
        <v>604</v>
      </c>
      <c r="E341" s="116">
        <v>605</v>
      </c>
      <c r="F341" s="116">
        <v>1213.95</v>
      </c>
      <c r="G341">
        <v>80904</v>
      </c>
      <c r="H341" s="116"/>
      <c r="I341" s="116"/>
      <c r="L341" s="170">
        <v>42506</v>
      </c>
      <c r="M341" s="116">
        <v>607.5</v>
      </c>
      <c r="N341" s="116">
        <v>611.82500000000005</v>
      </c>
      <c r="O341" s="116">
        <v>602.5</v>
      </c>
      <c r="P341" s="116">
        <v>605.1</v>
      </c>
      <c r="Q341" s="116">
        <v>1215</v>
      </c>
      <c r="R341">
        <v>2266939</v>
      </c>
    </row>
    <row r="342" spans="1:18" x14ac:dyDescent="0.25">
      <c r="A342" s="170">
        <v>42507</v>
      </c>
      <c r="B342" s="116">
        <v>612.5</v>
      </c>
      <c r="C342" s="116">
        <v>607.02499999999998</v>
      </c>
      <c r="D342" s="116">
        <v>605</v>
      </c>
      <c r="E342" s="116">
        <v>609</v>
      </c>
      <c r="F342" s="116">
        <v>1214.05</v>
      </c>
      <c r="G342">
        <v>61890</v>
      </c>
      <c r="H342" s="116"/>
      <c r="I342" s="116"/>
      <c r="L342" s="170">
        <v>42507</v>
      </c>
      <c r="M342" s="116">
        <v>607.125</v>
      </c>
      <c r="N342" s="116">
        <v>612.875</v>
      </c>
      <c r="O342" s="116">
        <v>604.07500000000005</v>
      </c>
      <c r="P342" s="116">
        <v>610</v>
      </c>
      <c r="Q342" s="116">
        <v>1214.25</v>
      </c>
      <c r="R342">
        <v>1898147</v>
      </c>
    </row>
    <row r="343" spans="1:18" x14ac:dyDescent="0.25">
      <c r="A343" s="170">
        <v>42508</v>
      </c>
      <c r="B343" s="116">
        <v>606.97500000000002</v>
      </c>
      <c r="C343" s="116">
        <v>604.875</v>
      </c>
      <c r="D343" s="116">
        <v>599</v>
      </c>
      <c r="E343" s="116">
        <v>601.75</v>
      </c>
      <c r="F343" s="116">
        <v>1209.75</v>
      </c>
      <c r="G343">
        <v>66017</v>
      </c>
      <c r="H343" s="116"/>
      <c r="I343" s="116"/>
      <c r="L343" s="170">
        <v>42508</v>
      </c>
      <c r="M343" s="116">
        <v>604.92499999999995</v>
      </c>
      <c r="N343" s="116">
        <v>607</v>
      </c>
      <c r="O343" s="116">
        <v>598.95000000000005</v>
      </c>
      <c r="P343" s="116">
        <v>599.5</v>
      </c>
      <c r="Q343" s="116">
        <v>1209.8499999999999</v>
      </c>
      <c r="R343">
        <v>2128298</v>
      </c>
    </row>
    <row r="344" spans="1:18" x14ac:dyDescent="0.25">
      <c r="A344" s="170">
        <v>42509</v>
      </c>
      <c r="B344" s="116">
        <v>607.92499999999995</v>
      </c>
      <c r="C344" s="116">
        <v>602.67499999999995</v>
      </c>
      <c r="D344" s="116">
        <v>600.54999999999995</v>
      </c>
      <c r="E344" s="116">
        <v>604.5</v>
      </c>
      <c r="F344" s="116">
        <v>1205.3499999999999</v>
      </c>
      <c r="G344">
        <v>41837</v>
      </c>
      <c r="H344" s="116"/>
      <c r="I344" s="116"/>
      <c r="L344" s="170">
        <v>42509</v>
      </c>
      <c r="M344" s="116">
        <v>602.875</v>
      </c>
      <c r="N344" s="116">
        <v>608.07500000000005</v>
      </c>
      <c r="O344" s="116">
        <v>600.5</v>
      </c>
      <c r="P344" s="116">
        <v>605.47500000000002</v>
      </c>
      <c r="Q344" s="116">
        <v>1205.75</v>
      </c>
      <c r="R344">
        <v>1977200</v>
      </c>
    </row>
    <row r="345" spans="1:18" x14ac:dyDescent="0.25">
      <c r="A345" s="170">
        <v>42510</v>
      </c>
      <c r="B345" s="116">
        <v>609.75</v>
      </c>
      <c r="C345" s="116">
        <v>600.875</v>
      </c>
      <c r="D345" s="116">
        <v>600.02499999999998</v>
      </c>
      <c r="E345" s="116">
        <v>602</v>
      </c>
      <c r="F345" s="116">
        <v>1201.75</v>
      </c>
      <c r="G345">
        <v>49424</v>
      </c>
      <c r="H345" s="116"/>
      <c r="I345" s="116"/>
      <c r="L345" s="170">
        <v>42510</v>
      </c>
      <c r="M345" s="116">
        <v>600.79999999999995</v>
      </c>
      <c r="N345" s="116">
        <v>609.75</v>
      </c>
      <c r="O345" s="116">
        <v>600</v>
      </c>
      <c r="P345" s="116">
        <v>602.5</v>
      </c>
      <c r="Q345" s="116">
        <v>1201.5999999999999</v>
      </c>
      <c r="R345">
        <v>1997274</v>
      </c>
    </row>
    <row r="346" spans="1:18" x14ac:dyDescent="0.25">
      <c r="A346" s="170">
        <v>42513</v>
      </c>
      <c r="B346" s="116">
        <v>602.20000000000005</v>
      </c>
      <c r="C346" s="116">
        <v>595.375</v>
      </c>
      <c r="D346" s="116">
        <v>592.77499999999998</v>
      </c>
      <c r="E346" s="116">
        <v>600.75</v>
      </c>
      <c r="F346" s="116">
        <v>1190.75</v>
      </c>
      <c r="G346">
        <v>107246</v>
      </c>
      <c r="H346" s="116"/>
      <c r="I346" s="116"/>
      <c r="L346" s="170">
        <v>42513</v>
      </c>
      <c r="M346" s="116">
        <v>594</v>
      </c>
      <c r="N346" s="116">
        <v>602.57500000000005</v>
      </c>
      <c r="O346" s="116">
        <v>592.5</v>
      </c>
      <c r="P346" s="116">
        <v>601.70000000000005</v>
      </c>
      <c r="Q346" s="116">
        <v>1188</v>
      </c>
      <c r="R346">
        <v>2292973</v>
      </c>
    </row>
    <row r="347" spans="1:18" x14ac:dyDescent="0.25">
      <c r="A347" s="170">
        <v>42514</v>
      </c>
      <c r="B347" s="116">
        <v>597</v>
      </c>
      <c r="C347" s="116">
        <v>594.1</v>
      </c>
      <c r="D347" s="116">
        <v>589.25</v>
      </c>
      <c r="E347" s="116">
        <v>595</v>
      </c>
      <c r="F347" s="116">
        <v>1188.2</v>
      </c>
      <c r="G347">
        <v>84747</v>
      </c>
      <c r="H347" s="116"/>
      <c r="I347" s="116"/>
      <c r="L347" s="170">
        <v>42514</v>
      </c>
      <c r="M347" s="116">
        <v>593.875</v>
      </c>
      <c r="N347" s="116">
        <v>595.875</v>
      </c>
      <c r="O347" s="116">
        <v>588.79999999999995</v>
      </c>
      <c r="P347" s="116">
        <v>595.52499999999998</v>
      </c>
      <c r="Q347" s="116">
        <v>1187.75</v>
      </c>
      <c r="R347">
        <v>1742530</v>
      </c>
    </row>
    <row r="348" spans="1:18" x14ac:dyDescent="0.25">
      <c r="A348" s="170">
        <v>42515</v>
      </c>
      <c r="B348" s="116">
        <v>606.42499999999995</v>
      </c>
      <c r="C348" s="116">
        <v>604.42499999999995</v>
      </c>
      <c r="D348" s="116">
        <v>598</v>
      </c>
      <c r="E348" s="116">
        <v>598</v>
      </c>
      <c r="F348" s="116">
        <v>1208.8499999999999</v>
      </c>
      <c r="G348">
        <v>54461</v>
      </c>
      <c r="H348" s="116"/>
      <c r="I348" s="116"/>
      <c r="L348" s="170">
        <v>42515</v>
      </c>
      <c r="M348" s="116">
        <v>604.32500000000005</v>
      </c>
      <c r="N348" s="116">
        <v>606.54999999999995</v>
      </c>
      <c r="O348" s="116">
        <v>597.04999999999995</v>
      </c>
      <c r="P348" s="116">
        <v>597.04999999999995</v>
      </c>
      <c r="Q348" s="116">
        <v>1208.6500000000001</v>
      </c>
      <c r="R348">
        <v>1928698</v>
      </c>
    </row>
    <row r="349" spans="1:18" x14ac:dyDescent="0.25">
      <c r="A349" s="170">
        <v>42516</v>
      </c>
      <c r="B349" s="116">
        <v>618.45000000000005</v>
      </c>
      <c r="C349" s="116">
        <v>615.82500000000005</v>
      </c>
      <c r="D349" s="116">
        <v>604</v>
      </c>
      <c r="E349" s="116">
        <v>604</v>
      </c>
      <c r="F349" s="116">
        <v>1231.6500000000001</v>
      </c>
      <c r="G349">
        <v>112874</v>
      </c>
      <c r="H349" s="116"/>
      <c r="I349" s="116"/>
      <c r="L349" s="170">
        <v>42516</v>
      </c>
      <c r="M349" s="116">
        <v>617.07500000000005</v>
      </c>
      <c r="N349" s="116">
        <v>619.9</v>
      </c>
      <c r="O349" s="116">
        <v>605.04999999999995</v>
      </c>
      <c r="P349" s="116">
        <v>605.04999999999995</v>
      </c>
      <c r="Q349" s="116">
        <v>1234.1500000000001</v>
      </c>
      <c r="R349">
        <v>3068218</v>
      </c>
    </row>
    <row r="350" spans="1:18" x14ac:dyDescent="0.25">
      <c r="A350" s="170">
        <v>42517</v>
      </c>
      <c r="B350" s="116">
        <v>628.42499999999995</v>
      </c>
      <c r="C350" s="116">
        <v>623.20000000000005</v>
      </c>
      <c r="D350" s="116">
        <v>615</v>
      </c>
      <c r="E350" s="116">
        <v>615</v>
      </c>
      <c r="F350" s="116">
        <v>1246.4000000000001</v>
      </c>
      <c r="G350">
        <v>169649</v>
      </c>
      <c r="H350" s="116"/>
      <c r="I350" s="116"/>
      <c r="L350" s="170">
        <v>42517</v>
      </c>
      <c r="M350" s="116">
        <v>623.75</v>
      </c>
      <c r="N350" s="116">
        <v>629.75</v>
      </c>
      <c r="O350" s="116">
        <v>615.79999999999995</v>
      </c>
      <c r="P350" s="116">
        <v>615.79999999999995</v>
      </c>
      <c r="Q350" s="116">
        <v>1247.5</v>
      </c>
      <c r="R350">
        <v>3090382</v>
      </c>
    </row>
    <row r="351" spans="1:18" x14ac:dyDescent="0.25">
      <c r="A351" s="170">
        <v>42520</v>
      </c>
      <c r="B351" s="116">
        <v>635</v>
      </c>
      <c r="C351" s="116">
        <v>631.72500000000002</v>
      </c>
      <c r="D351" s="116">
        <v>622.04999999999995</v>
      </c>
      <c r="E351" s="116">
        <v>623.5</v>
      </c>
      <c r="F351" s="116">
        <v>1263.45</v>
      </c>
      <c r="G351">
        <v>132179</v>
      </c>
      <c r="H351" s="116"/>
      <c r="I351" s="116"/>
      <c r="L351" s="170">
        <v>42520</v>
      </c>
      <c r="M351" s="116">
        <v>633.79999999999995</v>
      </c>
      <c r="N351" s="116">
        <v>636</v>
      </c>
      <c r="O351" s="116">
        <v>620.75</v>
      </c>
      <c r="P351" s="116">
        <v>620.75</v>
      </c>
      <c r="Q351" s="116">
        <v>1267.5999999999999</v>
      </c>
      <c r="R351">
        <v>2642850</v>
      </c>
    </row>
    <row r="352" spans="1:18" x14ac:dyDescent="0.25">
      <c r="A352" s="170">
        <v>42521</v>
      </c>
      <c r="B352" s="116">
        <v>634</v>
      </c>
      <c r="C352" s="116">
        <v>624.92499999999995</v>
      </c>
      <c r="D352" s="116">
        <v>619.5</v>
      </c>
      <c r="E352" s="116">
        <v>634</v>
      </c>
      <c r="F352" s="116">
        <v>1249.8499999999999</v>
      </c>
      <c r="G352">
        <v>72964</v>
      </c>
      <c r="H352" s="116"/>
      <c r="I352" s="116"/>
      <c r="L352" s="170">
        <v>42521</v>
      </c>
      <c r="M352" s="116">
        <v>624.32500000000005</v>
      </c>
      <c r="N352" s="116">
        <v>633.375</v>
      </c>
      <c r="O352" s="116">
        <v>619.5</v>
      </c>
      <c r="P352" s="116">
        <v>632.5</v>
      </c>
      <c r="Q352" s="116">
        <v>1248.6500000000001</v>
      </c>
      <c r="R352">
        <v>6891019</v>
      </c>
    </row>
    <row r="353" spans="1:18" x14ac:dyDescent="0.25">
      <c r="A353" s="170">
        <v>42522</v>
      </c>
      <c r="B353" s="116">
        <v>633.75</v>
      </c>
      <c r="C353" s="116">
        <v>628.22500000000002</v>
      </c>
      <c r="D353" s="116">
        <v>620.5</v>
      </c>
      <c r="E353" s="116">
        <v>620.5</v>
      </c>
      <c r="F353" s="116">
        <v>1256.45</v>
      </c>
      <c r="G353">
        <v>87677</v>
      </c>
      <c r="H353" s="116"/>
      <c r="I353" s="116"/>
      <c r="L353" s="170">
        <v>42522</v>
      </c>
      <c r="M353" s="116">
        <v>629.1</v>
      </c>
      <c r="N353" s="116">
        <v>634.25</v>
      </c>
      <c r="O353" s="116">
        <v>623</v>
      </c>
      <c r="P353" s="116">
        <v>623.02499999999998</v>
      </c>
      <c r="Q353" s="116">
        <v>1258.2</v>
      </c>
      <c r="R353">
        <v>2420267</v>
      </c>
    </row>
    <row r="354" spans="1:18" x14ac:dyDescent="0.25">
      <c r="A354" s="170">
        <v>42523</v>
      </c>
      <c r="B354" s="116">
        <v>637</v>
      </c>
      <c r="C354" s="116">
        <v>630.125</v>
      </c>
      <c r="D354" s="116">
        <v>626.5</v>
      </c>
      <c r="E354" s="116">
        <v>626.5</v>
      </c>
      <c r="F354" s="116">
        <v>1260.25</v>
      </c>
      <c r="G354">
        <v>105795</v>
      </c>
      <c r="H354" s="116"/>
      <c r="I354" s="116"/>
      <c r="L354" s="170">
        <v>42523</v>
      </c>
      <c r="M354" s="116">
        <v>630.77499999999998</v>
      </c>
      <c r="N354" s="116">
        <v>637.45000000000005</v>
      </c>
      <c r="O354" s="116">
        <v>627</v>
      </c>
      <c r="P354" s="116">
        <v>627.5</v>
      </c>
      <c r="Q354" s="116">
        <v>1261.55</v>
      </c>
      <c r="R354">
        <v>2526776</v>
      </c>
    </row>
    <row r="355" spans="1:18" x14ac:dyDescent="0.25">
      <c r="A355" s="170">
        <v>42524</v>
      </c>
      <c r="B355" s="116">
        <v>639</v>
      </c>
      <c r="C355" s="116">
        <v>633.22500000000002</v>
      </c>
      <c r="D355" s="116">
        <v>631.72500000000002</v>
      </c>
      <c r="E355" s="116">
        <v>632</v>
      </c>
      <c r="F355" s="116">
        <v>1266.45</v>
      </c>
      <c r="G355">
        <v>63514</v>
      </c>
      <c r="H355" s="116"/>
      <c r="I355" s="116"/>
      <c r="L355" s="170">
        <v>42524</v>
      </c>
      <c r="M355" s="116">
        <v>633.45000000000005</v>
      </c>
      <c r="N355" s="116">
        <v>639.65</v>
      </c>
      <c r="O355" s="116">
        <v>630.02499999999998</v>
      </c>
      <c r="P355" s="116">
        <v>630.02499999999998</v>
      </c>
      <c r="Q355" s="116">
        <v>1266.9000000000001</v>
      </c>
      <c r="R355">
        <v>1999190</v>
      </c>
    </row>
    <row r="356" spans="1:18" x14ac:dyDescent="0.25">
      <c r="A356" s="170">
        <v>42527</v>
      </c>
      <c r="B356" s="116">
        <v>638.625</v>
      </c>
      <c r="C356" s="116">
        <v>633.54999999999995</v>
      </c>
      <c r="D356" s="116">
        <v>630.02499999999998</v>
      </c>
      <c r="E356" s="116">
        <v>635</v>
      </c>
      <c r="F356" s="116">
        <v>1267.0999999999999</v>
      </c>
      <c r="G356">
        <v>49192</v>
      </c>
      <c r="H356" s="116"/>
      <c r="I356" s="116"/>
      <c r="L356" s="170">
        <v>42527</v>
      </c>
      <c r="M356" s="116">
        <v>633.375</v>
      </c>
      <c r="N356" s="116">
        <v>638.5</v>
      </c>
      <c r="O356" s="116">
        <v>630.54999999999995</v>
      </c>
      <c r="P356" s="116">
        <v>632.45000000000005</v>
      </c>
      <c r="Q356" s="116">
        <v>1266.75</v>
      </c>
      <c r="R356">
        <v>2112884</v>
      </c>
    </row>
    <row r="357" spans="1:18" x14ac:dyDescent="0.25">
      <c r="A357" s="170">
        <v>42528</v>
      </c>
      <c r="B357" s="116">
        <v>636</v>
      </c>
      <c r="C357" s="116">
        <v>628.6</v>
      </c>
      <c r="D357" s="116">
        <v>627.67499999999995</v>
      </c>
      <c r="E357" s="116">
        <v>633.5</v>
      </c>
      <c r="F357" s="116">
        <v>1257.2</v>
      </c>
      <c r="G357">
        <v>295440</v>
      </c>
      <c r="H357" s="116"/>
      <c r="I357" s="116"/>
      <c r="L357" s="170">
        <v>42528</v>
      </c>
      <c r="M357" s="116">
        <v>628.70000000000005</v>
      </c>
      <c r="N357" s="116">
        <v>636.25</v>
      </c>
      <c r="O357" s="116">
        <v>627.54999999999995</v>
      </c>
      <c r="P357" s="116">
        <v>633.5</v>
      </c>
      <c r="Q357" s="116">
        <v>1257.4000000000001</v>
      </c>
      <c r="R357">
        <v>2846210</v>
      </c>
    </row>
    <row r="358" spans="1:18" x14ac:dyDescent="0.25">
      <c r="A358" s="170">
        <v>42529</v>
      </c>
      <c r="B358" s="116">
        <v>632.47500000000002</v>
      </c>
      <c r="C358" s="116">
        <v>619.15</v>
      </c>
      <c r="D358" s="116">
        <v>618</v>
      </c>
      <c r="E358" s="116">
        <v>630</v>
      </c>
      <c r="F358" s="116">
        <v>1238.3</v>
      </c>
      <c r="G358">
        <v>202263</v>
      </c>
      <c r="H358" s="116"/>
      <c r="I358" s="116"/>
      <c r="L358" s="170">
        <v>42529</v>
      </c>
      <c r="M358" s="116">
        <v>619.04999999999995</v>
      </c>
      <c r="N358" s="116">
        <v>631.97500000000002</v>
      </c>
      <c r="O358" s="116">
        <v>617.67499999999995</v>
      </c>
      <c r="P358" s="116">
        <v>631.97500000000002</v>
      </c>
      <c r="Q358" s="116">
        <v>1238.0999999999999</v>
      </c>
      <c r="R358">
        <v>4370685</v>
      </c>
    </row>
    <row r="359" spans="1:18" x14ac:dyDescent="0.25">
      <c r="A359" s="170">
        <v>42530</v>
      </c>
      <c r="B359" s="116">
        <v>614.45000000000005</v>
      </c>
      <c r="C359" s="116">
        <v>592.72500000000002</v>
      </c>
      <c r="D359" s="116">
        <v>590.54999999999995</v>
      </c>
      <c r="E359" s="116">
        <v>614.45000000000005</v>
      </c>
      <c r="F359" s="116">
        <v>1185.45</v>
      </c>
      <c r="G359">
        <v>495595</v>
      </c>
      <c r="H359" s="116"/>
      <c r="I359" s="116"/>
      <c r="L359" s="170">
        <v>42530</v>
      </c>
      <c r="M359" s="116">
        <v>592.75</v>
      </c>
      <c r="N359" s="116">
        <v>613.125</v>
      </c>
      <c r="O359" s="116">
        <v>590.02499999999998</v>
      </c>
      <c r="P359" s="116">
        <v>613.125</v>
      </c>
      <c r="Q359" s="116">
        <v>1185.5</v>
      </c>
      <c r="R359">
        <v>6370402</v>
      </c>
    </row>
    <row r="360" spans="1:18" x14ac:dyDescent="0.25">
      <c r="A360" s="170">
        <v>42531</v>
      </c>
      <c r="B360" s="116">
        <v>595</v>
      </c>
      <c r="C360" s="116">
        <v>590.4</v>
      </c>
      <c r="D360" s="116">
        <v>585.45000000000005</v>
      </c>
      <c r="E360" s="116">
        <v>587.75</v>
      </c>
      <c r="F360" s="116">
        <v>1180.8</v>
      </c>
      <c r="G360">
        <v>247826</v>
      </c>
      <c r="H360" s="116"/>
      <c r="I360" s="116"/>
      <c r="L360" s="170">
        <v>42531</v>
      </c>
      <c r="M360" s="116">
        <v>590.29999999999995</v>
      </c>
      <c r="N360" s="116">
        <v>595</v>
      </c>
      <c r="O360" s="116">
        <v>585.04999999999995</v>
      </c>
      <c r="P360" s="116">
        <v>587.70000000000005</v>
      </c>
      <c r="Q360" s="116">
        <v>1180.5999999999999</v>
      </c>
      <c r="R360">
        <v>3191978</v>
      </c>
    </row>
    <row r="361" spans="1:18" x14ac:dyDescent="0.25">
      <c r="A361" s="170">
        <v>42534</v>
      </c>
      <c r="B361" s="116">
        <v>592.9</v>
      </c>
      <c r="C361" s="116">
        <v>591.27499999999998</v>
      </c>
      <c r="D361" s="116">
        <v>583.125</v>
      </c>
      <c r="E361" s="116">
        <v>588</v>
      </c>
      <c r="F361" s="116">
        <v>1182.55</v>
      </c>
      <c r="G361">
        <v>121513</v>
      </c>
      <c r="H361" s="116"/>
      <c r="I361" s="116"/>
      <c r="L361" s="170">
        <v>42534</v>
      </c>
      <c r="M361" s="116">
        <v>590.45000000000005</v>
      </c>
      <c r="N361" s="116">
        <v>592.45000000000005</v>
      </c>
      <c r="O361" s="116">
        <v>583</v>
      </c>
      <c r="P361" s="116">
        <v>588.4</v>
      </c>
      <c r="Q361" s="116">
        <v>1180.9000000000001</v>
      </c>
      <c r="R361">
        <v>2643361</v>
      </c>
    </row>
    <row r="362" spans="1:18" x14ac:dyDescent="0.25">
      <c r="A362" s="170">
        <v>42535</v>
      </c>
      <c r="B362" s="116">
        <v>592.45000000000005</v>
      </c>
      <c r="C362" s="116">
        <v>587.6</v>
      </c>
      <c r="D362" s="116">
        <v>583.875</v>
      </c>
      <c r="E362" s="116">
        <v>591.54999999999995</v>
      </c>
      <c r="F362" s="116">
        <v>1175.2</v>
      </c>
      <c r="G362">
        <v>99403</v>
      </c>
      <c r="H362" s="116"/>
      <c r="I362" s="116"/>
      <c r="L362" s="170">
        <v>42535</v>
      </c>
      <c r="M362" s="116">
        <v>587.5</v>
      </c>
      <c r="N362" s="116">
        <v>591.20000000000005</v>
      </c>
      <c r="O362" s="116">
        <v>583.625</v>
      </c>
      <c r="P362" s="116">
        <v>591.20000000000005</v>
      </c>
      <c r="Q362" s="116">
        <v>1175</v>
      </c>
      <c r="R362">
        <v>1470364</v>
      </c>
    </row>
    <row r="363" spans="1:18" x14ac:dyDescent="0.25">
      <c r="A363" s="170">
        <v>42536</v>
      </c>
      <c r="B363" s="116">
        <v>595.57500000000005</v>
      </c>
      <c r="C363" s="116">
        <v>594.6</v>
      </c>
      <c r="D363" s="116">
        <v>589.5</v>
      </c>
      <c r="E363" s="116">
        <v>590</v>
      </c>
      <c r="F363" s="116">
        <v>1189.2</v>
      </c>
      <c r="G363">
        <v>126892</v>
      </c>
      <c r="H363" s="116"/>
      <c r="I363" s="116"/>
      <c r="L363" s="170">
        <v>42536</v>
      </c>
      <c r="M363" s="116">
        <v>594.97500000000002</v>
      </c>
      <c r="N363" s="116">
        <v>596.32500000000005</v>
      </c>
      <c r="O363" s="116">
        <v>589.52499999999998</v>
      </c>
      <c r="P363" s="116">
        <v>591.85</v>
      </c>
      <c r="Q363" s="116">
        <v>1189.95</v>
      </c>
      <c r="R363">
        <v>3355786</v>
      </c>
    </row>
    <row r="364" spans="1:18" x14ac:dyDescent="0.25">
      <c r="A364" s="170">
        <v>42537</v>
      </c>
      <c r="B364" s="116">
        <v>596.85</v>
      </c>
      <c r="C364" s="116">
        <v>593.1</v>
      </c>
      <c r="D364" s="116">
        <v>585.25</v>
      </c>
      <c r="E364" s="116">
        <v>596.85</v>
      </c>
      <c r="F364" s="116">
        <v>1186.2</v>
      </c>
      <c r="G364">
        <v>161237</v>
      </c>
      <c r="H364" s="116"/>
      <c r="I364" s="116"/>
      <c r="L364" s="170">
        <v>42537</v>
      </c>
      <c r="M364" s="116">
        <v>593</v>
      </c>
      <c r="N364" s="116">
        <v>594.75</v>
      </c>
      <c r="O364" s="116">
        <v>585.04999999999995</v>
      </c>
      <c r="P364" s="116">
        <v>594.75</v>
      </c>
      <c r="Q364" s="116">
        <v>1186</v>
      </c>
      <c r="R364">
        <v>2651282</v>
      </c>
    </row>
    <row r="365" spans="1:18" x14ac:dyDescent="0.25">
      <c r="A365" s="170">
        <v>42538</v>
      </c>
      <c r="B365" s="116">
        <v>595.70000000000005</v>
      </c>
      <c r="C365" s="116">
        <v>589.15</v>
      </c>
      <c r="D365" s="116">
        <v>587.54999999999995</v>
      </c>
      <c r="E365" s="116">
        <v>595</v>
      </c>
      <c r="F365" s="116">
        <v>1178.3</v>
      </c>
      <c r="G365">
        <v>103455</v>
      </c>
      <c r="H365" s="116"/>
      <c r="I365" s="116"/>
      <c r="L365" s="170">
        <v>42538</v>
      </c>
      <c r="M365" s="116">
        <v>589.75</v>
      </c>
      <c r="N365" s="116">
        <v>596.375</v>
      </c>
      <c r="O365" s="116">
        <v>587.54999999999995</v>
      </c>
      <c r="P365" s="116">
        <v>594.5</v>
      </c>
      <c r="Q365" s="116">
        <v>1179.5</v>
      </c>
      <c r="R365">
        <v>4257541</v>
      </c>
    </row>
    <row r="366" spans="1:18" x14ac:dyDescent="0.25">
      <c r="A366" s="170">
        <v>42541</v>
      </c>
      <c r="B366" s="116">
        <v>605.95000000000005</v>
      </c>
      <c r="C366" s="116">
        <v>604.29999999999995</v>
      </c>
      <c r="D366" s="116">
        <v>588.95000000000005</v>
      </c>
      <c r="E366" s="116">
        <v>589.1</v>
      </c>
      <c r="F366" s="116">
        <v>1208.5999999999999</v>
      </c>
      <c r="G366">
        <v>144354</v>
      </c>
      <c r="H366" s="116"/>
      <c r="I366" s="116"/>
      <c r="L366" s="170">
        <v>42541</v>
      </c>
      <c r="M366" s="116">
        <v>604.375</v>
      </c>
      <c r="N366" s="116">
        <v>605.9</v>
      </c>
      <c r="O366" s="116">
        <v>589.85</v>
      </c>
      <c r="P366" s="116">
        <v>590.5</v>
      </c>
      <c r="Q366" s="116">
        <v>1208.75</v>
      </c>
      <c r="R366">
        <v>3114783</v>
      </c>
    </row>
    <row r="367" spans="1:18" x14ac:dyDescent="0.25">
      <c r="A367" s="170">
        <v>42542</v>
      </c>
      <c r="B367" s="116">
        <v>607.5</v>
      </c>
      <c r="C367" s="116">
        <v>602.95000000000005</v>
      </c>
      <c r="D367" s="116">
        <v>598.25</v>
      </c>
      <c r="E367" s="116">
        <v>604.5</v>
      </c>
      <c r="F367" s="116">
        <v>1205.9000000000001</v>
      </c>
      <c r="G367">
        <v>120352</v>
      </c>
      <c r="H367" s="116"/>
      <c r="I367" s="116"/>
      <c r="L367" s="170">
        <v>42542</v>
      </c>
      <c r="M367" s="116">
        <v>603.04999999999995</v>
      </c>
      <c r="N367" s="116">
        <v>607.4</v>
      </c>
      <c r="O367" s="116">
        <v>597.82500000000005</v>
      </c>
      <c r="P367" s="116">
        <v>605.6</v>
      </c>
      <c r="Q367" s="116">
        <v>1206.0999999999999</v>
      </c>
      <c r="R367">
        <v>2380862</v>
      </c>
    </row>
    <row r="368" spans="1:18" x14ac:dyDescent="0.25">
      <c r="A368" s="170">
        <v>42543</v>
      </c>
      <c r="B368" s="116">
        <v>605.85</v>
      </c>
      <c r="C368" s="116">
        <v>599.27499999999998</v>
      </c>
      <c r="D368" s="116">
        <v>595</v>
      </c>
      <c r="E368" s="116">
        <v>598.625</v>
      </c>
      <c r="F368" s="116">
        <v>1198.55</v>
      </c>
      <c r="G368">
        <v>76515</v>
      </c>
      <c r="H368" s="116"/>
      <c r="I368" s="116"/>
      <c r="L368" s="170">
        <v>42543</v>
      </c>
      <c r="M368" s="116">
        <v>599.75</v>
      </c>
      <c r="N368" s="116">
        <v>605.97500000000002</v>
      </c>
      <c r="O368" s="116">
        <v>594.07500000000005</v>
      </c>
      <c r="P368" s="116">
        <v>602</v>
      </c>
      <c r="Q368" s="116">
        <v>1199.5</v>
      </c>
      <c r="R368">
        <v>1515629</v>
      </c>
    </row>
    <row r="369" spans="1:18" x14ac:dyDescent="0.25">
      <c r="A369" s="170">
        <v>42544</v>
      </c>
      <c r="B369" s="116">
        <v>607.32500000000005</v>
      </c>
      <c r="C369" s="116">
        <v>605.77499999999998</v>
      </c>
      <c r="D369" s="116">
        <v>596.72500000000002</v>
      </c>
      <c r="E369" s="116">
        <v>599.95000000000005</v>
      </c>
      <c r="F369" s="116">
        <v>1211.55</v>
      </c>
      <c r="G369">
        <v>159955</v>
      </c>
      <c r="H369" s="116"/>
      <c r="I369" s="116"/>
      <c r="L369" s="170">
        <v>42544</v>
      </c>
      <c r="M369" s="116">
        <v>605.79999999999995</v>
      </c>
      <c r="N369" s="116">
        <v>607.42499999999995</v>
      </c>
      <c r="O369" s="116">
        <v>596.67499999999995</v>
      </c>
      <c r="P369" s="116">
        <v>598.65</v>
      </c>
      <c r="Q369" s="116">
        <v>1211.5999999999999</v>
      </c>
      <c r="R369">
        <v>1914313</v>
      </c>
    </row>
    <row r="370" spans="1:18" x14ac:dyDescent="0.25">
      <c r="A370" s="170">
        <v>42545</v>
      </c>
      <c r="B370" s="116">
        <v>599.5</v>
      </c>
      <c r="C370" s="116">
        <v>597.25</v>
      </c>
      <c r="D370" s="116">
        <v>579.5</v>
      </c>
      <c r="E370" s="116">
        <v>599.5</v>
      </c>
      <c r="F370" s="116">
        <v>1194.5</v>
      </c>
      <c r="G370">
        <v>227077</v>
      </c>
      <c r="H370" s="116"/>
      <c r="I370" s="116"/>
      <c r="L370" s="170">
        <v>42545</v>
      </c>
      <c r="M370" s="116">
        <v>597.27499999999998</v>
      </c>
      <c r="N370" s="116">
        <v>599.5</v>
      </c>
      <c r="O370" s="116">
        <v>580</v>
      </c>
      <c r="P370" s="116">
        <v>594</v>
      </c>
      <c r="Q370" s="116">
        <v>1194.55</v>
      </c>
      <c r="R370">
        <v>3904174</v>
      </c>
    </row>
    <row r="371" spans="1:18" x14ac:dyDescent="0.25">
      <c r="A371" s="170">
        <v>42548</v>
      </c>
      <c r="B371" s="116">
        <v>589.9</v>
      </c>
      <c r="C371" s="116">
        <v>583.125</v>
      </c>
      <c r="D371" s="116">
        <v>580</v>
      </c>
      <c r="E371" s="116">
        <v>588</v>
      </c>
      <c r="F371" s="116">
        <v>1166.25</v>
      </c>
      <c r="G371">
        <v>192742</v>
      </c>
      <c r="H371" s="116"/>
      <c r="I371" s="116"/>
      <c r="L371" s="170">
        <v>42548</v>
      </c>
      <c r="M371" s="116">
        <v>583.1</v>
      </c>
      <c r="N371" s="116">
        <v>591.6</v>
      </c>
      <c r="O371" s="116">
        <v>580</v>
      </c>
      <c r="P371" s="116">
        <v>586.02499999999998</v>
      </c>
      <c r="Q371" s="116">
        <v>1166.2</v>
      </c>
      <c r="R371">
        <v>2791889</v>
      </c>
    </row>
    <row r="372" spans="1:18" x14ac:dyDescent="0.25">
      <c r="A372" s="170">
        <v>42549</v>
      </c>
      <c r="B372" s="116">
        <v>586.5</v>
      </c>
      <c r="C372" s="116">
        <v>580.52499999999998</v>
      </c>
      <c r="D372" s="116">
        <v>578</v>
      </c>
      <c r="E372" s="116">
        <v>583.125</v>
      </c>
      <c r="F372" s="116">
        <v>1161.05</v>
      </c>
      <c r="G372">
        <v>187648</v>
      </c>
      <c r="H372" s="116"/>
      <c r="I372" s="116"/>
      <c r="L372" s="170">
        <v>42549</v>
      </c>
      <c r="M372" s="116">
        <v>579.57500000000005</v>
      </c>
      <c r="N372" s="116">
        <v>586.25</v>
      </c>
      <c r="O372" s="116">
        <v>577.54999999999995</v>
      </c>
      <c r="P372" s="116">
        <v>581.4</v>
      </c>
      <c r="Q372" s="116">
        <v>1159.1500000000001</v>
      </c>
      <c r="R372">
        <v>3827987</v>
      </c>
    </row>
    <row r="373" spans="1:18" x14ac:dyDescent="0.25">
      <c r="A373" s="170">
        <v>42550</v>
      </c>
      <c r="B373" s="116">
        <v>589.67499999999995</v>
      </c>
      <c r="C373" s="116">
        <v>588.27499999999998</v>
      </c>
      <c r="D373" s="116">
        <v>580.625</v>
      </c>
      <c r="E373" s="116">
        <v>582.5</v>
      </c>
      <c r="F373" s="116">
        <v>1176.55</v>
      </c>
      <c r="G373">
        <v>119789</v>
      </c>
      <c r="H373" s="116"/>
      <c r="I373" s="116"/>
      <c r="L373" s="170">
        <v>42550</v>
      </c>
      <c r="M373" s="116">
        <v>588.42499999999995</v>
      </c>
      <c r="N373" s="116">
        <v>589.95000000000005</v>
      </c>
      <c r="O373" s="116">
        <v>580.1</v>
      </c>
      <c r="P373" s="116">
        <v>584.5</v>
      </c>
      <c r="Q373" s="116">
        <v>1176.8499999999999</v>
      </c>
      <c r="R373">
        <v>2729575</v>
      </c>
    </row>
    <row r="374" spans="1:18" x14ac:dyDescent="0.25">
      <c r="A374" s="170">
        <v>42551</v>
      </c>
      <c r="B374" s="116">
        <v>596.35</v>
      </c>
      <c r="C374" s="116">
        <v>585.375</v>
      </c>
      <c r="D374" s="116">
        <v>584.04999999999995</v>
      </c>
      <c r="E374" s="116">
        <v>596.35</v>
      </c>
      <c r="F374" s="116">
        <v>1170.75</v>
      </c>
      <c r="G374">
        <v>145080</v>
      </c>
      <c r="H374" s="116"/>
      <c r="I374" s="116"/>
      <c r="L374" s="170">
        <v>42551</v>
      </c>
      <c r="M374" s="116">
        <v>585.4</v>
      </c>
      <c r="N374" s="116">
        <v>592.25</v>
      </c>
      <c r="O374" s="116">
        <v>583.97500000000002</v>
      </c>
      <c r="P374" s="116">
        <v>590.25</v>
      </c>
      <c r="Q374" s="116">
        <v>1170.8</v>
      </c>
      <c r="R374">
        <v>4673112</v>
      </c>
    </row>
    <row r="375" spans="1:18" x14ac:dyDescent="0.25">
      <c r="A375" s="170">
        <v>42552</v>
      </c>
      <c r="B375" s="116">
        <v>590.27499999999998</v>
      </c>
      <c r="C375" s="116">
        <v>586.04999999999995</v>
      </c>
      <c r="D375" s="116">
        <v>585</v>
      </c>
      <c r="E375" s="116">
        <v>590</v>
      </c>
      <c r="F375" s="116">
        <v>1172.0999999999999</v>
      </c>
      <c r="G375">
        <v>97337</v>
      </c>
      <c r="H375" s="116"/>
      <c r="I375" s="116"/>
      <c r="L375" s="170">
        <v>42552</v>
      </c>
      <c r="M375" s="116">
        <v>586.20000000000005</v>
      </c>
      <c r="N375" s="116">
        <v>590</v>
      </c>
      <c r="O375" s="116">
        <v>585.04999999999995</v>
      </c>
      <c r="P375" s="116">
        <v>590</v>
      </c>
      <c r="Q375" s="116">
        <v>1172.4000000000001</v>
      </c>
      <c r="R375">
        <v>1995956</v>
      </c>
    </row>
    <row r="376" spans="1:18" x14ac:dyDescent="0.25">
      <c r="A376" s="170">
        <v>42555</v>
      </c>
      <c r="B376" s="116">
        <v>597.4</v>
      </c>
      <c r="C376" s="116">
        <v>592.125</v>
      </c>
      <c r="D376" s="116">
        <v>588</v>
      </c>
      <c r="E376" s="116">
        <v>588</v>
      </c>
      <c r="F376" s="116">
        <v>1184.25</v>
      </c>
      <c r="G376">
        <v>159245</v>
      </c>
      <c r="H376" s="116"/>
      <c r="I376" s="116"/>
      <c r="L376" s="170">
        <v>42555</v>
      </c>
      <c r="M376" s="116">
        <v>591.97500000000002</v>
      </c>
      <c r="N376" s="116">
        <v>597.29999999999995</v>
      </c>
      <c r="O376" s="116">
        <v>588.1</v>
      </c>
      <c r="P376" s="116">
        <v>588.1</v>
      </c>
      <c r="Q376" s="116">
        <v>1183.95</v>
      </c>
      <c r="R376">
        <v>2690661</v>
      </c>
    </row>
    <row r="377" spans="1:18" x14ac:dyDescent="0.25">
      <c r="A377" s="170">
        <v>42556</v>
      </c>
      <c r="B377" s="116">
        <v>592.75</v>
      </c>
      <c r="C377" s="116">
        <v>587.72500000000002</v>
      </c>
      <c r="D377" s="116">
        <v>585.77499999999998</v>
      </c>
      <c r="E377" s="116">
        <v>592.5</v>
      </c>
      <c r="F377" s="116">
        <v>1175.45</v>
      </c>
      <c r="G377">
        <v>73198</v>
      </c>
      <c r="H377" s="116"/>
      <c r="I377" s="116"/>
      <c r="L377" s="170">
        <v>42556</v>
      </c>
      <c r="M377" s="116">
        <v>587.72500000000002</v>
      </c>
      <c r="N377" s="116">
        <v>593.75</v>
      </c>
      <c r="O377" s="116">
        <v>585.52499999999998</v>
      </c>
      <c r="P377" s="116">
        <v>592.5</v>
      </c>
      <c r="Q377" s="116">
        <v>1175.45</v>
      </c>
      <c r="R377">
        <v>1798208</v>
      </c>
    </row>
    <row r="378" spans="1:18" x14ac:dyDescent="0.25">
      <c r="A378" s="170">
        <v>42558</v>
      </c>
      <c r="B378" s="116">
        <v>587.72500000000002</v>
      </c>
      <c r="C378" s="116">
        <v>578.6</v>
      </c>
      <c r="D378" s="116">
        <v>577.5</v>
      </c>
      <c r="E378" s="116">
        <v>587.72500000000002</v>
      </c>
      <c r="F378" s="116">
        <v>1157.2</v>
      </c>
      <c r="G378">
        <v>167697</v>
      </c>
      <c r="H378" s="116"/>
      <c r="I378" s="116"/>
      <c r="L378" s="170">
        <v>42558</v>
      </c>
      <c r="M378" s="116">
        <v>578.625</v>
      </c>
      <c r="N378" s="116">
        <v>585.5</v>
      </c>
      <c r="O378" s="116">
        <v>577.5</v>
      </c>
      <c r="P378" s="116">
        <v>584.35</v>
      </c>
      <c r="Q378" s="116">
        <v>1157.25</v>
      </c>
      <c r="R378">
        <v>2977438</v>
      </c>
    </row>
    <row r="379" spans="1:18" x14ac:dyDescent="0.25">
      <c r="A379" s="170">
        <v>42559</v>
      </c>
      <c r="B379" s="116">
        <v>588.6</v>
      </c>
      <c r="C379" s="116">
        <v>579.375</v>
      </c>
      <c r="D379" s="116">
        <v>576.6</v>
      </c>
      <c r="E379" s="116">
        <v>588.6</v>
      </c>
      <c r="F379" s="116">
        <v>1158.75</v>
      </c>
      <c r="G379">
        <v>1305599</v>
      </c>
      <c r="H379" s="116"/>
      <c r="I379" s="116"/>
      <c r="L379" s="170">
        <v>42559</v>
      </c>
      <c r="M379" s="116">
        <v>579.1</v>
      </c>
      <c r="N379" s="116">
        <v>583.5</v>
      </c>
      <c r="O379" s="116">
        <v>576.75</v>
      </c>
      <c r="P379" s="116">
        <v>581.5</v>
      </c>
      <c r="Q379" s="116">
        <v>1158.2</v>
      </c>
      <c r="R379">
        <v>2775824</v>
      </c>
    </row>
    <row r="380" spans="1:18" x14ac:dyDescent="0.25">
      <c r="A380" s="170">
        <v>42562</v>
      </c>
      <c r="B380" s="116">
        <v>589</v>
      </c>
      <c r="C380" s="116">
        <v>587.42499999999995</v>
      </c>
      <c r="D380" s="116">
        <v>580.25</v>
      </c>
      <c r="E380" s="116">
        <v>582.5</v>
      </c>
      <c r="F380" s="116">
        <v>1174.8499999999999</v>
      </c>
      <c r="G380">
        <v>126988</v>
      </c>
      <c r="H380" s="116"/>
      <c r="I380" s="116"/>
      <c r="L380" s="170">
        <v>42562</v>
      </c>
      <c r="M380" s="116">
        <v>587.52499999999998</v>
      </c>
      <c r="N380" s="116">
        <v>589.35</v>
      </c>
      <c r="O380" s="116">
        <v>580</v>
      </c>
      <c r="P380" s="116">
        <v>583.70000000000005</v>
      </c>
      <c r="Q380" s="116">
        <v>1175.05</v>
      </c>
      <c r="R380">
        <v>3334441</v>
      </c>
    </row>
    <row r="381" spans="1:18" x14ac:dyDescent="0.25">
      <c r="A381" s="170">
        <v>42563</v>
      </c>
      <c r="B381" s="116">
        <v>590</v>
      </c>
      <c r="C381" s="116">
        <v>588</v>
      </c>
      <c r="D381" s="116">
        <v>584</v>
      </c>
      <c r="E381" s="116">
        <v>587</v>
      </c>
      <c r="F381" s="116">
        <v>1176</v>
      </c>
      <c r="G381">
        <v>93277</v>
      </c>
      <c r="H381" s="116"/>
      <c r="I381" s="116"/>
      <c r="L381" s="170">
        <v>42563</v>
      </c>
      <c r="M381" s="116">
        <v>588.27499999999998</v>
      </c>
      <c r="N381" s="116">
        <v>590.17499999999995</v>
      </c>
      <c r="O381" s="116">
        <v>584</v>
      </c>
      <c r="P381" s="116">
        <v>590</v>
      </c>
      <c r="Q381" s="116">
        <v>1176.55</v>
      </c>
      <c r="R381">
        <v>3098684</v>
      </c>
    </row>
    <row r="382" spans="1:18" x14ac:dyDescent="0.25">
      <c r="A382" s="170">
        <v>42564</v>
      </c>
      <c r="B382" s="116">
        <v>597.5</v>
      </c>
      <c r="C382" s="116">
        <v>596.57500000000005</v>
      </c>
      <c r="D382" s="116">
        <v>587.54999999999995</v>
      </c>
      <c r="E382" s="116">
        <v>590</v>
      </c>
      <c r="F382" s="116">
        <v>1193.1500000000001</v>
      </c>
      <c r="G382">
        <v>132209</v>
      </c>
      <c r="H382" s="116"/>
      <c r="I382" s="116"/>
      <c r="L382" s="170">
        <v>42564</v>
      </c>
      <c r="M382" s="116">
        <v>596.9</v>
      </c>
      <c r="N382" s="116">
        <v>597.9</v>
      </c>
      <c r="O382" s="116">
        <v>587.6</v>
      </c>
      <c r="P382" s="116">
        <v>590</v>
      </c>
      <c r="Q382" s="116">
        <v>1193.8</v>
      </c>
      <c r="R382">
        <v>2637710</v>
      </c>
    </row>
    <row r="383" spans="1:18" x14ac:dyDescent="0.25">
      <c r="A383" s="170">
        <v>42565</v>
      </c>
      <c r="B383" s="116">
        <v>597.52499999999998</v>
      </c>
      <c r="C383" s="116">
        <v>587.92499999999995</v>
      </c>
      <c r="D383" s="116">
        <v>582.6</v>
      </c>
      <c r="E383" s="116">
        <v>597.5</v>
      </c>
      <c r="F383" s="116">
        <v>1175.8499999999999</v>
      </c>
      <c r="G383">
        <v>243844</v>
      </c>
      <c r="H383" s="116"/>
      <c r="I383" s="116"/>
      <c r="L383" s="170">
        <v>42565</v>
      </c>
      <c r="M383" s="116">
        <v>588.125</v>
      </c>
      <c r="N383" s="116">
        <v>598.02499999999998</v>
      </c>
      <c r="O383" s="116">
        <v>582</v>
      </c>
      <c r="P383" s="116">
        <v>597.5</v>
      </c>
      <c r="Q383" s="116">
        <v>1176.25</v>
      </c>
      <c r="R383">
        <v>3706664</v>
      </c>
    </row>
    <row r="384" spans="1:18" x14ac:dyDescent="0.25">
      <c r="A384" s="170">
        <v>42566</v>
      </c>
      <c r="B384" s="116">
        <v>597.5</v>
      </c>
      <c r="C384" s="116">
        <v>536.125</v>
      </c>
      <c r="D384" s="116">
        <v>529.15</v>
      </c>
      <c r="E384" s="116">
        <v>593.17499999999995</v>
      </c>
      <c r="F384" s="116">
        <v>1072.25</v>
      </c>
      <c r="G384">
        <v>2710883</v>
      </c>
      <c r="H384" s="116"/>
      <c r="I384" s="116"/>
      <c r="L384" s="170">
        <v>42566</v>
      </c>
      <c r="M384" s="116">
        <v>536.27499999999998</v>
      </c>
      <c r="N384" s="116">
        <v>594.95000000000005</v>
      </c>
      <c r="O384" s="116">
        <v>526</v>
      </c>
      <c r="P384" s="116">
        <v>594.75</v>
      </c>
      <c r="Q384" s="116">
        <v>1072.55</v>
      </c>
      <c r="R384">
        <v>30742063</v>
      </c>
    </row>
    <row r="385" spans="1:18" x14ac:dyDescent="0.25">
      <c r="A385" s="170">
        <v>42569</v>
      </c>
      <c r="B385" s="116">
        <v>542.22500000000002</v>
      </c>
      <c r="C385" s="116">
        <v>540.85</v>
      </c>
      <c r="D385" s="116">
        <v>528</v>
      </c>
      <c r="E385" s="116">
        <v>537.5</v>
      </c>
      <c r="F385" s="116">
        <v>1081.7</v>
      </c>
      <c r="G385">
        <v>949800</v>
      </c>
      <c r="H385" s="116"/>
      <c r="I385" s="116"/>
      <c r="L385" s="170">
        <v>42569</v>
      </c>
      <c r="M385" s="116">
        <v>540.97500000000002</v>
      </c>
      <c r="N385" s="116">
        <v>542.45000000000005</v>
      </c>
      <c r="O385" s="116">
        <v>527.57500000000005</v>
      </c>
      <c r="P385" s="116">
        <v>538.625</v>
      </c>
      <c r="Q385" s="116">
        <v>1081.95</v>
      </c>
      <c r="R385">
        <v>7166412</v>
      </c>
    </row>
    <row r="386" spans="1:18" x14ac:dyDescent="0.25">
      <c r="A386" s="170">
        <v>42570</v>
      </c>
      <c r="B386" s="116">
        <v>544.5</v>
      </c>
      <c r="C386" s="116">
        <v>543.15</v>
      </c>
      <c r="D386" s="116">
        <v>537.5</v>
      </c>
      <c r="E386" s="116">
        <v>543.25</v>
      </c>
      <c r="F386" s="116">
        <v>1086.3</v>
      </c>
      <c r="G386">
        <v>693722</v>
      </c>
      <c r="H386" s="116"/>
      <c r="I386" s="116"/>
      <c r="L386" s="170">
        <v>42570</v>
      </c>
      <c r="M386" s="116">
        <v>543.47500000000002</v>
      </c>
      <c r="N386" s="116">
        <v>545</v>
      </c>
      <c r="O386" s="116">
        <v>537.04999999999995</v>
      </c>
      <c r="P386" s="116">
        <v>544.29999999999995</v>
      </c>
      <c r="Q386" s="116">
        <v>1086.95</v>
      </c>
      <c r="R386">
        <v>5202322</v>
      </c>
    </row>
    <row r="387" spans="1:18" x14ac:dyDescent="0.25">
      <c r="A387" s="170">
        <v>42571</v>
      </c>
      <c r="B387" s="116">
        <v>544.75</v>
      </c>
      <c r="C387" s="116">
        <v>541.52499999999998</v>
      </c>
      <c r="D387" s="116">
        <v>535</v>
      </c>
      <c r="E387" s="116">
        <v>535.5</v>
      </c>
      <c r="F387" s="116">
        <v>1083.05</v>
      </c>
      <c r="G387">
        <v>260461</v>
      </c>
      <c r="H387" s="116"/>
      <c r="I387" s="116"/>
      <c r="L387" s="170">
        <v>42571</v>
      </c>
      <c r="M387" s="116">
        <v>541.54999999999995</v>
      </c>
      <c r="N387" s="116">
        <v>544.95000000000005</v>
      </c>
      <c r="O387" s="116">
        <v>535</v>
      </c>
      <c r="P387" s="116">
        <v>535</v>
      </c>
      <c r="Q387" s="116">
        <v>1083.0999999999999</v>
      </c>
      <c r="R387">
        <v>4911448</v>
      </c>
    </row>
    <row r="388" spans="1:18" x14ac:dyDescent="0.25">
      <c r="A388" s="170">
        <v>42572</v>
      </c>
      <c r="B388" s="116">
        <v>543.5</v>
      </c>
      <c r="C388" s="116">
        <v>540.17499999999995</v>
      </c>
      <c r="D388" s="116">
        <v>537.75</v>
      </c>
      <c r="E388" s="116">
        <v>540</v>
      </c>
      <c r="F388" s="116">
        <v>1080.3499999999999</v>
      </c>
      <c r="G388">
        <v>966766</v>
      </c>
      <c r="H388" s="116"/>
      <c r="I388" s="116"/>
      <c r="L388" s="170">
        <v>42572</v>
      </c>
      <c r="M388" s="116">
        <v>539.95000000000005</v>
      </c>
      <c r="N388" s="116">
        <v>543.6</v>
      </c>
      <c r="O388" s="116">
        <v>537.79999999999995</v>
      </c>
      <c r="P388" s="116">
        <v>539.5</v>
      </c>
      <c r="Q388" s="116">
        <v>1079.9000000000001</v>
      </c>
      <c r="R388">
        <v>4334001</v>
      </c>
    </row>
    <row r="389" spans="1:18" x14ac:dyDescent="0.25">
      <c r="A389" s="170">
        <v>42573</v>
      </c>
      <c r="B389" s="116">
        <v>538.72500000000002</v>
      </c>
      <c r="C389" s="116">
        <v>536.32500000000005</v>
      </c>
      <c r="D389" s="116">
        <v>533.5</v>
      </c>
      <c r="E389" s="116">
        <v>537.5</v>
      </c>
      <c r="F389" s="116">
        <v>1072.6500000000001</v>
      </c>
      <c r="G389">
        <v>229748</v>
      </c>
      <c r="H389" s="116"/>
      <c r="I389" s="116"/>
      <c r="L389" s="170">
        <v>42573</v>
      </c>
      <c r="M389" s="116">
        <v>536.22500000000002</v>
      </c>
      <c r="N389" s="116">
        <v>539.95000000000005</v>
      </c>
      <c r="O389" s="116">
        <v>533.35</v>
      </c>
      <c r="P389" s="116">
        <v>535</v>
      </c>
      <c r="Q389" s="116">
        <v>1072.45</v>
      </c>
      <c r="R389">
        <v>4693269</v>
      </c>
    </row>
    <row r="390" spans="1:18" x14ac:dyDescent="0.25">
      <c r="A390" s="170">
        <v>42576</v>
      </c>
      <c r="B390" s="116">
        <v>541.5</v>
      </c>
      <c r="C390" s="116">
        <v>540.25</v>
      </c>
      <c r="D390" s="116">
        <v>532.5</v>
      </c>
      <c r="E390" s="116">
        <v>532.5</v>
      </c>
      <c r="F390" s="116">
        <v>1080.5</v>
      </c>
      <c r="G390">
        <v>223034</v>
      </c>
      <c r="H390" s="116"/>
      <c r="I390" s="116"/>
      <c r="L390" s="170">
        <v>42576</v>
      </c>
      <c r="M390" s="116">
        <v>540.42499999999995</v>
      </c>
      <c r="N390" s="116">
        <v>541.625</v>
      </c>
      <c r="O390" s="116">
        <v>531.5</v>
      </c>
      <c r="P390" s="116">
        <v>531.5</v>
      </c>
      <c r="Q390" s="116">
        <v>1080.8499999999999</v>
      </c>
      <c r="R390">
        <v>4234776</v>
      </c>
    </row>
    <row r="391" spans="1:18" x14ac:dyDescent="0.25">
      <c r="A391" s="170">
        <v>42577</v>
      </c>
      <c r="B391" s="116">
        <v>544.9</v>
      </c>
      <c r="C391" s="116">
        <v>544.4</v>
      </c>
      <c r="D391" s="116">
        <v>537</v>
      </c>
      <c r="E391" s="116">
        <v>540</v>
      </c>
      <c r="F391" s="116">
        <v>1088.8</v>
      </c>
      <c r="G391">
        <v>238182</v>
      </c>
      <c r="H391" s="116"/>
      <c r="I391" s="116"/>
      <c r="L391" s="170">
        <v>42577</v>
      </c>
      <c r="M391" s="116">
        <v>544.35</v>
      </c>
      <c r="N391" s="116">
        <v>544.95000000000005</v>
      </c>
      <c r="O391" s="116">
        <v>535.17499999999995</v>
      </c>
      <c r="P391" s="116">
        <v>535.17499999999995</v>
      </c>
      <c r="Q391" s="116">
        <v>1088.7</v>
      </c>
      <c r="R391">
        <v>3594805</v>
      </c>
    </row>
    <row r="392" spans="1:18" x14ac:dyDescent="0.25">
      <c r="A392" s="170">
        <v>42578</v>
      </c>
      <c r="B392" s="116">
        <v>548.54999999999995</v>
      </c>
      <c r="C392" s="116">
        <v>543.77499999999998</v>
      </c>
      <c r="D392" s="116">
        <v>540</v>
      </c>
      <c r="E392" s="116">
        <v>544.35</v>
      </c>
      <c r="F392" s="116">
        <v>1087.55</v>
      </c>
      <c r="G392">
        <v>375417</v>
      </c>
      <c r="H392" s="116"/>
      <c r="I392" s="116"/>
      <c r="L392" s="170">
        <v>42578</v>
      </c>
      <c r="M392" s="116">
        <v>542.67499999999995</v>
      </c>
      <c r="N392" s="116">
        <v>548.25</v>
      </c>
      <c r="O392" s="116">
        <v>539.27499999999998</v>
      </c>
      <c r="P392" s="116">
        <v>542.35</v>
      </c>
      <c r="Q392" s="116">
        <v>1085.3499999999999</v>
      </c>
      <c r="R392">
        <v>3715910</v>
      </c>
    </row>
    <row r="393" spans="1:18" x14ac:dyDescent="0.25">
      <c r="A393" s="170">
        <v>42579</v>
      </c>
      <c r="B393" s="116">
        <v>543.77499999999998</v>
      </c>
      <c r="C393" s="116">
        <v>539.6</v>
      </c>
      <c r="D393" s="116">
        <v>538.02499999999998</v>
      </c>
      <c r="E393" s="116">
        <v>543.77499999999998</v>
      </c>
      <c r="F393" s="116">
        <v>1079.2</v>
      </c>
      <c r="G393">
        <v>331025</v>
      </c>
      <c r="H393" s="116"/>
      <c r="I393" s="116"/>
      <c r="L393" s="170">
        <v>42579</v>
      </c>
      <c r="M393" s="116">
        <v>538.75</v>
      </c>
      <c r="N393" s="116">
        <v>543.47500000000002</v>
      </c>
      <c r="O393" s="116">
        <v>537.02499999999998</v>
      </c>
      <c r="P393" s="116">
        <v>542.70000000000005</v>
      </c>
      <c r="Q393" s="116">
        <v>1077.5</v>
      </c>
      <c r="R393">
        <v>5629281</v>
      </c>
    </row>
    <row r="394" spans="1:18" x14ac:dyDescent="0.25">
      <c r="A394" s="170">
        <v>42580</v>
      </c>
      <c r="B394" s="116">
        <v>539</v>
      </c>
      <c r="C394" s="116">
        <v>536.97500000000002</v>
      </c>
      <c r="D394" s="116">
        <v>533.5</v>
      </c>
      <c r="E394" s="116">
        <v>539</v>
      </c>
      <c r="F394" s="116">
        <v>1073.95</v>
      </c>
      <c r="G394">
        <v>240309</v>
      </c>
      <c r="H394" s="116"/>
      <c r="I394" s="116"/>
      <c r="L394" s="170">
        <v>42580</v>
      </c>
      <c r="M394" s="116">
        <v>536.92499999999995</v>
      </c>
      <c r="N394" s="116">
        <v>538.375</v>
      </c>
      <c r="O394" s="116">
        <v>533.25</v>
      </c>
      <c r="P394" s="116">
        <v>536.29999999999995</v>
      </c>
      <c r="Q394" s="116">
        <v>1073.8499999999999</v>
      </c>
      <c r="R394">
        <v>4078392</v>
      </c>
    </row>
    <row r="395" spans="1:18" x14ac:dyDescent="0.25">
      <c r="A395" s="170">
        <v>42583</v>
      </c>
      <c r="B395" s="116">
        <v>543.75</v>
      </c>
      <c r="C395" s="116">
        <v>542.5</v>
      </c>
      <c r="D395" s="116">
        <v>534.5</v>
      </c>
      <c r="E395" s="116">
        <v>537</v>
      </c>
      <c r="F395" s="116">
        <v>1085</v>
      </c>
      <c r="G395">
        <v>291579</v>
      </c>
      <c r="H395" s="116"/>
      <c r="I395" s="116"/>
      <c r="L395" s="170">
        <v>42583</v>
      </c>
      <c r="M395" s="116">
        <v>542.625</v>
      </c>
      <c r="N395" s="116">
        <v>543.92499999999995</v>
      </c>
      <c r="O395" s="116">
        <v>534.17499999999995</v>
      </c>
      <c r="P395" s="116">
        <v>535.75</v>
      </c>
      <c r="Q395" s="116">
        <v>1085.25</v>
      </c>
      <c r="R395">
        <v>4548331</v>
      </c>
    </row>
    <row r="396" spans="1:18" x14ac:dyDescent="0.25">
      <c r="A396" s="170">
        <v>42584</v>
      </c>
      <c r="B396" s="116">
        <v>544.95000000000005</v>
      </c>
      <c r="C396" s="116">
        <v>542.15</v>
      </c>
      <c r="D396" s="116">
        <v>538.02499999999998</v>
      </c>
      <c r="E396" s="116">
        <v>544.95000000000005</v>
      </c>
      <c r="F396" s="116">
        <v>1084.3</v>
      </c>
      <c r="G396">
        <v>196367</v>
      </c>
      <c r="H396" s="116"/>
      <c r="I396" s="116"/>
      <c r="L396" s="170">
        <v>42584</v>
      </c>
      <c r="M396" s="116">
        <v>541.9</v>
      </c>
      <c r="N396" s="116">
        <v>542.5</v>
      </c>
      <c r="O396" s="116">
        <v>537.5</v>
      </c>
      <c r="P396" s="116">
        <v>539.95000000000005</v>
      </c>
      <c r="Q396" s="116">
        <v>1083.8</v>
      </c>
      <c r="R396">
        <v>3411251</v>
      </c>
    </row>
    <row r="397" spans="1:18" x14ac:dyDescent="0.25">
      <c r="A397" s="170">
        <v>42585</v>
      </c>
      <c r="B397" s="116">
        <v>543.625</v>
      </c>
      <c r="C397" s="116">
        <v>542.5</v>
      </c>
      <c r="D397" s="116">
        <v>536</v>
      </c>
      <c r="E397" s="116">
        <v>542.5</v>
      </c>
      <c r="F397" s="116">
        <v>1085</v>
      </c>
      <c r="G397">
        <v>160694</v>
      </c>
      <c r="H397" s="116"/>
      <c r="I397" s="116"/>
      <c r="L397" s="170">
        <v>42585</v>
      </c>
      <c r="M397" s="116">
        <v>542.45000000000005</v>
      </c>
      <c r="N397" s="116">
        <v>543.25</v>
      </c>
      <c r="O397" s="116">
        <v>535.15</v>
      </c>
      <c r="P397" s="116">
        <v>542.82500000000005</v>
      </c>
      <c r="Q397" s="116">
        <v>1084.9000000000001</v>
      </c>
      <c r="R397">
        <v>3606730</v>
      </c>
    </row>
    <row r="398" spans="1:18" x14ac:dyDescent="0.25">
      <c r="A398" s="170">
        <v>42586</v>
      </c>
      <c r="B398" s="116">
        <v>545</v>
      </c>
      <c r="C398" s="116">
        <v>536.07500000000005</v>
      </c>
      <c r="D398" s="116">
        <v>535</v>
      </c>
      <c r="E398" s="116">
        <v>545</v>
      </c>
      <c r="F398" s="116">
        <v>1072.1500000000001</v>
      </c>
      <c r="G398">
        <v>208434</v>
      </c>
      <c r="H398" s="116"/>
      <c r="I398" s="116"/>
      <c r="L398" s="170">
        <v>42586</v>
      </c>
      <c r="M398" s="116">
        <v>535.9</v>
      </c>
      <c r="N398" s="116">
        <v>543.45000000000005</v>
      </c>
      <c r="O398" s="116">
        <v>535.02499999999998</v>
      </c>
      <c r="P398" s="116">
        <v>543.20000000000005</v>
      </c>
      <c r="Q398" s="116">
        <v>1071.8</v>
      </c>
      <c r="R398">
        <v>2118639</v>
      </c>
    </row>
    <row r="399" spans="1:18" x14ac:dyDescent="0.25">
      <c r="A399" s="170">
        <v>42587</v>
      </c>
      <c r="B399" s="116">
        <v>537</v>
      </c>
      <c r="C399" s="116">
        <v>533.70000000000005</v>
      </c>
      <c r="D399" s="116">
        <v>525.5</v>
      </c>
      <c r="E399" s="116">
        <v>532.5</v>
      </c>
      <c r="F399" s="116">
        <v>1067.4000000000001</v>
      </c>
      <c r="G399">
        <v>234663</v>
      </c>
      <c r="H399" s="116"/>
      <c r="I399" s="116"/>
      <c r="L399" s="170">
        <v>42587</v>
      </c>
      <c r="M399" s="116">
        <v>534</v>
      </c>
      <c r="N399" s="116">
        <v>536.72500000000002</v>
      </c>
      <c r="O399" s="116">
        <v>530</v>
      </c>
      <c r="P399" s="116">
        <v>536</v>
      </c>
      <c r="Q399" s="116">
        <v>1068</v>
      </c>
      <c r="R399">
        <v>2804984</v>
      </c>
    </row>
    <row r="400" spans="1:18" x14ac:dyDescent="0.25">
      <c r="A400" s="170">
        <v>42590</v>
      </c>
      <c r="B400" s="116">
        <v>541.29999999999995</v>
      </c>
      <c r="C400" s="116">
        <v>539.4</v>
      </c>
      <c r="D400" s="116">
        <v>530.82500000000005</v>
      </c>
      <c r="E400" s="116">
        <v>534</v>
      </c>
      <c r="F400" s="116">
        <v>1078.8</v>
      </c>
      <c r="G400">
        <v>1039761</v>
      </c>
      <c r="H400" s="116"/>
      <c r="I400" s="116"/>
      <c r="L400" s="170">
        <v>42590</v>
      </c>
      <c r="M400" s="116">
        <v>539.35</v>
      </c>
      <c r="N400" s="116">
        <v>540.5</v>
      </c>
      <c r="O400" s="116">
        <v>531.27499999999998</v>
      </c>
      <c r="P400" s="116">
        <v>534.5</v>
      </c>
      <c r="Q400" s="116">
        <v>1078.7</v>
      </c>
      <c r="R400">
        <v>2321532</v>
      </c>
    </row>
    <row r="401" spans="1:18" x14ac:dyDescent="0.25">
      <c r="A401" s="170">
        <v>42591</v>
      </c>
      <c r="B401" s="116">
        <v>542.125</v>
      </c>
      <c r="C401" s="116">
        <v>540.75</v>
      </c>
      <c r="D401" s="116">
        <v>535.77499999999998</v>
      </c>
      <c r="E401" s="116">
        <v>539.5</v>
      </c>
      <c r="F401" s="116">
        <v>1081.5</v>
      </c>
      <c r="G401">
        <v>136508</v>
      </c>
      <c r="H401" s="116"/>
      <c r="I401" s="116"/>
      <c r="L401" s="170">
        <v>42591</v>
      </c>
      <c r="M401" s="116">
        <v>541.70000000000005</v>
      </c>
      <c r="N401" s="116">
        <v>542.25</v>
      </c>
      <c r="O401" s="116">
        <v>535.75</v>
      </c>
      <c r="P401" s="116">
        <v>538.5</v>
      </c>
      <c r="Q401" s="116">
        <v>1083.4000000000001</v>
      </c>
      <c r="R401">
        <v>3596332</v>
      </c>
    </row>
    <row r="402" spans="1:18" x14ac:dyDescent="0.25">
      <c r="A402" s="170">
        <v>42592</v>
      </c>
      <c r="B402" s="116">
        <v>543.02499999999998</v>
      </c>
      <c r="C402" s="116">
        <v>539.97500000000002</v>
      </c>
      <c r="D402" s="116">
        <v>537.52499999999998</v>
      </c>
      <c r="E402" s="116">
        <v>539.95000000000005</v>
      </c>
      <c r="F402" s="116">
        <v>1079.95</v>
      </c>
      <c r="G402">
        <v>127204</v>
      </c>
      <c r="H402" s="116"/>
      <c r="I402" s="116"/>
      <c r="L402" s="170">
        <v>42592</v>
      </c>
      <c r="M402" s="116">
        <v>541.17499999999995</v>
      </c>
      <c r="N402" s="116">
        <v>543.95000000000005</v>
      </c>
      <c r="O402" s="116">
        <v>537.6</v>
      </c>
      <c r="P402" s="116">
        <v>538</v>
      </c>
      <c r="Q402" s="116">
        <v>1082.3499999999999</v>
      </c>
      <c r="R402">
        <v>2788227</v>
      </c>
    </row>
    <row r="403" spans="1:18" x14ac:dyDescent="0.25">
      <c r="A403" s="170">
        <v>42593</v>
      </c>
      <c r="B403" s="116">
        <v>547</v>
      </c>
      <c r="C403" s="116">
        <v>538.54999999999995</v>
      </c>
      <c r="D403" s="116">
        <v>537.9</v>
      </c>
      <c r="E403" s="116">
        <v>540.95000000000005</v>
      </c>
      <c r="F403" s="116">
        <v>1077.0999999999999</v>
      </c>
      <c r="G403">
        <v>209563</v>
      </c>
      <c r="H403" s="116"/>
      <c r="I403" s="116"/>
      <c r="L403" s="170">
        <v>42593</v>
      </c>
      <c r="M403" s="116">
        <v>538.67499999999995</v>
      </c>
      <c r="N403" s="116">
        <v>547.5</v>
      </c>
      <c r="O403" s="116">
        <v>537.625</v>
      </c>
      <c r="P403" s="116">
        <v>540.85</v>
      </c>
      <c r="Q403" s="116">
        <v>1077.3499999999999</v>
      </c>
      <c r="R403">
        <v>2519276</v>
      </c>
    </row>
    <row r="404" spans="1:18" x14ac:dyDescent="0.25">
      <c r="A404" s="170">
        <v>42594</v>
      </c>
      <c r="B404" s="116">
        <v>539.42499999999995</v>
      </c>
      <c r="C404" s="116">
        <v>531.65</v>
      </c>
      <c r="D404" s="116">
        <v>530</v>
      </c>
      <c r="E404" s="116">
        <v>537.5</v>
      </c>
      <c r="F404" s="116">
        <v>1063.3</v>
      </c>
      <c r="G404">
        <v>232312</v>
      </c>
      <c r="H404" s="116"/>
      <c r="I404" s="116"/>
      <c r="L404" s="170">
        <v>42594</v>
      </c>
      <c r="M404" s="116">
        <v>531.27499999999998</v>
      </c>
      <c r="N404" s="116">
        <v>539.4</v>
      </c>
      <c r="O404" s="116">
        <v>530</v>
      </c>
      <c r="P404" s="116">
        <v>537.52499999999998</v>
      </c>
      <c r="Q404" s="116">
        <v>1062.55</v>
      </c>
      <c r="R404">
        <v>3724964</v>
      </c>
    </row>
    <row r="405" spans="1:18" x14ac:dyDescent="0.25">
      <c r="A405" s="170">
        <v>42598</v>
      </c>
      <c r="B405" s="116">
        <v>529</v>
      </c>
      <c r="C405" s="116">
        <v>525.47500000000002</v>
      </c>
      <c r="D405" s="116">
        <v>513.79999999999995</v>
      </c>
      <c r="E405" s="116">
        <v>521</v>
      </c>
      <c r="F405" s="116">
        <v>1050.95</v>
      </c>
      <c r="G405">
        <v>331107</v>
      </c>
      <c r="H405" s="116"/>
      <c r="I405" s="116"/>
      <c r="L405" s="170">
        <v>42598</v>
      </c>
      <c r="M405" s="116">
        <v>525.9</v>
      </c>
      <c r="N405" s="116">
        <v>529.02499999999998</v>
      </c>
      <c r="O405" s="116">
        <v>514</v>
      </c>
      <c r="P405" s="116">
        <v>521</v>
      </c>
      <c r="Q405" s="116">
        <v>1051.8</v>
      </c>
      <c r="R405">
        <v>8214704</v>
      </c>
    </row>
    <row r="406" spans="1:18" x14ac:dyDescent="0.25">
      <c r="A406" s="170">
        <v>42599</v>
      </c>
      <c r="B406" s="116">
        <v>525.95000000000005</v>
      </c>
      <c r="C406" s="116">
        <v>516.70000000000005</v>
      </c>
      <c r="D406" s="116">
        <v>515.25</v>
      </c>
      <c r="E406" s="116">
        <v>523</v>
      </c>
      <c r="F406" s="116">
        <v>1033.4000000000001</v>
      </c>
      <c r="G406">
        <v>203762</v>
      </c>
      <c r="H406" s="116"/>
      <c r="I406" s="116"/>
      <c r="L406" s="170">
        <v>42599</v>
      </c>
      <c r="M406" s="116">
        <v>516.65</v>
      </c>
      <c r="N406" s="116">
        <v>526.32500000000005</v>
      </c>
      <c r="O406" s="116">
        <v>515.25</v>
      </c>
      <c r="P406" s="116">
        <v>524.97500000000002</v>
      </c>
      <c r="Q406" s="116">
        <v>1033.3</v>
      </c>
      <c r="R406">
        <v>3299658</v>
      </c>
    </row>
    <row r="407" spans="1:18" x14ac:dyDescent="0.25">
      <c r="A407" s="170">
        <v>42600</v>
      </c>
      <c r="B407" s="116">
        <v>522.4</v>
      </c>
      <c r="C407" s="116">
        <v>512.15</v>
      </c>
      <c r="D407" s="116">
        <v>511.47500000000002</v>
      </c>
      <c r="E407" s="116">
        <v>517.5</v>
      </c>
      <c r="F407" s="116">
        <v>1024.3</v>
      </c>
      <c r="G407">
        <v>229792</v>
      </c>
      <c r="H407" s="116"/>
      <c r="I407" s="116"/>
      <c r="L407" s="170">
        <v>42600</v>
      </c>
      <c r="M407" s="116">
        <v>511.7</v>
      </c>
      <c r="N407" s="116">
        <v>519.54999999999995</v>
      </c>
      <c r="O407" s="116">
        <v>510.75</v>
      </c>
      <c r="P407" s="116">
        <v>518.25</v>
      </c>
      <c r="Q407" s="116">
        <v>1023.4</v>
      </c>
      <c r="R407">
        <v>4217000</v>
      </c>
    </row>
    <row r="408" spans="1:18" x14ac:dyDescent="0.25">
      <c r="A408" s="170">
        <v>42601</v>
      </c>
      <c r="B408" s="116">
        <v>519.45000000000005</v>
      </c>
      <c r="C408" s="116">
        <v>510.55</v>
      </c>
      <c r="D408" s="116">
        <v>509.5</v>
      </c>
      <c r="E408" s="116">
        <v>513.25</v>
      </c>
      <c r="F408" s="116">
        <v>1021.1</v>
      </c>
      <c r="G408">
        <v>186716</v>
      </c>
      <c r="H408" s="116"/>
      <c r="I408" s="116"/>
      <c r="L408" s="170">
        <v>42601</v>
      </c>
      <c r="M408" s="116">
        <v>510.65</v>
      </c>
      <c r="N408" s="116">
        <v>519.5</v>
      </c>
      <c r="O408" s="116">
        <v>509.22500000000002</v>
      </c>
      <c r="P408" s="116">
        <v>515</v>
      </c>
      <c r="Q408" s="116">
        <v>1021.3</v>
      </c>
      <c r="R408">
        <v>2843008</v>
      </c>
    </row>
    <row r="409" spans="1:18" x14ac:dyDescent="0.25">
      <c r="A409" s="170">
        <v>42604</v>
      </c>
      <c r="B409" s="116">
        <v>515</v>
      </c>
      <c r="C409" s="116">
        <v>507.7</v>
      </c>
      <c r="D409" s="116">
        <v>504.6</v>
      </c>
      <c r="E409" s="116">
        <v>510.55</v>
      </c>
      <c r="F409" s="116">
        <v>1015.4</v>
      </c>
      <c r="G409">
        <v>210652</v>
      </c>
      <c r="H409" s="116"/>
      <c r="I409" s="116"/>
      <c r="L409" s="170">
        <v>42604</v>
      </c>
      <c r="M409" s="116">
        <v>507.72500000000002</v>
      </c>
      <c r="N409" s="116">
        <v>515</v>
      </c>
      <c r="O409" s="116">
        <v>504.55</v>
      </c>
      <c r="P409" s="116">
        <v>509</v>
      </c>
      <c r="Q409" s="116">
        <v>1015.45</v>
      </c>
      <c r="R409">
        <v>5126759</v>
      </c>
    </row>
    <row r="410" spans="1:18" x14ac:dyDescent="0.25">
      <c r="A410" s="170">
        <v>42605</v>
      </c>
      <c r="B410" s="116">
        <v>520.5</v>
      </c>
      <c r="C410" s="116">
        <v>519.625</v>
      </c>
      <c r="D410" s="116">
        <v>508.22500000000002</v>
      </c>
      <c r="E410" s="116">
        <v>508.22500000000002</v>
      </c>
      <c r="F410" s="116">
        <v>1039.25</v>
      </c>
      <c r="G410">
        <v>233292</v>
      </c>
      <c r="H410" s="116"/>
      <c r="I410" s="116"/>
      <c r="L410" s="170">
        <v>42605</v>
      </c>
      <c r="M410" s="116">
        <v>519.82500000000005</v>
      </c>
      <c r="N410" s="116">
        <v>521</v>
      </c>
      <c r="O410" s="116">
        <v>510.05</v>
      </c>
      <c r="P410" s="116">
        <v>510.05</v>
      </c>
      <c r="Q410" s="116">
        <v>1039.6500000000001</v>
      </c>
      <c r="R410">
        <v>3703069</v>
      </c>
    </row>
    <row r="411" spans="1:18" x14ac:dyDescent="0.25">
      <c r="A411" s="170">
        <v>42606</v>
      </c>
      <c r="B411" s="116">
        <v>530.97500000000002</v>
      </c>
      <c r="C411" s="116">
        <v>528.77499999999998</v>
      </c>
      <c r="D411" s="116">
        <v>522.5</v>
      </c>
      <c r="E411" s="116">
        <v>522.5</v>
      </c>
      <c r="F411" s="116">
        <v>1057.55</v>
      </c>
      <c r="G411">
        <v>182209</v>
      </c>
      <c r="H411" s="116"/>
      <c r="I411" s="116"/>
      <c r="L411" s="170">
        <v>42606</v>
      </c>
      <c r="M411" s="116">
        <v>528.70000000000005</v>
      </c>
      <c r="N411" s="116">
        <v>531.02499999999998</v>
      </c>
      <c r="O411" s="116">
        <v>523.5</v>
      </c>
      <c r="P411" s="116">
        <v>523.5</v>
      </c>
      <c r="Q411" s="116">
        <v>1057.4000000000001</v>
      </c>
      <c r="R411">
        <v>3064983</v>
      </c>
    </row>
    <row r="412" spans="1:18" x14ac:dyDescent="0.25">
      <c r="A412" s="170">
        <v>42607</v>
      </c>
      <c r="B412" s="116">
        <v>529</v>
      </c>
      <c r="C412" s="116">
        <v>518.27499999999998</v>
      </c>
      <c r="D412" s="116">
        <v>516.15</v>
      </c>
      <c r="E412" s="116">
        <v>529</v>
      </c>
      <c r="F412" s="116">
        <v>1036.55</v>
      </c>
      <c r="G412">
        <v>119690</v>
      </c>
      <c r="H412" s="116"/>
      <c r="I412" s="116"/>
      <c r="L412" s="170">
        <v>42607</v>
      </c>
      <c r="M412" s="116">
        <v>518.07500000000005</v>
      </c>
      <c r="N412" s="116">
        <v>528.79999999999995</v>
      </c>
      <c r="O412" s="116">
        <v>516.04999999999995</v>
      </c>
      <c r="P412" s="116">
        <v>527.5</v>
      </c>
      <c r="Q412" s="116">
        <v>1036.1500000000001</v>
      </c>
      <c r="R412">
        <v>2398281</v>
      </c>
    </row>
    <row r="413" spans="1:18" x14ac:dyDescent="0.25">
      <c r="A413" s="170">
        <v>42608</v>
      </c>
      <c r="B413" s="116">
        <v>523</v>
      </c>
      <c r="C413" s="116">
        <v>510.375</v>
      </c>
      <c r="D413" s="116">
        <v>508.55</v>
      </c>
      <c r="E413" s="116">
        <v>518.5</v>
      </c>
      <c r="F413" s="116">
        <v>1020.75</v>
      </c>
      <c r="G413">
        <v>181021</v>
      </c>
      <c r="H413" s="116"/>
      <c r="I413" s="116"/>
      <c r="L413" s="170">
        <v>42608</v>
      </c>
      <c r="M413" s="116">
        <v>510.125</v>
      </c>
      <c r="N413" s="116">
        <v>523</v>
      </c>
      <c r="O413" s="116">
        <v>508.52499999999998</v>
      </c>
      <c r="P413" s="116">
        <v>518</v>
      </c>
      <c r="Q413" s="116">
        <v>1020.25</v>
      </c>
      <c r="R413">
        <v>3440527</v>
      </c>
    </row>
    <row r="414" spans="1:18" x14ac:dyDescent="0.25">
      <c r="A414" s="170">
        <v>42611</v>
      </c>
      <c r="B414" s="116">
        <v>514</v>
      </c>
      <c r="C414" s="116">
        <v>511.125</v>
      </c>
      <c r="D414" s="116">
        <v>505.9</v>
      </c>
      <c r="E414" s="116">
        <v>510</v>
      </c>
      <c r="F414" s="116">
        <v>1022.25</v>
      </c>
      <c r="G414">
        <v>200768</v>
      </c>
      <c r="H414" s="116"/>
      <c r="I414" s="116"/>
      <c r="L414" s="170">
        <v>42611</v>
      </c>
      <c r="M414" s="116">
        <v>511.4</v>
      </c>
      <c r="N414" s="116">
        <v>515</v>
      </c>
      <c r="O414" s="116">
        <v>505.5</v>
      </c>
      <c r="P414" s="116">
        <v>508.8</v>
      </c>
      <c r="Q414" s="116">
        <v>1022.8</v>
      </c>
      <c r="R414">
        <v>2610141</v>
      </c>
    </row>
    <row r="415" spans="1:18" x14ac:dyDescent="0.25">
      <c r="A415" s="170">
        <v>42612</v>
      </c>
      <c r="B415" s="116">
        <v>527.54999999999995</v>
      </c>
      <c r="C415" s="116">
        <v>520.5</v>
      </c>
      <c r="D415" s="116">
        <v>512.4</v>
      </c>
      <c r="E415" s="116">
        <v>518.5</v>
      </c>
      <c r="F415" s="116">
        <v>1041</v>
      </c>
      <c r="G415">
        <v>188509</v>
      </c>
      <c r="H415" s="116"/>
      <c r="I415" s="116"/>
      <c r="L415" s="170">
        <v>42612</v>
      </c>
      <c r="M415" s="116">
        <v>520.20000000000005</v>
      </c>
      <c r="N415" s="116">
        <v>522.5</v>
      </c>
      <c r="O415" s="116">
        <v>512.5</v>
      </c>
      <c r="P415" s="116">
        <v>516.22500000000002</v>
      </c>
      <c r="Q415" s="116">
        <v>1040.4000000000001</v>
      </c>
      <c r="R415">
        <v>2187719</v>
      </c>
    </row>
    <row r="416" spans="1:18" x14ac:dyDescent="0.25">
      <c r="A416" s="170">
        <v>42613</v>
      </c>
      <c r="B416" s="116">
        <v>523</v>
      </c>
      <c r="C416" s="116">
        <v>518.4</v>
      </c>
      <c r="D416" s="116">
        <v>515.29999999999995</v>
      </c>
      <c r="E416" s="116">
        <v>520.75</v>
      </c>
      <c r="F416" s="116">
        <v>1036.8</v>
      </c>
      <c r="G416">
        <v>213914</v>
      </c>
      <c r="H416" s="116"/>
      <c r="I416" s="116"/>
      <c r="L416" s="170">
        <v>42613</v>
      </c>
      <c r="M416" s="116">
        <v>517.92499999999995</v>
      </c>
      <c r="N416" s="116">
        <v>522.875</v>
      </c>
      <c r="O416" s="116">
        <v>513.9</v>
      </c>
      <c r="P416" s="116">
        <v>518.54999999999995</v>
      </c>
      <c r="Q416" s="116">
        <v>1035.8499999999999</v>
      </c>
      <c r="R416">
        <v>5569907</v>
      </c>
    </row>
    <row r="417" spans="1:18" x14ac:dyDescent="0.25">
      <c r="A417" s="170">
        <v>42614</v>
      </c>
      <c r="B417" s="116">
        <v>519.95000000000005</v>
      </c>
      <c r="C417" s="116">
        <v>518.82500000000005</v>
      </c>
      <c r="D417" s="116">
        <v>516.125</v>
      </c>
      <c r="E417" s="116">
        <v>518</v>
      </c>
      <c r="F417" s="116">
        <v>1037.6500000000001</v>
      </c>
      <c r="G417">
        <v>103907</v>
      </c>
      <c r="H417" s="116"/>
      <c r="I417" s="116"/>
      <c r="L417" s="170">
        <v>42614</v>
      </c>
      <c r="M417" s="116">
        <v>518.77499999999998</v>
      </c>
      <c r="N417" s="116">
        <v>520.22500000000002</v>
      </c>
      <c r="O417" s="116">
        <v>516</v>
      </c>
      <c r="P417" s="116">
        <v>519</v>
      </c>
      <c r="Q417" s="116">
        <v>1037.55</v>
      </c>
      <c r="R417">
        <v>1438913</v>
      </c>
    </row>
    <row r="418" spans="1:18" x14ac:dyDescent="0.25">
      <c r="A418" s="170">
        <v>42615</v>
      </c>
      <c r="B418" s="116">
        <v>519.5</v>
      </c>
      <c r="C418" s="116">
        <v>515.52499999999998</v>
      </c>
      <c r="D418" s="116">
        <v>513.4</v>
      </c>
      <c r="E418" s="116">
        <v>518.5</v>
      </c>
      <c r="F418" s="116">
        <v>1031.05</v>
      </c>
      <c r="G418">
        <v>1044478</v>
      </c>
      <c r="H418" s="116"/>
      <c r="I418" s="116"/>
      <c r="L418" s="170">
        <v>42615</v>
      </c>
      <c r="M418" s="116">
        <v>515.92499999999995</v>
      </c>
      <c r="N418" s="116">
        <v>520</v>
      </c>
      <c r="O418" s="116">
        <v>513.1</v>
      </c>
      <c r="P418" s="116">
        <v>519.52499999999998</v>
      </c>
      <c r="Q418" s="116">
        <v>1031.8499999999999</v>
      </c>
      <c r="R418">
        <v>1666296</v>
      </c>
    </row>
    <row r="419" spans="1:18" x14ac:dyDescent="0.25">
      <c r="A419" s="170">
        <v>42619</v>
      </c>
      <c r="B419" s="116">
        <v>524.45000000000005</v>
      </c>
      <c r="C419" s="116">
        <v>522.54999999999995</v>
      </c>
      <c r="D419" s="116">
        <v>517.5</v>
      </c>
      <c r="E419" s="116">
        <v>520</v>
      </c>
      <c r="F419" s="116">
        <v>1045.0999999999999</v>
      </c>
      <c r="G419">
        <v>286075</v>
      </c>
      <c r="H419" s="116"/>
      <c r="I419" s="116"/>
      <c r="L419" s="170">
        <v>42619</v>
      </c>
      <c r="M419" s="116">
        <v>522.5</v>
      </c>
      <c r="N419" s="116">
        <v>524.45000000000005</v>
      </c>
      <c r="O419" s="116">
        <v>517.79999999999995</v>
      </c>
      <c r="P419" s="116">
        <v>519.125</v>
      </c>
      <c r="Q419" s="116">
        <v>1045</v>
      </c>
      <c r="R419">
        <v>4107522</v>
      </c>
    </row>
    <row r="420" spans="1:18" x14ac:dyDescent="0.25">
      <c r="A420" s="170">
        <v>42620</v>
      </c>
      <c r="B420" s="116">
        <v>529.25</v>
      </c>
      <c r="C420" s="116">
        <v>527.5</v>
      </c>
      <c r="D420" s="116">
        <v>521.75</v>
      </c>
      <c r="E420" s="116">
        <v>522.5</v>
      </c>
      <c r="F420" s="116">
        <v>1055</v>
      </c>
      <c r="G420">
        <v>262202</v>
      </c>
      <c r="H420" s="116"/>
      <c r="I420" s="116"/>
      <c r="L420" s="170">
        <v>42620</v>
      </c>
      <c r="M420" s="116">
        <v>527.17499999999995</v>
      </c>
      <c r="N420" s="116">
        <v>529.5</v>
      </c>
      <c r="O420" s="116">
        <v>522</v>
      </c>
      <c r="P420" s="116">
        <v>524</v>
      </c>
      <c r="Q420" s="116">
        <v>1054.3499999999999</v>
      </c>
      <c r="R420">
        <v>3712735</v>
      </c>
    </row>
    <row r="421" spans="1:18" x14ac:dyDescent="0.25">
      <c r="A421" s="170">
        <v>42621</v>
      </c>
      <c r="B421" s="116">
        <v>525</v>
      </c>
      <c r="C421" s="116">
        <v>518.95000000000005</v>
      </c>
      <c r="D421" s="116">
        <v>512.5</v>
      </c>
      <c r="E421" s="116">
        <v>524</v>
      </c>
      <c r="F421" s="116">
        <v>1037.9000000000001</v>
      </c>
      <c r="G421">
        <v>556393</v>
      </c>
      <c r="H421" s="116"/>
      <c r="I421" s="116"/>
      <c r="L421" s="170">
        <v>42621</v>
      </c>
      <c r="M421" s="116">
        <v>518.82500000000005</v>
      </c>
      <c r="N421" s="116">
        <v>522.5</v>
      </c>
      <c r="O421" s="116">
        <v>512</v>
      </c>
      <c r="P421" s="116">
        <v>522.5</v>
      </c>
      <c r="Q421" s="116">
        <v>1037.6500000000001</v>
      </c>
      <c r="R421">
        <v>4546387</v>
      </c>
    </row>
    <row r="422" spans="1:18" x14ac:dyDescent="0.25">
      <c r="A422" s="170">
        <v>42622</v>
      </c>
      <c r="B422" s="116">
        <v>520.375</v>
      </c>
      <c r="C422" s="116">
        <v>518</v>
      </c>
      <c r="D422" s="116">
        <v>513.82500000000005</v>
      </c>
      <c r="E422" s="116">
        <v>519</v>
      </c>
      <c r="F422" s="116">
        <v>1036</v>
      </c>
      <c r="G422">
        <v>231625</v>
      </c>
      <c r="H422" s="116"/>
      <c r="I422" s="116"/>
      <c r="L422" s="170">
        <v>42622</v>
      </c>
      <c r="M422" s="116">
        <v>517.75</v>
      </c>
      <c r="N422" s="116">
        <v>520.5</v>
      </c>
      <c r="O422" s="116">
        <v>513.27499999999998</v>
      </c>
      <c r="P422" s="116">
        <v>518.5</v>
      </c>
      <c r="Q422" s="116">
        <v>1035.5</v>
      </c>
      <c r="R422">
        <v>2526719</v>
      </c>
    </row>
    <row r="423" spans="1:18" x14ac:dyDescent="0.25">
      <c r="A423" s="170">
        <v>42625</v>
      </c>
      <c r="B423" s="116">
        <v>528.6</v>
      </c>
      <c r="C423" s="116">
        <v>527</v>
      </c>
      <c r="D423" s="116">
        <v>513</v>
      </c>
      <c r="E423" s="116">
        <v>514</v>
      </c>
      <c r="F423" s="116">
        <v>1054</v>
      </c>
      <c r="G423">
        <v>300737</v>
      </c>
      <c r="H423" s="116"/>
      <c r="I423" s="116"/>
      <c r="L423" s="170">
        <v>42625</v>
      </c>
      <c r="M423" s="116">
        <v>527</v>
      </c>
      <c r="N423" s="116">
        <v>529</v>
      </c>
      <c r="O423" s="116">
        <v>512.625</v>
      </c>
      <c r="P423" s="116">
        <v>512.625</v>
      </c>
      <c r="Q423" s="116">
        <v>1054</v>
      </c>
      <c r="R423">
        <v>3101548</v>
      </c>
    </row>
    <row r="424" spans="1:18" x14ac:dyDescent="0.25">
      <c r="A424" s="170">
        <v>42627</v>
      </c>
      <c r="B424" s="116">
        <v>528.65</v>
      </c>
      <c r="C424" s="116">
        <v>523.54999999999995</v>
      </c>
      <c r="D424" s="116">
        <v>521.5</v>
      </c>
      <c r="E424" s="116">
        <v>527.5</v>
      </c>
      <c r="F424" s="116">
        <v>1047.0999999999999</v>
      </c>
      <c r="G424">
        <v>392521</v>
      </c>
      <c r="H424" s="116"/>
      <c r="I424" s="116"/>
      <c r="L424" s="170">
        <v>42627</v>
      </c>
      <c r="M424" s="116">
        <v>522.79999999999995</v>
      </c>
      <c r="N424" s="116">
        <v>528.9</v>
      </c>
      <c r="O424" s="116">
        <v>520.32500000000005</v>
      </c>
      <c r="P424" s="116">
        <v>526.97500000000002</v>
      </c>
      <c r="Q424" s="116">
        <v>1045.5999999999999</v>
      </c>
      <c r="R424">
        <v>2576209</v>
      </c>
    </row>
    <row r="425" spans="1:18" x14ac:dyDescent="0.25">
      <c r="A425" s="170">
        <v>42628</v>
      </c>
      <c r="B425" s="116">
        <v>527.4</v>
      </c>
      <c r="C425" s="116">
        <v>520.67499999999995</v>
      </c>
      <c r="D425" s="116">
        <v>518.02499999999998</v>
      </c>
      <c r="E425" s="116">
        <v>524</v>
      </c>
      <c r="F425" s="116">
        <v>1041.3499999999999</v>
      </c>
      <c r="G425">
        <v>149599</v>
      </c>
      <c r="H425" s="116"/>
      <c r="I425" s="116"/>
      <c r="L425" s="170">
        <v>42628</v>
      </c>
      <c r="M425" s="116">
        <v>521.1</v>
      </c>
      <c r="N425" s="116">
        <v>523.4</v>
      </c>
      <c r="O425" s="116">
        <v>517.67499999999995</v>
      </c>
      <c r="P425" s="116">
        <v>522.79999999999995</v>
      </c>
      <c r="Q425" s="116">
        <v>1042.2</v>
      </c>
      <c r="R425">
        <v>2350861</v>
      </c>
    </row>
    <row r="426" spans="1:18" x14ac:dyDescent="0.25">
      <c r="A426" s="170">
        <v>42629</v>
      </c>
      <c r="B426" s="116">
        <v>532.07500000000005</v>
      </c>
      <c r="C426" s="116">
        <v>530.17499999999995</v>
      </c>
      <c r="D426" s="116">
        <v>519</v>
      </c>
      <c r="E426" s="116">
        <v>525.5</v>
      </c>
      <c r="F426" s="116">
        <v>1060.3499999999999</v>
      </c>
      <c r="G426">
        <v>206464</v>
      </c>
      <c r="H426" s="116"/>
      <c r="I426" s="116"/>
      <c r="L426" s="170">
        <v>42629</v>
      </c>
      <c r="M426" s="116">
        <v>530.07500000000005</v>
      </c>
      <c r="N426" s="116">
        <v>532.25</v>
      </c>
      <c r="O426" s="116">
        <v>519.04999999999995</v>
      </c>
      <c r="P426" s="116">
        <v>524.5</v>
      </c>
      <c r="Q426" s="116">
        <v>1060.1500000000001</v>
      </c>
      <c r="R426">
        <v>4974692</v>
      </c>
    </row>
    <row r="427" spans="1:18" x14ac:dyDescent="0.25">
      <c r="A427" s="170">
        <v>42632</v>
      </c>
      <c r="B427" s="116">
        <v>534.32500000000005</v>
      </c>
      <c r="C427" s="116">
        <v>530.57500000000005</v>
      </c>
      <c r="D427" s="116">
        <v>521.5</v>
      </c>
      <c r="E427" s="116">
        <v>525</v>
      </c>
      <c r="F427" s="116">
        <v>1061.1500000000001</v>
      </c>
      <c r="G427">
        <v>645622</v>
      </c>
      <c r="H427" s="116"/>
      <c r="I427" s="116"/>
      <c r="L427" s="170">
        <v>42632</v>
      </c>
      <c r="M427" s="116">
        <v>530.6</v>
      </c>
      <c r="N427" s="116">
        <v>534.45000000000005</v>
      </c>
      <c r="O427" s="116">
        <v>520.67499999999995</v>
      </c>
      <c r="P427" s="116">
        <v>523</v>
      </c>
      <c r="Q427" s="116">
        <v>1061.2</v>
      </c>
      <c r="R427">
        <v>2904577</v>
      </c>
    </row>
    <row r="428" spans="1:18" x14ac:dyDescent="0.25">
      <c r="A428" s="170">
        <v>42633</v>
      </c>
      <c r="B428" s="116">
        <v>528.625</v>
      </c>
      <c r="C428" s="116">
        <v>525.17499999999995</v>
      </c>
      <c r="D428" s="116">
        <v>523.25</v>
      </c>
      <c r="E428" s="116">
        <v>527</v>
      </c>
      <c r="F428" s="116">
        <v>1050.3499999999999</v>
      </c>
      <c r="G428">
        <v>87819</v>
      </c>
      <c r="H428" s="116"/>
      <c r="I428" s="116"/>
      <c r="L428" s="170">
        <v>42633</v>
      </c>
      <c r="M428" s="116">
        <v>525.07500000000005</v>
      </c>
      <c r="N428" s="116">
        <v>528.57500000000005</v>
      </c>
      <c r="O428" s="116">
        <v>522.875</v>
      </c>
      <c r="P428" s="116">
        <v>526.65</v>
      </c>
      <c r="Q428" s="116">
        <v>1050.1500000000001</v>
      </c>
      <c r="R428">
        <v>2107002</v>
      </c>
    </row>
    <row r="429" spans="1:18" x14ac:dyDescent="0.25">
      <c r="A429" s="170">
        <v>42634</v>
      </c>
      <c r="B429" s="116">
        <v>530.125</v>
      </c>
      <c r="C429" s="116">
        <v>528.35</v>
      </c>
      <c r="D429" s="116">
        <v>525.5</v>
      </c>
      <c r="E429" s="116">
        <v>525.5</v>
      </c>
      <c r="F429" s="116">
        <v>1056.7</v>
      </c>
      <c r="G429">
        <v>93680</v>
      </c>
      <c r="H429" s="116"/>
      <c r="I429" s="116"/>
      <c r="L429" s="170">
        <v>42634</v>
      </c>
      <c r="M429" s="116">
        <v>527.875</v>
      </c>
      <c r="N429" s="116">
        <v>530.625</v>
      </c>
      <c r="O429" s="116">
        <v>525.52499999999998</v>
      </c>
      <c r="P429" s="116">
        <v>527</v>
      </c>
      <c r="Q429" s="116">
        <v>1055.75</v>
      </c>
      <c r="R429">
        <v>2115766</v>
      </c>
    </row>
    <row r="430" spans="1:18" x14ac:dyDescent="0.25">
      <c r="A430" s="170">
        <v>42635</v>
      </c>
      <c r="B430" s="116">
        <v>530.32500000000005</v>
      </c>
      <c r="C430" s="116">
        <v>529.25</v>
      </c>
      <c r="D430" s="116">
        <v>525.79999999999995</v>
      </c>
      <c r="E430" s="116">
        <v>528</v>
      </c>
      <c r="F430" s="116">
        <v>1058.5</v>
      </c>
      <c r="G430">
        <v>70148</v>
      </c>
      <c r="H430" s="116"/>
      <c r="I430" s="116"/>
      <c r="L430" s="170">
        <v>42635</v>
      </c>
      <c r="M430" s="116">
        <v>529.4</v>
      </c>
      <c r="N430" s="116">
        <v>530.5</v>
      </c>
      <c r="O430" s="116">
        <v>526</v>
      </c>
      <c r="P430" s="116">
        <v>529.5</v>
      </c>
      <c r="Q430" s="116">
        <v>1058.8</v>
      </c>
      <c r="R430">
        <v>1814757</v>
      </c>
    </row>
    <row r="431" spans="1:18" x14ac:dyDescent="0.25">
      <c r="A431" s="170">
        <v>42636</v>
      </c>
      <c r="B431" s="116">
        <v>529.92499999999995</v>
      </c>
      <c r="C431" s="116">
        <v>521.5</v>
      </c>
      <c r="D431" s="116">
        <v>520</v>
      </c>
      <c r="E431" s="116">
        <v>529.5</v>
      </c>
      <c r="F431" s="116">
        <v>1043</v>
      </c>
      <c r="G431">
        <v>90231</v>
      </c>
      <c r="H431" s="116"/>
      <c r="I431" s="116"/>
      <c r="L431" s="170">
        <v>42636</v>
      </c>
      <c r="M431" s="116">
        <v>521.27499999999998</v>
      </c>
      <c r="N431" s="116">
        <v>529.4</v>
      </c>
      <c r="O431" s="116">
        <v>520</v>
      </c>
      <c r="P431" s="116">
        <v>528.5</v>
      </c>
      <c r="Q431" s="116">
        <v>1042.55</v>
      </c>
      <c r="R431">
        <v>2602647</v>
      </c>
    </row>
    <row r="432" spans="1:18" x14ac:dyDescent="0.25">
      <c r="A432" s="170">
        <v>42639</v>
      </c>
      <c r="B432" s="116">
        <v>521.5</v>
      </c>
      <c r="C432" s="116">
        <v>517.85</v>
      </c>
      <c r="D432" s="116">
        <v>515.70000000000005</v>
      </c>
      <c r="E432" s="116">
        <v>520.5</v>
      </c>
      <c r="F432" s="116">
        <v>1035.7</v>
      </c>
      <c r="G432">
        <v>740248</v>
      </c>
      <c r="H432" s="116"/>
      <c r="I432" s="116"/>
      <c r="L432" s="170">
        <v>42639</v>
      </c>
      <c r="M432" s="116">
        <v>517.95000000000005</v>
      </c>
      <c r="N432" s="116">
        <v>522</v>
      </c>
      <c r="O432" s="116">
        <v>515.5</v>
      </c>
      <c r="P432" s="116">
        <v>521.375</v>
      </c>
      <c r="Q432" s="116">
        <v>1035.9000000000001</v>
      </c>
      <c r="R432">
        <v>3185899</v>
      </c>
    </row>
    <row r="433" spans="1:18" x14ac:dyDescent="0.25">
      <c r="A433" s="170">
        <v>42640</v>
      </c>
      <c r="B433" s="116">
        <v>524.77499999999998</v>
      </c>
      <c r="C433" s="116">
        <v>520.22500000000002</v>
      </c>
      <c r="D433" s="116">
        <v>517.5</v>
      </c>
      <c r="E433" s="116">
        <v>517.85</v>
      </c>
      <c r="F433" s="116">
        <v>1040.45</v>
      </c>
      <c r="G433">
        <v>179709</v>
      </c>
      <c r="H433" s="116"/>
      <c r="I433" s="116"/>
      <c r="L433" s="170">
        <v>42640</v>
      </c>
      <c r="M433" s="116">
        <v>519.875</v>
      </c>
      <c r="N433" s="116">
        <v>524.95000000000005</v>
      </c>
      <c r="O433" s="116">
        <v>516.67499999999995</v>
      </c>
      <c r="P433" s="116">
        <v>517.52499999999998</v>
      </c>
      <c r="Q433" s="116">
        <v>1039.75</v>
      </c>
      <c r="R433">
        <v>3262830</v>
      </c>
    </row>
    <row r="434" spans="1:18" x14ac:dyDescent="0.25">
      <c r="A434" s="170">
        <v>42641</v>
      </c>
      <c r="B434" s="116">
        <v>520.9</v>
      </c>
      <c r="C434" s="116">
        <v>519.29999999999995</v>
      </c>
      <c r="D434" s="116">
        <v>517</v>
      </c>
      <c r="E434" s="116">
        <v>520</v>
      </c>
      <c r="F434" s="116">
        <v>1038.5999999999999</v>
      </c>
      <c r="G434">
        <v>179858</v>
      </c>
      <c r="H434" s="116"/>
      <c r="I434" s="116"/>
      <c r="L434" s="170">
        <v>42641</v>
      </c>
      <c r="M434" s="116">
        <v>519.47500000000002</v>
      </c>
      <c r="N434" s="116">
        <v>521.15</v>
      </c>
      <c r="O434" s="116">
        <v>516.625</v>
      </c>
      <c r="P434" s="116">
        <v>520</v>
      </c>
      <c r="Q434" s="116">
        <v>1038.95</v>
      </c>
      <c r="R434">
        <v>2717354</v>
      </c>
    </row>
    <row r="435" spans="1:18" x14ac:dyDescent="0.25">
      <c r="A435" s="170">
        <v>42642</v>
      </c>
      <c r="B435" s="116">
        <v>522</v>
      </c>
      <c r="C435" s="116">
        <v>514.95000000000005</v>
      </c>
      <c r="D435" s="116">
        <v>512</v>
      </c>
      <c r="E435" s="116">
        <v>520.5</v>
      </c>
      <c r="F435" s="116">
        <v>1029.9000000000001</v>
      </c>
      <c r="G435">
        <v>346219</v>
      </c>
      <c r="H435" s="116"/>
      <c r="I435" s="116"/>
      <c r="L435" s="170">
        <v>42642</v>
      </c>
      <c r="M435" s="116">
        <v>514.6</v>
      </c>
      <c r="N435" s="116">
        <v>522.47500000000002</v>
      </c>
      <c r="O435" s="116">
        <v>512</v>
      </c>
      <c r="P435" s="116">
        <v>522.47500000000002</v>
      </c>
      <c r="Q435" s="116">
        <v>1029.2</v>
      </c>
      <c r="R435">
        <v>4451319</v>
      </c>
    </row>
    <row r="436" spans="1:18" x14ac:dyDescent="0.25">
      <c r="A436" s="170">
        <v>42643</v>
      </c>
      <c r="B436" s="116">
        <v>521.92499999999995</v>
      </c>
      <c r="C436" s="116">
        <v>519.04999999999995</v>
      </c>
      <c r="D436" s="116">
        <v>515.5</v>
      </c>
      <c r="E436" s="116">
        <v>515.5</v>
      </c>
      <c r="F436" s="116">
        <v>1038.0999999999999</v>
      </c>
      <c r="G436">
        <v>221130</v>
      </c>
      <c r="H436" s="116"/>
      <c r="I436" s="116"/>
      <c r="L436" s="170">
        <v>42643</v>
      </c>
      <c r="M436" s="116">
        <v>518.02499999999998</v>
      </c>
      <c r="N436" s="116">
        <v>521.95000000000005</v>
      </c>
      <c r="O436" s="116">
        <v>515.54999999999995</v>
      </c>
      <c r="P436" s="116">
        <v>515.54999999999995</v>
      </c>
      <c r="Q436" s="116">
        <v>1036.05</v>
      </c>
      <c r="R436">
        <v>3251177</v>
      </c>
    </row>
    <row r="437" spans="1:18" x14ac:dyDescent="0.25">
      <c r="A437" s="170">
        <v>42646</v>
      </c>
      <c r="B437" s="116">
        <v>520.4</v>
      </c>
      <c r="C437" s="116">
        <v>518.92499999999995</v>
      </c>
      <c r="D437" s="116">
        <v>513.25</v>
      </c>
      <c r="E437" s="116">
        <v>519.04999999999995</v>
      </c>
      <c r="F437" s="116">
        <v>1037.8499999999999</v>
      </c>
      <c r="G437">
        <v>91512</v>
      </c>
      <c r="H437" s="116"/>
      <c r="I437" s="116"/>
      <c r="L437" s="170">
        <v>42646</v>
      </c>
      <c r="M437" s="116">
        <v>519.04999999999995</v>
      </c>
      <c r="N437" s="116">
        <v>520</v>
      </c>
      <c r="O437" s="116">
        <v>513.04999999999995</v>
      </c>
      <c r="P437" s="116">
        <v>517.75</v>
      </c>
      <c r="Q437" s="116">
        <v>1038.0999999999999</v>
      </c>
      <c r="R437">
        <v>1828080</v>
      </c>
    </row>
    <row r="438" spans="1:18" x14ac:dyDescent="0.25">
      <c r="A438" s="170">
        <v>42647</v>
      </c>
      <c r="B438" s="116">
        <v>525.54999999999995</v>
      </c>
      <c r="C438" s="116">
        <v>524.4</v>
      </c>
      <c r="D438" s="116">
        <v>519</v>
      </c>
      <c r="E438" s="116">
        <v>520</v>
      </c>
      <c r="F438" s="116">
        <v>1048.8</v>
      </c>
      <c r="G438">
        <v>109948</v>
      </c>
      <c r="H438" s="116"/>
      <c r="I438" s="116"/>
      <c r="L438" s="170">
        <v>42647</v>
      </c>
      <c r="M438" s="116">
        <v>524.6</v>
      </c>
      <c r="N438" s="116">
        <v>525.70000000000005</v>
      </c>
      <c r="O438" s="116">
        <v>519.15</v>
      </c>
      <c r="P438" s="116">
        <v>520</v>
      </c>
      <c r="Q438" s="116">
        <v>1049.2</v>
      </c>
      <c r="R438">
        <v>2533293</v>
      </c>
    </row>
    <row r="439" spans="1:18" x14ac:dyDescent="0.25">
      <c r="A439" s="170">
        <v>42648</v>
      </c>
      <c r="B439" s="116">
        <v>524.75</v>
      </c>
      <c r="C439" s="116">
        <v>520.57500000000005</v>
      </c>
      <c r="D439" s="116">
        <v>518.5</v>
      </c>
      <c r="E439" s="116">
        <v>524.35</v>
      </c>
      <c r="F439" s="116">
        <v>1041.1500000000001</v>
      </c>
      <c r="G439">
        <v>63896</v>
      </c>
      <c r="H439" s="116"/>
      <c r="I439" s="116"/>
      <c r="L439" s="170">
        <v>42648</v>
      </c>
      <c r="M439" s="116">
        <v>520.75</v>
      </c>
      <c r="N439" s="116">
        <v>524.92499999999995</v>
      </c>
      <c r="O439" s="116">
        <v>518.5</v>
      </c>
      <c r="P439" s="116">
        <v>524.6</v>
      </c>
      <c r="Q439" s="116">
        <v>1041.5</v>
      </c>
      <c r="R439">
        <v>1153787</v>
      </c>
    </row>
    <row r="440" spans="1:18" x14ac:dyDescent="0.25">
      <c r="A440" s="170">
        <v>42649</v>
      </c>
      <c r="B440" s="116">
        <v>520.57500000000005</v>
      </c>
      <c r="C440" s="116">
        <v>513.32500000000005</v>
      </c>
      <c r="D440" s="116">
        <v>512.5</v>
      </c>
      <c r="E440" s="116">
        <v>520.5</v>
      </c>
      <c r="F440" s="116">
        <v>1026.6500000000001</v>
      </c>
      <c r="G440">
        <v>111515</v>
      </c>
      <c r="H440" s="116"/>
      <c r="I440" s="116"/>
      <c r="L440" s="170">
        <v>42649</v>
      </c>
      <c r="M440" s="116">
        <v>513.70000000000005</v>
      </c>
      <c r="N440" s="116">
        <v>522.5</v>
      </c>
      <c r="O440" s="116">
        <v>512.97500000000002</v>
      </c>
      <c r="P440" s="116">
        <v>522.5</v>
      </c>
      <c r="Q440" s="116">
        <v>1027.4000000000001</v>
      </c>
      <c r="R440">
        <v>1860941</v>
      </c>
    </row>
    <row r="441" spans="1:18" x14ac:dyDescent="0.25">
      <c r="A441" s="170">
        <v>42650</v>
      </c>
      <c r="B441" s="116">
        <v>516.375</v>
      </c>
      <c r="C441" s="116">
        <v>506.32499999999999</v>
      </c>
      <c r="D441" s="116">
        <v>505.02499999999998</v>
      </c>
      <c r="E441" s="116">
        <v>515</v>
      </c>
      <c r="F441" s="116">
        <v>1012.65</v>
      </c>
      <c r="G441">
        <v>387753</v>
      </c>
      <c r="H441" s="116"/>
      <c r="I441" s="116"/>
      <c r="L441" s="170">
        <v>42650</v>
      </c>
      <c r="M441" s="116">
        <v>506.27499999999998</v>
      </c>
      <c r="N441" s="116">
        <v>516.9</v>
      </c>
      <c r="O441" s="116">
        <v>505.05</v>
      </c>
      <c r="P441" s="116">
        <v>514.97500000000002</v>
      </c>
      <c r="Q441" s="116">
        <v>1012.55</v>
      </c>
      <c r="R441">
        <v>3144279</v>
      </c>
    </row>
    <row r="442" spans="1:18" x14ac:dyDescent="0.25">
      <c r="A442" s="170">
        <v>42653</v>
      </c>
      <c r="B442" s="116">
        <v>516</v>
      </c>
      <c r="C442" s="116">
        <v>514.77499999999998</v>
      </c>
      <c r="D442" s="116">
        <v>505</v>
      </c>
      <c r="E442" s="116">
        <v>507.27499999999998</v>
      </c>
      <c r="F442" s="116">
        <v>1029.55</v>
      </c>
      <c r="G442">
        <v>207535</v>
      </c>
      <c r="H442" s="116"/>
      <c r="I442" s="116"/>
      <c r="L442" s="170">
        <v>42653</v>
      </c>
      <c r="M442" s="116">
        <v>514.97500000000002</v>
      </c>
      <c r="N442" s="116">
        <v>515.875</v>
      </c>
      <c r="O442" s="116">
        <v>505</v>
      </c>
      <c r="P442" s="116">
        <v>508.5</v>
      </c>
      <c r="Q442" s="116">
        <v>1029.95</v>
      </c>
      <c r="R442">
        <v>2706585</v>
      </c>
    </row>
    <row r="443" spans="1:18" x14ac:dyDescent="0.25">
      <c r="A443" s="170">
        <v>42656</v>
      </c>
      <c r="B443" s="116">
        <v>528.75</v>
      </c>
      <c r="C443" s="116">
        <v>526.02499999999998</v>
      </c>
      <c r="D443" s="116">
        <v>512.27499999999998</v>
      </c>
      <c r="E443" s="116">
        <v>514.72500000000002</v>
      </c>
      <c r="F443" s="116">
        <v>1052.05</v>
      </c>
      <c r="G443">
        <v>350894</v>
      </c>
      <c r="H443" s="116"/>
      <c r="I443" s="116"/>
      <c r="L443" s="170">
        <v>42656</v>
      </c>
      <c r="M443" s="116">
        <v>526.17499999999995</v>
      </c>
      <c r="N443" s="116">
        <v>529</v>
      </c>
      <c r="O443" s="116">
        <v>510.7</v>
      </c>
      <c r="P443" s="116">
        <v>510.7</v>
      </c>
      <c r="Q443" s="116">
        <v>1052.3499999999999</v>
      </c>
      <c r="R443">
        <v>4889345</v>
      </c>
    </row>
    <row r="444" spans="1:18" x14ac:dyDescent="0.25">
      <c r="A444" s="170">
        <v>42657</v>
      </c>
      <c r="B444" s="116">
        <v>540.35</v>
      </c>
      <c r="C444" s="116">
        <v>513.70000000000005</v>
      </c>
      <c r="D444" s="116">
        <v>498.07499999999999</v>
      </c>
      <c r="E444" s="116">
        <v>530</v>
      </c>
      <c r="F444" s="116">
        <v>1027.4000000000001</v>
      </c>
      <c r="G444">
        <v>1856578</v>
      </c>
      <c r="H444" s="116"/>
      <c r="I444" s="116"/>
      <c r="L444" s="170">
        <v>42657</v>
      </c>
      <c r="M444" s="116">
        <v>513.57500000000005</v>
      </c>
      <c r="N444" s="116">
        <v>541.35</v>
      </c>
      <c r="O444" s="116">
        <v>498.125</v>
      </c>
      <c r="P444" s="116">
        <v>526.45000000000005</v>
      </c>
      <c r="Q444" s="116">
        <v>1027.1500000000001</v>
      </c>
      <c r="R444">
        <v>16730845</v>
      </c>
    </row>
    <row r="445" spans="1:18" x14ac:dyDescent="0.25">
      <c r="A445" s="170">
        <v>42660</v>
      </c>
      <c r="B445" s="116">
        <v>520.875</v>
      </c>
      <c r="C445" s="116">
        <v>511.02499999999998</v>
      </c>
      <c r="D445" s="116">
        <v>508.95</v>
      </c>
      <c r="E445" s="116">
        <v>518</v>
      </c>
      <c r="F445" s="116">
        <v>1022.05</v>
      </c>
      <c r="G445">
        <v>233827</v>
      </c>
      <c r="H445" s="116"/>
      <c r="I445" s="116"/>
      <c r="L445" s="170">
        <v>42660</v>
      </c>
      <c r="M445" s="116">
        <v>511.2</v>
      </c>
      <c r="N445" s="116">
        <v>520.9</v>
      </c>
      <c r="O445" s="116">
        <v>508.67500000000001</v>
      </c>
      <c r="P445" s="116">
        <v>517.47500000000002</v>
      </c>
      <c r="Q445" s="116">
        <v>1022.4</v>
      </c>
      <c r="R445">
        <v>4007429</v>
      </c>
    </row>
    <row r="446" spans="1:18" x14ac:dyDescent="0.25">
      <c r="A446" s="170">
        <v>42661</v>
      </c>
      <c r="B446" s="116">
        <v>519.95000000000005</v>
      </c>
      <c r="C446" s="116">
        <v>519.1</v>
      </c>
      <c r="D446" s="116">
        <v>513.70000000000005</v>
      </c>
      <c r="E446" s="116">
        <v>515</v>
      </c>
      <c r="F446" s="116">
        <v>1038.2</v>
      </c>
      <c r="G446">
        <v>139967</v>
      </c>
      <c r="H446" s="116"/>
      <c r="I446" s="116"/>
      <c r="L446" s="170">
        <v>42661</v>
      </c>
      <c r="M446" s="116">
        <v>519.52499999999998</v>
      </c>
      <c r="N446" s="116">
        <v>520.25</v>
      </c>
      <c r="O446" s="116">
        <v>513.65</v>
      </c>
      <c r="P446" s="116">
        <v>515</v>
      </c>
      <c r="Q446" s="116">
        <v>1039.05</v>
      </c>
      <c r="R446">
        <v>3194067</v>
      </c>
    </row>
    <row r="447" spans="1:18" x14ac:dyDescent="0.25">
      <c r="A447" s="170">
        <v>42662</v>
      </c>
      <c r="B447" s="116">
        <v>522.52499999999998</v>
      </c>
      <c r="C447" s="116">
        <v>520.79999999999995</v>
      </c>
      <c r="D447" s="116">
        <v>517.5</v>
      </c>
      <c r="E447" s="116">
        <v>521</v>
      </c>
      <c r="F447" s="116">
        <v>1041.5999999999999</v>
      </c>
      <c r="G447">
        <v>126185</v>
      </c>
      <c r="H447" s="116"/>
      <c r="I447" s="116"/>
      <c r="L447" s="170">
        <v>42662</v>
      </c>
      <c r="M447" s="116">
        <v>520.9</v>
      </c>
      <c r="N447" s="116">
        <v>522.85</v>
      </c>
      <c r="O447" s="116">
        <v>518</v>
      </c>
      <c r="P447" s="116">
        <v>521</v>
      </c>
      <c r="Q447" s="116">
        <v>1041.8</v>
      </c>
      <c r="R447">
        <v>1754918</v>
      </c>
    </row>
    <row r="448" spans="1:18" x14ac:dyDescent="0.25">
      <c r="A448" s="170">
        <v>42663</v>
      </c>
      <c r="B448" s="116">
        <v>524.97500000000002</v>
      </c>
      <c r="C448" s="116">
        <v>518.47500000000002</v>
      </c>
      <c r="D448" s="116">
        <v>517.5</v>
      </c>
      <c r="E448" s="116">
        <v>520.54999999999995</v>
      </c>
      <c r="F448" s="116">
        <v>1036.95</v>
      </c>
      <c r="G448">
        <v>106661</v>
      </c>
      <c r="H448" s="116"/>
      <c r="I448" s="116"/>
      <c r="L448" s="170">
        <v>42663</v>
      </c>
      <c r="M448" s="116">
        <v>518.32500000000005</v>
      </c>
      <c r="N448" s="116">
        <v>525.35</v>
      </c>
      <c r="O448" s="116">
        <v>516.9</v>
      </c>
      <c r="P448" s="116">
        <v>522.375</v>
      </c>
      <c r="Q448" s="116">
        <v>1036.6500000000001</v>
      </c>
      <c r="R448">
        <v>1767745</v>
      </c>
    </row>
    <row r="449" spans="1:18" x14ac:dyDescent="0.25">
      <c r="A449" s="170">
        <v>42664</v>
      </c>
      <c r="B449" s="116">
        <v>520.5</v>
      </c>
      <c r="C449" s="116">
        <v>519.04999999999995</v>
      </c>
      <c r="D449" s="116">
        <v>512.52499999999998</v>
      </c>
      <c r="E449" s="116">
        <v>517.5</v>
      </c>
      <c r="F449" s="116">
        <v>1038.0999999999999</v>
      </c>
      <c r="G449">
        <v>70432</v>
      </c>
      <c r="H449" s="116"/>
      <c r="I449" s="116"/>
      <c r="L449" s="170">
        <v>42664</v>
      </c>
      <c r="M449" s="116">
        <v>519.15</v>
      </c>
      <c r="N449" s="116">
        <v>520.5</v>
      </c>
      <c r="O449" s="116">
        <v>511.25</v>
      </c>
      <c r="P449" s="116">
        <v>517.5</v>
      </c>
      <c r="Q449" s="116">
        <v>1038.3</v>
      </c>
      <c r="R449">
        <v>1931810</v>
      </c>
    </row>
    <row r="450" spans="1:18" x14ac:dyDescent="0.25">
      <c r="A450" s="170">
        <v>42667</v>
      </c>
      <c r="B450" s="116">
        <v>521</v>
      </c>
      <c r="C450" s="116">
        <v>514.5</v>
      </c>
      <c r="D450" s="116">
        <v>513.5</v>
      </c>
      <c r="E450" s="116">
        <v>520</v>
      </c>
      <c r="F450" s="116">
        <v>1029</v>
      </c>
      <c r="G450">
        <v>75995</v>
      </c>
      <c r="H450" s="116"/>
      <c r="I450" s="116"/>
      <c r="L450" s="170">
        <v>42667</v>
      </c>
      <c r="M450" s="116">
        <v>513.54999999999995</v>
      </c>
      <c r="N450" s="116">
        <v>521.35</v>
      </c>
      <c r="O450" s="116">
        <v>512.75</v>
      </c>
      <c r="P450" s="116">
        <v>518.75</v>
      </c>
      <c r="Q450" s="116">
        <v>1027.0999999999999</v>
      </c>
      <c r="R450">
        <v>1451487</v>
      </c>
    </row>
    <row r="451" spans="1:18" x14ac:dyDescent="0.25">
      <c r="A451" s="170">
        <v>42668</v>
      </c>
      <c r="B451" s="116">
        <v>517.95000000000005</v>
      </c>
      <c r="C451" s="116">
        <v>508.67500000000001</v>
      </c>
      <c r="D451" s="116">
        <v>507.75</v>
      </c>
      <c r="E451" s="116">
        <v>514.95000000000005</v>
      </c>
      <c r="F451" s="116">
        <v>1017.35</v>
      </c>
      <c r="G451">
        <v>112655</v>
      </c>
      <c r="H451" s="116"/>
      <c r="I451" s="116"/>
      <c r="L451" s="170">
        <v>42668</v>
      </c>
      <c r="M451" s="116">
        <v>508.6</v>
      </c>
      <c r="N451" s="116">
        <v>519.45000000000005</v>
      </c>
      <c r="O451" s="116">
        <v>507.6</v>
      </c>
      <c r="P451" s="116">
        <v>518.25</v>
      </c>
      <c r="Q451" s="116">
        <v>1017.2</v>
      </c>
      <c r="R451">
        <v>2818007</v>
      </c>
    </row>
    <row r="452" spans="1:18" x14ac:dyDescent="0.25">
      <c r="A452" s="170">
        <v>42669</v>
      </c>
      <c r="B452" s="116">
        <v>510.3</v>
      </c>
      <c r="C452" s="116">
        <v>507.42500000000001</v>
      </c>
      <c r="D452" s="116">
        <v>505.05</v>
      </c>
      <c r="E452" s="116">
        <v>510</v>
      </c>
      <c r="F452" s="116">
        <v>1014.85</v>
      </c>
      <c r="G452">
        <v>142755</v>
      </c>
      <c r="H452" s="116"/>
      <c r="I452" s="116"/>
      <c r="L452" s="170">
        <v>42669</v>
      </c>
      <c r="M452" s="116">
        <v>507.1</v>
      </c>
      <c r="N452" s="116">
        <v>509.92500000000001</v>
      </c>
      <c r="O452" s="116">
        <v>504.65</v>
      </c>
      <c r="P452" s="116">
        <v>508.5</v>
      </c>
      <c r="Q452" s="116">
        <v>1014.2</v>
      </c>
      <c r="R452">
        <v>1387608</v>
      </c>
    </row>
    <row r="453" spans="1:18" x14ac:dyDescent="0.25">
      <c r="A453" s="170">
        <v>42670</v>
      </c>
      <c r="B453" s="116">
        <v>509.9</v>
      </c>
      <c r="C453" s="116">
        <v>503.07499999999999</v>
      </c>
      <c r="D453" s="116">
        <v>502.17500000000001</v>
      </c>
      <c r="E453" s="116">
        <v>507.95</v>
      </c>
      <c r="F453" s="116">
        <v>1006.15</v>
      </c>
      <c r="G453">
        <v>121843</v>
      </c>
      <c r="H453" s="116"/>
      <c r="I453" s="116"/>
      <c r="L453" s="170">
        <v>42670</v>
      </c>
      <c r="M453" s="116">
        <v>501.75</v>
      </c>
      <c r="N453" s="116">
        <v>508.97500000000002</v>
      </c>
      <c r="O453" s="116">
        <v>500.55</v>
      </c>
      <c r="P453" s="116">
        <v>508.95</v>
      </c>
      <c r="Q453" s="116">
        <v>1003.5</v>
      </c>
      <c r="R453">
        <v>3613895</v>
      </c>
    </row>
    <row r="454" spans="1:18" x14ac:dyDescent="0.25">
      <c r="A454" s="170">
        <v>42671</v>
      </c>
      <c r="B454" s="116">
        <v>504.9</v>
      </c>
      <c r="C454" s="116">
        <v>498.72500000000002</v>
      </c>
      <c r="D454" s="116">
        <v>497</v>
      </c>
      <c r="E454" s="116">
        <v>503.5</v>
      </c>
      <c r="F454" s="116">
        <v>997.45</v>
      </c>
      <c r="G454">
        <v>236769</v>
      </c>
      <c r="H454" s="116"/>
      <c r="I454" s="116"/>
      <c r="L454" s="170">
        <v>42671</v>
      </c>
      <c r="M454" s="116">
        <v>498.75</v>
      </c>
      <c r="N454" s="116">
        <v>505</v>
      </c>
      <c r="O454" s="116">
        <v>496.57499999999999</v>
      </c>
      <c r="P454" s="116">
        <v>502.6</v>
      </c>
      <c r="Q454" s="116">
        <v>997.5</v>
      </c>
      <c r="R454">
        <v>2920353</v>
      </c>
    </row>
    <row r="455" spans="1:18" x14ac:dyDescent="0.25">
      <c r="A455" s="170">
        <v>42673</v>
      </c>
      <c r="B455" s="116">
        <v>503.22500000000002</v>
      </c>
      <c r="C455" s="116">
        <v>501.25</v>
      </c>
      <c r="D455" s="116">
        <v>500</v>
      </c>
      <c r="E455" s="116">
        <v>500.5</v>
      </c>
      <c r="F455" s="116">
        <v>1002.5</v>
      </c>
      <c r="G455">
        <v>56375</v>
      </c>
      <c r="H455" s="116"/>
      <c r="I455" s="116"/>
      <c r="L455" s="170">
        <v>42673</v>
      </c>
      <c r="M455" s="116">
        <v>501.05</v>
      </c>
      <c r="N455" s="116">
        <v>502.97500000000002</v>
      </c>
      <c r="O455" s="116">
        <v>499.9</v>
      </c>
      <c r="P455" s="116">
        <v>500.5</v>
      </c>
      <c r="Q455" s="116">
        <v>1002.1</v>
      </c>
      <c r="R455">
        <v>319036</v>
      </c>
    </row>
    <row r="456" spans="1:18" x14ac:dyDescent="0.25">
      <c r="A456" s="170">
        <v>42675</v>
      </c>
      <c r="B456" s="116">
        <v>504.92500000000001</v>
      </c>
      <c r="C456" s="116">
        <v>494.42500000000001</v>
      </c>
      <c r="D456" s="116">
        <v>493</v>
      </c>
      <c r="E456" s="116">
        <v>504.92500000000001</v>
      </c>
      <c r="F456" s="116">
        <v>988.85</v>
      </c>
      <c r="G456">
        <v>230329</v>
      </c>
      <c r="H456" s="116"/>
      <c r="I456" s="116"/>
      <c r="L456" s="170">
        <v>42675</v>
      </c>
      <c r="M456" s="116">
        <v>494.72500000000002</v>
      </c>
      <c r="N456" s="116">
        <v>503.4</v>
      </c>
      <c r="O456" s="116">
        <v>493.2</v>
      </c>
      <c r="P456" s="116">
        <v>503.4</v>
      </c>
      <c r="Q456" s="116">
        <v>989.45</v>
      </c>
      <c r="R456">
        <v>3166399</v>
      </c>
    </row>
    <row r="457" spans="1:18" x14ac:dyDescent="0.25">
      <c r="A457" s="170">
        <v>42676</v>
      </c>
      <c r="B457" s="116">
        <v>494</v>
      </c>
      <c r="C457" s="116">
        <v>490.55</v>
      </c>
      <c r="D457" s="116">
        <v>490</v>
      </c>
      <c r="E457" s="116">
        <v>494</v>
      </c>
      <c r="F457" s="116">
        <v>981.1</v>
      </c>
      <c r="G457">
        <v>141299</v>
      </c>
      <c r="H457" s="116"/>
      <c r="I457" s="116"/>
      <c r="L457" s="170">
        <v>42676</v>
      </c>
      <c r="M457" s="116">
        <v>490.52499999999998</v>
      </c>
      <c r="N457" s="116">
        <v>493.75</v>
      </c>
      <c r="O457" s="116">
        <v>490</v>
      </c>
      <c r="P457" s="116">
        <v>492.4</v>
      </c>
      <c r="Q457" s="116">
        <v>981.05</v>
      </c>
      <c r="R457">
        <v>2688597</v>
      </c>
    </row>
    <row r="458" spans="1:18" x14ac:dyDescent="0.25">
      <c r="A458" s="170">
        <v>42677</v>
      </c>
      <c r="B458" s="116">
        <v>492.25</v>
      </c>
      <c r="C458" s="116">
        <v>483.45</v>
      </c>
      <c r="D458" s="116">
        <v>482.55</v>
      </c>
      <c r="E458" s="116">
        <v>492.25</v>
      </c>
      <c r="F458" s="116">
        <v>966.9</v>
      </c>
      <c r="G458">
        <v>209405</v>
      </c>
      <c r="H458" s="116"/>
      <c r="I458" s="116"/>
      <c r="L458" s="170">
        <v>42677</v>
      </c>
      <c r="M458" s="116">
        <v>483.42500000000001</v>
      </c>
      <c r="N458" s="116">
        <v>491</v>
      </c>
      <c r="O458" s="116">
        <v>482.55</v>
      </c>
      <c r="P458" s="116">
        <v>490.52499999999998</v>
      </c>
      <c r="Q458" s="116">
        <v>966.85</v>
      </c>
      <c r="R458">
        <v>2612554</v>
      </c>
    </row>
    <row r="459" spans="1:18" x14ac:dyDescent="0.25">
      <c r="A459" s="170">
        <v>42678</v>
      </c>
      <c r="B459" s="116">
        <v>489.42500000000001</v>
      </c>
      <c r="C459" s="116">
        <v>485.4</v>
      </c>
      <c r="D459" s="116">
        <v>481</v>
      </c>
      <c r="E459" s="116">
        <v>483.45</v>
      </c>
      <c r="F459" s="116">
        <v>970.8</v>
      </c>
      <c r="G459">
        <v>203448</v>
      </c>
      <c r="H459" s="116"/>
      <c r="I459" s="116"/>
      <c r="L459" s="170">
        <v>42678</v>
      </c>
      <c r="M459" s="116">
        <v>485.5</v>
      </c>
      <c r="N459" s="116">
        <v>489.6</v>
      </c>
      <c r="O459" s="116">
        <v>480.5</v>
      </c>
      <c r="P459" s="116">
        <v>483.5</v>
      </c>
      <c r="Q459" s="116">
        <v>971</v>
      </c>
      <c r="R459">
        <v>3002774</v>
      </c>
    </row>
    <row r="460" spans="1:18" x14ac:dyDescent="0.25">
      <c r="A460" s="170">
        <v>42681</v>
      </c>
      <c r="B460" s="116">
        <v>495</v>
      </c>
      <c r="C460" s="116">
        <v>489.375</v>
      </c>
      <c r="D460" s="116">
        <v>487.8</v>
      </c>
      <c r="E460" s="116">
        <v>491.125</v>
      </c>
      <c r="F460" s="116">
        <v>978.75</v>
      </c>
      <c r="G460">
        <v>106708</v>
      </c>
      <c r="H460" s="116"/>
      <c r="I460" s="116"/>
      <c r="L460" s="170">
        <v>42681</v>
      </c>
      <c r="M460" s="116">
        <v>488.97500000000002</v>
      </c>
      <c r="N460" s="116">
        <v>493</v>
      </c>
      <c r="O460" s="116">
        <v>487.5</v>
      </c>
      <c r="P460" s="116">
        <v>492.5</v>
      </c>
      <c r="Q460" s="116">
        <v>977.95</v>
      </c>
      <c r="R460">
        <v>2268836</v>
      </c>
    </row>
    <row r="461" spans="1:18" x14ac:dyDescent="0.25">
      <c r="A461" s="170">
        <v>42682</v>
      </c>
      <c r="B461" s="116">
        <v>495</v>
      </c>
      <c r="C461" s="116">
        <v>491.4</v>
      </c>
      <c r="D461" s="116">
        <v>485.47500000000002</v>
      </c>
      <c r="E461" s="116">
        <v>493.02499999999998</v>
      </c>
      <c r="F461" s="116">
        <v>982.8</v>
      </c>
      <c r="G461">
        <v>147105</v>
      </c>
      <c r="H461" s="116"/>
      <c r="I461" s="116"/>
      <c r="L461" s="170">
        <v>42682</v>
      </c>
      <c r="M461" s="116">
        <v>491.3</v>
      </c>
      <c r="N461" s="116">
        <v>493.875</v>
      </c>
      <c r="O461" s="116">
        <v>485.3</v>
      </c>
      <c r="P461" s="116">
        <v>493.45</v>
      </c>
      <c r="Q461" s="116">
        <v>982.6</v>
      </c>
      <c r="R461">
        <v>2630554</v>
      </c>
    </row>
    <row r="462" spans="1:18" x14ac:dyDescent="0.25">
      <c r="A462" s="170">
        <v>42683</v>
      </c>
      <c r="B462" s="116">
        <v>486.85</v>
      </c>
      <c r="C462" s="116">
        <v>477.92500000000001</v>
      </c>
      <c r="D462" s="116">
        <v>450.15</v>
      </c>
      <c r="E462" s="116">
        <v>470</v>
      </c>
      <c r="F462" s="116">
        <v>955.85</v>
      </c>
      <c r="G462">
        <v>408320</v>
      </c>
      <c r="H462" s="116"/>
      <c r="I462" s="116"/>
      <c r="L462" s="170">
        <v>42683</v>
      </c>
      <c r="M462" s="116">
        <v>479.15</v>
      </c>
      <c r="N462" s="116">
        <v>487.3</v>
      </c>
      <c r="O462" s="116">
        <v>450.5</v>
      </c>
      <c r="P462" s="116">
        <v>465</v>
      </c>
      <c r="Q462" s="116">
        <v>958.3</v>
      </c>
      <c r="R462">
        <v>6382079</v>
      </c>
    </row>
    <row r="463" spans="1:18" x14ac:dyDescent="0.25">
      <c r="A463" s="170">
        <v>42684</v>
      </c>
      <c r="B463" s="116">
        <v>482.6</v>
      </c>
      <c r="C463" s="116">
        <v>469.3</v>
      </c>
      <c r="D463" s="116">
        <v>467.5</v>
      </c>
      <c r="E463" s="116">
        <v>480.52499999999998</v>
      </c>
      <c r="F463" s="116">
        <v>938.6</v>
      </c>
      <c r="G463">
        <v>271448</v>
      </c>
      <c r="H463" s="116"/>
      <c r="I463" s="116"/>
      <c r="L463" s="170">
        <v>42684</v>
      </c>
      <c r="M463" s="116">
        <v>469.7</v>
      </c>
      <c r="N463" s="116">
        <v>481.25</v>
      </c>
      <c r="O463" s="116">
        <v>467.5</v>
      </c>
      <c r="P463" s="116">
        <v>481.25</v>
      </c>
      <c r="Q463" s="116">
        <v>939.4</v>
      </c>
      <c r="R463">
        <v>3643665</v>
      </c>
    </row>
    <row r="464" spans="1:18" x14ac:dyDescent="0.25">
      <c r="A464" s="170">
        <v>42685</v>
      </c>
      <c r="B464" s="116">
        <v>471</v>
      </c>
      <c r="C464" s="116">
        <v>460.92500000000001</v>
      </c>
      <c r="D464" s="116">
        <v>459.5</v>
      </c>
      <c r="E464" s="116">
        <v>470</v>
      </c>
      <c r="F464" s="116">
        <v>921.85</v>
      </c>
      <c r="G464">
        <v>215606</v>
      </c>
      <c r="H464" s="116"/>
      <c r="I464" s="116"/>
      <c r="L464" s="170">
        <v>42685</v>
      </c>
      <c r="M464" s="116">
        <v>460.77499999999998</v>
      </c>
      <c r="N464" s="116">
        <v>472.5</v>
      </c>
      <c r="O464" s="116">
        <v>459.35</v>
      </c>
      <c r="P464" s="116">
        <v>470</v>
      </c>
      <c r="Q464" s="116">
        <v>921.55</v>
      </c>
      <c r="R464">
        <v>3548391</v>
      </c>
    </row>
    <row r="465" spans="1:18" x14ac:dyDescent="0.25">
      <c r="A465" s="170">
        <v>42689</v>
      </c>
      <c r="B465" s="116">
        <v>469</v>
      </c>
      <c r="C465" s="116">
        <v>462.375</v>
      </c>
      <c r="D465" s="116">
        <v>454.77499999999998</v>
      </c>
      <c r="E465" s="116">
        <v>461</v>
      </c>
      <c r="F465" s="116">
        <v>924.75</v>
      </c>
      <c r="G465">
        <v>244625</v>
      </c>
      <c r="H465" s="116"/>
      <c r="I465" s="116"/>
      <c r="L465" s="170">
        <v>42689</v>
      </c>
      <c r="M465" s="116">
        <v>461.77499999999998</v>
      </c>
      <c r="N465" s="116">
        <v>469.97500000000002</v>
      </c>
      <c r="O465" s="116">
        <v>454.27499999999998</v>
      </c>
      <c r="P465" s="116">
        <v>462</v>
      </c>
      <c r="Q465" s="116">
        <v>923.55</v>
      </c>
      <c r="R465">
        <v>4617925</v>
      </c>
    </row>
    <row r="466" spans="1:18" x14ac:dyDescent="0.25">
      <c r="A466" s="170">
        <v>42690</v>
      </c>
      <c r="B466" s="116">
        <v>478.35</v>
      </c>
      <c r="C466" s="116">
        <v>470.05</v>
      </c>
      <c r="D466" s="116">
        <v>463.05</v>
      </c>
      <c r="E466" s="116">
        <v>463.05</v>
      </c>
      <c r="F466" s="116">
        <v>940.1</v>
      </c>
      <c r="G466">
        <v>182434</v>
      </c>
      <c r="H466" s="116"/>
      <c r="I466" s="116"/>
      <c r="L466" s="170">
        <v>42690</v>
      </c>
      <c r="M466" s="116">
        <v>470.45</v>
      </c>
      <c r="N466" s="116">
        <v>478.42500000000001</v>
      </c>
      <c r="O466" s="116">
        <v>464.27499999999998</v>
      </c>
      <c r="P466" s="116">
        <v>465</v>
      </c>
      <c r="Q466" s="116">
        <v>940.9</v>
      </c>
      <c r="R466">
        <v>6111308</v>
      </c>
    </row>
    <row r="467" spans="1:18" x14ac:dyDescent="0.25">
      <c r="A467" s="170">
        <v>42691</v>
      </c>
      <c r="B467" s="116">
        <v>474.5</v>
      </c>
      <c r="C467" s="116">
        <v>464.77499999999998</v>
      </c>
      <c r="D467" s="116">
        <v>463.125</v>
      </c>
      <c r="E467" s="116">
        <v>467.4</v>
      </c>
      <c r="F467" s="116">
        <v>929.55</v>
      </c>
      <c r="G467">
        <v>135971</v>
      </c>
      <c r="H467" s="116"/>
      <c r="I467" s="116"/>
      <c r="L467" s="170">
        <v>42691</v>
      </c>
      <c r="M467" s="116">
        <v>464.9</v>
      </c>
      <c r="N467" s="116">
        <v>474.5</v>
      </c>
      <c r="O467" s="116">
        <v>463.2</v>
      </c>
      <c r="P467" s="116">
        <v>467.125</v>
      </c>
      <c r="Q467" s="116">
        <v>929.8</v>
      </c>
      <c r="R467">
        <v>2853365</v>
      </c>
    </row>
    <row r="468" spans="1:18" x14ac:dyDescent="0.25">
      <c r="A468" s="170">
        <v>42692</v>
      </c>
      <c r="B468" s="116">
        <v>466.45</v>
      </c>
      <c r="C468" s="116">
        <v>459.9</v>
      </c>
      <c r="D468" s="116">
        <v>459</v>
      </c>
      <c r="E468" s="116">
        <v>464.9</v>
      </c>
      <c r="F468" s="116">
        <v>919.8</v>
      </c>
      <c r="G468">
        <v>104317</v>
      </c>
      <c r="H468" s="116"/>
      <c r="I468" s="116"/>
      <c r="L468" s="170">
        <v>42692</v>
      </c>
      <c r="M468" s="116">
        <v>460</v>
      </c>
      <c r="N468" s="116">
        <v>466.625</v>
      </c>
      <c r="O468" s="116">
        <v>458.75</v>
      </c>
      <c r="P468" s="116">
        <v>465</v>
      </c>
      <c r="Q468" s="116">
        <v>920</v>
      </c>
      <c r="R468">
        <v>3020114</v>
      </c>
    </row>
    <row r="469" spans="1:18" x14ac:dyDescent="0.25">
      <c r="A469" s="170">
        <v>42695</v>
      </c>
      <c r="B469" s="116">
        <v>465.45</v>
      </c>
      <c r="C469" s="116">
        <v>455.57499999999999</v>
      </c>
      <c r="D469" s="116">
        <v>453.375</v>
      </c>
      <c r="E469" s="116">
        <v>465.45</v>
      </c>
      <c r="F469" s="116">
        <v>911.15</v>
      </c>
      <c r="G469">
        <v>132361</v>
      </c>
      <c r="H469" s="116"/>
      <c r="I469" s="116"/>
      <c r="L469" s="170">
        <v>42695</v>
      </c>
      <c r="M469" s="116">
        <v>455.55</v>
      </c>
      <c r="N469" s="116">
        <v>463.45</v>
      </c>
      <c r="O469" s="116">
        <v>453.47500000000002</v>
      </c>
      <c r="P469" s="116">
        <v>463.45</v>
      </c>
      <c r="Q469" s="116">
        <v>911.1</v>
      </c>
      <c r="R469">
        <v>3970284</v>
      </c>
    </row>
    <row r="470" spans="1:18" x14ac:dyDescent="0.25">
      <c r="A470" s="170">
        <v>42696</v>
      </c>
      <c r="B470" s="116">
        <v>464</v>
      </c>
      <c r="C470" s="116">
        <v>456.97500000000002</v>
      </c>
      <c r="D470" s="116">
        <v>456</v>
      </c>
      <c r="E470" s="116">
        <v>460.875</v>
      </c>
      <c r="F470" s="116">
        <v>913.95</v>
      </c>
      <c r="G470">
        <v>103448</v>
      </c>
      <c r="H470" s="116"/>
      <c r="I470" s="116"/>
      <c r="L470" s="170">
        <v>42696</v>
      </c>
      <c r="M470" s="116">
        <v>457.1</v>
      </c>
      <c r="N470" s="116">
        <v>464.32499999999999</v>
      </c>
      <c r="O470" s="116">
        <v>455.82499999999999</v>
      </c>
      <c r="P470" s="116">
        <v>458.45</v>
      </c>
      <c r="Q470" s="116">
        <v>914.2</v>
      </c>
      <c r="R470">
        <v>2741563</v>
      </c>
    </row>
    <row r="471" spans="1:18" x14ac:dyDescent="0.25">
      <c r="A471" s="170">
        <v>42697</v>
      </c>
      <c r="B471" s="116">
        <v>462</v>
      </c>
      <c r="C471" s="116">
        <v>460.25</v>
      </c>
      <c r="D471" s="116">
        <v>456.6</v>
      </c>
      <c r="E471" s="116">
        <v>462</v>
      </c>
      <c r="F471" s="116">
        <v>920.5</v>
      </c>
      <c r="G471">
        <v>171245</v>
      </c>
      <c r="H471" s="116"/>
      <c r="I471" s="116"/>
      <c r="L471" s="170">
        <v>42697</v>
      </c>
      <c r="M471" s="116">
        <v>460.125</v>
      </c>
      <c r="N471" s="116">
        <v>461.45</v>
      </c>
      <c r="O471" s="116">
        <v>456.22500000000002</v>
      </c>
      <c r="P471" s="116">
        <v>461.05</v>
      </c>
      <c r="Q471" s="116">
        <v>920.25</v>
      </c>
      <c r="R471">
        <v>4125893</v>
      </c>
    </row>
    <row r="472" spans="1:18" x14ac:dyDescent="0.25">
      <c r="A472" s="170">
        <v>42698</v>
      </c>
      <c r="B472" s="116">
        <v>470</v>
      </c>
      <c r="C472" s="116">
        <v>466.35</v>
      </c>
      <c r="D472" s="116">
        <v>461.45</v>
      </c>
      <c r="E472" s="116">
        <v>461.65</v>
      </c>
      <c r="F472" s="116">
        <v>932.7</v>
      </c>
      <c r="G472">
        <v>350633</v>
      </c>
      <c r="H472" s="116"/>
      <c r="I472" s="116"/>
      <c r="L472" s="170">
        <v>42698</v>
      </c>
      <c r="M472" s="116">
        <v>465.15</v>
      </c>
      <c r="N472" s="116">
        <v>469.95</v>
      </c>
      <c r="O472" s="116">
        <v>461.65</v>
      </c>
      <c r="P472" s="116">
        <v>464.1</v>
      </c>
      <c r="Q472" s="116">
        <v>930.3</v>
      </c>
      <c r="R472">
        <v>8390322</v>
      </c>
    </row>
    <row r="473" spans="1:18" x14ac:dyDescent="0.25">
      <c r="A473" s="170">
        <v>42699</v>
      </c>
      <c r="B473" s="116">
        <v>492.45</v>
      </c>
      <c r="C473" s="116">
        <v>488.65</v>
      </c>
      <c r="D473" s="116">
        <v>465.15</v>
      </c>
      <c r="E473" s="116">
        <v>465.15</v>
      </c>
      <c r="F473" s="116">
        <v>977.3</v>
      </c>
      <c r="G473">
        <v>396652</v>
      </c>
      <c r="H473" s="116"/>
      <c r="I473" s="116"/>
      <c r="L473" s="170">
        <v>42699</v>
      </c>
      <c r="M473" s="116">
        <v>488.75</v>
      </c>
      <c r="N473" s="116">
        <v>492.5</v>
      </c>
      <c r="O473" s="116">
        <v>465.22500000000002</v>
      </c>
      <c r="P473" s="116">
        <v>465.22500000000002</v>
      </c>
      <c r="Q473" s="116">
        <v>977.5</v>
      </c>
      <c r="R473">
        <v>6315690</v>
      </c>
    </row>
    <row r="474" spans="1:18" x14ac:dyDescent="0.25">
      <c r="A474" s="170">
        <v>42702</v>
      </c>
      <c r="B474" s="116">
        <v>497.4</v>
      </c>
      <c r="C474" s="116">
        <v>489.82499999999999</v>
      </c>
      <c r="D474" s="116">
        <v>485.32499999999999</v>
      </c>
      <c r="E474" s="116">
        <v>497.4</v>
      </c>
      <c r="F474" s="116">
        <v>979.65</v>
      </c>
      <c r="G474">
        <v>375741</v>
      </c>
      <c r="H474" s="116"/>
      <c r="I474" s="116"/>
      <c r="L474" s="170">
        <v>42702</v>
      </c>
      <c r="M474" s="116">
        <v>489.875</v>
      </c>
      <c r="N474" s="116">
        <v>491.72500000000002</v>
      </c>
      <c r="O474" s="116">
        <v>485.3</v>
      </c>
      <c r="P474" s="116">
        <v>489.65</v>
      </c>
      <c r="Q474" s="116">
        <v>979.75</v>
      </c>
      <c r="R474">
        <v>3682856</v>
      </c>
    </row>
    <row r="475" spans="1:18" x14ac:dyDescent="0.25">
      <c r="A475" s="170">
        <v>42703</v>
      </c>
      <c r="B475" s="116">
        <v>491.72500000000002</v>
      </c>
      <c r="C475" s="116">
        <v>486.32499999999999</v>
      </c>
      <c r="D475" s="116">
        <v>483.7</v>
      </c>
      <c r="E475" s="116">
        <v>491.5</v>
      </c>
      <c r="F475" s="116">
        <v>972.65</v>
      </c>
      <c r="G475">
        <v>109828</v>
      </c>
      <c r="H475" s="116"/>
      <c r="I475" s="116"/>
      <c r="L475" s="170">
        <v>42703</v>
      </c>
      <c r="M475" s="116">
        <v>486.3</v>
      </c>
      <c r="N475" s="116">
        <v>492.35</v>
      </c>
      <c r="O475" s="116">
        <v>483.55</v>
      </c>
      <c r="P475" s="116">
        <v>489.4</v>
      </c>
      <c r="Q475" s="116">
        <v>972.6</v>
      </c>
      <c r="R475">
        <v>3062753</v>
      </c>
    </row>
    <row r="476" spans="1:18" x14ac:dyDescent="0.25">
      <c r="A476" s="170">
        <v>42704</v>
      </c>
      <c r="B476" s="116">
        <v>488.75</v>
      </c>
      <c r="C476" s="116">
        <v>487.72500000000002</v>
      </c>
      <c r="D476" s="116">
        <v>481</v>
      </c>
      <c r="E476" s="116">
        <v>485</v>
      </c>
      <c r="F476" s="116">
        <v>975.45</v>
      </c>
      <c r="G476">
        <v>141635</v>
      </c>
      <c r="H476" s="116"/>
      <c r="I476" s="116"/>
      <c r="L476" s="170">
        <v>42704</v>
      </c>
      <c r="M476" s="116">
        <v>487.77499999999998</v>
      </c>
      <c r="N476" s="116">
        <v>488.5</v>
      </c>
      <c r="O476" s="116">
        <v>480.52499999999998</v>
      </c>
      <c r="P476" s="116">
        <v>486.5</v>
      </c>
      <c r="Q476" s="116">
        <v>975.55</v>
      </c>
      <c r="R476">
        <v>4250459</v>
      </c>
    </row>
    <row r="477" spans="1:18" x14ac:dyDescent="0.25">
      <c r="A477" s="170">
        <v>42705</v>
      </c>
      <c r="B477" s="116">
        <v>492</v>
      </c>
      <c r="C477" s="116">
        <v>488.02499999999998</v>
      </c>
      <c r="D477" s="116">
        <v>484.72500000000002</v>
      </c>
      <c r="E477" s="116">
        <v>488</v>
      </c>
      <c r="F477" s="116">
        <v>976.05</v>
      </c>
      <c r="G477">
        <v>99683</v>
      </c>
      <c r="H477" s="116"/>
      <c r="I477" s="116"/>
      <c r="L477" s="170">
        <v>42705</v>
      </c>
      <c r="M477" s="116">
        <v>487.8</v>
      </c>
      <c r="N477" s="116">
        <v>491.77499999999998</v>
      </c>
      <c r="O477" s="116">
        <v>483.5</v>
      </c>
      <c r="P477" s="116">
        <v>488</v>
      </c>
      <c r="Q477" s="116">
        <v>975.6</v>
      </c>
      <c r="R477">
        <v>2305795</v>
      </c>
    </row>
    <row r="478" spans="1:18" x14ac:dyDescent="0.25">
      <c r="A478" s="170">
        <v>42706</v>
      </c>
      <c r="B478" s="116">
        <v>484.95</v>
      </c>
      <c r="C478" s="116">
        <v>482.05</v>
      </c>
      <c r="D478" s="116">
        <v>480.5</v>
      </c>
      <c r="E478" s="116">
        <v>484.5</v>
      </c>
      <c r="F478" s="116">
        <v>964.1</v>
      </c>
      <c r="G478">
        <v>89536</v>
      </c>
      <c r="H478" s="116"/>
      <c r="I478" s="116"/>
      <c r="L478" s="170">
        <v>42706</v>
      </c>
      <c r="M478" s="116">
        <v>482.25</v>
      </c>
      <c r="N478" s="116">
        <v>484.8</v>
      </c>
      <c r="O478" s="116">
        <v>480.55</v>
      </c>
      <c r="P478" s="116">
        <v>482.4</v>
      </c>
      <c r="Q478" s="116">
        <v>964.5</v>
      </c>
      <c r="R478">
        <v>2226614</v>
      </c>
    </row>
    <row r="479" spans="1:18" x14ac:dyDescent="0.25">
      <c r="A479" s="170">
        <v>42709</v>
      </c>
      <c r="B479" s="116">
        <v>484.1</v>
      </c>
      <c r="C479" s="116">
        <v>480.7</v>
      </c>
      <c r="D479" s="116">
        <v>478.95</v>
      </c>
      <c r="E479" s="116">
        <v>482.5</v>
      </c>
      <c r="F479" s="116">
        <v>961.4</v>
      </c>
      <c r="G479">
        <v>85878</v>
      </c>
      <c r="H479" s="116"/>
      <c r="I479" s="116"/>
      <c r="L479" s="170">
        <v>42709</v>
      </c>
      <c r="M479" s="116">
        <v>480.82499999999999</v>
      </c>
      <c r="N479" s="116">
        <v>484.3</v>
      </c>
      <c r="O479" s="116">
        <v>479</v>
      </c>
      <c r="P479" s="116">
        <v>482.95</v>
      </c>
      <c r="Q479" s="116">
        <v>961.65</v>
      </c>
      <c r="R479">
        <v>1829788</v>
      </c>
    </row>
    <row r="480" spans="1:18" x14ac:dyDescent="0.25">
      <c r="A480" s="170">
        <v>42710</v>
      </c>
      <c r="B480" s="116">
        <v>489.35</v>
      </c>
      <c r="C480" s="116">
        <v>483.47500000000002</v>
      </c>
      <c r="D480" s="116">
        <v>481.35</v>
      </c>
      <c r="E480" s="116">
        <v>483.25</v>
      </c>
      <c r="F480" s="116">
        <v>966.95</v>
      </c>
      <c r="G480">
        <v>112489</v>
      </c>
      <c r="H480" s="116"/>
      <c r="I480" s="116"/>
      <c r="L480" s="170">
        <v>42710</v>
      </c>
      <c r="M480" s="116">
        <v>483.25</v>
      </c>
      <c r="N480" s="116">
        <v>489.75</v>
      </c>
      <c r="O480" s="116">
        <v>480.82499999999999</v>
      </c>
      <c r="P480" s="116">
        <v>480.9</v>
      </c>
      <c r="Q480" s="116">
        <v>966.5</v>
      </c>
      <c r="R480">
        <v>1781055</v>
      </c>
    </row>
    <row r="481" spans="1:18" x14ac:dyDescent="0.25">
      <c r="A481" s="170">
        <v>42711</v>
      </c>
      <c r="B481" s="116">
        <v>486.3</v>
      </c>
      <c r="C481" s="116">
        <v>483.3</v>
      </c>
      <c r="D481" s="116">
        <v>480.45</v>
      </c>
      <c r="E481" s="116">
        <v>483.6</v>
      </c>
      <c r="F481" s="116">
        <v>966.6</v>
      </c>
      <c r="G481">
        <v>123075</v>
      </c>
      <c r="H481" s="116"/>
      <c r="I481" s="116"/>
      <c r="L481" s="170">
        <v>42711</v>
      </c>
      <c r="M481" s="116">
        <v>483.2</v>
      </c>
      <c r="N481" s="116">
        <v>486.5</v>
      </c>
      <c r="O481" s="116">
        <v>480.1</v>
      </c>
      <c r="P481" s="116">
        <v>484</v>
      </c>
      <c r="Q481" s="116">
        <v>966.4</v>
      </c>
      <c r="R481">
        <v>1692990</v>
      </c>
    </row>
    <row r="482" spans="1:18" x14ac:dyDescent="0.25">
      <c r="A482" s="170">
        <v>42712</v>
      </c>
      <c r="B482" s="116">
        <v>493.9</v>
      </c>
      <c r="C482" s="116">
        <v>492.375</v>
      </c>
      <c r="D482" s="116">
        <v>483.3</v>
      </c>
      <c r="E482" s="116">
        <v>483.3</v>
      </c>
      <c r="F482" s="116">
        <v>984.75</v>
      </c>
      <c r="G482">
        <v>85826</v>
      </c>
      <c r="H482" s="116"/>
      <c r="I482" s="116"/>
      <c r="L482" s="170">
        <v>42712</v>
      </c>
      <c r="M482" s="116">
        <v>492.32499999999999</v>
      </c>
      <c r="N482" s="116">
        <v>493.05</v>
      </c>
      <c r="O482" s="116">
        <v>485.02499999999998</v>
      </c>
      <c r="P482" s="116">
        <v>485.02499999999998</v>
      </c>
      <c r="Q482" s="116">
        <v>984.65</v>
      </c>
      <c r="R482">
        <v>2970831</v>
      </c>
    </row>
    <row r="483" spans="1:18" x14ac:dyDescent="0.25">
      <c r="A483" s="170">
        <v>42713</v>
      </c>
      <c r="B483" s="116">
        <v>503.52499999999998</v>
      </c>
      <c r="C483" s="116">
        <v>493.67500000000001</v>
      </c>
      <c r="D483" s="116">
        <v>491.5</v>
      </c>
      <c r="E483" s="116">
        <v>493.25</v>
      </c>
      <c r="F483" s="116">
        <v>987.35</v>
      </c>
      <c r="G483">
        <v>190444</v>
      </c>
      <c r="H483" s="116"/>
      <c r="I483" s="116"/>
      <c r="L483" s="170">
        <v>42713</v>
      </c>
      <c r="M483" s="116">
        <v>494.67500000000001</v>
      </c>
      <c r="N483" s="116">
        <v>504.07499999999999</v>
      </c>
      <c r="O483" s="116">
        <v>490.75</v>
      </c>
      <c r="P483" s="116">
        <v>492.5</v>
      </c>
      <c r="Q483" s="116">
        <v>989.35</v>
      </c>
      <c r="R483">
        <v>4324192</v>
      </c>
    </row>
    <row r="484" spans="1:18" x14ac:dyDescent="0.25">
      <c r="A484" s="170">
        <v>42716</v>
      </c>
      <c r="B484" s="116">
        <v>490.75</v>
      </c>
      <c r="C484" s="116">
        <v>488.75</v>
      </c>
      <c r="D484" s="116">
        <v>482.72500000000002</v>
      </c>
      <c r="E484" s="116">
        <v>490.5</v>
      </c>
      <c r="F484" s="116">
        <v>977.5</v>
      </c>
      <c r="G484">
        <v>183653</v>
      </c>
      <c r="H484" s="116"/>
      <c r="I484" s="116"/>
      <c r="L484" s="170">
        <v>42716</v>
      </c>
      <c r="M484" s="116">
        <v>488.67500000000001</v>
      </c>
      <c r="N484" s="116">
        <v>491.4</v>
      </c>
      <c r="O484" s="116">
        <v>482.6</v>
      </c>
      <c r="P484" s="116">
        <v>491.4</v>
      </c>
      <c r="Q484" s="116">
        <v>977.35</v>
      </c>
      <c r="R484">
        <v>2672510</v>
      </c>
    </row>
    <row r="485" spans="1:18" x14ac:dyDescent="0.25">
      <c r="A485" s="170">
        <v>42717</v>
      </c>
      <c r="B485" s="116">
        <v>495.92500000000001</v>
      </c>
      <c r="C485" s="116">
        <v>495.02499999999998</v>
      </c>
      <c r="D485" s="116">
        <v>486.75</v>
      </c>
      <c r="E485" s="116">
        <v>488.5</v>
      </c>
      <c r="F485" s="116">
        <v>990.05</v>
      </c>
      <c r="G485">
        <v>117842</v>
      </c>
      <c r="H485" s="116"/>
      <c r="I485" s="116"/>
      <c r="L485" s="170">
        <v>42717</v>
      </c>
      <c r="M485" s="116">
        <v>495.1</v>
      </c>
      <c r="N485" s="116">
        <v>496.42500000000001</v>
      </c>
      <c r="O485" s="116">
        <v>485.55</v>
      </c>
      <c r="P485" s="116">
        <v>490.25</v>
      </c>
      <c r="Q485" s="116">
        <v>990.2</v>
      </c>
      <c r="R485">
        <v>2427141</v>
      </c>
    </row>
    <row r="486" spans="1:18" x14ac:dyDescent="0.25">
      <c r="A486" s="170">
        <v>42718</v>
      </c>
      <c r="B486" s="116">
        <v>502</v>
      </c>
      <c r="C486" s="116">
        <v>499.52499999999998</v>
      </c>
      <c r="D486" s="116">
        <v>492</v>
      </c>
      <c r="E486" s="116">
        <v>495.77499999999998</v>
      </c>
      <c r="F486" s="116">
        <v>999.05</v>
      </c>
      <c r="G486">
        <v>331088</v>
      </c>
      <c r="H486" s="116"/>
      <c r="I486" s="116"/>
      <c r="L486" s="170">
        <v>42718</v>
      </c>
      <c r="M486" s="116">
        <v>499.875</v>
      </c>
      <c r="N486" s="116">
        <v>502.47500000000002</v>
      </c>
      <c r="O486" s="116">
        <v>492.05</v>
      </c>
      <c r="P486" s="116">
        <v>495.5</v>
      </c>
      <c r="Q486" s="116">
        <v>999.75</v>
      </c>
      <c r="R486">
        <v>2691307</v>
      </c>
    </row>
    <row r="487" spans="1:18" x14ac:dyDescent="0.25">
      <c r="A487" s="170">
        <v>42719</v>
      </c>
      <c r="B487" s="116">
        <v>509.45</v>
      </c>
      <c r="C487" s="116">
        <v>496.625</v>
      </c>
      <c r="D487" s="116">
        <v>495</v>
      </c>
      <c r="E487" s="116">
        <v>498.95</v>
      </c>
      <c r="F487" s="116">
        <v>993.25</v>
      </c>
      <c r="G487">
        <v>259145</v>
      </c>
      <c r="H487" s="116"/>
      <c r="I487" s="116"/>
      <c r="L487" s="170">
        <v>42719</v>
      </c>
      <c r="M487" s="116">
        <v>496.17500000000001</v>
      </c>
      <c r="N487" s="116">
        <v>509.47500000000002</v>
      </c>
      <c r="O487" s="116">
        <v>494.5</v>
      </c>
      <c r="P487" s="116">
        <v>498.7</v>
      </c>
      <c r="Q487" s="116">
        <v>992.35</v>
      </c>
      <c r="R487">
        <v>3983208</v>
      </c>
    </row>
    <row r="488" spans="1:18" x14ac:dyDescent="0.25">
      <c r="A488" s="170">
        <v>42720</v>
      </c>
      <c r="B488" s="116">
        <v>504.5</v>
      </c>
      <c r="C488" s="116">
        <v>502.1</v>
      </c>
      <c r="D488" s="116">
        <v>499</v>
      </c>
      <c r="E488" s="116">
        <v>499.6</v>
      </c>
      <c r="F488" s="116">
        <v>1004.2</v>
      </c>
      <c r="G488">
        <v>112733</v>
      </c>
      <c r="H488" s="116"/>
      <c r="I488" s="116"/>
      <c r="L488" s="170">
        <v>42720</v>
      </c>
      <c r="M488" s="116">
        <v>502.57499999999999</v>
      </c>
      <c r="N488" s="116">
        <v>504.85</v>
      </c>
      <c r="O488" s="116">
        <v>498.875</v>
      </c>
      <c r="P488" s="116">
        <v>501.9</v>
      </c>
      <c r="Q488" s="116">
        <v>1005.15</v>
      </c>
      <c r="R488">
        <v>3218371</v>
      </c>
    </row>
    <row r="489" spans="1:18" x14ac:dyDescent="0.25">
      <c r="A489" s="170">
        <v>42723</v>
      </c>
      <c r="B489" s="116">
        <v>503.02499999999998</v>
      </c>
      <c r="C489" s="116">
        <v>501.1</v>
      </c>
      <c r="D489" s="116">
        <v>497.1</v>
      </c>
      <c r="E489" s="116">
        <v>502.5</v>
      </c>
      <c r="F489" s="116">
        <v>1002.2</v>
      </c>
      <c r="G489">
        <v>80041</v>
      </c>
      <c r="H489" s="116"/>
      <c r="I489" s="116"/>
      <c r="L489" s="170">
        <v>42723</v>
      </c>
      <c r="M489" s="116">
        <v>502.32499999999999</v>
      </c>
      <c r="N489" s="116">
        <v>504.125</v>
      </c>
      <c r="O489" s="116">
        <v>497.05</v>
      </c>
      <c r="P489" s="116">
        <v>503.05</v>
      </c>
      <c r="Q489" s="116">
        <v>1004.65</v>
      </c>
      <c r="R489">
        <v>2062067</v>
      </c>
    </row>
    <row r="490" spans="1:18" x14ac:dyDescent="0.25">
      <c r="A490" s="170">
        <v>42724</v>
      </c>
      <c r="B490" s="116">
        <v>509.47500000000002</v>
      </c>
      <c r="C490" s="116">
        <v>505.2</v>
      </c>
      <c r="D490" s="116">
        <v>499</v>
      </c>
      <c r="E490" s="116">
        <v>499</v>
      </c>
      <c r="F490" s="116">
        <v>1010.4</v>
      </c>
      <c r="G490">
        <v>129010</v>
      </c>
      <c r="H490" s="116"/>
      <c r="I490" s="116"/>
      <c r="L490" s="170">
        <v>42724</v>
      </c>
      <c r="M490" s="116">
        <v>506.07499999999999</v>
      </c>
      <c r="N490" s="116">
        <v>509.5</v>
      </c>
      <c r="O490" s="116">
        <v>500.65</v>
      </c>
      <c r="P490" s="116">
        <v>501</v>
      </c>
      <c r="Q490" s="116">
        <v>1012.15</v>
      </c>
      <c r="R490">
        <v>3818249</v>
      </c>
    </row>
    <row r="491" spans="1:18" x14ac:dyDescent="0.25">
      <c r="A491" s="170">
        <v>42725</v>
      </c>
      <c r="B491" s="116">
        <v>510.47500000000002</v>
      </c>
      <c r="C491" s="116">
        <v>501.85</v>
      </c>
      <c r="D491" s="116">
        <v>500.52499999999998</v>
      </c>
      <c r="E491" s="116">
        <v>507.5</v>
      </c>
      <c r="F491" s="116">
        <v>1003.7</v>
      </c>
      <c r="G491">
        <v>117589</v>
      </c>
      <c r="H491" s="116"/>
      <c r="I491" s="116"/>
      <c r="L491" s="170">
        <v>42725</v>
      </c>
      <c r="M491" s="116">
        <v>500.77499999999998</v>
      </c>
      <c r="N491" s="116">
        <v>511</v>
      </c>
      <c r="O491" s="116">
        <v>499.125</v>
      </c>
      <c r="P491" s="116">
        <v>508</v>
      </c>
      <c r="Q491" s="116">
        <v>1001.55</v>
      </c>
      <c r="R491">
        <v>3671988</v>
      </c>
    </row>
    <row r="492" spans="1:18" x14ac:dyDescent="0.25">
      <c r="A492" s="170">
        <v>42726</v>
      </c>
      <c r="B492" s="116">
        <v>503.45</v>
      </c>
      <c r="C492" s="116">
        <v>492.6</v>
      </c>
      <c r="D492" s="116">
        <v>485.1</v>
      </c>
      <c r="E492" s="116">
        <v>501.45</v>
      </c>
      <c r="F492" s="116">
        <v>985.2</v>
      </c>
      <c r="G492">
        <v>348543</v>
      </c>
      <c r="H492" s="116"/>
      <c r="I492" s="116"/>
      <c r="L492" s="170">
        <v>42726</v>
      </c>
      <c r="M492" s="116">
        <v>492.35</v>
      </c>
      <c r="N492" s="116">
        <v>503.5</v>
      </c>
      <c r="O492" s="116">
        <v>484.75</v>
      </c>
      <c r="P492" s="116">
        <v>501.25</v>
      </c>
      <c r="Q492" s="116">
        <v>984.7</v>
      </c>
      <c r="R492">
        <v>3530027</v>
      </c>
    </row>
    <row r="493" spans="1:18" x14ac:dyDescent="0.25">
      <c r="A493" s="170">
        <v>42727</v>
      </c>
      <c r="B493" s="116">
        <v>503.3</v>
      </c>
      <c r="C493" s="116">
        <v>494.65</v>
      </c>
      <c r="D493" s="116">
        <v>487.5</v>
      </c>
      <c r="E493" s="116">
        <v>490.67500000000001</v>
      </c>
      <c r="F493" s="116">
        <v>989.3</v>
      </c>
      <c r="G493">
        <v>154679</v>
      </c>
      <c r="H493" s="116"/>
      <c r="I493" s="116"/>
      <c r="L493" s="170">
        <v>42727</v>
      </c>
      <c r="M493" s="116">
        <v>494.22500000000002</v>
      </c>
      <c r="N493" s="116">
        <v>503.3</v>
      </c>
      <c r="O493" s="116">
        <v>486.8</v>
      </c>
      <c r="P493" s="116">
        <v>492.45</v>
      </c>
      <c r="Q493" s="116">
        <v>988.45</v>
      </c>
      <c r="R493">
        <v>3653018</v>
      </c>
    </row>
    <row r="494" spans="1:18" x14ac:dyDescent="0.25">
      <c r="A494" s="170">
        <v>42730</v>
      </c>
      <c r="B494" s="116">
        <v>496.92500000000001</v>
      </c>
      <c r="C494" s="116">
        <v>491.5</v>
      </c>
      <c r="D494" s="116">
        <v>488</v>
      </c>
      <c r="E494" s="116">
        <v>494.5</v>
      </c>
      <c r="F494" s="116">
        <v>983</v>
      </c>
      <c r="G494">
        <v>107748</v>
      </c>
      <c r="H494" s="116"/>
      <c r="I494" s="116"/>
      <c r="L494" s="170">
        <v>42730</v>
      </c>
      <c r="M494" s="116">
        <v>491.375</v>
      </c>
      <c r="N494" s="116">
        <v>497</v>
      </c>
      <c r="O494" s="116">
        <v>487.55</v>
      </c>
      <c r="P494" s="116">
        <v>494</v>
      </c>
      <c r="Q494" s="116">
        <v>982.75</v>
      </c>
      <c r="R494">
        <v>1606914</v>
      </c>
    </row>
    <row r="495" spans="1:18" x14ac:dyDescent="0.25">
      <c r="A495" s="170">
        <v>42731</v>
      </c>
      <c r="B495" s="116">
        <v>501.45</v>
      </c>
      <c r="C495" s="116">
        <v>499.625</v>
      </c>
      <c r="D495" s="116">
        <v>491.125</v>
      </c>
      <c r="E495" s="116">
        <v>491.55</v>
      </c>
      <c r="F495" s="116">
        <v>999.25</v>
      </c>
      <c r="G495">
        <v>132518</v>
      </c>
      <c r="H495" s="116"/>
      <c r="I495" s="116"/>
      <c r="L495" s="170">
        <v>42731</v>
      </c>
      <c r="M495" s="116">
        <v>499.47500000000002</v>
      </c>
      <c r="N495" s="116">
        <v>500.95</v>
      </c>
      <c r="O495" s="116">
        <v>490</v>
      </c>
      <c r="P495" s="116">
        <v>491.375</v>
      </c>
      <c r="Q495" s="116">
        <v>998.95</v>
      </c>
      <c r="R495">
        <v>2456408</v>
      </c>
    </row>
    <row r="496" spans="1:18" x14ac:dyDescent="0.25">
      <c r="A496" s="170">
        <v>42732</v>
      </c>
      <c r="B496" s="116">
        <v>504.875</v>
      </c>
      <c r="C496" s="116">
        <v>499.57499999999999</v>
      </c>
      <c r="D496" s="116">
        <v>497.6</v>
      </c>
      <c r="E496" s="116">
        <v>499.75</v>
      </c>
      <c r="F496" s="116">
        <v>999.15</v>
      </c>
      <c r="G496">
        <v>452433</v>
      </c>
      <c r="H496" s="116"/>
      <c r="I496" s="116"/>
      <c r="L496" s="170">
        <v>42732</v>
      </c>
      <c r="M496" s="116">
        <v>499.25</v>
      </c>
      <c r="N496" s="116">
        <v>504.9</v>
      </c>
      <c r="O496" s="116">
        <v>497.5</v>
      </c>
      <c r="P496" s="116">
        <v>501.47500000000002</v>
      </c>
      <c r="Q496" s="116">
        <v>998.5</v>
      </c>
      <c r="R496">
        <v>2738408</v>
      </c>
    </row>
    <row r="497" spans="1:18" x14ac:dyDescent="0.25">
      <c r="A497" s="170">
        <v>42733</v>
      </c>
      <c r="B497" s="116">
        <v>503.72500000000002</v>
      </c>
      <c r="C497" s="116">
        <v>497.05</v>
      </c>
      <c r="D497" s="116">
        <v>493.2</v>
      </c>
      <c r="E497" s="116">
        <v>500</v>
      </c>
      <c r="F497" s="116">
        <v>994.1</v>
      </c>
      <c r="G497">
        <v>165205</v>
      </c>
      <c r="H497" s="116"/>
      <c r="I497" s="116"/>
      <c r="L497" s="170">
        <v>42733</v>
      </c>
      <c r="M497" s="116">
        <v>496.17500000000001</v>
      </c>
      <c r="N497" s="116">
        <v>504</v>
      </c>
      <c r="O497" s="116">
        <v>494.07499999999999</v>
      </c>
      <c r="P497" s="116">
        <v>501.875</v>
      </c>
      <c r="Q497" s="116">
        <v>992.35</v>
      </c>
      <c r="R497">
        <v>3120062</v>
      </c>
    </row>
    <row r="498" spans="1:18" x14ac:dyDescent="0.25">
      <c r="A498" s="170">
        <v>42734</v>
      </c>
      <c r="B498" s="116">
        <v>506</v>
      </c>
      <c r="C498" s="116">
        <v>505.35</v>
      </c>
      <c r="D498" s="116">
        <v>496.5</v>
      </c>
      <c r="E498" s="116">
        <v>497.625</v>
      </c>
      <c r="F498" s="116">
        <v>1010.7</v>
      </c>
      <c r="G498">
        <v>217681</v>
      </c>
      <c r="H498" s="116"/>
      <c r="I498" s="116"/>
      <c r="L498" s="170">
        <v>42734</v>
      </c>
      <c r="M498" s="116">
        <v>505.3</v>
      </c>
      <c r="N498" s="116">
        <v>506</v>
      </c>
      <c r="O498" s="116">
        <v>496.375</v>
      </c>
      <c r="P498" s="116">
        <v>499</v>
      </c>
      <c r="Q498" s="116">
        <v>1010.6</v>
      </c>
      <c r="R498">
        <v>3633884</v>
      </c>
    </row>
    <row r="499" spans="1:18" x14ac:dyDescent="0.25">
      <c r="A499" s="170">
        <v>42737</v>
      </c>
      <c r="B499" s="116">
        <v>506.55</v>
      </c>
      <c r="C499" s="116">
        <v>500.8</v>
      </c>
      <c r="D499" s="116">
        <v>500</v>
      </c>
      <c r="E499" s="116">
        <v>506</v>
      </c>
      <c r="F499" s="116">
        <v>1001.6</v>
      </c>
      <c r="G499">
        <v>74583</v>
      </c>
      <c r="H499" s="116"/>
      <c r="I499" s="116"/>
      <c r="L499" s="170">
        <v>42737</v>
      </c>
      <c r="M499" s="116">
        <v>500.55</v>
      </c>
      <c r="N499" s="116">
        <v>506.47500000000002</v>
      </c>
      <c r="O499" s="116">
        <v>499.67500000000001</v>
      </c>
      <c r="P499" s="116">
        <v>505.55</v>
      </c>
      <c r="Q499" s="116">
        <v>1001.1</v>
      </c>
      <c r="R499">
        <v>1167611</v>
      </c>
    </row>
    <row r="500" spans="1:18" x14ac:dyDescent="0.25">
      <c r="A500" s="170">
        <v>42738</v>
      </c>
      <c r="B500" s="116">
        <v>502.95</v>
      </c>
      <c r="C500" s="116">
        <v>497.32499999999999</v>
      </c>
      <c r="D500" s="116">
        <v>490.4</v>
      </c>
      <c r="E500" s="116">
        <v>501.17500000000001</v>
      </c>
      <c r="F500" s="116">
        <v>994.65</v>
      </c>
      <c r="G500">
        <v>418341</v>
      </c>
      <c r="H500" s="116"/>
      <c r="I500" s="116"/>
      <c r="L500" s="170">
        <v>42738</v>
      </c>
      <c r="M500" s="116">
        <v>496.92500000000001</v>
      </c>
      <c r="N500" s="116">
        <v>502.45</v>
      </c>
      <c r="O500" s="116">
        <v>491</v>
      </c>
      <c r="P500" s="116">
        <v>502.05</v>
      </c>
      <c r="Q500" s="116">
        <v>993.85</v>
      </c>
      <c r="R500">
        <v>3389241</v>
      </c>
    </row>
    <row r="501" spans="1:18" x14ac:dyDescent="0.25">
      <c r="A501" s="170">
        <v>42739</v>
      </c>
      <c r="B501" s="116">
        <v>501.65</v>
      </c>
      <c r="C501" s="116">
        <v>499.15</v>
      </c>
      <c r="D501" s="116">
        <v>496.85</v>
      </c>
      <c r="E501" s="116">
        <v>497.3</v>
      </c>
      <c r="F501" s="116">
        <v>998.3</v>
      </c>
      <c r="G501">
        <v>142847</v>
      </c>
      <c r="H501" s="116"/>
      <c r="I501" s="116"/>
      <c r="L501" s="170">
        <v>42739</v>
      </c>
      <c r="M501" s="116">
        <v>498.875</v>
      </c>
      <c r="N501" s="116">
        <v>502.1</v>
      </c>
      <c r="O501" s="116">
        <v>496.125</v>
      </c>
      <c r="P501" s="116">
        <v>497.52499999999998</v>
      </c>
      <c r="Q501" s="116">
        <v>997.75</v>
      </c>
      <c r="R501">
        <v>3536793</v>
      </c>
    </row>
    <row r="502" spans="1:18" x14ac:dyDescent="0.25">
      <c r="A502" s="170">
        <v>42740</v>
      </c>
      <c r="B502" s="116">
        <v>504.5</v>
      </c>
      <c r="C502" s="116">
        <v>498.2</v>
      </c>
      <c r="D502" s="116">
        <v>494.55</v>
      </c>
      <c r="E502" s="116">
        <v>499.5</v>
      </c>
      <c r="F502" s="116">
        <v>996.4</v>
      </c>
      <c r="G502">
        <v>520675</v>
      </c>
      <c r="H502" s="116"/>
      <c r="I502" s="116"/>
      <c r="L502" s="170">
        <v>42740</v>
      </c>
      <c r="M502" s="116">
        <v>498.07499999999999</v>
      </c>
      <c r="N502" s="116">
        <v>504.75</v>
      </c>
      <c r="O502" s="116">
        <v>494.375</v>
      </c>
      <c r="P502" s="116">
        <v>500.8</v>
      </c>
      <c r="Q502" s="116">
        <v>996.15</v>
      </c>
      <c r="R502">
        <v>4103537</v>
      </c>
    </row>
    <row r="503" spans="1:18" x14ac:dyDescent="0.25">
      <c r="A503" s="170">
        <v>42741</v>
      </c>
      <c r="B503" s="116">
        <v>499.47500000000002</v>
      </c>
      <c r="C503" s="116">
        <v>485.72500000000002</v>
      </c>
      <c r="D503" s="116">
        <v>484.22500000000002</v>
      </c>
      <c r="E503" s="116">
        <v>496.5</v>
      </c>
      <c r="F503" s="116">
        <v>971.45</v>
      </c>
      <c r="G503">
        <v>887743</v>
      </c>
      <c r="H503" s="116"/>
      <c r="I503" s="116"/>
      <c r="L503" s="170">
        <v>42741</v>
      </c>
      <c r="M503" s="116">
        <v>486.125</v>
      </c>
      <c r="N503" s="116">
        <v>499.42500000000001</v>
      </c>
      <c r="O503" s="116">
        <v>484.02499999999998</v>
      </c>
      <c r="P503" s="116">
        <v>497.45</v>
      </c>
      <c r="Q503" s="116">
        <v>972.25</v>
      </c>
      <c r="R503">
        <v>7196724</v>
      </c>
    </row>
    <row r="504" spans="1:18" x14ac:dyDescent="0.25">
      <c r="A504" s="170">
        <v>42744</v>
      </c>
      <c r="B504" s="116">
        <v>488.42500000000001</v>
      </c>
      <c r="C504" s="116">
        <v>485.27499999999998</v>
      </c>
      <c r="D504" s="116">
        <v>482.5</v>
      </c>
      <c r="E504" s="116">
        <v>487</v>
      </c>
      <c r="F504" s="116">
        <v>970.55</v>
      </c>
      <c r="G504">
        <v>257174</v>
      </c>
      <c r="H504" s="116"/>
      <c r="I504" s="116"/>
      <c r="L504" s="170">
        <v>42744</v>
      </c>
      <c r="M504" s="116">
        <v>485.17500000000001</v>
      </c>
      <c r="N504" s="116">
        <v>488.47500000000002</v>
      </c>
      <c r="O504" s="116">
        <v>482.5</v>
      </c>
      <c r="P504" s="116">
        <v>486.125</v>
      </c>
      <c r="Q504" s="116">
        <v>970.35</v>
      </c>
      <c r="R504">
        <v>5272846</v>
      </c>
    </row>
    <row r="505" spans="1:18" x14ac:dyDescent="0.25">
      <c r="A505" s="170">
        <v>42745</v>
      </c>
      <c r="B505" s="116">
        <v>490.47500000000002</v>
      </c>
      <c r="C505" s="116">
        <v>485.3</v>
      </c>
      <c r="D505" s="116">
        <v>484</v>
      </c>
      <c r="E505" s="116">
        <v>488.125</v>
      </c>
      <c r="F505" s="116">
        <v>970.6</v>
      </c>
      <c r="G505">
        <v>457619</v>
      </c>
      <c r="H505" s="116"/>
      <c r="I505" s="116"/>
      <c r="L505" s="170">
        <v>42745</v>
      </c>
      <c r="M505" s="116">
        <v>485.27499999999998</v>
      </c>
      <c r="N505" s="116">
        <v>490.5</v>
      </c>
      <c r="O505" s="116">
        <v>483.97500000000002</v>
      </c>
      <c r="P505" s="116">
        <v>488.5</v>
      </c>
      <c r="Q505" s="116">
        <v>970.55</v>
      </c>
      <c r="R505">
        <v>5969927</v>
      </c>
    </row>
    <row r="506" spans="1:18" x14ac:dyDescent="0.25">
      <c r="A506" s="170">
        <v>42746</v>
      </c>
      <c r="B506" s="116">
        <v>489</v>
      </c>
      <c r="C506" s="116">
        <v>484.5</v>
      </c>
      <c r="D506" s="116">
        <v>482</v>
      </c>
      <c r="E506" s="116">
        <v>489</v>
      </c>
      <c r="F506" s="116">
        <v>969</v>
      </c>
      <c r="G506">
        <v>193257</v>
      </c>
      <c r="H506" s="116"/>
      <c r="I506" s="116"/>
      <c r="L506" s="170">
        <v>42746</v>
      </c>
      <c r="M506" s="116">
        <v>484.55</v>
      </c>
      <c r="N506" s="116">
        <v>489.22500000000002</v>
      </c>
      <c r="O506" s="116">
        <v>481.97500000000002</v>
      </c>
      <c r="P506" s="116">
        <v>487.1</v>
      </c>
      <c r="Q506" s="116">
        <v>969.1</v>
      </c>
      <c r="R506">
        <v>6120787</v>
      </c>
    </row>
    <row r="507" spans="1:18" x14ac:dyDescent="0.25">
      <c r="A507" s="170">
        <v>42747</v>
      </c>
      <c r="B507" s="116">
        <v>502.2</v>
      </c>
      <c r="C507" s="116">
        <v>500.02499999999998</v>
      </c>
      <c r="D507" s="116">
        <v>486.125</v>
      </c>
      <c r="E507" s="116">
        <v>486.125</v>
      </c>
      <c r="F507" s="116">
        <v>1000.05</v>
      </c>
      <c r="G507">
        <v>261761</v>
      </c>
      <c r="H507" s="116"/>
      <c r="I507" s="116"/>
      <c r="L507" s="170">
        <v>42747</v>
      </c>
      <c r="M507" s="116">
        <v>500.02499999999998</v>
      </c>
      <c r="N507" s="116">
        <v>502.2</v>
      </c>
      <c r="O507" s="116">
        <v>488.77499999999998</v>
      </c>
      <c r="P507" s="116">
        <v>488.77499999999998</v>
      </c>
      <c r="Q507" s="116">
        <v>1000.05</v>
      </c>
      <c r="R507">
        <v>5927870</v>
      </c>
    </row>
    <row r="508" spans="1:18" x14ac:dyDescent="0.25">
      <c r="A508" s="170">
        <v>42748</v>
      </c>
      <c r="B508" s="116">
        <v>522.5</v>
      </c>
      <c r="C508" s="116">
        <v>487.57499999999999</v>
      </c>
      <c r="D508" s="116">
        <v>482</v>
      </c>
      <c r="E508" s="116">
        <v>513.17499999999995</v>
      </c>
      <c r="F508" s="116">
        <v>975.15</v>
      </c>
      <c r="G508">
        <v>1266558</v>
      </c>
      <c r="H508" s="116"/>
      <c r="I508" s="116"/>
      <c r="L508" s="170">
        <v>42748</v>
      </c>
      <c r="M508" s="116">
        <v>487.9</v>
      </c>
      <c r="N508" s="116">
        <v>520</v>
      </c>
      <c r="O508" s="116">
        <v>481.35</v>
      </c>
      <c r="P508" s="116">
        <v>515</v>
      </c>
      <c r="Q508" s="116">
        <v>975.8</v>
      </c>
      <c r="R508">
        <v>15638123</v>
      </c>
    </row>
    <row r="509" spans="1:18" x14ac:dyDescent="0.25">
      <c r="A509" s="170">
        <v>42751</v>
      </c>
      <c r="B509" s="116">
        <v>482.75</v>
      </c>
      <c r="C509" s="116">
        <v>477.85</v>
      </c>
      <c r="D509" s="116">
        <v>476.25</v>
      </c>
      <c r="E509" s="116">
        <v>482.5</v>
      </c>
      <c r="F509" s="116">
        <v>955.7</v>
      </c>
      <c r="G509">
        <v>274905</v>
      </c>
      <c r="H509" s="116"/>
      <c r="I509" s="116"/>
      <c r="L509" s="170">
        <v>42751</v>
      </c>
      <c r="M509" s="116">
        <v>477.82499999999999</v>
      </c>
      <c r="N509" s="116">
        <v>482.72500000000002</v>
      </c>
      <c r="O509" s="116">
        <v>476.22500000000002</v>
      </c>
      <c r="P509" s="116">
        <v>482.5</v>
      </c>
      <c r="Q509" s="116">
        <v>955.65</v>
      </c>
      <c r="R509">
        <v>6175686</v>
      </c>
    </row>
    <row r="510" spans="1:18" x14ac:dyDescent="0.25">
      <c r="A510" s="170">
        <v>42752</v>
      </c>
      <c r="B510" s="116">
        <v>482.375</v>
      </c>
      <c r="C510" s="116">
        <v>478.02499999999998</v>
      </c>
      <c r="D510" s="116">
        <v>477</v>
      </c>
      <c r="E510" s="116">
        <v>479.9</v>
      </c>
      <c r="F510" s="116">
        <v>956.05</v>
      </c>
      <c r="G510">
        <v>211084</v>
      </c>
      <c r="H510" s="116"/>
      <c r="I510" s="116"/>
      <c r="L510" s="170">
        <v>42752</v>
      </c>
      <c r="M510" s="116">
        <v>477.7</v>
      </c>
      <c r="N510" s="116">
        <v>482</v>
      </c>
      <c r="O510" s="116">
        <v>476.2</v>
      </c>
      <c r="P510" s="116">
        <v>478.125</v>
      </c>
      <c r="Q510" s="116">
        <v>955.4</v>
      </c>
      <c r="R510">
        <v>2780047</v>
      </c>
    </row>
    <row r="511" spans="1:18" x14ac:dyDescent="0.25">
      <c r="A511" s="170">
        <v>42753</v>
      </c>
      <c r="B511" s="116">
        <v>480.5</v>
      </c>
      <c r="C511" s="116">
        <v>475.45</v>
      </c>
      <c r="D511" s="116">
        <v>475</v>
      </c>
      <c r="E511" s="116">
        <v>479</v>
      </c>
      <c r="F511" s="116">
        <v>950.9</v>
      </c>
      <c r="G511">
        <v>161026</v>
      </c>
      <c r="H511" s="116"/>
      <c r="I511" s="116"/>
      <c r="L511" s="170">
        <v>42753</v>
      </c>
      <c r="M511" s="116">
        <v>475.4</v>
      </c>
      <c r="N511" s="116">
        <v>480.5</v>
      </c>
      <c r="O511" s="116">
        <v>474.9</v>
      </c>
      <c r="P511" s="116">
        <v>479.05</v>
      </c>
      <c r="Q511" s="116">
        <v>950.8</v>
      </c>
      <c r="R511">
        <v>2976481</v>
      </c>
    </row>
    <row r="512" spans="1:18" x14ac:dyDescent="0.25">
      <c r="A512" s="170">
        <v>42754</v>
      </c>
      <c r="B512" s="116">
        <v>480.15</v>
      </c>
      <c r="C512" s="116">
        <v>479.27499999999998</v>
      </c>
      <c r="D512" s="116">
        <v>474.8</v>
      </c>
      <c r="E512" s="116">
        <v>475.5</v>
      </c>
      <c r="F512" s="116">
        <v>958.55</v>
      </c>
      <c r="G512">
        <v>284633</v>
      </c>
      <c r="H512" s="116"/>
      <c r="I512" s="116"/>
      <c r="L512" s="170">
        <v>42754</v>
      </c>
      <c r="M512" s="116">
        <v>479.05</v>
      </c>
      <c r="N512" s="116">
        <v>479.8</v>
      </c>
      <c r="O512" s="116">
        <v>474.05</v>
      </c>
      <c r="P512" s="116">
        <v>475.5</v>
      </c>
      <c r="Q512" s="116">
        <v>958.1</v>
      </c>
      <c r="R512">
        <v>4438240</v>
      </c>
    </row>
    <row r="513" spans="1:18" x14ac:dyDescent="0.25">
      <c r="A513" s="170">
        <v>42755</v>
      </c>
      <c r="B513" s="116">
        <v>477.5</v>
      </c>
      <c r="C513" s="116">
        <v>474.4</v>
      </c>
      <c r="D513" s="116">
        <v>473</v>
      </c>
      <c r="E513" s="116">
        <v>476.5</v>
      </c>
      <c r="F513" s="116">
        <v>948.8</v>
      </c>
      <c r="G513">
        <v>221048</v>
      </c>
      <c r="H513" s="116"/>
      <c r="I513" s="116"/>
      <c r="L513" s="170">
        <v>42755</v>
      </c>
      <c r="M513" s="116">
        <v>474.35</v>
      </c>
      <c r="N513" s="116">
        <v>476.57499999999999</v>
      </c>
      <c r="O513" s="116">
        <v>473</v>
      </c>
      <c r="P513" s="116">
        <v>475</v>
      </c>
      <c r="Q513" s="116">
        <v>948.7</v>
      </c>
      <c r="R513">
        <v>4562371</v>
      </c>
    </row>
    <row r="514" spans="1:18" x14ac:dyDescent="0.25">
      <c r="A514" s="170">
        <v>42758</v>
      </c>
      <c r="B514" s="116">
        <v>478.75</v>
      </c>
      <c r="C514" s="116">
        <v>475.875</v>
      </c>
      <c r="D514" s="116">
        <v>469.75</v>
      </c>
      <c r="E514" s="116">
        <v>473.5</v>
      </c>
      <c r="F514" s="116">
        <v>951.75</v>
      </c>
      <c r="G514">
        <v>177213</v>
      </c>
      <c r="H514" s="116"/>
      <c r="I514" s="116"/>
      <c r="L514" s="170">
        <v>42758</v>
      </c>
      <c r="M514" s="116">
        <v>476.35</v>
      </c>
      <c r="N514" s="116">
        <v>479</v>
      </c>
      <c r="O514" s="116">
        <v>470</v>
      </c>
      <c r="P514" s="116">
        <v>472.5</v>
      </c>
      <c r="Q514" s="116">
        <v>952.7</v>
      </c>
      <c r="R514">
        <v>3974290</v>
      </c>
    </row>
    <row r="515" spans="1:18" x14ac:dyDescent="0.25">
      <c r="A515" s="170">
        <v>42759</v>
      </c>
      <c r="B515" s="116">
        <v>476.5</v>
      </c>
      <c r="C515" s="116">
        <v>472.55</v>
      </c>
      <c r="D515" s="116">
        <v>470.07499999999999</v>
      </c>
      <c r="E515" s="116">
        <v>476.42500000000001</v>
      </c>
      <c r="F515" s="116">
        <v>945.1</v>
      </c>
      <c r="G515">
        <v>125628</v>
      </c>
      <c r="H515" s="116"/>
      <c r="I515" s="116"/>
      <c r="L515" s="170">
        <v>42759</v>
      </c>
      <c r="M515" s="116">
        <v>472.77499999999998</v>
      </c>
      <c r="N515" s="116">
        <v>475</v>
      </c>
      <c r="O515" s="116">
        <v>470.05</v>
      </c>
      <c r="P515" s="116">
        <v>475</v>
      </c>
      <c r="Q515" s="116">
        <v>945.55</v>
      </c>
      <c r="R515">
        <v>3413005</v>
      </c>
    </row>
    <row r="516" spans="1:18" x14ac:dyDescent="0.25">
      <c r="A516" s="170">
        <v>42760</v>
      </c>
      <c r="B516" s="116">
        <v>475</v>
      </c>
      <c r="C516" s="116">
        <v>468.32499999999999</v>
      </c>
      <c r="D516" s="116">
        <v>467.5</v>
      </c>
      <c r="E516" s="116">
        <v>474.375</v>
      </c>
      <c r="F516" s="116">
        <v>936.65</v>
      </c>
      <c r="G516">
        <v>222990</v>
      </c>
      <c r="H516" s="116"/>
      <c r="I516" s="116"/>
      <c r="L516" s="170">
        <v>42760</v>
      </c>
      <c r="M516" s="116">
        <v>468.3</v>
      </c>
      <c r="N516" s="116">
        <v>473.4</v>
      </c>
      <c r="O516" s="116">
        <v>467.4</v>
      </c>
      <c r="P516" s="116">
        <v>473.05</v>
      </c>
      <c r="Q516" s="116">
        <v>936.6</v>
      </c>
      <c r="R516">
        <v>4989045</v>
      </c>
    </row>
    <row r="517" spans="1:18" x14ac:dyDescent="0.25">
      <c r="A517" s="170">
        <v>42762</v>
      </c>
      <c r="B517" s="116">
        <v>474</v>
      </c>
      <c r="C517" s="116">
        <v>471.07499999999999</v>
      </c>
      <c r="D517" s="116">
        <v>463.2</v>
      </c>
      <c r="E517" s="116">
        <v>467.5</v>
      </c>
      <c r="F517" s="116">
        <v>942.15</v>
      </c>
      <c r="G517">
        <v>319411</v>
      </c>
      <c r="H517" s="116"/>
      <c r="I517" s="116"/>
      <c r="L517" s="170">
        <v>42762</v>
      </c>
      <c r="M517" s="116">
        <v>471.07499999999999</v>
      </c>
      <c r="N517" s="116">
        <v>473.77499999999998</v>
      </c>
      <c r="O517" s="116">
        <v>450.57499999999999</v>
      </c>
      <c r="P517" s="116">
        <v>466.92500000000001</v>
      </c>
      <c r="Q517" s="116">
        <v>942.15</v>
      </c>
      <c r="R517">
        <v>5317569</v>
      </c>
    </row>
    <row r="518" spans="1:18" x14ac:dyDescent="0.25">
      <c r="A518" s="170">
        <v>42765</v>
      </c>
      <c r="B518" s="116">
        <v>475.95</v>
      </c>
      <c r="C518" s="116">
        <v>474.17500000000001</v>
      </c>
      <c r="D518" s="116">
        <v>464.82499999999999</v>
      </c>
      <c r="E518" s="116">
        <v>469.35</v>
      </c>
      <c r="F518" s="116">
        <v>948.35</v>
      </c>
      <c r="G518">
        <v>492355</v>
      </c>
      <c r="H518" s="116"/>
      <c r="I518" s="116"/>
      <c r="L518" s="170">
        <v>42765</v>
      </c>
      <c r="M518" s="116">
        <v>474.67500000000001</v>
      </c>
      <c r="N518" s="116">
        <v>475.75</v>
      </c>
      <c r="O518" s="116">
        <v>464.42500000000001</v>
      </c>
      <c r="P518" s="116">
        <v>468.75</v>
      </c>
      <c r="Q518" s="116">
        <v>949.35</v>
      </c>
      <c r="R518">
        <v>5684604</v>
      </c>
    </row>
    <row r="519" spans="1:18" x14ac:dyDescent="0.25">
      <c r="A519" s="170">
        <v>42766</v>
      </c>
      <c r="B519" s="116">
        <v>473.5</v>
      </c>
      <c r="C519" s="116">
        <v>464.65</v>
      </c>
      <c r="D519" s="116">
        <v>452.5</v>
      </c>
      <c r="E519" s="116">
        <v>471.95</v>
      </c>
      <c r="F519" s="116">
        <v>929.3</v>
      </c>
      <c r="G519">
        <v>870855</v>
      </c>
      <c r="H519" s="116"/>
      <c r="I519" s="116"/>
      <c r="L519" s="170">
        <v>42766</v>
      </c>
      <c r="M519" s="116">
        <v>464.3</v>
      </c>
      <c r="N519" s="116">
        <v>470.75</v>
      </c>
      <c r="O519" s="116">
        <v>452.17500000000001</v>
      </c>
      <c r="P519" s="116">
        <v>470.75</v>
      </c>
      <c r="Q519" s="116">
        <v>928.6</v>
      </c>
      <c r="R519">
        <v>12034267</v>
      </c>
    </row>
    <row r="520" spans="1:18" x14ac:dyDescent="0.25">
      <c r="A520" s="170">
        <v>42767</v>
      </c>
      <c r="B520" s="116">
        <v>461.6</v>
      </c>
      <c r="C520" s="116">
        <v>458.27499999999998</v>
      </c>
      <c r="D520" s="116">
        <v>453</v>
      </c>
      <c r="E520" s="116">
        <v>460.95</v>
      </c>
      <c r="F520" s="116">
        <v>916.55</v>
      </c>
      <c r="G520">
        <v>334107</v>
      </c>
      <c r="H520" s="116"/>
      <c r="I520" s="116"/>
      <c r="L520" s="170">
        <v>42767</v>
      </c>
      <c r="M520" s="116">
        <v>458.375</v>
      </c>
      <c r="N520" s="116">
        <v>461.6</v>
      </c>
      <c r="O520" s="116">
        <v>452.57499999999999</v>
      </c>
      <c r="P520" s="116">
        <v>460.55</v>
      </c>
      <c r="Q520" s="116">
        <v>916.75</v>
      </c>
      <c r="R520">
        <v>5765891</v>
      </c>
    </row>
    <row r="521" spans="1:18" x14ac:dyDescent="0.25">
      <c r="A521" s="170">
        <v>42768</v>
      </c>
      <c r="B521" s="116">
        <v>472.6</v>
      </c>
      <c r="C521" s="116">
        <v>467.67500000000001</v>
      </c>
      <c r="D521" s="116">
        <v>455.5</v>
      </c>
      <c r="E521" s="116">
        <v>458</v>
      </c>
      <c r="F521" s="116">
        <v>935.35</v>
      </c>
      <c r="G521">
        <v>457353</v>
      </c>
      <c r="H521" s="116"/>
      <c r="I521" s="116"/>
      <c r="L521" s="170">
        <v>42768</v>
      </c>
      <c r="M521" s="116">
        <v>467.95</v>
      </c>
      <c r="N521" s="116">
        <v>472.5</v>
      </c>
      <c r="O521" s="116">
        <v>455.05</v>
      </c>
      <c r="P521" s="116">
        <v>458.5</v>
      </c>
      <c r="Q521" s="116">
        <v>935.9</v>
      </c>
      <c r="R521">
        <v>5914134</v>
      </c>
    </row>
    <row r="522" spans="1:18" x14ac:dyDescent="0.25">
      <c r="A522" s="170">
        <v>42769</v>
      </c>
      <c r="B522" s="116">
        <v>470.35</v>
      </c>
      <c r="C522" s="116">
        <v>467.47500000000002</v>
      </c>
      <c r="D522" s="116">
        <v>460.75</v>
      </c>
      <c r="E522" s="116">
        <v>467</v>
      </c>
      <c r="F522" s="116">
        <v>934.95</v>
      </c>
      <c r="G522">
        <v>338325</v>
      </c>
      <c r="H522" s="116"/>
      <c r="I522" s="116"/>
      <c r="L522" s="170">
        <v>42769</v>
      </c>
      <c r="M522" s="116">
        <v>468.05</v>
      </c>
      <c r="N522" s="116">
        <v>470.45</v>
      </c>
      <c r="O522" s="116">
        <v>460.52499999999998</v>
      </c>
      <c r="P522" s="116">
        <v>466.9</v>
      </c>
      <c r="Q522" s="116">
        <v>936.1</v>
      </c>
      <c r="R522">
        <v>4211979</v>
      </c>
    </row>
    <row r="523" spans="1:18" x14ac:dyDescent="0.25">
      <c r="A523" s="170">
        <v>42772</v>
      </c>
      <c r="B523" s="116">
        <v>470.82499999999999</v>
      </c>
      <c r="C523" s="116">
        <v>467.22500000000002</v>
      </c>
      <c r="D523" s="116">
        <v>465.5</v>
      </c>
      <c r="E523" s="116">
        <v>469.5</v>
      </c>
      <c r="F523" s="116">
        <v>934.45</v>
      </c>
      <c r="G523">
        <v>206625</v>
      </c>
      <c r="H523" s="116"/>
      <c r="I523" s="116"/>
      <c r="L523" s="170">
        <v>42772</v>
      </c>
      <c r="M523" s="116">
        <v>467.625</v>
      </c>
      <c r="N523" s="116">
        <v>471.875</v>
      </c>
      <c r="O523" s="116">
        <v>465.27499999999998</v>
      </c>
      <c r="P523" s="116">
        <v>468.625</v>
      </c>
      <c r="Q523" s="116">
        <v>935.25</v>
      </c>
      <c r="R523">
        <v>3363967</v>
      </c>
    </row>
    <row r="524" spans="1:18" x14ac:dyDescent="0.25">
      <c r="A524" s="170">
        <v>42773</v>
      </c>
      <c r="B524" s="116">
        <v>474.7</v>
      </c>
      <c r="C524" s="116">
        <v>472.375</v>
      </c>
      <c r="D524" s="116">
        <v>464.52499999999998</v>
      </c>
      <c r="E524" s="116">
        <v>467.45</v>
      </c>
      <c r="F524" s="116">
        <v>944.75</v>
      </c>
      <c r="G524">
        <v>254452</v>
      </c>
      <c r="H524" s="116"/>
      <c r="I524" s="116"/>
      <c r="L524" s="170">
        <v>42773</v>
      </c>
      <c r="M524" s="116">
        <v>471.125</v>
      </c>
      <c r="N524" s="116">
        <v>474.9</v>
      </c>
      <c r="O524" s="116">
        <v>464.27499999999998</v>
      </c>
      <c r="P524" s="116">
        <v>466.5</v>
      </c>
      <c r="Q524" s="116">
        <v>942.25</v>
      </c>
      <c r="R524">
        <v>4634001</v>
      </c>
    </row>
    <row r="525" spans="1:18" x14ac:dyDescent="0.25">
      <c r="A525" s="170">
        <v>42774</v>
      </c>
      <c r="B525" s="116">
        <v>471.97500000000002</v>
      </c>
      <c r="C525" s="116">
        <v>468.22500000000002</v>
      </c>
      <c r="D525" s="116">
        <v>466.17500000000001</v>
      </c>
      <c r="E525" s="116">
        <v>470</v>
      </c>
      <c r="F525" s="116">
        <v>936.45</v>
      </c>
      <c r="G525">
        <v>189339</v>
      </c>
      <c r="H525" s="116"/>
      <c r="I525" s="116"/>
      <c r="L525" s="170">
        <v>42774</v>
      </c>
      <c r="M525" s="116">
        <v>468.25</v>
      </c>
      <c r="N525" s="116">
        <v>472.05</v>
      </c>
      <c r="O525" s="116">
        <v>466.22500000000002</v>
      </c>
      <c r="P525" s="116">
        <v>468</v>
      </c>
      <c r="Q525" s="116">
        <v>936.5</v>
      </c>
      <c r="R525">
        <v>3159981</v>
      </c>
    </row>
    <row r="526" spans="1:18" x14ac:dyDescent="0.25">
      <c r="A526" s="170">
        <v>42775</v>
      </c>
      <c r="B526" s="116">
        <v>474.95</v>
      </c>
      <c r="C526" s="116">
        <v>474.05</v>
      </c>
      <c r="D526" s="116">
        <v>468</v>
      </c>
      <c r="E526" s="116">
        <v>468</v>
      </c>
      <c r="F526" s="116">
        <v>948.1</v>
      </c>
      <c r="G526">
        <v>330675</v>
      </c>
      <c r="H526" s="116"/>
      <c r="I526" s="116"/>
      <c r="L526" s="170">
        <v>42775</v>
      </c>
      <c r="M526" s="116">
        <v>473</v>
      </c>
      <c r="N526" s="116">
        <v>475</v>
      </c>
      <c r="O526" s="116">
        <v>468.27499999999998</v>
      </c>
      <c r="P526" s="116">
        <v>468.5</v>
      </c>
      <c r="Q526" s="116">
        <v>946</v>
      </c>
      <c r="R526">
        <v>5953633</v>
      </c>
    </row>
    <row r="527" spans="1:18" x14ac:dyDescent="0.25">
      <c r="A527" s="170">
        <v>42776</v>
      </c>
      <c r="B527" s="116">
        <v>485.9</v>
      </c>
      <c r="C527" s="116">
        <v>484.02499999999998</v>
      </c>
      <c r="D527" s="116">
        <v>472</v>
      </c>
      <c r="E527" s="116">
        <v>472.5</v>
      </c>
      <c r="F527" s="116">
        <v>968.05</v>
      </c>
      <c r="G527">
        <v>1185031</v>
      </c>
      <c r="H527" s="116"/>
      <c r="I527" s="116"/>
      <c r="L527" s="170">
        <v>42776</v>
      </c>
      <c r="M527" s="116">
        <v>484.15</v>
      </c>
      <c r="N527" s="116">
        <v>486</v>
      </c>
      <c r="O527" s="116">
        <v>471.65</v>
      </c>
      <c r="P527" s="116">
        <v>473.125</v>
      </c>
      <c r="Q527" s="116">
        <v>968.3</v>
      </c>
      <c r="R527">
        <v>6126226</v>
      </c>
    </row>
    <row r="528" spans="1:18" x14ac:dyDescent="0.25">
      <c r="A528" s="170">
        <v>42779</v>
      </c>
      <c r="B528" s="116">
        <v>492.5</v>
      </c>
      <c r="C528" s="116">
        <v>491.75</v>
      </c>
      <c r="D528" s="116">
        <v>481.55</v>
      </c>
      <c r="E528" s="116">
        <v>487.5</v>
      </c>
      <c r="F528" s="116">
        <v>983.5</v>
      </c>
      <c r="G528">
        <v>473230</v>
      </c>
      <c r="H528" s="116"/>
      <c r="I528" s="116"/>
      <c r="L528" s="170">
        <v>42779</v>
      </c>
      <c r="M528" s="116">
        <v>492.17500000000001</v>
      </c>
      <c r="N528" s="116">
        <v>493.05</v>
      </c>
      <c r="O528" s="116">
        <v>481.42500000000001</v>
      </c>
      <c r="P528" s="116">
        <v>486.42500000000001</v>
      </c>
      <c r="Q528" s="116">
        <v>984.35</v>
      </c>
      <c r="R528">
        <v>6862134</v>
      </c>
    </row>
    <row r="529" spans="1:18" x14ac:dyDescent="0.25">
      <c r="A529" s="170">
        <v>42780</v>
      </c>
      <c r="B529" s="116">
        <v>494.25</v>
      </c>
      <c r="C529" s="116">
        <v>493.65</v>
      </c>
      <c r="D529" s="116">
        <v>486.35</v>
      </c>
      <c r="E529" s="116">
        <v>491.27499999999998</v>
      </c>
      <c r="F529" s="116">
        <v>987.3</v>
      </c>
      <c r="G529">
        <v>503405</v>
      </c>
      <c r="H529" s="116"/>
      <c r="I529" s="116"/>
      <c r="L529" s="170">
        <v>42780</v>
      </c>
      <c r="M529" s="116">
        <v>493.85</v>
      </c>
      <c r="N529" s="116">
        <v>494.5</v>
      </c>
      <c r="O529" s="116">
        <v>486.17500000000001</v>
      </c>
      <c r="P529" s="116">
        <v>490</v>
      </c>
      <c r="Q529" s="116">
        <v>987.7</v>
      </c>
      <c r="R529">
        <v>4669409</v>
      </c>
    </row>
    <row r="530" spans="1:18" x14ac:dyDescent="0.25">
      <c r="A530" s="170">
        <v>42781</v>
      </c>
      <c r="B530" s="116">
        <v>499</v>
      </c>
      <c r="C530" s="116">
        <v>491.17500000000001</v>
      </c>
      <c r="D530" s="116">
        <v>484.95</v>
      </c>
      <c r="E530" s="116">
        <v>491.07499999999999</v>
      </c>
      <c r="F530" s="116">
        <v>982.35</v>
      </c>
      <c r="G530">
        <v>294759</v>
      </c>
      <c r="H530" s="116"/>
      <c r="I530" s="116"/>
      <c r="L530" s="170">
        <v>42781</v>
      </c>
      <c r="M530" s="116">
        <v>490.9</v>
      </c>
      <c r="N530" s="116">
        <v>499.4</v>
      </c>
      <c r="O530" s="116">
        <v>484.4</v>
      </c>
      <c r="P530" s="116">
        <v>494.6</v>
      </c>
      <c r="Q530" s="116">
        <v>981.8</v>
      </c>
      <c r="R530">
        <v>3629743</v>
      </c>
    </row>
    <row r="531" spans="1:18" x14ac:dyDescent="0.25">
      <c r="A531" s="170">
        <v>42782</v>
      </c>
      <c r="B531" s="116">
        <v>507.4</v>
      </c>
      <c r="C531" s="116">
        <v>505.95</v>
      </c>
      <c r="D531" s="116">
        <v>495</v>
      </c>
      <c r="E531" s="116">
        <v>496</v>
      </c>
      <c r="F531" s="116">
        <v>1011.9</v>
      </c>
      <c r="G531">
        <v>374068</v>
      </c>
      <c r="H531" s="116"/>
      <c r="I531" s="116"/>
      <c r="L531" s="170">
        <v>42782</v>
      </c>
      <c r="M531" s="116">
        <v>506.05</v>
      </c>
      <c r="N531" s="116">
        <v>506.95</v>
      </c>
      <c r="O531" s="116">
        <v>495.02499999999998</v>
      </c>
      <c r="P531" s="116">
        <v>495.5</v>
      </c>
      <c r="Q531" s="116">
        <v>1012.1</v>
      </c>
      <c r="R531">
        <v>6407929</v>
      </c>
    </row>
    <row r="532" spans="1:18" x14ac:dyDescent="0.25">
      <c r="A532" s="170">
        <v>42783</v>
      </c>
      <c r="B532" s="116">
        <v>506.02499999999998</v>
      </c>
      <c r="C532" s="116">
        <v>499.85</v>
      </c>
      <c r="D532" s="116">
        <v>496.7</v>
      </c>
      <c r="E532" s="116">
        <v>505.95</v>
      </c>
      <c r="F532" s="116">
        <v>999.7</v>
      </c>
      <c r="G532">
        <v>157562</v>
      </c>
      <c r="H532" s="116"/>
      <c r="I532" s="116"/>
      <c r="L532" s="170">
        <v>42783</v>
      </c>
      <c r="M532" s="116">
        <v>500.05</v>
      </c>
      <c r="N532" s="116">
        <v>506.875</v>
      </c>
      <c r="O532" s="116">
        <v>496.35</v>
      </c>
      <c r="P532" s="116">
        <v>506.875</v>
      </c>
      <c r="Q532" s="116">
        <v>1000.1</v>
      </c>
      <c r="R532">
        <v>2425604</v>
      </c>
    </row>
    <row r="533" spans="1:18" x14ac:dyDescent="0.25">
      <c r="A533" s="170">
        <v>42786</v>
      </c>
      <c r="B533" s="116">
        <v>514.04999999999995</v>
      </c>
      <c r="C533" s="116">
        <v>505.85</v>
      </c>
      <c r="D533" s="116">
        <v>496.75</v>
      </c>
      <c r="E533" s="116">
        <v>499.45</v>
      </c>
      <c r="F533" s="116">
        <v>1011.7</v>
      </c>
      <c r="G533">
        <v>134042</v>
      </c>
      <c r="H533" s="116"/>
      <c r="I533" s="116"/>
      <c r="L533" s="170">
        <v>42786</v>
      </c>
      <c r="M533" s="116">
        <v>505.125</v>
      </c>
      <c r="N533" s="116">
        <v>515.5</v>
      </c>
      <c r="O533" s="116">
        <v>496.75</v>
      </c>
      <c r="P533" s="116">
        <v>498.25</v>
      </c>
      <c r="Q533" s="116">
        <v>1010.25</v>
      </c>
      <c r="R533">
        <v>2325331</v>
      </c>
    </row>
    <row r="534" spans="1:18" x14ac:dyDescent="0.25">
      <c r="A534" s="170">
        <v>42787</v>
      </c>
      <c r="B534" s="116">
        <v>512.4</v>
      </c>
      <c r="C534" s="116">
        <v>506.47500000000002</v>
      </c>
      <c r="D534" s="116">
        <v>500.05</v>
      </c>
      <c r="E534" s="116">
        <v>510</v>
      </c>
      <c r="F534" s="116">
        <v>1012.95</v>
      </c>
      <c r="G534">
        <v>263663</v>
      </c>
      <c r="H534" s="116"/>
      <c r="I534" s="116"/>
      <c r="L534" s="170">
        <v>42787</v>
      </c>
      <c r="M534" s="116">
        <v>506.8</v>
      </c>
      <c r="N534" s="116">
        <v>512.25</v>
      </c>
      <c r="O534" s="116">
        <v>500.02499999999998</v>
      </c>
      <c r="P534" s="116">
        <v>511.05</v>
      </c>
      <c r="Q534" s="116">
        <v>1013.6</v>
      </c>
      <c r="R534">
        <v>3806998</v>
      </c>
    </row>
    <row r="535" spans="1:18" x14ac:dyDescent="0.25">
      <c r="A535" s="170">
        <v>42788</v>
      </c>
      <c r="B535" s="116">
        <v>507.5</v>
      </c>
      <c r="C535" s="116">
        <v>495.92500000000001</v>
      </c>
      <c r="D535" s="116">
        <v>494.125</v>
      </c>
      <c r="E535" s="116">
        <v>506.35</v>
      </c>
      <c r="F535" s="116">
        <v>991.85</v>
      </c>
      <c r="G535">
        <v>164123</v>
      </c>
      <c r="H535" s="116"/>
      <c r="I535" s="116"/>
      <c r="L535" s="170">
        <v>42788</v>
      </c>
      <c r="M535" s="116">
        <v>495.07499999999999</v>
      </c>
      <c r="N535" s="116">
        <v>507.5</v>
      </c>
      <c r="O535" s="116">
        <v>493.2</v>
      </c>
      <c r="P535" s="116">
        <v>507.5</v>
      </c>
      <c r="Q535" s="116">
        <v>990.15</v>
      </c>
      <c r="R535">
        <v>3303919</v>
      </c>
    </row>
    <row r="536" spans="1:18" x14ac:dyDescent="0.25">
      <c r="A536" s="170">
        <v>42789</v>
      </c>
      <c r="B536" s="116">
        <v>509.95</v>
      </c>
      <c r="C536" s="116">
        <v>504.52499999999998</v>
      </c>
      <c r="D536" s="116">
        <v>495.5</v>
      </c>
      <c r="E536" s="116">
        <v>495.5</v>
      </c>
      <c r="F536" s="116">
        <v>1009.05</v>
      </c>
      <c r="G536">
        <v>201473</v>
      </c>
      <c r="H536" s="116"/>
      <c r="I536" s="116"/>
      <c r="L536" s="170">
        <v>42789</v>
      </c>
      <c r="M536" s="116">
        <v>504.42500000000001</v>
      </c>
      <c r="N536" s="116">
        <v>510</v>
      </c>
      <c r="O536" s="116">
        <v>496.67500000000001</v>
      </c>
      <c r="P536" s="116">
        <v>499.45</v>
      </c>
      <c r="Q536" s="116">
        <v>1008.85</v>
      </c>
      <c r="R536">
        <v>4771328</v>
      </c>
    </row>
    <row r="537" spans="1:18" x14ac:dyDescent="0.25">
      <c r="A537" s="170">
        <v>42793</v>
      </c>
      <c r="B537" s="116">
        <v>511.22500000000002</v>
      </c>
      <c r="C537" s="116">
        <v>506.375</v>
      </c>
      <c r="D537" s="116">
        <v>502.75</v>
      </c>
      <c r="E537" s="116">
        <v>502.75</v>
      </c>
      <c r="F537" s="116">
        <v>1012.75</v>
      </c>
      <c r="G537">
        <v>153815</v>
      </c>
      <c r="H537" s="116"/>
      <c r="I537" s="116"/>
      <c r="L537" s="170">
        <v>42793</v>
      </c>
      <c r="M537" s="116">
        <v>506.2</v>
      </c>
      <c r="N537" s="116">
        <v>511.5</v>
      </c>
      <c r="O537" s="116">
        <v>503.47500000000002</v>
      </c>
      <c r="P537" s="116">
        <v>503.65</v>
      </c>
      <c r="Q537" s="116">
        <v>1012.4</v>
      </c>
      <c r="R537">
        <v>2664348</v>
      </c>
    </row>
    <row r="538" spans="1:18" x14ac:dyDescent="0.25">
      <c r="A538" s="170">
        <v>42794</v>
      </c>
      <c r="B538" s="116">
        <v>510.92500000000001</v>
      </c>
      <c r="C538" s="116">
        <v>506.15</v>
      </c>
      <c r="D538" s="116">
        <v>504.5</v>
      </c>
      <c r="E538" s="116">
        <v>505.5</v>
      </c>
      <c r="F538" s="116">
        <v>1012.3</v>
      </c>
      <c r="G538">
        <v>80872</v>
      </c>
      <c r="H538" s="116"/>
      <c r="I538" s="116"/>
      <c r="L538" s="170">
        <v>42794</v>
      </c>
      <c r="M538" s="116">
        <v>506.2</v>
      </c>
      <c r="N538" s="116">
        <v>511.35</v>
      </c>
      <c r="O538" s="116">
        <v>504.625</v>
      </c>
      <c r="P538" s="116">
        <v>505.92500000000001</v>
      </c>
      <c r="Q538" s="116">
        <v>1012.4</v>
      </c>
      <c r="R538">
        <v>2970066</v>
      </c>
    </row>
    <row r="539" spans="1:18" x14ac:dyDescent="0.25">
      <c r="A539" s="170">
        <v>42795</v>
      </c>
      <c r="B539" s="116">
        <v>513.1</v>
      </c>
      <c r="C539" s="116">
        <v>512.5</v>
      </c>
      <c r="D539" s="116">
        <v>505.9</v>
      </c>
      <c r="E539" s="116">
        <v>507.3</v>
      </c>
      <c r="F539" s="116">
        <v>1025</v>
      </c>
      <c r="G539">
        <v>152690</v>
      </c>
      <c r="H539" s="116"/>
      <c r="I539" s="116"/>
      <c r="L539" s="170">
        <v>42795</v>
      </c>
      <c r="M539" s="116">
        <v>512.57500000000005</v>
      </c>
      <c r="N539" s="116">
        <v>513.5</v>
      </c>
      <c r="O539" s="116">
        <v>505.05</v>
      </c>
      <c r="P539" s="116">
        <v>506</v>
      </c>
      <c r="Q539" s="116">
        <v>1025.1500000000001</v>
      </c>
      <c r="R539">
        <v>2141224</v>
      </c>
    </row>
    <row r="540" spans="1:18" x14ac:dyDescent="0.25">
      <c r="A540" s="170">
        <v>42796</v>
      </c>
      <c r="B540" s="116">
        <v>513.95000000000005</v>
      </c>
      <c r="C540" s="116">
        <v>510.32499999999999</v>
      </c>
      <c r="D540" s="116">
        <v>508.05</v>
      </c>
      <c r="E540" s="116">
        <v>512.5</v>
      </c>
      <c r="F540" s="116">
        <v>1020.65</v>
      </c>
      <c r="G540">
        <v>96218</v>
      </c>
      <c r="H540" s="116"/>
      <c r="I540" s="116"/>
      <c r="L540" s="170">
        <v>42796</v>
      </c>
      <c r="M540" s="116">
        <v>511.65</v>
      </c>
      <c r="N540" s="116">
        <v>514</v>
      </c>
      <c r="O540" s="116">
        <v>508.25</v>
      </c>
      <c r="P540" s="116">
        <v>512.20000000000005</v>
      </c>
      <c r="Q540" s="116">
        <v>1023.3</v>
      </c>
      <c r="R540">
        <v>1474249</v>
      </c>
    </row>
    <row r="541" spans="1:18" x14ac:dyDescent="0.25">
      <c r="A541" s="170">
        <v>42797</v>
      </c>
      <c r="B541" s="116">
        <v>517.125</v>
      </c>
      <c r="C541" s="116">
        <v>515.57500000000005</v>
      </c>
      <c r="D541" s="116">
        <v>500.25</v>
      </c>
      <c r="E541" s="116">
        <v>505.05</v>
      </c>
      <c r="F541" s="116">
        <v>1031.1500000000001</v>
      </c>
      <c r="G541">
        <v>186408</v>
      </c>
      <c r="H541" s="116"/>
      <c r="I541" s="116"/>
      <c r="L541" s="170">
        <v>42797</v>
      </c>
      <c r="M541" s="116">
        <v>515.6</v>
      </c>
      <c r="N541" s="116">
        <v>517.15</v>
      </c>
      <c r="O541" s="116">
        <v>500.2</v>
      </c>
      <c r="P541" s="116">
        <v>505.125</v>
      </c>
      <c r="Q541" s="116">
        <v>1031.2</v>
      </c>
      <c r="R541">
        <v>2700806</v>
      </c>
    </row>
    <row r="542" spans="1:18" x14ac:dyDescent="0.25">
      <c r="A542" s="170">
        <v>42800</v>
      </c>
      <c r="B542" s="116">
        <v>517.95000000000005</v>
      </c>
      <c r="C542" s="116">
        <v>516.92499999999995</v>
      </c>
      <c r="D542" s="116">
        <v>509</v>
      </c>
      <c r="E542" s="116">
        <v>509.9</v>
      </c>
      <c r="F542" s="116">
        <v>1033.8499999999999</v>
      </c>
      <c r="G542">
        <v>155040</v>
      </c>
      <c r="H542" s="116"/>
      <c r="I542" s="116"/>
      <c r="L542" s="170">
        <v>42800</v>
      </c>
      <c r="M542" s="116">
        <v>516.95000000000005</v>
      </c>
      <c r="N542" s="116">
        <v>517.97500000000002</v>
      </c>
      <c r="O542" s="116">
        <v>509.85</v>
      </c>
      <c r="P542" s="116">
        <v>510.02499999999998</v>
      </c>
      <c r="Q542" s="116">
        <v>1033.9000000000001</v>
      </c>
      <c r="R542">
        <v>2643193</v>
      </c>
    </row>
    <row r="543" spans="1:18" x14ac:dyDescent="0.25">
      <c r="A543" s="170">
        <v>42801</v>
      </c>
      <c r="B543" s="116">
        <v>512.75</v>
      </c>
      <c r="C543" s="116">
        <v>509.85</v>
      </c>
      <c r="D543" s="116">
        <v>507.5</v>
      </c>
      <c r="E543" s="116">
        <v>512</v>
      </c>
      <c r="F543" s="116">
        <v>1019.7</v>
      </c>
      <c r="G543">
        <v>119466</v>
      </c>
      <c r="H543" s="116"/>
      <c r="I543" s="116"/>
      <c r="L543" s="170">
        <v>42801</v>
      </c>
      <c r="M543" s="116">
        <v>509.9</v>
      </c>
      <c r="N543" s="116">
        <v>512.9</v>
      </c>
      <c r="O543" s="116">
        <v>507.35</v>
      </c>
      <c r="P543" s="116">
        <v>511</v>
      </c>
      <c r="Q543" s="116">
        <v>1019.8</v>
      </c>
      <c r="R543">
        <v>2322248</v>
      </c>
    </row>
    <row r="544" spans="1:18" x14ac:dyDescent="0.25">
      <c r="A544" s="170">
        <v>42802</v>
      </c>
      <c r="B544" s="116">
        <v>510</v>
      </c>
      <c r="C544" s="116">
        <v>503.625</v>
      </c>
      <c r="D544" s="116">
        <v>502.125</v>
      </c>
      <c r="E544" s="116">
        <v>510</v>
      </c>
      <c r="F544" s="116">
        <v>1007.25</v>
      </c>
      <c r="G544">
        <v>112606</v>
      </c>
      <c r="H544" s="116"/>
      <c r="I544" s="116"/>
      <c r="L544" s="170">
        <v>42802</v>
      </c>
      <c r="M544" s="116">
        <v>503.9</v>
      </c>
      <c r="N544" s="116">
        <v>508.45</v>
      </c>
      <c r="O544" s="116">
        <v>502.22500000000002</v>
      </c>
      <c r="P544" s="116">
        <v>508.45</v>
      </c>
      <c r="Q544" s="116">
        <v>1007.8</v>
      </c>
      <c r="R544">
        <v>3089588</v>
      </c>
    </row>
    <row r="545" spans="1:18" x14ac:dyDescent="0.25">
      <c r="A545" s="170">
        <v>42803</v>
      </c>
      <c r="B545" s="116">
        <v>506.5</v>
      </c>
      <c r="C545" s="116">
        <v>505.8</v>
      </c>
      <c r="D545" s="116">
        <v>499.5</v>
      </c>
      <c r="E545" s="116">
        <v>503.625</v>
      </c>
      <c r="F545" s="116">
        <v>1011.6</v>
      </c>
      <c r="G545">
        <v>92280</v>
      </c>
      <c r="H545" s="116"/>
      <c r="I545" s="116"/>
      <c r="L545" s="170">
        <v>42803</v>
      </c>
      <c r="M545" s="116">
        <v>505.77499999999998</v>
      </c>
      <c r="N545" s="116">
        <v>506.5</v>
      </c>
      <c r="O545" s="116">
        <v>499.5</v>
      </c>
      <c r="P545" s="116">
        <v>503.9</v>
      </c>
      <c r="Q545" s="116">
        <v>1011.55</v>
      </c>
      <c r="R545">
        <v>1740315</v>
      </c>
    </row>
    <row r="546" spans="1:18" x14ac:dyDescent="0.25">
      <c r="A546" s="170">
        <v>42804</v>
      </c>
      <c r="B546" s="116">
        <v>513.75</v>
      </c>
      <c r="C546" s="116">
        <v>510.05</v>
      </c>
      <c r="D546" s="116">
        <v>505.85</v>
      </c>
      <c r="E546" s="116">
        <v>505.85</v>
      </c>
      <c r="F546" s="116">
        <v>1020.1</v>
      </c>
      <c r="G546">
        <v>169675</v>
      </c>
      <c r="H546" s="116"/>
      <c r="I546" s="116"/>
      <c r="L546" s="170">
        <v>42804</v>
      </c>
      <c r="M546" s="116">
        <v>510.92500000000001</v>
      </c>
      <c r="N546" s="116">
        <v>513.82500000000005</v>
      </c>
      <c r="O546" s="116">
        <v>506.7</v>
      </c>
      <c r="P546" s="116">
        <v>507.5</v>
      </c>
      <c r="Q546" s="116">
        <v>1021.85</v>
      </c>
      <c r="R546">
        <v>2275162</v>
      </c>
    </row>
    <row r="547" spans="1:18" x14ac:dyDescent="0.25">
      <c r="A547" s="170">
        <v>42808</v>
      </c>
      <c r="B547" s="116">
        <v>520.875</v>
      </c>
      <c r="C547" s="116">
        <v>517.5</v>
      </c>
      <c r="D547" s="116">
        <v>511.82499999999999</v>
      </c>
      <c r="E547" s="116">
        <v>516.25</v>
      </c>
      <c r="F547" s="116">
        <v>1035</v>
      </c>
      <c r="G547">
        <v>169244</v>
      </c>
      <c r="H547" s="116"/>
      <c r="I547" s="116"/>
      <c r="L547" s="170">
        <v>42808</v>
      </c>
      <c r="M547" s="116">
        <v>517.4</v>
      </c>
      <c r="N547" s="116">
        <v>520.95000000000005</v>
      </c>
      <c r="O547" s="116">
        <v>511.4</v>
      </c>
      <c r="P547" s="116">
        <v>511.4</v>
      </c>
      <c r="Q547" s="116">
        <v>1034.8</v>
      </c>
      <c r="R547">
        <v>3939198</v>
      </c>
    </row>
    <row r="548" spans="1:18" x14ac:dyDescent="0.25">
      <c r="A548" s="170">
        <v>42809</v>
      </c>
      <c r="B548" s="116">
        <v>517.5</v>
      </c>
      <c r="C548" s="116">
        <v>506.05</v>
      </c>
      <c r="D548" s="116">
        <v>504</v>
      </c>
      <c r="E548" s="116">
        <v>517.5</v>
      </c>
      <c r="F548" s="116">
        <v>1012.1</v>
      </c>
      <c r="G548">
        <v>111851</v>
      </c>
      <c r="H548" s="116"/>
      <c r="I548" s="116"/>
      <c r="L548" s="170">
        <v>42809</v>
      </c>
      <c r="M548" s="116">
        <v>505.97500000000002</v>
      </c>
      <c r="N548" s="116">
        <v>517.45000000000005</v>
      </c>
      <c r="O548" s="116">
        <v>503.75</v>
      </c>
      <c r="P548" s="116">
        <v>517.45000000000005</v>
      </c>
      <c r="Q548" s="116">
        <v>1011.95</v>
      </c>
      <c r="R548">
        <v>3186989</v>
      </c>
    </row>
    <row r="549" spans="1:18" x14ac:dyDescent="0.25">
      <c r="A549" s="170">
        <v>42810</v>
      </c>
      <c r="B549" s="116">
        <v>516</v>
      </c>
      <c r="C549" s="116">
        <v>514.25</v>
      </c>
      <c r="D549" s="116">
        <v>506</v>
      </c>
      <c r="E549" s="116">
        <v>506</v>
      </c>
      <c r="F549" s="116">
        <v>1028.5</v>
      </c>
      <c r="G549">
        <v>103395</v>
      </c>
      <c r="H549" s="116"/>
      <c r="I549" s="116"/>
      <c r="L549" s="170">
        <v>42810</v>
      </c>
      <c r="M549" s="116">
        <v>514.42499999999995</v>
      </c>
      <c r="N549" s="116">
        <v>515.85</v>
      </c>
      <c r="O549" s="116">
        <v>506.65</v>
      </c>
      <c r="P549" s="116">
        <v>506.65</v>
      </c>
      <c r="Q549" s="116">
        <v>1028.8499999999999</v>
      </c>
      <c r="R549">
        <v>3351478</v>
      </c>
    </row>
    <row r="550" spans="1:18" x14ac:dyDescent="0.25">
      <c r="A550" s="170">
        <v>42811</v>
      </c>
      <c r="B550" s="116">
        <v>521.25</v>
      </c>
      <c r="C550" s="116">
        <v>520</v>
      </c>
      <c r="D550" s="116">
        <v>510.22500000000002</v>
      </c>
      <c r="E550" s="116">
        <v>517.5</v>
      </c>
      <c r="F550" s="116">
        <v>1040</v>
      </c>
      <c r="G550">
        <v>111037</v>
      </c>
      <c r="H550" s="116"/>
      <c r="I550" s="116"/>
      <c r="L550" s="170">
        <v>42811</v>
      </c>
      <c r="M550" s="116">
        <v>520.15</v>
      </c>
      <c r="N550" s="116">
        <v>521.45000000000005</v>
      </c>
      <c r="O550" s="116">
        <v>509.625</v>
      </c>
      <c r="P550" s="116">
        <v>517.70000000000005</v>
      </c>
      <c r="Q550" s="116">
        <v>1040.3</v>
      </c>
      <c r="R550">
        <v>4753923</v>
      </c>
    </row>
    <row r="551" spans="1:18" x14ac:dyDescent="0.25">
      <c r="A551" s="170">
        <v>42814</v>
      </c>
      <c r="B551" s="116">
        <v>514.5</v>
      </c>
      <c r="C551" s="116">
        <v>510.3</v>
      </c>
      <c r="D551" s="116">
        <v>507.95</v>
      </c>
      <c r="E551" s="116">
        <v>514.5</v>
      </c>
      <c r="F551" s="116">
        <v>1020.6</v>
      </c>
      <c r="G551">
        <v>137062</v>
      </c>
      <c r="H551" s="116"/>
      <c r="I551" s="116"/>
      <c r="L551" s="170">
        <v>42814</v>
      </c>
      <c r="M551" s="116">
        <v>510.75</v>
      </c>
      <c r="N551" s="116">
        <v>513.27499999999998</v>
      </c>
      <c r="O551" s="116">
        <v>507.55</v>
      </c>
      <c r="P551" s="116">
        <v>513.27499999999998</v>
      </c>
      <c r="Q551" s="116">
        <v>1021.5</v>
      </c>
      <c r="R551">
        <v>2213694</v>
      </c>
    </row>
    <row r="552" spans="1:18" x14ac:dyDescent="0.25">
      <c r="A552" s="170">
        <v>42815</v>
      </c>
      <c r="B552" s="116">
        <v>517.4</v>
      </c>
      <c r="C552" s="116">
        <v>516</v>
      </c>
      <c r="D552" s="116">
        <v>509.45</v>
      </c>
      <c r="E552" s="116">
        <v>510.5</v>
      </c>
      <c r="F552" s="116">
        <v>1032</v>
      </c>
      <c r="G552">
        <v>101168</v>
      </c>
      <c r="H552" s="116"/>
      <c r="I552" s="116"/>
      <c r="L552" s="170">
        <v>42815</v>
      </c>
      <c r="M552" s="116">
        <v>516.42499999999995</v>
      </c>
      <c r="N552" s="116">
        <v>517.47500000000002</v>
      </c>
      <c r="O552" s="116">
        <v>509.4</v>
      </c>
      <c r="P552" s="116">
        <v>510.45</v>
      </c>
      <c r="Q552" s="116">
        <v>1032.8499999999999</v>
      </c>
      <c r="R552">
        <v>2434792</v>
      </c>
    </row>
    <row r="553" spans="1:18" x14ac:dyDescent="0.25">
      <c r="A553" s="170">
        <v>42816</v>
      </c>
      <c r="B553" s="116">
        <v>519.5</v>
      </c>
      <c r="C553" s="116">
        <v>513.9</v>
      </c>
      <c r="D553" s="116">
        <v>510</v>
      </c>
      <c r="E553" s="116">
        <v>510</v>
      </c>
      <c r="F553" s="116">
        <v>1027.8</v>
      </c>
      <c r="G553">
        <v>116068</v>
      </c>
      <c r="H553" s="116"/>
      <c r="I553" s="116"/>
      <c r="L553" s="170">
        <v>42816</v>
      </c>
      <c r="M553" s="116">
        <v>513.85</v>
      </c>
      <c r="N553" s="116">
        <v>519.97500000000002</v>
      </c>
      <c r="O553" s="116">
        <v>510.2</v>
      </c>
      <c r="P553" s="116">
        <v>511.22500000000002</v>
      </c>
      <c r="Q553" s="116">
        <v>1027.7</v>
      </c>
      <c r="R553">
        <v>1995426</v>
      </c>
    </row>
    <row r="554" spans="1:18" x14ac:dyDescent="0.25">
      <c r="A554" s="170">
        <v>42817</v>
      </c>
      <c r="B554" s="116">
        <v>521.27499999999998</v>
      </c>
      <c r="C554" s="116">
        <v>520.29999999999995</v>
      </c>
      <c r="D554" s="116">
        <v>513.27499999999998</v>
      </c>
      <c r="E554" s="116">
        <v>514</v>
      </c>
      <c r="F554" s="116">
        <v>1040.5999999999999</v>
      </c>
      <c r="G554">
        <v>107188</v>
      </c>
      <c r="H554" s="116"/>
      <c r="I554" s="116"/>
      <c r="L554" s="170">
        <v>42817</v>
      </c>
      <c r="M554" s="116">
        <v>520.22500000000002</v>
      </c>
      <c r="N554" s="116">
        <v>521.5</v>
      </c>
      <c r="O554" s="116">
        <v>513.29999999999995</v>
      </c>
      <c r="P554" s="116">
        <v>514.125</v>
      </c>
      <c r="Q554" s="116">
        <v>1040.45</v>
      </c>
      <c r="R554">
        <v>2250831</v>
      </c>
    </row>
    <row r="555" spans="1:18" x14ac:dyDescent="0.25">
      <c r="A555" s="170">
        <v>42818</v>
      </c>
      <c r="B555" s="116">
        <v>521.97500000000002</v>
      </c>
      <c r="C555" s="116">
        <v>515.9</v>
      </c>
      <c r="D555" s="116">
        <v>513</v>
      </c>
      <c r="E555" s="116">
        <v>520.20000000000005</v>
      </c>
      <c r="F555" s="116">
        <v>1031.8</v>
      </c>
      <c r="G555">
        <v>138729</v>
      </c>
      <c r="H555" s="116"/>
      <c r="I555" s="116"/>
      <c r="L555" s="170">
        <v>42818</v>
      </c>
      <c r="M555" s="116">
        <v>515.70000000000005</v>
      </c>
      <c r="N555" s="116">
        <v>522</v>
      </c>
      <c r="O555" s="116">
        <v>513.85</v>
      </c>
      <c r="P555" s="116">
        <v>519</v>
      </c>
      <c r="Q555" s="116">
        <v>1031.4000000000001</v>
      </c>
      <c r="R555">
        <v>2441948</v>
      </c>
    </row>
    <row r="556" spans="1:18" x14ac:dyDescent="0.25">
      <c r="A556" s="170">
        <v>42821</v>
      </c>
      <c r="B556" s="116">
        <v>520.97500000000002</v>
      </c>
      <c r="C556" s="116">
        <v>514.4</v>
      </c>
      <c r="D556" s="116">
        <v>512.15</v>
      </c>
      <c r="E556" s="116">
        <v>516.5</v>
      </c>
      <c r="F556" s="116">
        <v>1028.8</v>
      </c>
      <c r="G556">
        <v>250667</v>
      </c>
      <c r="H556" s="116"/>
      <c r="I556" s="116"/>
      <c r="L556" s="170">
        <v>42821</v>
      </c>
      <c r="M556" s="116">
        <v>514.42499999999995</v>
      </c>
      <c r="N556" s="116">
        <v>520.92499999999995</v>
      </c>
      <c r="O556" s="116">
        <v>512.25</v>
      </c>
      <c r="P556" s="116">
        <v>513.6</v>
      </c>
      <c r="Q556" s="116">
        <v>1028.8499999999999</v>
      </c>
      <c r="R556">
        <v>3842412</v>
      </c>
    </row>
    <row r="557" spans="1:18" x14ac:dyDescent="0.25">
      <c r="A557" s="170">
        <v>42822</v>
      </c>
      <c r="B557" s="116">
        <v>519.375</v>
      </c>
      <c r="C557" s="116">
        <v>517.54999999999995</v>
      </c>
      <c r="D557" s="116">
        <v>513.125</v>
      </c>
      <c r="E557" s="116">
        <v>513.125</v>
      </c>
      <c r="F557" s="116">
        <v>1035.0999999999999</v>
      </c>
      <c r="G557">
        <v>71188</v>
      </c>
      <c r="H557" s="116"/>
      <c r="I557" s="116"/>
      <c r="L557" s="170">
        <v>42822</v>
      </c>
      <c r="M557" s="116">
        <v>517.57500000000005</v>
      </c>
      <c r="N557" s="116">
        <v>519.5</v>
      </c>
      <c r="O557" s="116">
        <v>515.02499999999998</v>
      </c>
      <c r="P557" s="116">
        <v>515.75</v>
      </c>
      <c r="Q557" s="116">
        <v>1035.1500000000001</v>
      </c>
      <c r="R557">
        <v>2398398</v>
      </c>
    </row>
    <row r="558" spans="1:18" x14ac:dyDescent="0.25">
      <c r="A558" s="170">
        <v>42823</v>
      </c>
      <c r="B558" s="116">
        <v>520.25</v>
      </c>
      <c r="C558" s="116">
        <v>515.67499999999995</v>
      </c>
      <c r="D558" s="116">
        <v>512.92499999999995</v>
      </c>
      <c r="E558" s="116">
        <v>517.5</v>
      </c>
      <c r="F558" s="116">
        <v>1031.3499999999999</v>
      </c>
      <c r="G558">
        <v>341718</v>
      </c>
      <c r="H558" s="116"/>
      <c r="I558" s="116"/>
      <c r="L558" s="170">
        <v>42823</v>
      </c>
      <c r="M558" s="116">
        <v>515.92499999999995</v>
      </c>
      <c r="N558" s="116">
        <v>520.75</v>
      </c>
      <c r="O558" s="116">
        <v>512.92499999999995</v>
      </c>
      <c r="P558" s="116">
        <v>517.15</v>
      </c>
      <c r="Q558" s="116">
        <v>1031.8499999999999</v>
      </c>
      <c r="R558">
        <v>3490593</v>
      </c>
    </row>
    <row r="559" spans="1:18" x14ac:dyDescent="0.25">
      <c r="A559" s="170">
        <v>42824</v>
      </c>
      <c r="B559" s="116">
        <v>517.92499999999995</v>
      </c>
      <c r="C559" s="116">
        <v>512.25</v>
      </c>
      <c r="D559" s="116">
        <v>510.05</v>
      </c>
      <c r="E559" s="116">
        <v>517.1</v>
      </c>
      <c r="F559" s="116">
        <v>1024.5</v>
      </c>
      <c r="G559">
        <v>139022</v>
      </c>
      <c r="H559" s="116"/>
      <c r="I559" s="116"/>
      <c r="L559" s="170">
        <v>42824</v>
      </c>
      <c r="M559" s="116">
        <v>512.75</v>
      </c>
      <c r="N559" s="116">
        <v>517.95000000000005</v>
      </c>
      <c r="O559" s="116">
        <v>510.125</v>
      </c>
      <c r="P559" s="116">
        <v>517</v>
      </c>
      <c r="Q559" s="116">
        <v>1025.5</v>
      </c>
      <c r="R559">
        <v>6078590</v>
      </c>
    </row>
    <row r="560" spans="1:18" x14ac:dyDescent="0.25">
      <c r="A560" s="170">
        <v>42825</v>
      </c>
      <c r="B560" s="116">
        <v>514.4</v>
      </c>
      <c r="C560" s="116">
        <v>510.4</v>
      </c>
      <c r="D560" s="116">
        <v>504.9</v>
      </c>
      <c r="E560" s="116">
        <v>513</v>
      </c>
      <c r="F560" s="116">
        <v>1020.8</v>
      </c>
      <c r="G560">
        <v>316705</v>
      </c>
      <c r="H560" s="116"/>
      <c r="I560" s="116"/>
      <c r="L560" s="170">
        <v>42825</v>
      </c>
      <c r="M560" s="116">
        <v>511.125</v>
      </c>
      <c r="N560" s="116">
        <v>514.65</v>
      </c>
      <c r="O560" s="116">
        <v>504</v>
      </c>
      <c r="P560" s="116">
        <v>511.625</v>
      </c>
      <c r="Q560" s="116">
        <v>1022.25</v>
      </c>
      <c r="R560">
        <v>7076927</v>
      </c>
    </row>
    <row r="561" spans="1:18" x14ac:dyDescent="0.25">
      <c r="A561" s="170">
        <v>42828</v>
      </c>
      <c r="B561" s="116">
        <v>515.25</v>
      </c>
      <c r="C561" s="116">
        <v>504.72500000000002</v>
      </c>
      <c r="D561" s="116">
        <v>503.27499999999998</v>
      </c>
      <c r="E561" s="116">
        <v>513.54999999999995</v>
      </c>
      <c r="F561" s="116">
        <v>1009.45</v>
      </c>
      <c r="G561">
        <v>157467</v>
      </c>
      <c r="H561" s="116"/>
      <c r="I561" s="116"/>
      <c r="L561" s="170">
        <v>42828</v>
      </c>
      <c r="M561" s="116">
        <v>504.4</v>
      </c>
      <c r="N561" s="116">
        <v>516.22500000000002</v>
      </c>
      <c r="O561" s="116">
        <v>503.05</v>
      </c>
      <c r="P561" s="116">
        <v>516.07500000000005</v>
      </c>
      <c r="Q561" s="116">
        <v>1008.8</v>
      </c>
      <c r="R561">
        <v>2157800</v>
      </c>
    </row>
    <row r="562" spans="1:18" x14ac:dyDescent="0.25">
      <c r="A562" s="170">
        <v>42830</v>
      </c>
      <c r="B562" s="116">
        <v>503</v>
      </c>
      <c r="C562" s="116">
        <v>497.7</v>
      </c>
      <c r="D562" s="116">
        <v>495.5</v>
      </c>
      <c r="E562" s="116">
        <v>502.5</v>
      </c>
      <c r="F562" s="116">
        <v>995.4</v>
      </c>
      <c r="G562">
        <v>175145</v>
      </c>
      <c r="H562" s="116"/>
      <c r="I562" s="116"/>
      <c r="L562" s="170">
        <v>42830</v>
      </c>
      <c r="M562" s="116">
        <v>497.97500000000002</v>
      </c>
      <c r="N562" s="116">
        <v>502.7</v>
      </c>
      <c r="O562" s="116">
        <v>495.5</v>
      </c>
      <c r="P562" s="116">
        <v>502.5</v>
      </c>
      <c r="Q562" s="116">
        <v>995.95</v>
      </c>
      <c r="R562">
        <v>3699169</v>
      </c>
    </row>
    <row r="563" spans="1:18" x14ac:dyDescent="0.25">
      <c r="A563" s="170">
        <v>42831</v>
      </c>
      <c r="B563" s="116">
        <v>502.9</v>
      </c>
      <c r="C563" s="116">
        <v>499.57499999999999</v>
      </c>
      <c r="D563" s="116">
        <v>496</v>
      </c>
      <c r="E563" s="116">
        <v>497.55</v>
      </c>
      <c r="F563" s="116">
        <v>999.15</v>
      </c>
      <c r="G563">
        <v>89547</v>
      </c>
      <c r="H563" s="116"/>
      <c r="I563" s="116"/>
      <c r="L563" s="170">
        <v>42831</v>
      </c>
      <c r="M563" s="116">
        <v>499.8</v>
      </c>
      <c r="N563" s="116">
        <v>502.9</v>
      </c>
      <c r="O563" s="116">
        <v>496</v>
      </c>
      <c r="P563" s="116">
        <v>499.07499999999999</v>
      </c>
      <c r="Q563" s="116">
        <v>999.6</v>
      </c>
      <c r="R563">
        <v>2689504</v>
      </c>
    </row>
    <row r="564" spans="1:18" x14ac:dyDescent="0.25">
      <c r="A564" s="170">
        <v>42832</v>
      </c>
      <c r="B564" s="116">
        <v>500</v>
      </c>
      <c r="C564" s="116">
        <v>490.625</v>
      </c>
      <c r="D564" s="116">
        <v>489.5</v>
      </c>
      <c r="E564" s="116">
        <v>500</v>
      </c>
      <c r="F564" s="116">
        <v>981.25</v>
      </c>
      <c r="G564">
        <v>214862</v>
      </c>
      <c r="H564" s="116"/>
      <c r="I564" s="116"/>
      <c r="L564" s="170">
        <v>42832</v>
      </c>
      <c r="M564" s="116">
        <v>490.77499999999998</v>
      </c>
      <c r="N564" s="116">
        <v>500.45</v>
      </c>
      <c r="O564" s="116">
        <v>489.5</v>
      </c>
      <c r="P564" s="116">
        <v>500.45</v>
      </c>
      <c r="Q564" s="116">
        <v>981.55</v>
      </c>
      <c r="R564">
        <v>3202254</v>
      </c>
    </row>
    <row r="565" spans="1:18" x14ac:dyDescent="0.25">
      <c r="A565" s="170">
        <v>42835</v>
      </c>
      <c r="B565" s="116">
        <v>495.5</v>
      </c>
      <c r="C565" s="116">
        <v>476.47500000000002</v>
      </c>
      <c r="D565" s="116">
        <v>475</v>
      </c>
      <c r="E565" s="116">
        <v>491</v>
      </c>
      <c r="F565" s="116">
        <v>952.95</v>
      </c>
      <c r="G565">
        <v>331766</v>
      </c>
      <c r="H565" s="116"/>
      <c r="I565" s="116"/>
      <c r="L565" s="170">
        <v>42835</v>
      </c>
      <c r="M565" s="116">
        <v>476.7</v>
      </c>
      <c r="N565" s="116">
        <v>494.75</v>
      </c>
      <c r="O565" s="116">
        <v>475.05</v>
      </c>
      <c r="P565" s="116">
        <v>492.45</v>
      </c>
      <c r="Q565" s="116">
        <v>953.4</v>
      </c>
      <c r="R565">
        <v>4764236</v>
      </c>
    </row>
    <row r="566" spans="1:18" x14ac:dyDescent="0.25">
      <c r="A566" s="170">
        <v>42836</v>
      </c>
      <c r="B566" s="116">
        <v>485.6</v>
      </c>
      <c r="C566" s="116">
        <v>483.57499999999999</v>
      </c>
      <c r="D566" s="116">
        <v>477.5</v>
      </c>
      <c r="E566" s="116">
        <v>477.5</v>
      </c>
      <c r="F566" s="116">
        <v>967.15</v>
      </c>
      <c r="G566">
        <v>157718</v>
      </c>
      <c r="H566" s="116"/>
      <c r="I566" s="116"/>
      <c r="L566" s="170">
        <v>42836</v>
      </c>
      <c r="M566" s="116">
        <v>483.57499999999999</v>
      </c>
      <c r="N566" s="116">
        <v>485.85</v>
      </c>
      <c r="O566" s="116">
        <v>478.02499999999998</v>
      </c>
      <c r="P566" s="116">
        <v>478.02499999999998</v>
      </c>
      <c r="Q566" s="116">
        <v>967.15</v>
      </c>
      <c r="R566">
        <v>4327733</v>
      </c>
    </row>
    <row r="567" spans="1:18" x14ac:dyDescent="0.25">
      <c r="A567" s="170">
        <v>42837</v>
      </c>
      <c r="B567" s="116">
        <v>488.02499999999998</v>
      </c>
      <c r="C567" s="116">
        <v>484.4</v>
      </c>
      <c r="D567" s="116">
        <v>480.52499999999998</v>
      </c>
      <c r="E567" s="116">
        <v>486</v>
      </c>
      <c r="F567" s="116">
        <v>968.8</v>
      </c>
      <c r="G567">
        <v>212099</v>
      </c>
      <c r="H567" s="116"/>
      <c r="I567" s="116"/>
      <c r="L567" s="170">
        <v>42837</v>
      </c>
      <c r="M567" s="116">
        <v>484.42500000000001</v>
      </c>
      <c r="N567" s="116">
        <v>488.45</v>
      </c>
      <c r="O567" s="116">
        <v>480.17500000000001</v>
      </c>
      <c r="P567" s="116">
        <v>485</v>
      </c>
      <c r="Q567" s="116">
        <v>968.85</v>
      </c>
      <c r="R567">
        <v>3348376</v>
      </c>
    </row>
    <row r="568" spans="1:18" x14ac:dyDescent="0.25">
      <c r="A568" s="170">
        <v>42838</v>
      </c>
      <c r="B568" s="116">
        <v>495.47500000000002</v>
      </c>
      <c r="C568" s="116">
        <v>465.7</v>
      </c>
      <c r="D568" s="116">
        <v>463.5</v>
      </c>
      <c r="E568" s="116">
        <v>487</v>
      </c>
      <c r="F568" s="116">
        <v>931.4</v>
      </c>
      <c r="G568">
        <v>1552568</v>
      </c>
      <c r="H568" s="116"/>
      <c r="I568" s="116"/>
      <c r="L568" s="170">
        <v>42838</v>
      </c>
      <c r="M568" s="116">
        <v>465.7</v>
      </c>
      <c r="N568" s="116">
        <v>495</v>
      </c>
      <c r="O568" s="116">
        <v>463.32499999999999</v>
      </c>
      <c r="P568" s="116">
        <v>485</v>
      </c>
      <c r="Q568" s="116">
        <v>931.4</v>
      </c>
      <c r="R568">
        <v>15486594</v>
      </c>
    </row>
    <row r="569" spans="1:18" x14ac:dyDescent="0.25">
      <c r="A569" s="170">
        <v>42842</v>
      </c>
      <c r="B569" s="116">
        <v>466.17500000000001</v>
      </c>
      <c r="C569" s="116">
        <v>462.4</v>
      </c>
      <c r="D569" s="116">
        <v>460.95</v>
      </c>
      <c r="E569" s="116">
        <v>466</v>
      </c>
      <c r="F569" s="116">
        <v>924.8</v>
      </c>
      <c r="G569">
        <v>280146</v>
      </c>
      <c r="H569" s="116"/>
      <c r="I569" s="116"/>
      <c r="L569" s="170">
        <v>42842</v>
      </c>
      <c r="M569" s="116">
        <v>462.45</v>
      </c>
      <c r="N569" s="116">
        <v>466.05</v>
      </c>
      <c r="O569" s="116">
        <v>461.75</v>
      </c>
      <c r="P569" s="116">
        <v>465</v>
      </c>
      <c r="Q569" s="116">
        <v>924.9</v>
      </c>
      <c r="R569">
        <v>3606717</v>
      </c>
    </row>
    <row r="570" spans="1:18" x14ac:dyDescent="0.25">
      <c r="A570" s="170">
        <v>42843</v>
      </c>
      <c r="B570" s="116">
        <v>467</v>
      </c>
      <c r="C570" s="116">
        <v>461.2</v>
      </c>
      <c r="D570" s="116">
        <v>459.77499999999998</v>
      </c>
      <c r="E570" s="116">
        <v>462.5</v>
      </c>
      <c r="F570" s="116">
        <v>922.4</v>
      </c>
      <c r="G570">
        <v>270730</v>
      </c>
      <c r="H570" s="116"/>
      <c r="I570" s="116"/>
      <c r="L570" s="170">
        <v>42843</v>
      </c>
      <c r="M570" s="116">
        <v>461.32499999999999</v>
      </c>
      <c r="N570" s="116">
        <v>467</v>
      </c>
      <c r="O570" s="116">
        <v>459.55</v>
      </c>
      <c r="P570" s="116">
        <v>462.375</v>
      </c>
      <c r="Q570" s="116">
        <v>922.65</v>
      </c>
      <c r="R570">
        <v>2323759</v>
      </c>
    </row>
    <row r="571" spans="1:18" x14ac:dyDescent="0.25">
      <c r="A571" s="170">
        <v>42844</v>
      </c>
      <c r="B571" s="116">
        <v>464.9</v>
      </c>
      <c r="C571" s="116">
        <v>459.4</v>
      </c>
      <c r="D571" s="116">
        <v>456</v>
      </c>
      <c r="E571" s="116">
        <v>464.9</v>
      </c>
      <c r="F571" s="116">
        <v>918.8</v>
      </c>
      <c r="G571">
        <v>308768</v>
      </c>
      <c r="H571" s="116"/>
      <c r="I571" s="116"/>
      <c r="L571" s="170">
        <v>42844</v>
      </c>
      <c r="M571" s="116">
        <v>459.6</v>
      </c>
      <c r="N571" s="116">
        <v>465</v>
      </c>
      <c r="O571" s="116">
        <v>456.32499999999999</v>
      </c>
      <c r="P571" s="116">
        <v>461.5</v>
      </c>
      <c r="Q571" s="116">
        <v>919.2</v>
      </c>
      <c r="R571">
        <v>5035851</v>
      </c>
    </row>
    <row r="572" spans="1:18" x14ac:dyDescent="0.25">
      <c r="A572" s="170">
        <v>42845</v>
      </c>
      <c r="B572" s="116">
        <v>464.9</v>
      </c>
      <c r="C572" s="116">
        <v>463.82499999999999</v>
      </c>
      <c r="D572" s="116">
        <v>459.52499999999998</v>
      </c>
      <c r="E572" s="116">
        <v>460</v>
      </c>
      <c r="F572" s="116">
        <v>927.65</v>
      </c>
      <c r="G572">
        <v>187122</v>
      </c>
      <c r="H572" s="116"/>
      <c r="I572" s="116"/>
      <c r="L572" s="170">
        <v>42845</v>
      </c>
      <c r="M572" s="116">
        <v>463.65</v>
      </c>
      <c r="N572" s="116">
        <v>464.85</v>
      </c>
      <c r="O572" s="116">
        <v>459.27499999999998</v>
      </c>
      <c r="P572" s="116">
        <v>460.75</v>
      </c>
      <c r="Q572" s="116">
        <v>927.3</v>
      </c>
      <c r="R572">
        <v>2274500</v>
      </c>
    </row>
    <row r="573" spans="1:18" x14ac:dyDescent="0.25">
      <c r="A573" s="170">
        <v>42846</v>
      </c>
      <c r="B573" s="116">
        <v>467.1</v>
      </c>
      <c r="C573" s="116">
        <v>461.85</v>
      </c>
      <c r="D573" s="116">
        <v>460.65</v>
      </c>
      <c r="E573" s="116">
        <v>467.1</v>
      </c>
      <c r="F573" s="116">
        <v>923.7</v>
      </c>
      <c r="G573">
        <v>138039</v>
      </c>
      <c r="H573" s="116"/>
      <c r="I573" s="116"/>
      <c r="L573" s="170">
        <v>42846</v>
      </c>
      <c r="M573" s="116">
        <v>461.85</v>
      </c>
      <c r="N573" s="116">
        <v>467.4</v>
      </c>
      <c r="O573" s="116">
        <v>460.55</v>
      </c>
      <c r="P573" s="116">
        <v>467.4</v>
      </c>
      <c r="Q573" s="116">
        <v>923.7</v>
      </c>
      <c r="R573">
        <v>1788733</v>
      </c>
    </row>
    <row r="574" spans="1:18" x14ac:dyDescent="0.25">
      <c r="A574" s="170">
        <v>42849</v>
      </c>
      <c r="B574" s="116">
        <v>464</v>
      </c>
      <c r="C574" s="116">
        <v>463.02499999999998</v>
      </c>
      <c r="D574" s="116">
        <v>456.5</v>
      </c>
      <c r="E574" s="116">
        <v>459.4</v>
      </c>
      <c r="F574" s="116">
        <v>926.05</v>
      </c>
      <c r="G574">
        <v>197282</v>
      </c>
      <c r="H574" s="116"/>
      <c r="I574" s="116"/>
      <c r="L574" s="170">
        <v>42849</v>
      </c>
      <c r="M574" s="116">
        <v>463.27499999999998</v>
      </c>
      <c r="N574" s="116">
        <v>464.25</v>
      </c>
      <c r="O574" s="116">
        <v>456.5</v>
      </c>
      <c r="P574" s="116">
        <v>458.75</v>
      </c>
      <c r="Q574" s="116">
        <v>926.55</v>
      </c>
      <c r="R574">
        <v>2778333</v>
      </c>
    </row>
    <row r="575" spans="1:18" x14ac:dyDescent="0.25">
      <c r="A575" s="170">
        <v>42850</v>
      </c>
      <c r="B575" s="116">
        <v>466.5</v>
      </c>
      <c r="C575" s="116">
        <v>464.5</v>
      </c>
      <c r="D575" s="116">
        <v>460.25</v>
      </c>
      <c r="E575" s="116">
        <v>464.9</v>
      </c>
      <c r="F575" s="116">
        <v>929</v>
      </c>
      <c r="G575">
        <v>161916</v>
      </c>
      <c r="H575" s="116"/>
      <c r="I575" s="116"/>
      <c r="L575" s="170">
        <v>42850</v>
      </c>
      <c r="M575" s="116">
        <v>464.67500000000001</v>
      </c>
      <c r="N575" s="116">
        <v>466.5</v>
      </c>
      <c r="O575" s="116">
        <v>460.27499999999998</v>
      </c>
      <c r="P575" s="116">
        <v>462.95</v>
      </c>
      <c r="Q575" s="116">
        <v>929.35</v>
      </c>
      <c r="R575">
        <v>2368530</v>
      </c>
    </row>
    <row r="576" spans="1:18" x14ac:dyDescent="0.25">
      <c r="A576" s="170">
        <v>42851</v>
      </c>
      <c r="B576" s="116">
        <v>467.35</v>
      </c>
      <c r="C576" s="116">
        <v>457.02499999999998</v>
      </c>
      <c r="D576" s="116">
        <v>455.2</v>
      </c>
      <c r="E576" s="116">
        <v>466.5</v>
      </c>
      <c r="F576" s="116">
        <v>914.05</v>
      </c>
      <c r="G576">
        <v>265820</v>
      </c>
      <c r="H576" s="116"/>
      <c r="I576" s="116"/>
      <c r="L576" s="170">
        <v>42851</v>
      </c>
      <c r="M576" s="116">
        <v>457.125</v>
      </c>
      <c r="N576" s="116">
        <v>467.77499999999998</v>
      </c>
      <c r="O576" s="116">
        <v>455.1</v>
      </c>
      <c r="P576" s="116">
        <v>464.97500000000002</v>
      </c>
      <c r="Q576" s="116">
        <v>914.25</v>
      </c>
      <c r="R576">
        <v>4542248</v>
      </c>
    </row>
    <row r="577" spans="1:18" x14ac:dyDescent="0.25">
      <c r="A577" s="170">
        <v>42852</v>
      </c>
      <c r="B577" s="116">
        <v>463.22500000000002</v>
      </c>
      <c r="C577" s="116">
        <v>461.97500000000002</v>
      </c>
      <c r="D577" s="116">
        <v>458</v>
      </c>
      <c r="E577" s="116">
        <v>460</v>
      </c>
      <c r="F577" s="116">
        <v>923.95</v>
      </c>
      <c r="G577">
        <v>126616</v>
      </c>
      <c r="H577" s="116"/>
      <c r="I577" s="116"/>
      <c r="L577" s="170">
        <v>42852</v>
      </c>
      <c r="M577" s="116">
        <v>462.625</v>
      </c>
      <c r="N577" s="116">
        <v>464.5</v>
      </c>
      <c r="O577" s="116">
        <v>458</v>
      </c>
      <c r="P577" s="116">
        <v>458</v>
      </c>
      <c r="Q577" s="116">
        <v>925.25</v>
      </c>
      <c r="R577">
        <v>3898604</v>
      </c>
    </row>
    <row r="578" spans="1:18" x14ac:dyDescent="0.25">
      <c r="A578" s="170">
        <v>42853</v>
      </c>
      <c r="B578" s="116">
        <v>463.25</v>
      </c>
      <c r="C578" s="116">
        <v>459.7</v>
      </c>
      <c r="D578" s="116">
        <v>458.45</v>
      </c>
      <c r="E578" s="116">
        <v>462.52499999999998</v>
      </c>
      <c r="F578" s="116">
        <v>919.4</v>
      </c>
      <c r="G578">
        <v>103697</v>
      </c>
      <c r="H578" s="116"/>
      <c r="I578" s="116"/>
      <c r="L578" s="170">
        <v>42853</v>
      </c>
      <c r="M578" s="116">
        <v>459.47500000000002</v>
      </c>
      <c r="N578" s="116">
        <v>463.7</v>
      </c>
      <c r="O578" s="116">
        <v>457.8</v>
      </c>
      <c r="P578" s="116">
        <v>463.42500000000001</v>
      </c>
      <c r="Q578" s="116">
        <v>918.95</v>
      </c>
      <c r="R578">
        <v>2514851</v>
      </c>
    </row>
    <row r="579" spans="1:18" x14ac:dyDescent="0.25">
      <c r="A579" s="170">
        <v>42857</v>
      </c>
      <c r="B579" s="116">
        <v>462.875</v>
      </c>
      <c r="C579" s="116">
        <v>460.5</v>
      </c>
      <c r="D579" s="116">
        <v>457.82499999999999</v>
      </c>
      <c r="E579" s="116">
        <v>462.4</v>
      </c>
      <c r="F579" s="116">
        <v>921</v>
      </c>
      <c r="G579">
        <v>77745</v>
      </c>
      <c r="H579" s="116"/>
      <c r="I579" s="116"/>
      <c r="L579" s="170">
        <v>42857</v>
      </c>
      <c r="M579" s="116">
        <v>461.3</v>
      </c>
      <c r="N579" s="116">
        <v>463.2</v>
      </c>
      <c r="O579" s="116">
        <v>457.55</v>
      </c>
      <c r="P579" s="116">
        <v>462</v>
      </c>
      <c r="Q579" s="116">
        <v>922.6</v>
      </c>
      <c r="R579">
        <v>1615563</v>
      </c>
    </row>
    <row r="580" spans="1:18" x14ac:dyDescent="0.25">
      <c r="A580" s="170">
        <v>42858</v>
      </c>
      <c r="B580" s="116">
        <v>469.4</v>
      </c>
      <c r="C580" s="116">
        <v>467.82499999999999</v>
      </c>
      <c r="D580" s="116">
        <v>459.1</v>
      </c>
      <c r="E580" s="116">
        <v>462.15</v>
      </c>
      <c r="F580" s="116">
        <v>935.65</v>
      </c>
      <c r="G580">
        <v>224150</v>
      </c>
      <c r="H580" s="116"/>
      <c r="I580" s="116"/>
      <c r="L580" s="170">
        <v>42858</v>
      </c>
      <c r="M580" s="116">
        <v>467.15</v>
      </c>
      <c r="N580" s="116">
        <v>469.55</v>
      </c>
      <c r="O580" s="116">
        <v>458.82499999999999</v>
      </c>
      <c r="P580" s="116">
        <v>463.25</v>
      </c>
      <c r="Q580" s="116">
        <v>934.3</v>
      </c>
      <c r="R580">
        <v>2329724</v>
      </c>
    </row>
    <row r="581" spans="1:18" x14ac:dyDescent="0.25">
      <c r="A581" s="170">
        <v>42859</v>
      </c>
      <c r="B581" s="116">
        <v>469.6</v>
      </c>
      <c r="C581" s="116">
        <v>468.15</v>
      </c>
      <c r="D581" s="116">
        <v>464.57499999999999</v>
      </c>
      <c r="E581" s="116">
        <v>467.5</v>
      </c>
      <c r="F581" s="116">
        <v>936.3</v>
      </c>
      <c r="G581">
        <v>106046</v>
      </c>
      <c r="H581" s="116"/>
      <c r="I581" s="116"/>
      <c r="L581" s="170">
        <v>42859</v>
      </c>
      <c r="M581" s="116">
        <v>468.82499999999999</v>
      </c>
      <c r="N581" s="116">
        <v>469.82499999999999</v>
      </c>
      <c r="O581" s="116">
        <v>464.45</v>
      </c>
      <c r="P581" s="116">
        <v>468.5</v>
      </c>
      <c r="Q581" s="116">
        <v>937.65</v>
      </c>
      <c r="R581">
        <v>2639903</v>
      </c>
    </row>
    <row r="582" spans="1:18" x14ac:dyDescent="0.25">
      <c r="A582" s="170">
        <v>42860</v>
      </c>
      <c r="B582" s="116">
        <v>468.2</v>
      </c>
      <c r="C582" s="116">
        <v>465.75</v>
      </c>
      <c r="D582" s="116">
        <v>460.625</v>
      </c>
      <c r="E582" s="116">
        <v>468</v>
      </c>
      <c r="F582" s="116">
        <v>931.5</v>
      </c>
      <c r="G582">
        <v>107553</v>
      </c>
      <c r="H582" s="116"/>
      <c r="I582" s="116"/>
      <c r="L582" s="170">
        <v>42860</v>
      </c>
      <c r="M582" s="116">
        <v>465.75</v>
      </c>
      <c r="N582" s="116">
        <v>468.67500000000001</v>
      </c>
      <c r="O582" s="116">
        <v>460</v>
      </c>
      <c r="P582" s="116">
        <v>468</v>
      </c>
      <c r="Q582" s="116">
        <v>931.5</v>
      </c>
      <c r="R582">
        <v>2216394</v>
      </c>
    </row>
    <row r="583" spans="1:18" x14ac:dyDescent="0.25">
      <c r="A583" s="170">
        <v>42863</v>
      </c>
      <c r="B583" s="116">
        <v>474.22500000000002</v>
      </c>
      <c r="C583" s="116">
        <v>472.72500000000002</v>
      </c>
      <c r="D583" s="116">
        <v>466.375</v>
      </c>
      <c r="E583" s="116">
        <v>468</v>
      </c>
      <c r="F583" s="116">
        <v>945.45</v>
      </c>
      <c r="G583">
        <v>153766</v>
      </c>
      <c r="H583" s="116"/>
      <c r="I583" s="116"/>
      <c r="L583" s="170">
        <v>42863</v>
      </c>
      <c r="M583" s="116">
        <v>472.75</v>
      </c>
      <c r="N583" s="116">
        <v>474.27499999999998</v>
      </c>
      <c r="O583" s="116">
        <v>466</v>
      </c>
      <c r="P583" s="116">
        <v>469</v>
      </c>
      <c r="Q583" s="116">
        <v>945.5</v>
      </c>
      <c r="R583">
        <v>2353549</v>
      </c>
    </row>
    <row r="584" spans="1:18" x14ac:dyDescent="0.25">
      <c r="A584" s="170">
        <v>42864</v>
      </c>
      <c r="B584" s="116">
        <v>475.5</v>
      </c>
      <c r="C584" s="116">
        <v>473.35</v>
      </c>
      <c r="D584" s="116">
        <v>471.125</v>
      </c>
      <c r="E584" s="116">
        <v>474.95</v>
      </c>
      <c r="F584" s="116">
        <v>946.7</v>
      </c>
      <c r="G584">
        <v>201313</v>
      </c>
      <c r="H584" s="116"/>
      <c r="I584" s="116"/>
      <c r="L584" s="170">
        <v>42864</v>
      </c>
      <c r="M584" s="116">
        <v>473.32499999999999</v>
      </c>
      <c r="N584" s="116">
        <v>475.97500000000002</v>
      </c>
      <c r="O584" s="116">
        <v>471.05</v>
      </c>
      <c r="P584" s="116">
        <v>475.3</v>
      </c>
      <c r="Q584" s="116">
        <v>946.65</v>
      </c>
      <c r="R584">
        <v>2824686</v>
      </c>
    </row>
    <row r="585" spans="1:18" x14ac:dyDescent="0.25">
      <c r="A585" s="170">
        <v>42865</v>
      </c>
      <c r="B585" s="116">
        <v>474.85</v>
      </c>
      <c r="C585" s="116">
        <v>471.6</v>
      </c>
      <c r="D585" s="116">
        <v>468.6</v>
      </c>
      <c r="E585" s="116">
        <v>473.5</v>
      </c>
      <c r="F585" s="116">
        <v>943.2</v>
      </c>
      <c r="G585">
        <v>79941</v>
      </c>
      <c r="H585" s="116"/>
      <c r="I585" s="116"/>
      <c r="L585" s="170">
        <v>42865</v>
      </c>
      <c r="M585" s="116">
        <v>471.82499999999999</v>
      </c>
      <c r="N585" s="116">
        <v>475</v>
      </c>
      <c r="O585" s="116">
        <v>468.57499999999999</v>
      </c>
      <c r="P585" s="116">
        <v>473.57499999999999</v>
      </c>
      <c r="Q585" s="116">
        <v>943.65</v>
      </c>
      <c r="R585">
        <v>1682151</v>
      </c>
    </row>
    <row r="586" spans="1:18" x14ac:dyDescent="0.25">
      <c r="A586" s="170">
        <v>42866</v>
      </c>
      <c r="B586" s="116">
        <v>474.35</v>
      </c>
      <c r="C586" s="116">
        <v>471.92500000000001</v>
      </c>
      <c r="D586" s="116">
        <v>468.875</v>
      </c>
      <c r="E586" s="116">
        <v>472.5</v>
      </c>
      <c r="F586" s="116">
        <v>943.85</v>
      </c>
      <c r="G586">
        <v>64857</v>
      </c>
      <c r="H586" s="116"/>
      <c r="I586" s="116"/>
      <c r="L586" s="170">
        <v>42866</v>
      </c>
      <c r="M586" s="116">
        <v>472.05</v>
      </c>
      <c r="N586" s="116">
        <v>474.92500000000001</v>
      </c>
      <c r="O586" s="116">
        <v>468.77499999999998</v>
      </c>
      <c r="P586" s="116">
        <v>473.42500000000001</v>
      </c>
      <c r="Q586" s="116">
        <v>944.1</v>
      </c>
      <c r="R586">
        <v>1614741</v>
      </c>
    </row>
    <row r="587" spans="1:18" x14ac:dyDescent="0.25">
      <c r="A587" s="170">
        <v>42867</v>
      </c>
      <c r="B587" s="116">
        <v>482.85</v>
      </c>
      <c r="C587" s="116">
        <v>481.95</v>
      </c>
      <c r="D587" s="116">
        <v>475</v>
      </c>
      <c r="E587" s="116">
        <v>475</v>
      </c>
      <c r="F587" s="116">
        <v>963.9</v>
      </c>
      <c r="G587">
        <v>839329</v>
      </c>
      <c r="H587" s="116"/>
      <c r="I587" s="116"/>
      <c r="L587" s="170">
        <v>42867</v>
      </c>
      <c r="M587" s="116">
        <v>482.125</v>
      </c>
      <c r="N587" s="116">
        <v>483</v>
      </c>
      <c r="O587" s="116">
        <v>475.72500000000002</v>
      </c>
      <c r="P587" s="116">
        <v>476.5</v>
      </c>
      <c r="Q587" s="116">
        <v>964.25</v>
      </c>
      <c r="R587">
        <v>5489998</v>
      </c>
    </row>
    <row r="588" spans="1:18" x14ac:dyDescent="0.25">
      <c r="A588" s="170">
        <v>42870</v>
      </c>
      <c r="B588" s="116">
        <v>482.85</v>
      </c>
      <c r="C588" s="116">
        <v>475.97500000000002</v>
      </c>
      <c r="D588" s="116">
        <v>474.625</v>
      </c>
      <c r="E588" s="116">
        <v>482.5</v>
      </c>
      <c r="F588" s="116">
        <v>951.95</v>
      </c>
      <c r="G588">
        <v>150370</v>
      </c>
      <c r="H588" s="116"/>
      <c r="I588" s="116"/>
      <c r="L588" s="170">
        <v>42870</v>
      </c>
      <c r="M588" s="116">
        <v>475.77499999999998</v>
      </c>
      <c r="N588" s="116">
        <v>481.75</v>
      </c>
      <c r="O588" s="116">
        <v>474.55</v>
      </c>
      <c r="P588" s="116">
        <v>481.75</v>
      </c>
      <c r="Q588" s="116">
        <v>951.55</v>
      </c>
      <c r="R588">
        <v>3648582</v>
      </c>
    </row>
    <row r="589" spans="1:18" x14ac:dyDescent="0.25">
      <c r="A589" s="170">
        <v>42871</v>
      </c>
      <c r="B589" s="116">
        <v>480.07499999999999</v>
      </c>
      <c r="C589" s="116">
        <v>478.25</v>
      </c>
      <c r="D589" s="116">
        <v>474</v>
      </c>
      <c r="E589" s="116">
        <v>476</v>
      </c>
      <c r="F589" s="116">
        <v>956.5</v>
      </c>
      <c r="G589">
        <v>126571</v>
      </c>
      <c r="H589" s="116"/>
      <c r="I589" s="116"/>
      <c r="L589" s="170">
        <v>42871</v>
      </c>
      <c r="M589" s="116">
        <v>477.5</v>
      </c>
      <c r="N589" s="116">
        <v>480.07499999999999</v>
      </c>
      <c r="O589" s="116">
        <v>473.47500000000002</v>
      </c>
      <c r="P589" s="116">
        <v>476.55</v>
      </c>
      <c r="Q589" s="116">
        <v>955</v>
      </c>
      <c r="R589">
        <v>3065084</v>
      </c>
    </row>
    <row r="590" spans="1:18" x14ac:dyDescent="0.25">
      <c r="A590" s="170">
        <v>42872</v>
      </c>
      <c r="B590" s="116">
        <v>479.15</v>
      </c>
      <c r="C590" s="116">
        <v>476.1</v>
      </c>
      <c r="D590" s="116">
        <v>472.1</v>
      </c>
      <c r="E590" s="116">
        <v>477.5</v>
      </c>
      <c r="F590" s="116">
        <v>952.2</v>
      </c>
      <c r="G590">
        <v>1393152</v>
      </c>
      <c r="H590" s="116"/>
      <c r="I590" s="116"/>
      <c r="L590" s="170">
        <v>42872</v>
      </c>
      <c r="M590" s="116">
        <v>476.4</v>
      </c>
      <c r="N590" s="116">
        <v>479.22500000000002</v>
      </c>
      <c r="O590" s="116">
        <v>471.92500000000001</v>
      </c>
      <c r="P590" s="116">
        <v>475.8</v>
      </c>
      <c r="Q590" s="116">
        <v>952.8</v>
      </c>
      <c r="R590">
        <v>1457754</v>
      </c>
    </row>
    <row r="591" spans="1:18" x14ac:dyDescent="0.25">
      <c r="A591" s="170">
        <v>42873</v>
      </c>
      <c r="B591" s="116">
        <v>486.92500000000001</v>
      </c>
      <c r="C591" s="116">
        <v>480.85</v>
      </c>
      <c r="D591" s="116">
        <v>472</v>
      </c>
      <c r="E591" s="116">
        <v>474.5</v>
      </c>
      <c r="F591" s="116">
        <v>961.7</v>
      </c>
      <c r="G591">
        <v>662623</v>
      </c>
      <c r="H591" s="116"/>
      <c r="I591" s="116"/>
      <c r="L591" s="170">
        <v>42873</v>
      </c>
      <c r="M591" s="116">
        <v>480.875</v>
      </c>
      <c r="N591" s="116">
        <v>486.95</v>
      </c>
      <c r="O591" s="116">
        <v>471.42500000000001</v>
      </c>
      <c r="P591" s="116">
        <v>471.5</v>
      </c>
      <c r="Q591" s="116">
        <v>961.75</v>
      </c>
      <c r="R591">
        <v>4028924</v>
      </c>
    </row>
    <row r="592" spans="1:18" x14ac:dyDescent="0.25">
      <c r="A592" s="170">
        <v>42874</v>
      </c>
      <c r="B592" s="116">
        <v>481.375</v>
      </c>
      <c r="C592" s="116">
        <v>478.95</v>
      </c>
      <c r="D592" s="116">
        <v>473.9</v>
      </c>
      <c r="E592" s="116">
        <v>478</v>
      </c>
      <c r="F592" s="116">
        <v>957.9</v>
      </c>
      <c r="G592">
        <v>123082</v>
      </c>
      <c r="H592" s="116"/>
      <c r="I592" s="116"/>
      <c r="L592" s="170">
        <v>42874</v>
      </c>
      <c r="M592" s="116">
        <v>478.97500000000002</v>
      </c>
      <c r="N592" s="116">
        <v>481.35</v>
      </c>
      <c r="O592" s="116">
        <v>473.92500000000001</v>
      </c>
      <c r="P592" s="116">
        <v>480.75</v>
      </c>
      <c r="Q592" s="116">
        <v>957.95</v>
      </c>
      <c r="R592">
        <v>2128698</v>
      </c>
    </row>
    <row r="593" spans="1:18" x14ac:dyDescent="0.25">
      <c r="A593" s="170">
        <v>42877</v>
      </c>
      <c r="B593" s="116">
        <v>483.25</v>
      </c>
      <c r="C593" s="116">
        <v>479.875</v>
      </c>
      <c r="D593" s="116">
        <v>478.27499999999998</v>
      </c>
      <c r="E593" s="116">
        <v>478.9</v>
      </c>
      <c r="F593" s="116">
        <v>959.75</v>
      </c>
      <c r="G593">
        <v>242173</v>
      </c>
      <c r="H593" s="116"/>
      <c r="I593" s="116"/>
      <c r="L593" s="170">
        <v>42877</v>
      </c>
      <c r="M593" s="116">
        <v>480.72500000000002</v>
      </c>
      <c r="N593" s="116">
        <v>483.45</v>
      </c>
      <c r="O593" s="116">
        <v>478.27499999999998</v>
      </c>
      <c r="P593" s="116">
        <v>479.2</v>
      </c>
      <c r="Q593" s="116">
        <v>961.45</v>
      </c>
      <c r="R593">
        <v>2751526</v>
      </c>
    </row>
    <row r="594" spans="1:18" x14ac:dyDescent="0.25">
      <c r="A594" s="170">
        <v>42878</v>
      </c>
      <c r="B594" s="116">
        <v>483.375</v>
      </c>
      <c r="C594" s="116">
        <v>478.7</v>
      </c>
      <c r="D594" s="116">
        <v>476.92500000000001</v>
      </c>
      <c r="E594" s="116">
        <v>481.5</v>
      </c>
      <c r="F594" s="116">
        <v>957.4</v>
      </c>
      <c r="G594">
        <v>713110</v>
      </c>
      <c r="H594" s="116"/>
      <c r="I594" s="116"/>
      <c r="L594" s="170">
        <v>42878</v>
      </c>
      <c r="M594" s="116">
        <v>478.65</v>
      </c>
      <c r="N594" s="116">
        <v>483.5</v>
      </c>
      <c r="O594" s="116">
        <v>477.05</v>
      </c>
      <c r="P594" s="116">
        <v>482.32499999999999</v>
      </c>
      <c r="Q594" s="116">
        <v>957.3</v>
      </c>
      <c r="R594">
        <v>2019991</v>
      </c>
    </row>
    <row r="595" spans="1:18" x14ac:dyDescent="0.25">
      <c r="A595" s="170">
        <v>42879</v>
      </c>
      <c r="B595" s="116">
        <v>482.65</v>
      </c>
      <c r="C595" s="116">
        <v>476.77499999999998</v>
      </c>
      <c r="D595" s="116">
        <v>475.2</v>
      </c>
      <c r="E595" s="116">
        <v>478.57499999999999</v>
      </c>
      <c r="F595" s="116">
        <v>953.55</v>
      </c>
      <c r="G595">
        <v>142072</v>
      </c>
      <c r="H595" s="116"/>
      <c r="I595" s="116"/>
      <c r="L595" s="170">
        <v>42879</v>
      </c>
      <c r="M595" s="116">
        <v>477.4</v>
      </c>
      <c r="N595" s="116">
        <v>482.75</v>
      </c>
      <c r="O595" s="116">
        <v>474.8</v>
      </c>
      <c r="P595" s="116">
        <v>480</v>
      </c>
      <c r="Q595" s="116">
        <v>954.8</v>
      </c>
      <c r="R595">
        <v>2818143</v>
      </c>
    </row>
    <row r="596" spans="1:18" x14ac:dyDescent="0.25">
      <c r="A596" s="170">
        <v>42880</v>
      </c>
      <c r="B596" s="116">
        <v>492.45</v>
      </c>
      <c r="C596" s="116">
        <v>490.95</v>
      </c>
      <c r="D596" s="116">
        <v>479.95</v>
      </c>
      <c r="E596" s="116">
        <v>479.95</v>
      </c>
      <c r="F596" s="116">
        <v>981.9</v>
      </c>
      <c r="G596">
        <v>207884</v>
      </c>
      <c r="H596" s="116"/>
      <c r="I596" s="116"/>
      <c r="L596" s="170">
        <v>42880</v>
      </c>
      <c r="M596" s="116">
        <v>491.65</v>
      </c>
      <c r="N596" s="116">
        <v>493.3</v>
      </c>
      <c r="O596" s="116">
        <v>480.5</v>
      </c>
      <c r="P596" s="116">
        <v>480.5</v>
      </c>
      <c r="Q596" s="116">
        <v>983.3</v>
      </c>
      <c r="R596">
        <v>5219257</v>
      </c>
    </row>
    <row r="597" spans="1:18" x14ac:dyDescent="0.25">
      <c r="A597" s="170">
        <v>42881</v>
      </c>
      <c r="B597" s="116">
        <v>500</v>
      </c>
      <c r="C597" s="116">
        <v>498.1</v>
      </c>
      <c r="D597" s="116">
        <v>490</v>
      </c>
      <c r="E597" s="116">
        <v>490</v>
      </c>
      <c r="F597" s="116">
        <v>996.2</v>
      </c>
      <c r="G597">
        <v>184059</v>
      </c>
      <c r="H597" s="116"/>
      <c r="I597" s="116"/>
      <c r="L597" s="170">
        <v>42881</v>
      </c>
      <c r="M597" s="116">
        <v>497.85</v>
      </c>
      <c r="N597" s="116">
        <v>500</v>
      </c>
      <c r="O597" s="116">
        <v>490.3</v>
      </c>
      <c r="P597" s="116">
        <v>493.5</v>
      </c>
      <c r="Q597" s="116">
        <v>995.7</v>
      </c>
      <c r="R597">
        <v>2494002</v>
      </c>
    </row>
    <row r="598" spans="1:18" x14ac:dyDescent="0.25">
      <c r="A598" s="170">
        <v>42884</v>
      </c>
      <c r="B598" s="116">
        <v>498.42500000000001</v>
      </c>
      <c r="C598" s="116">
        <v>492.65</v>
      </c>
      <c r="D598" s="116">
        <v>488</v>
      </c>
      <c r="E598" s="116">
        <v>496.35</v>
      </c>
      <c r="F598" s="116">
        <v>985.3</v>
      </c>
      <c r="G598">
        <v>352552</v>
      </c>
      <c r="H598" s="116"/>
      <c r="I598" s="116"/>
      <c r="L598" s="170">
        <v>42884</v>
      </c>
      <c r="M598" s="116">
        <v>492.57499999999999</v>
      </c>
      <c r="N598" s="116">
        <v>498.35</v>
      </c>
      <c r="O598" s="116">
        <v>487.85</v>
      </c>
      <c r="P598" s="116">
        <v>495.45</v>
      </c>
      <c r="Q598" s="116">
        <v>985.15</v>
      </c>
      <c r="R598">
        <v>3154217</v>
      </c>
    </row>
    <row r="599" spans="1:18" x14ac:dyDescent="0.25">
      <c r="A599" s="170">
        <v>42885</v>
      </c>
      <c r="B599" s="116">
        <v>500</v>
      </c>
      <c r="C599" s="116">
        <v>498.22500000000002</v>
      </c>
      <c r="D599" s="116">
        <v>489.92500000000001</v>
      </c>
      <c r="E599" s="116">
        <v>492.65</v>
      </c>
      <c r="F599" s="116">
        <v>996.45</v>
      </c>
      <c r="G599">
        <v>91547</v>
      </c>
      <c r="H599" s="116"/>
      <c r="I599" s="116"/>
      <c r="L599" s="170">
        <v>42885</v>
      </c>
      <c r="M599" s="116">
        <v>498.1</v>
      </c>
      <c r="N599" s="116">
        <v>500</v>
      </c>
      <c r="O599" s="116">
        <v>489.32499999999999</v>
      </c>
      <c r="P599" s="116">
        <v>491</v>
      </c>
      <c r="Q599" s="116">
        <v>996.2</v>
      </c>
      <c r="R599">
        <v>1858455</v>
      </c>
    </row>
    <row r="600" spans="1:18" x14ac:dyDescent="0.25">
      <c r="A600" s="170">
        <v>42886</v>
      </c>
      <c r="B600" s="116">
        <v>496.07499999999999</v>
      </c>
      <c r="C600" s="116">
        <v>488.47500000000002</v>
      </c>
      <c r="D600" s="116">
        <v>487.55</v>
      </c>
      <c r="E600" s="116">
        <v>495.57499999999999</v>
      </c>
      <c r="F600" s="116">
        <v>976.95</v>
      </c>
      <c r="G600">
        <v>103115</v>
      </c>
      <c r="H600" s="116"/>
      <c r="I600" s="116"/>
      <c r="L600" s="170">
        <v>42886</v>
      </c>
      <c r="M600" s="116">
        <v>488.52499999999998</v>
      </c>
      <c r="N600" s="116">
        <v>496.77499999999998</v>
      </c>
      <c r="O600" s="116">
        <v>487.42500000000001</v>
      </c>
      <c r="P600" s="116">
        <v>496.77499999999998</v>
      </c>
      <c r="Q600" s="116">
        <v>977.05</v>
      </c>
      <c r="R600">
        <v>3881950</v>
      </c>
    </row>
    <row r="601" spans="1:18" x14ac:dyDescent="0.25">
      <c r="A601" s="170">
        <v>42887</v>
      </c>
      <c r="B601" s="116">
        <v>489.77499999999998</v>
      </c>
      <c r="C601" s="116">
        <v>485.47500000000002</v>
      </c>
      <c r="D601" s="116">
        <v>479.67500000000001</v>
      </c>
      <c r="E601" s="116">
        <v>484.5</v>
      </c>
      <c r="F601" s="116">
        <v>970.95</v>
      </c>
      <c r="G601">
        <v>103112</v>
      </c>
      <c r="H601" s="116"/>
      <c r="I601" s="116"/>
      <c r="L601" s="170">
        <v>42887</v>
      </c>
      <c r="M601" s="116">
        <v>485.7</v>
      </c>
      <c r="N601" s="116">
        <v>489.85</v>
      </c>
      <c r="O601" s="116">
        <v>479.27499999999998</v>
      </c>
      <c r="P601" s="116">
        <v>484.65</v>
      </c>
      <c r="Q601" s="116">
        <v>971.4</v>
      </c>
      <c r="R601">
        <v>2754303</v>
      </c>
    </row>
    <row r="602" spans="1:18" x14ac:dyDescent="0.25">
      <c r="A602" s="170">
        <v>42888</v>
      </c>
      <c r="B602" s="116">
        <v>487.55</v>
      </c>
      <c r="C602" s="116">
        <v>484.72500000000002</v>
      </c>
      <c r="D602" s="116">
        <v>482.5</v>
      </c>
      <c r="E602" s="116">
        <v>485.47500000000002</v>
      </c>
      <c r="F602" s="116">
        <v>969.45</v>
      </c>
      <c r="G602">
        <v>306705</v>
      </c>
      <c r="H602" s="116"/>
      <c r="I602" s="116"/>
      <c r="L602" s="170">
        <v>42888</v>
      </c>
      <c r="M602" s="116">
        <v>484.72500000000002</v>
      </c>
      <c r="N602" s="116">
        <v>487.72500000000002</v>
      </c>
      <c r="O602" s="116">
        <v>482.1</v>
      </c>
      <c r="P602" s="116">
        <v>486.7</v>
      </c>
      <c r="Q602" s="116">
        <v>969.45</v>
      </c>
      <c r="R602">
        <v>1958983</v>
      </c>
    </row>
    <row r="603" spans="1:18" x14ac:dyDescent="0.25">
      <c r="A603" s="170">
        <v>42891</v>
      </c>
      <c r="B603" s="116">
        <v>484.875</v>
      </c>
      <c r="C603" s="116">
        <v>480.1</v>
      </c>
      <c r="D603" s="116">
        <v>479.125</v>
      </c>
      <c r="E603" s="116">
        <v>484.5</v>
      </c>
      <c r="F603" s="116">
        <v>960.2</v>
      </c>
      <c r="G603">
        <v>220316</v>
      </c>
      <c r="H603" s="116"/>
      <c r="I603" s="116"/>
      <c r="L603" s="170">
        <v>42891</v>
      </c>
      <c r="M603" s="116">
        <v>479.375</v>
      </c>
      <c r="N603" s="116">
        <v>486</v>
      </c>
      <c r="O603" s="116">
        <v>478.52499999999998</v>
      </c>
      <c r="P603" s="116">
        <v>485</v>
      </c>
      <c r="Q603" s="116">
        <v>958.75</v>
      </c>
      <c r="R603">
        <v>2731349</v>
      </c>
    </row>
    <row r="604" spans="1:18" x14ac:dyDescent="0.25">
      <c r="A604" s="170">
        <v>42892</v>
      </c>
      <c r="B604" s="116">
        <v>493.42500000000001</v>
      </c>
      <c r="C604" s="116">
        <v>489.72500000000002</v>
      </c>
      <c r="D604" s="116">
        <v>482.5</v>
      </c>
      <c r="E604" s="116">
        <v>482.5</v>
      </c>
      <c r="F604" s="116">
        <v>979.45</v>
      </c>
      <c r="G604">
        <v>667899</v>
      </c>
      <c r="H604" s="116"/>
      <c r="I604" s="116"/>
      <c r="L604" s="170">
        <v>42892</v>
      </c>
      <c r="M604" s="116">
        <v>489.67500000000001</v>
      </c>
      <c r="N604" s="116">
        <v>493.75</v>
      </c>
      <c r="O604" s="116">
        <v>482.2</v>
      </c>
      <c r="P604" s="116">
        <v>482.5</v>
      </c>
      <c r="Q604" s="116">
        <v>979.35</v>
      </c>
      <c r="R604">
        <v>3504343</v>
      </c>
    </row>
    <row r="605" spans="1:18" x14ac:dyDescent="0.25">
      <c r="A605" s="170">
        <v>42893</v>
      </c>
      <c r="B605" s="116">
        <v>494.35</v>
      </c>
      <c r="C605" s="116">
        <v>480.75</v>
      </c>
      <c r="D605" s="116">
        <v>472.75</v>
      </c>
      <c r="E605" s="116">
        <v>491.02499999999998</v>
      </c>
      <c r="F605" s="116">
        <v>961.5</v>
      </c>
      <c r="G605">
        <v>458343</v>
      </c>
      <c r="H605" s="116"/>
      <c r="I605" s="116"/>
      <c r="L605" s="170">
        <v>42893</v>
      </c>
      <c r="M605" s="116">
        <v>480.65</v>
      </c>
      <c r="N605" s="116">
        <v>494.45</v>
      </c>
      <c r="O605" s="116">
        <v>472.5</v>
      </c>
      <c r="P605" s="116">
        <v>492.5</v>
      </c>
      <c r="Q605" s="116">
        <v>961.3</v>
      </c>
      <c r="R605">
        <v>6227523</v>
      </c>
    </row>
    <row r="606" spans="1:18" x14ac:dyDescent="0.25">
      <c r="A606" s="170">
        <v>42894</v>
      </c>
      <c r="B606" s="116">
        <v>482.35</v>
      </c>
      <c r="C606" s="116">
        <v>478.15</v>
      </c>
      <c r="D606" s="116">
        <v>474.5</v>
      </c>
      <c r="E606" s="116">
        <v>480.55</v>
      </c>
      <c r="F606" s="116">
        <v>956.3</v>
      </c>
      <c r="G606">
        <v>609366</v>
      </c>
      <c r="H606" s="116"/>
      <c r="I606" s="116"/>
      <c r="L606" s="170">
        <v>42894</v>
      </c>
      <c r="M606" s="116">
        <v>478.22500000000002</v>
      </c>
      <c r="N606" s="116">
        <v>481.47500000000002</v>
      </c>
      <c r="O606" s="116">
        <v>474.07499999999999</v>
      </c>
      <c r="P606" s="116">
        <v>481.47500000000002</v>
      </c>
      <c r="Q606" s="116">
        <v>956.45</v>
      </c>
      <c r="R606">
        <v>3097676</v>
      </c>
    </row>
    <row r="607" spans="1:18" x14ac:dyDescent="0.25">
      <c r="A607" s="170">
        <v>42895</v>
      </c>
      <c r="B607" s="116">
        <v>476</v>
      </c>
      <c r="C607" s="116">
        <v>474.32499999999999</v>
      </c>
      <c r="D607" s="116">
        <v>461.52499999999998</v>
      </c>
      <c r="E607" s="116">
        <v>470</v>
      </c>
      <c r="F607" s="116">
        <v>948.65</v>
      </c>
      <c r="G607">
        <v>1029192</v>
      </c>
      <c r="H607" s="116"/>
      <c r="I607" s="116"/>
      <c r="L607" s="170">
        <v>42895</v>
      </c>
      <c r="M607" s="116">
        <v>474.3</v>
      </c>
      <c r="N607" s="116">
        <v>475.47500000000002</v>
      </c>
      <c r="O607" s="116">
        <v>461.5</v>
      </c>
      <c r="P607" s="116">
        <v>469.27499999999998</v>
      </c>
      <c r="Q607" s="116">
        <v>948.6</v>
      </c>
      <c r="R607">
        <v>7378831</v>
      </c>
    </row>
    <row r="608" spans="1:18" x14ac:dyDescent="0.25">
      <c r="A608" s="170">
        <v>42898</v>
      </c>
      <c r="B608" s="116">
        <v>483.35</v>
      </c>
      <c r="C608" s="116">
        <v>481.9</v>
      </c>
      <c r="D608" s="116">
        <v>470</v>
      </c>
      <c r="E608" s="116">
        <v>471.5</v>
      </c>
      <c r="F608" s="116">
        <v>963.8</v>
      </c>
      <c r="G608">
        <v>217456</v>
      </c>
      <c r="H608" s="116"/>
      <c r="I608" s="116"/>
      <c r="L608" s="170">
        <v>42898</v>
      </c>
      <c r="M608" s="116">
        <v>481.92500000000001</v>
      </c>
      <c r="N608" s="116">
        <v>482.6</v>
      </c>
      <c r="O608" s="116">
        <v>470.05</v>
      </c>
      <c r="P608" s="116">
        <v>471.67500000000001</v>
      </c>
      <c r="Q608" s="116">
        <v>963.85</v>
      </c>
      <c r="R608">
        <v>4295838</v>
      </c>
    </row>
    <row r="609" spans="1:18" x14ac:dyDescent="0.25">
      <c r="A609" s="170">
        <v>42899</v>
      </c>
      <c r="B609" s="116">
        <v>481.5</v>
      </c>
      <c r="C609" s="116">
        <v>479.1</v>
      </c>
      <c r="D609" s="116">
        <v>476.17500000000001</v>
      </c>
      <c r="E609" s="116">
        <v>479.85</v>
      </c>
      <c r="F609" s="116">
        <v>958.2</v>
      </c>
      <c r="G609">
        <v>101873</v>
      </c>
      <c r="H609" s="116"/>
      <c r="I609" s="116"/>
      <c r="L609" s="170">
        <v>42899</v>
      </c>
      <c r="M609" s="116">
        <v>478.9</v>
      </c>
      <c r="N609" s="116">
        <v>481.47500000000002</v>
      </c>
      <c r="O609" s="116">
        <v>475.8</v>
      </c>
      <c r="P609" s="116">
        <v>476.75</v>
      </c>
      <c r="Q609" s="116">
        <v>957.8</v>
      </c>
      <c r="R609">
        <v>2468897</v>
      </c>
    </row>
    <row r="610" spans="1:18" x14ac:dyDescent="0.25">
      <c r="A610" s="170">
        <v>42900</v>
      </c>
      <c r="B610" s="116">
        <v>480.97500000000002</v>
      </c>
      <c r="C610" s="116">
        <v>479.32499999999999</v>
      </c>
      <c r="D610" s="116">
        <v>475.75</v>
      </c>
      <c r="E610" s="116">
        <v>478.5</v>
      </c>
      <c r="F610" s="116">
        <v>958.65</v>
      </c>
      <c r="G610">
        <v>175692</v>
      </c>
      <c r="H610" s="116"/>
      <c r="I610" s="116"/>
      <c r="L610" s="170">
        <v>42900</v>
      </c>
      <c r="M610" s="116">
        <v>479.3</v>
      </c>
      <c r="N610" s="116">
        <v>480.95</v>
      </c>
      <c r="O610" s="116">
        <v>475.6</v>
      </c>
      <c r="P610" s="116">
        <v>480</v>
      </c>
      <c r="Q610" s="116">
        <v>958.6</v>
      </c>
      <c r="R610">
        <v>3719055</v>
      </c>
    </row>
    <row r="611" spans="1:18" x14ac:dyDescent="0.25">
      <c r="A611" s="170">
        <v>42901</v>
      </c>
      <c r="B611" s="116">
        <v>483.5</v>
      </c>
      <c r="C611" s="116">
        <v>476.15</v>
      </c>
      <c r="D611" s="116">
        <v>475</v>
      </c>
      <c r="E611" s="116">
        <v>477.5</v>
      </c>
      <c r="F611" s="116">
        <v>952.3</v>
      </c>
      <c r="G611">
        <v>200610</v>
      </c>
      <c r="H611" s="116"/>
      <c r="I611" s="116"/>
      <c r="L611" s="170">
        <v>42901</v>
      </c>
      <c r="M611" s="116">
        <v>476.05</v>
      </c>
      <c r="N611" s="116">
        <v>483.97500000000002</v>
      </c>
      <c r="O611" s="116">
        <v>474.8</v>
      </c>
      <c r="P611" s="116">
        <v>479.82499999999999</v>
      </c>
      <c r="Q611" s="116">
        <v>952.1</v>
      </c>
      <c r="R611">
        <v>2764031</v>
      </c>
    </row>
    <row r="612" spans="1:18" x14ac:dyDescent="0.25">
      <c r="A612" s="170">
        <v>42902</v>
      </c>
      <c r="B612" s="116">
        <v>476.45</v>
      </c>
      <c r="C612" s="116">
        <v>470.25</v>
      </c>
      <c r="D612" s="116">
        <v>468</v>
      </c>
      <c r="E612" s="116">
        <v>475.95</v>
      </c>
      <c r="F612" s="116">
        <v>940.5</v>
      </c>
      <c r="G612">
        <v>163456</v>
      </c>
      <c r="H612" s="116"/>
      <c r="I612" s="116"/>
      <c r="L612" s="170">
        <v>42902</v>
      </c>
      <c r="M612" s="116">
        <v>470.125</v>
      </c>
      <c r="N612" s="116">
        <v>476.92500000000001</v>
      </c>
      <c r="O612" s="116">
        <v>468</v>
      </c>
      <c r="P612" s="116">
        <v>474.55</v>
      </c>
      <c r="Q612" s="116">
        <v>940.25</v>
      </c>
      <c r="R612">
        <v>5474225</v>
      </c>
    </row>
    <row r="613" spans="1:18" x14ac:dyDescent="0.25">
      <c r="A613" s="170">
        <v>42905</v>
      </c>
      <c r="B613" s="116">
        <v>470.22500000000002</v>
      </c>
      <c r="C613" s="116">
        <v>464.72500000000002</v>
      </c>
      <c r="D613" s="116">
        <v>464</v>
      </c>
      <c r="E613" s="116">
        <v>469.3</v>
      </c>
      <c r="F613" s="116">
        <v>929.45</v>
      </c>
      <c r="G613">
        <v>127026</v>
      </c>
      <c r="H613" s="116"/>
      <c r="I613" s="116"/>
      <c r="L613" s="170">
        <v>42905</v>
      </c>
      <c r="M613" s="116">
        <v>464.92500000000001</v>
      </c>
      <c r="N613" s="116">
        <v>470.125</v>
      </c>
      <c r="O613" s="116">
        <v>464</v>
      </c>
      <c r="P613" s="116">
        <v>469.97500000000002</v>
      </c>
      <c r="Q613" s="116">
        <v>929.85</v>
      </c>
      <c r="R613">
        <v>3427930</v>
      </c>
    </row>
    <row r="614" spans="1:18" x14ac:dyDescent="0.25">
      <c r="A614" s="170">
        <v>42906</v>
      </c>
      <c r="B614" s="116">
        <v>473.5</v>
      </c>
      <c r="C614" s="116">
        <v>471.9</v>
      </c>
      <c r="D614" s="116">
        <v>467.07499999999999</v>
      </c>
      <c r="E614" s="116">
        <v>467.5</v>
      </c>
      <c r="F614" s="116">
        <v>943.8</v>
      </c>
      <c r="G614">
        <v>148289</v>
      </c>
      <c r="H614" s="116"/>
      <c r="I614" s="116"/>
      <c r="L614" s="170">
        <v>42906</v>
      </c>
      <c r="M614" s="116">
        <v>471.77499999999998</v>
      </c>
      <c r="N614" s="116">
        <v>473.45</v>
      </c>
      <c r="O614" s="116">
        <v>467.02499999999998</v>
      </c>
      <c r="P614" s="116">
        <v>467.5</v>
      </c>
      <c r="Q614" s="116">
        <v>943.55</v>
      </c>
      <c r="R614">
        <v>2592198</v>
      </c>
    </row>
    <row r="615" spans="1:18" x14ac:dyDescent="0.25">
      <c r="A615" s="170">
        <v>42907</v>
      </c>
      <c r="B615" s="116">
        <v>474.5</v>
      </c>
      <c r="C615" s="116">
        <v>471.97500000000002</v>
      </c>
      <c r="D615" s="116">
        <v>468.25</v>
      </c>
      <c r="E615" s="116">
        <v>471.75</v>
      </c>
      <c r="F615" s="116">
        <v>943.95</v>
      </c>
      <c r="G615">
        <v>92550</v>
      </c>
      <c r="H615" s="116"/>
      <c r="I615" s="116"/>
      <c r="L615" s="170">
        <v>42907</v>
      </c>
      <c r="M615" s="116">
        <v>471.67500000000001</v>
      </c>
      <c r="N615" s="116">
        <v>474.5</v>
      </c>
      <c r="O615" s="116">
        <v>468.02499999999998</v>
      </c>
      <c r="P615" s="116">
        <v>472.5</v>
      </c>
      <c r="Q615" s="116">
        <v>943.35</v>
      </c>
      <c r="R615">
        <v>1867932</v>
      </c>
    </row>
    <row r="616" spans="1:18" x14ac:dyDescent="0.25">
      <c r="A616" s="170">
        <v>42908</v>
      </c>
      <c r="B616" s="116">
        <v>484.15</v>
      </c>
      <c r="C616" s="116">
        <v>470.15</v>
      </c>
      <c r="D616" s="116">
        <v>467.92500000000001</v>
      </c>
      <c r="E616" s="116">
        <v>472.5</v>
      </c>
      <c r="F616" s="116">
        <v>940.3</v>
      </c>
      <c r="G616">
        <v>276952</v>
      </c>
      <c r="H616" s="116"/>
      <c r="I616" s="116"/>
      <c r="L616" s="170">
        <v>42908</v>
      </c>
      <c r="M616" s="116">
        <v>470.07499999999999</v>
      </c>
      <c r="N616" s="116">
        <v>484.35</v>
      </c>
      <c r="O616" s="116">
        <v>467.55</v>
      </c>
      <c r="P616" s="116">
        <v>473.85</v>
      </c>
      <c r="Q616" s="116">
        <v>940.15</v>
      </c>
      <c r="R616">
        <v>4732621</v>
      </c>
    </row>
    <row r="617" spans="1:18" x14ac:dyDescent="0.25">
      <c r="A617" s="170">
        <v>42909</v>
      </c>
      <c r="B617" s="116">
        <v>474.4</v>
      </c>
      <c r="C617" s="116">
        <v>471.67500000000001</v>
      </c>
      <c r="D617" s="116">
        <v>469.27499999999998</v>
      </c>
      <c r="E617" s="116">
        <v>470</v>
      </c>
      <c r="F617" s="116">
        <v>943.35</v>
      </c>
      <c r="G617">
        <v>99496</v>
      </c>
      <c r="H617" s="116"/>
      <c r="I617" s="116"/>
      <c r="L617" s="170">
        <v>42909</v>
      </c>
      <c r="M617" s="116">
        <v>471.625</v>
      </c>
      <c r="N617" s="116">
        <v>474.57499999999999</v>
      </c>
      <c r="O617" s="116">
        <v>469</v>
      </c>
      <c r="P617" s="116">
        <v>472.5</v>
      </c>
      <c r="Q617" s="116">
        <v>943.25</v>
      </c>
      <c r="R617">
        <v>3201509</v>
      </c>
    </row>
    <row r="618" spans="1:18" x14ac:dyDescent="0.25">
      <c r="A618" s="170">
        <v>42913</v>
      </c>
      <c r="B618" s="116">
        <v>473.47500000000002</v>
      </c>
      <c r="C618" s="116">
        <v>463.17500000000001</v>
      </c>
      <c r="D618" s="116">
        <v>462</v>
      </c>
      <c r="E618" s="116">
        <v>472.02499999999998</v>
      </c>
      <c r="F618" s="116">
        <v>926.35</v>
      </c>
      <c r="G618">
        <v>168701</v>
      </c>
      <c r="H618" s="116"/>
      <c r="I618" s="116"/>
      <c r="L618" s="170">
        <v>42913</v>
      </c>
      <c r="M618" s="116">
        <v>463.52499999999998</v>
      </c>
      <c r="N618" s="116">
        <v>474</v>
      </c>
      <c r="O618" s="116">
        <v>461.875</v>
      </c>
      <c r="P618" s="116">
        <v>472.5</v>
      </c>
      <c r="Q618" s="116">
        <v>927.05</v>
      </c>
      <c r="R618">
        <v>3452330</v>
      </c>
    </row>
    <row r="619" spans="1:18" x14ac:dyDescent="0.25">
      <c r="A619" s="170">
        <v>42914</v>
      </c>
      <c r="B619" s="116">
        <v>466.27499999999998</v>
      </c>
      <c r="C619" s="116">
        <v>462.2</v>
      </c>
      <c r="D619" s="116">
        <v>460.6</v>
      </c>
      <c r="E619" s="116">
        <v>465.15</v>
      </c>
      <c r="F619" s="116">
        <v>924.4</v>
      </c>
      <c r="G619">
        <v>429702</v>
      </c>
      <c r="H619" s="116"/>
      <c r="I619" s="116"/>
      <c r="L619" s="170">
        <v>42914</v>
      </c>
      <c r="M619" s="116">
        <v>462.35</v>
      </c>
      <c r="N619" s="116">
        <v>466.5</v>
      </c>
      <c r="O619" s="116">
        <v>460.5</v>
      </c>
      <c r="P619" s="116">
        <v>466.4</v>
      </c>
      <c r="Q619" s="116">
        <v>924.7</v>
      </c>
      <c r="R619">
        <v>2952612</v>
      </c>
    </row>
    <row r="620" spans="1:18" x14ac:dyDescent="0.25">
      <c r="A620" s="170">
        <v>42915</v>
      </c>
      <c r="B620" s="116">
        <v>473.65</v>
      </c>
      <c r="C620" s="116">
        <v>464.75</v>
      </c>
      <c r="D620" s="116">
        <v>462.65</v>
      </c>
      <c r="E620" s="116">
        <v>463.5</v>
      </c>
      <c r="F620" s="116">
        <v>929.5</v>
      </c>
      <c r="G620">
        <v>184966</v>
      </c>
      <c r="H620" s="116"/>
      <c r="I620" s="116"/>
      <c r="L620" s="170">
        <v>42915</v>
      </c>
      <c r="M620" s="116">
        <v>465.1</v>
      </c>
      <c r="N620" s="116">
        <v>473.97500000000002</v>
      </c>
      <c r="O620" s="116">
        <v>463.3</v>
      </c>
      <c r="P620" s="116">
        <v>465.1</v>
      </c>
      <c r="Q620" s="116">
        <v>930.2</v>
      </c>
      <c r="R620">
        <v>7957020</v>
      </c>
    </row>
    <row r="621" spans="1:18" x14ac:dyDescent="0.25">
      <c r="A621" s="170">
        <v>42916</v>
      </c>
      <c r="B621" s="116">
        <v>468.95</v>
      </c>
      <c r="C621" s="116">
        <v>467.82499999999999</v>
      </c>
      <c r="D621" s="116">
        <v>463.5</v>
      </c>
      <c r="E621" s="116">
        <v>463.67500000000001</v>
      </c>
      <c r="F621" s="116">
        <v>935.65</v>
      </c>
      <c r="G621">
        <v>79652</v>
      </c>
      <c r="H621" s="116"/>
      <c r="I621" s="116"/>
      <c r="L621" s="170">
        <v>42916</v>
      </c>
      <c r="M621" s="116">
        <v>467.77499999999998</v>
      </c>
      <c r="N621" s="116">
        <v>469</v>
      </c>
      <c r="O621" s="116">
        <v>464.5</v>
      </c>
      <c r="P621" s="116">
        <v>465.4</v>
      </c>
      <c r="Q621" s="116">
        <v>935.55</v>
      </c>
      <c r="R621">
        <v>2108350</v>
      </c>
    </row>
    <row r="622" spans="1:18" x14ac:dyDescent="0.25">
      <c r="A622" s="170">
        <v>42919</v>
      </c>
      <c r="B622" s="116">
        <v>477</v>
      </c>
      <c r="C622" s="116">
        <v>475.7</v>
      </c>
      <c r="D622" s="116">
        <v>467.5</v>
      </c>
      <c r="E622" s="116">
        <v>467.5</v>
      </c>
      <c r="F622" s="116">
        <v>951.4</v>
      </c>
      <c r="G622">
        <v>120175</v>
      </c>
      <c r="H622" s="116"/>
      <c r="I622" s="116"/>
      <c r="L622" s="170">
        <v>42919</v>
      </c>
      <c r="M622" s="116">
        <v>475.95</v>
      </c>
      <c r="N622" s="116">
        <v>477.5</v>
      </c>
      <c r="O622" s="116">
        <v>467.3</v>
      </c>
      <c r="P622" s="116">
        <v>470.55</v>
      </c>
      <c r="Q622" s="116">
        <v>951.9</v>
      </c>
      <c r="R622">
        <v>2544462</v>
      </c>
    </row>
    <row r="623" spans="1:18" x14ac:dyDescent="0.25">
      <c r="A623" s="170">
        <v>42920</v>
      </c>
      <c r="B623" s="116">
        <v>483.9</v>
      </c>
      <c r="C623" s="116">
        <v>480.25</v>
      </c>
      <c r="D623" s="116">
        <v>474.85</v>
      </c>
      <c r="E623" s="116">
        <v>477.5</v>
      </c>
      <c r="F623" s="116">
        <v>960.5</v>
      </c>
      <c r="G623">
        <v>113219</v>
      </c>
      <c r="H623" s="116"/>
      <c r="I623" s="116"/>
      <c r="L623" s="170">
        <v>42920</v>
      </c>
      <c r="M623" s="116">
        <v>481.07499999999999</v>
      </c>
      <c r="N623" s="116">
        <v>485</v>
      </c>
      <c r="O623" s="116">
        <v>474.7</v>
      </c>
      <c r="P623" s="116">
        <v>476.92500000000001</v>
      </c>
      <c r="Q623" s="116">
        <v>962.15</v>
      </c>
      <c r="R623">
        <v>2583863</v>
      </c>
    </row>
    <row r="624" spans="1:18" x14ac:dyDescent="0.25">
      <c r="A624" s="170">
        <v>42921</v>
      </c>
      <c r="B624" s="116">
        <v>479.2</v>
      </c>
      <c r="C624" s="116">
        <v>475.52499999999998</v>
      </c>
      <c r="D624" s="116">
        <v>473.32499999999999</v>
      </c>
      <c r="E624" s="116">
        <v>477.8</v>
      </c>
      <c r="F624" s="116">
        <v>951.05</v>
      </c>
      <c r="G624">
        <v>95171</v>
      </c>
      <c r="H624" s="116"/>
      <c r="I624" s="116"/>
      <c r="L624" s="170">
        <v>42921</v>
      </c>
      <c r="M624" s="116">
        <v>475.45</v>
      </c>
      <c r="N624" s="116">
        <v>479.5</v>
      </c>
      <c r="O624" s="116">
        <v>472.7</v>
      </c>
      <c r="P624" s="116">
        <v>479.5</v>
      </c>
      <c r="Q624" s="116">
        <v>950.9</v>
      </c>
      <c r="R624">
        <v>2113114</v>
      </c>
    </row>
    <row r="625" spans="1:18" x14ac:dyDescent="0.25">
      <c r="A625" s="170">
        <v>42922</v>
      </c>
      <c r="B625" s="116">
        <v>478.5</v>
      </c>
      <c r="C625" s="116">
        <v>473.75</v>
      </c>
      <c r="D625" s="116">
        <v>472.15</v>
      </c>
      <c r="E625" s="116">
        <v>473</v>
      </c>
      <c r="F625" s="116">
        <v>947.5</v>
      </c>
      <c r="G625">
        <v>95135</v>
      </c>
      <c r="H625" s="116"/>
      <c r="I625" s="116"/>
      <c r="L625" s="170">
        <v>42922</v>
      </c>
      <c r="M625" s="116">
        <v>473.5</v>
      </c>
      <c r="N625" s="116">
        <v>478.5</v>
      </c>
      <c r="O625" s="116">
        <v>472.1</v>
      </c>
      <c r="P625" s="116">
        <v>472.5</v>
      </c>
      <c r="Q625" s="116">
        <v>947</v>
      </c>
      <c r="R625">
        <v>1914860</v>
      </c>
    </row>
    <row r="626" spans="1:18" x14ac:dyDescent="0.25">
      <c r="A626" s="170">
        <v>42923</v>
      </c>
      <c r="B626" s="116">
        <v>473.5</v>
      </c>
      <c r="C626" s="116">
        <v>468</v>
      </c>
      <c r="D626" s="116">
        <v>467.2</v>
      </c>
      <c r="E626" s="116">
        <v>472.5</v>
      </c>
      <c r="F626" s="116">
        <v>936</v>
      </c>
      <c r="G626">
        <v>169922</v>
      </c>
      <c r="H626" s="116"/>
      <c r="I626" s="116"/>
      <c r="L626" s="170">
        <v>42923</v>
      </c>
      <c r="M626" s="116">
        <v>467.7</v>
      </c>
      <c r="N626" s="116">
        <v>472.72500000000002</v>
      </c>
      <c r="O626" s="116">
        <v>466.52499999999998</v>
      </c>
      <c r="P626" s="116">
        <v>471.92500000000001</v>
      </c>
      <c r="Q626" s="116">
        <v>935.4</v>
      </c>
      <c r="R626">
        <v>2888443</v>
      </c>
    </row>
    <row r="627" spans="1:18" x14ac:dyDescent="0.25">
      <c r="A627" s="170">
        <v>42926</v>
      </c>
      <c r="B627" s="116">
        <v>480.22500000000002</v>
      </c>
      <c r="C627" s="116">
        <v>479.52499999999998</v>
      </c>
      <c r="D627" s="116">
        <v>470</v>
      </c>
      <c r="E627" s="116">
        <v>472.5</v>
      </c>
      <c r="F627" s="116">
        <v>959.05</v>
      </c>
      <c r="G627">
        <v>1107744</v>
      </c>
      <c r="H627" s="116"/>
      <c r="I627" s="116"/>
      <c r="L627" s="170">
        <v>42926</v>
      </c>
      <c r="M627" s="116">
        <v>478.52499999999998</v>
      </c>
      <c r="N627" s="116">
        <v>514.45000000000005</v>
      </c>
      <c r="O627" s="116">
        <v>468.65</v>
      </c>
      <c r="P627" s="116">
        <v>472.5</v>
      </c>
      <c r="Q627" s="116">
        <v>957.05</v>
      </c>
      <c r="R627">
        <v>847546</v>
      </c>
    </row>
    <row r="628" spans="1:18" x14ac:dyDescent="0.25">
      <c r="A628" s="170">
        <v>42927</v>
      </c>
      <c r="B628" s="116">
        <v>494.45</v>
      </c>
      <c r="C628" s="116">
        <v>487.9</v>
      </c>
      <c r="D628" s="116">
        <v>477.5</v>
      </c>
      <c r="E628" s="116">
        <v>477.5</v>
      </c>
      <c r="F628" s="116">
        <v>975.8</v>
      </c>
      <c r="G628">
        <v>273437</v>
      </c>
      <c r="H628" s="116"/>
      <c r="I628" s="116"/>
      <c r="L628" s="170">
        <v>42927</v>
      </c>
      <c r="M628" s="116">
        <v>487.67500000000001</v>
      </c>
      <c r="N628" s="116">
        <v>494.75</v>
      </c>
      <c r="O628" s="116">
        <v>478.32499999999999</v>
      </c>
      <c r="P628" s="116">
        <v>478.32499999999999</v>
      </c>
      <c r="Q628" s="116">
        <v>975.35</v>
      </c>
      <c r="R628">
        <v>5769854</v>
      </c>
    </row>
    <row r="629" spans="1:18" x14ac:dyDescent="0.25">
      <c r="A629" s="170">
        <v>42928</v>
      </c>
      <c r="B629" s="116">
        <v>490.27499999999998</v>
      </c>
      <c r="C629" s="116">
        <v>486.9</v>
      </c>
      <c r="D629" s="116">
        <v>484.77499999999998</v>
      </c>
      <c r="E629" s="116">
        <v>488</v>
      </c>
      <c r="F629" s="116">
        <v>973.8</v>
      </c>
      <c r="G629">
        <v>139213</v>
      </c>
      <c r="H629" s="116"/>
      <c r="I629" s="116"/>
      <c r="L629" s="170">
        <v>42928</v>
      </c>
      <c r="M629" s="116">
        <v>486.17500000000001</v>
      </c>
      <c r="N629" s="116">
        <v>490.75</v>
      </c>
      <c r="O629" s="116">
        <v>484.375</v>
      </c>
      <c r="P629" s="116">
        <v>487.47500000000002</v>
      </c>
      <c r="Q629" s="116">
        <v>972.35</v>
      </c>
      <c r="R629">
        <v>3137988</v>
      </c>
    </row>
    <row r="630" spans="1:18" x14ac:dyDescent="0.25">
      <c r="A630" s="170">
        <v>42929</v>
      </c>
      <c r="B630" s="116">
        <v>491.67500000000001</v>
      </c>
      <c r="C630" s="116">
        <v>488.15</v>
      </c>
      <c r="D630" s="116">
        <v>482.5</v>
      </c>
      <c r="E630" s="116">
        <v>486.97500000000002</v>
      </c>
      <c r="F630" s="116">
        <v>976.3</v>
      </c>
      <c r="G630">
        <v>324345</v>
      </c>
      <c r="H630" s="116"/>
      <c r="I630" s="116"/>
      <c r="L630" s="170">
        <v>42929</v>
      </c>
      <c r="M630" s="116">
        <v>488.52499999999998</v>
      </c>
      <c r="N630" s="116">
        <v>491.72500000000002</v>
      </c>
      <c r="O630" s="116">
        <v>482.05</v>
      </c>
      <c r="P630" s="116">
        <v>488.625</v>
      </c>
      <c r="Q630" s="116">
        <v>977.05</v>
      </c>
      <c r="R630">
        <v>2585196</v>
      </c>
    </row>
    <row r="631" spans="1:18" x14ac:dyDescent="0.25">
      <c r="A631" s="170">
        <v>42930</v>
      </c>
      <c r="B631" s="116">
        <v>503.32499999999999</v>
      </c>
      <c r="C631" s="116">
        <v>486.02499999999998</v>
      </c>
      <c r="D631" s="116">
        <v>484</v>
      </c>
      <c r="E631" s="116">
        <v>500</v>
      </c>
      <c r="F631" s="116">
        <v>972.05</v>
      </c>
      <c r="G631">
        <v>685437</v>
      </c>
      <c r="H631" s="116"/>
      <c r="I631" s="116"/>
      <c r="L631" s="170">
        <v>42930</v>
      </c>
      <c r="M631" s="116">
        <v>486.02499999999998</v>
      </c>
      <c r="N631" s="116">
        <v>503.42500000000001</v>
      </c>
      <c r="O631" s="116">
        <v>483.02499999999998</v>
      </c>
      <c r="P631" s="116">
        <v>499.72500000000002</v>
      </c>
      <c r="Q631" s="116">
        <v>972.05</v>
      </c>
      <c r="R631">
        <v>11239090</v>
      </c>
    </row>
    <row r="632" spans="1:18" x14ac:dyDescent="0.25">
      <c r="A632" s="170">
        <v>42933</v>
      </c>
      <c r="B632" s="116">
        <v>495.6</v>
      </c>
      <c r="C632" s="116">
        <v>492.67500000000001</v>
      </c>
      <c r="D632" s="116">
        <v>486.625</v>
      </c>
      <c r="E632" s="116">
        <v>486.625</v>
      </c>
      <c r="F632" s="116">
        <v>985.35</v>
      </c>
      <c r="G632">
        <v>170335</v>
      </c>
      <c r="H632" s="116"/>
      <c r="I632" s="116"/>
      <c r="L632" s="170">
        <v>42933</v>
      </c>
      <c r="M632" s="116">
        <v>492.02499999999998</v>
      </c>
      <c r="N632" s="116">
        <v>496</v>
      </c>
      <c r="O632" s="116">
        <v>487</v>
      </c>
      <c r="P632" s="116">
        <v>487.5</v>
      </c>
      <c r="Q632" s="116">
        <v>984.05</v>
      </c>
      <c r="R632">
        <v>3849125</v>
      </c>
    </row>
    <row r="633" spans="1:18" x14ac:dyDescent="0.25">
      <c r="A633" s="170">
        <v>42934</v>
      </c>
      <c r="B633" s="116">
        <v>502.15</v>
      </c>
      <c r="C633" s="116">
        <v>492.7</v>
      </c>
      <c r="D633" s="116">
        <v>490.75</v>
      </c>
      <c r="E633" s="116">
        <v>492.45</v>
      </c>
      <c r="F633" s="116">
        <v>985.4</v>
      </c>
      <c r="G633">
        <v>225616</v>
      </c>
      <c r="H633" s="116"/>
      <c r="I633" s="116"/>
      <c r="L633" s="170">
        <v>42934</v>
      </c>
      <c r="M633" s="116">
        <v>492.8</v>
      </c>
      <c r="N633" s="116">
        <v>502.4</v>
      </c>
      <c r="O633" s="116">
        <v>490.55</v>
      </c>
      <c r="P633" s="116">
        <v>493.02499999999998</v>
      </c>
      <c r="Q633" s="116">
        <v>985.6</v>
      </c>
      <c r="R633">
        <v>4130090</v>
      </c>
    </row>
    <row r="634" spans="1:18" x14ac:dyDescent="0.25">
      <c r="A634" s="170">
        <v>42935</v>
      </c>
      <c r="B634" s="116">
        <v>494.7</v>
      </c>
      <c r="C634" s="116">
        <v>489.95</v>
      </c>
      <c r="D634" s="116">
        <v>485</v>
      </c>
      <c r="E634" s="116">
        <v>494.5</v>
      </c>
      <c r="F634" s="116">
        <v>979.9</v>
      </c>
      <c r="G634">
        <v>162990</v>
      </c>
      <c r="H634" s="116"/>
      <c r="I634" s="116"/>
      <c r="L634" s="170">
        <v>42935</v>
      </c>
      <c r="M634" s="116">
        <v>489.92500000000001</v>
      </c>
      <c r="N634" s="116">
        <v>494.32499999999999</v>
      </c>
      <c r="O634" s="116">
        <v>484.55</v>
      </c>
      <c r="P634" s="116">
        <v>490.72500000000002</v>
      </c>
      <c r="Q634" s="116">
        <v>979.85</v>
      </c>
      <c r="R634">
        <v>2945139</v>
      </c>
    </row>
    <row r="635" spans="1:18" x14ac:dyDescent="0.25">
      <c r="A635" s="170">
        <v>42936</v>
      </c>
      <c r="B635" s="116">
        <v>490</v>
      </c>
      <c r="C635" s="116">
        <v>484.5</v>
      </c>
      <c r="D635" s="116">
        <v>483.52499999999998</v>
      </c>
      <c r="E635" s="116">
        <v>490</v>
      </c>
      <c r="F635" s="116">
        <v>969</v>
      </c>
      <c r="G635">
        <v>132110</v>
      </c>
      <c r="H635" s="116"/>
      <c r="I635" s="116"/>
      <c r="L635" s="170">
        <v>42936</v>
      </c>
      <c r="M635" s="116">
        <v>484.72500000000002</v>
      </c>
      <c r="N635" s="116">
        <v>489.92500000000001</v>
      </c>
      <c r="O635" s="116">
        <v>483.47500000000002</v>
      </c>
      <c r="P635" s="116">
        <v>489.65</v>
      </c>
      <c r="Q635" s="116">
        <v>969.45</v>
      </c>
      <c r="R635">
        <v>3404870</v>
      </c>
    </row>
    <row r="636" spans="1:18" x14ac:dyDescent="0.25">
      <c r="A636" s="170">
        <v>42937</v>
      </c>
      <c r="B636" s="116">
        <v>491.25</v>
      </c>
      <c r="C636" s="116">
        <v>489.95</v>
      </c>
      <c r="D636" s="116">
        <v>485.5</v>
      </c>
      <c r="E636" s="116">
        <v>485.5</v>
      </c>
      <c r="F636" s="116">
        <v>979.9</v>
      </c>
      <c r="G636">
        <v>120030</v>
      </c>
      <c r="H636" s="116"/>
      <c r="I636" s="116"/>
      <c r="L636" s="170">
        <v>42937</v>
      </c>
      <c r="M636" s="116">
        <v>490.05</v>
      </c>
      <c r="N636" s="116">
        <v>491.27499999999998</v>
      </c>
      <c r="O636" s="116">
        <v>485.7</v>
      </c>
      <c r="P636" s="116">
        <v>486.5</v>
      </c>
      <c r="Q636" s="116">
        <v>980.1</v>
      </c>
      <c r="R636">
        <v>2990377</v>
      </c>
    </row>
    <row r="637" spans="1:18" x14ac:dyDescent="0.25">
      <c r="A637" s="170">
        <v>42940</v>
      </c>
      <c r="B637" s="116">
        <v>496.875</v>
      </c>
      <c r="C637" s="116">
        <v>495.6</v>
      </c>
      <c r="D637" s="116">
        <v>490.55</v>
      </c>
      <c r="E637" s="116">
        <v>490.55</v>
      </c>
      <c r="F637" s="116">
        <v>991.2</v>
      </c>
      <c r="G637">
        <v>486862</v>
      </c>
      <c r="H637" s="116"/>
      <c r="I637" s="116"/>
      <c r="L637" s="170">
        <v>42940</v>
      </c>
      <c r="M637" s="116">
        <v>495.27499999999998</v>
      </c>
      <c r="N637" s="116">
        <v>497</v>
      </c>
      <c r="O637" s="116">
        <v>491.3</v>
      </c>
      <c r="P637" s="116">
        <v>491.75</v>
      </c>
      <c r="Q637" s="116">
        <v>990.55</v>
      </c>
      <c r="R637">
        <v>3064588</v>
      </c>
    </row>
    <row r="638" spans="1:18" x14ac:dyDescent="0.25">
      <c r="A638" s="170">
        <v>42941</v>
      </c>
      <c r="B638" s="116">
        <v>499.5</v>
      </c>
      <c r="C638" s="116">
        <v>497.07499999999999</v>
      </c>
      <c r="D638" s="116">
        <v>493.125</v>
      </c>
      <c r="E638" s="116">
        <v>495.5</v>
      </c>
      <c r="F638" s="116">
        <v>994.15</v>
      </c>
      <c r="G638">
        <v>128162</v>
      </c>
      <c r="H638" s="116"/>
      <c r="I638" s="116"/>
      <c r="L638" s="170">
        <v>42941</v>
      </c>
      <c r="M638" s="116">
        <v>496.92500000000001</v>
      </c>
      <c r="N638" s="116">
        <v>499.5</v>
      </c>
      <c r="O638" s="116">
        <v>493.1</v>
      </c>
      <c r="P638" s="116">
        <v>495</v>
      </c>
      <c r="Q638" s="116">
        <v>993.85</v>
      </c>
      <c r="R638">
        <v>3572807</v>
      </c>
    </row>
    <row r="639" spans="1:18" x14ac:dyDescent="0.25">
      <c r="A639" s="170">
        <v>42942</v>
      </c>
      <c r="B639" s="116">
        <v>499.5</v>
      </c>
      <c r="C639" s="116">
        <v>496.875</v>
      </c>
      <c r="D639" s="116">
        <v>495.55</v>
      </c>
      <c r="E639" s="116">
        <v>498</v>
      </c>
      <c r="F639" s="116">
        <v>993.75</v>
      </c>
      <c r="G639">
        <v>1200097</v>
      </c>
      <c r="H639" s="116"/>
      <c r="I639" s="116"/>
      <c r="L639" s="170">
        <v>42942</v>
      </c>
      <c r="M639" s="116">
        <v>497.02499999999998</v>
      </c>
      <c r="N639" s="116">
        <v>499.5</v>
      </c>
      <c r="O639" s="116">
        <v>495.2</v>
      </c>
      <c r="P639" s="116">
        <v>499.05</v>
      </c>
      <c r="Q639" s="116">
        <v>994.05</v>
      </c>
      <c r="R639">
        <v>3435012</v>
      </c>
    </row>
    <row r="640" spans="1:18" x14ac:dyDescent="0.25">
      <c r="A640" s="170">
        <v>42943</v>
      </c>
      <c r="B640" s="116">
        <v>501.875</v>
      </c>
      <c r="C640" s="116">
        <v>486.15</v>
      </c>
      <c r="D640" s="116">
        <v>484</v>
      </c>
      <c r="E640" s="116">
        <v>497</v>
      </c>
      <c r="F640" s="116">
        <v>972.3</v>
      </c>
      <c r="G640">
        <v>205819</v>
      </c>
      <c r="H640" s="116"/>
      <c r="I640" s="116"/>
      <c r="L640" s="170">
        <v>42943</v>
      </c>
      <c r="M640" s="116">
        <v>485.52499999999998</v>
      </c>
      <c r="N640" s="116">
        <v>502</v>
      </c>
      <c r="O640" s="116">
        <v>483.4</v>
      </c>
      <c r="P640" s="116">
        <v>498</v>
      </c>
      <c r="Q640" s="116">
        <v>971.05</v>
      </c>
      <c r="R640">
        <v>6338426</v>
      </c>
    </row>
    <row r="641" spans="1:18" x14ac:dyDescent="0.25">
      <c r="A641" s="170">
        <v>42944</v>
      </c>
      <c r="B641" s="116">
        <v>501</v>
      </c>
      <c r="C641" s="116">
        <v>498.92500000000001</v>
      </c>
      <c r="D641" s="116">
        <v>481.5</v>
      </c>
      <c r="E641" s="116">
        <v>490</v>
      </c>
      <c r="F641" s="116">
        <v>997.85</v>
      </c>
      <c r="G641">
        <v>447702</v>
      </c>
      <c r="H641" s="116"/>
      <c r="I641" s="116"/>
      <c r="L641" s="170">
        <v>42944</v>
      </c>
      <c r="M641" s="116">
        <v>498.67500000000001</v>
      </c>
      <c r="N641" s="116">
        <v>501.5</v>
      </c>
      <c r="O641" s="116">
        <v>481.15</v>
      </c>
      <c r="P641" s="116">
        <v>488</v>
      </c>
      <c r="Q641" s="116">
        <v>997.35</v>
      </c>
      <c r="R641">
        <v>5549214</v>
      </c>
    </row>
    <row r="642" spans="1:18" x14ac:dyDescent="0.25">
      <c r="A642" s="170">
        <v>42947</v>
      </c>
      <c r="B642" s="116">
        <v>510.5</v>
      </c>
      <c r="C642" s="116">
        <v>505.65</v>
      </c>
      <c r="D642" s="116">
        <v>493.67500000000001</v>
      </c>
      <c r="E642" s="116">
        <v>498.92500000000001</v>
      </c>
      <c r="F642" s="116">
        <v>1011.3</v>
      </c>
      <c r="G642">
        <v>312052</v>
      </c>
      <c r="H642" s="116"/>
      <c r="I642" s="116"/>
      <c r="L642" s="170">
        <v>42947</v>
      </c>
      <c r="M642" s="116">
        <v>505.6</v>
      </c>
      <c r="N642" s="116">
        <v>510.85</v>
      </c>
      <c r="O642" s="116">
        <v>493.375</v>
      </c>
      <c r="P642" s="116">
        <v>495.95</v>
      </c>
      <c r="Q642" s="116">
        <v>1011.2</v>
      </c>
      <c r="R642">
        <v>9579124</v>
      </c>
    </row>
    <row r="643" spans="1:18" x14ac:dyDescent="0.25">
      <c r="A643" s="170">
        <v>42948</v>
      </c>
      <c r="B643" s="116">
        <v>508.47500000000002</v>
      </c>
      <c r="C643" s="116">
        <v>502.5</v>
      </c>
      <c r="D643" s="116">
        <v>499.22500000000002</v>
      </c>
      <c r="E643" s="116">
        <v>503.5</v>
      </c>
      <c r="F643" s="116">
        <v>1005</v>
      </c>
      <c r="G643">
        <v>80143</v>
      </c>
      <c r="H643" s="116"/>
      <c r="I643" s="116"/>
      <c r="L643" s="170">
        <v>42948</v>
      </c>
      <c r="M643" s="116">
        <v>502.77499999999998</v>
      </c>
      <c r="N643" s="116">
        <v>508.5</v>
      </c>
      <c r="O643" s="116">
        <v>499.17500000000001</v>
      </c>
      <c r="P643" s="116">
        <v>505.5</v>
      </c>
      <c r="Q643" s="116">
        <v>1005.55</v>
      </c>
      <c r="R643">
        <v>3844699</v>
      </c>
    </row>
    <row r="644" spans="1:18" x14ac:dyDescent="0.25">
      <c r="A644" s="170">
        <v>42949</v>
      </c>
      <c r="B644" s="116">
        <v>506</v>
      </c>
      <c r="C644" s="116">
        <v>496.22500000000002</v>
      </c>
      <c r="D644" s="116">
        <v>494.1</v>
      </c>
      <c r="E644" s="116">
        <v>502.5</v>
      </c>
      <c r="F644" s="116">
        <v>992.45</v>
      </c>
      <c r="G644">
        <v>92537</v>
      </c>
      <c r="H644" s="116"/>
      <c r="I644" s="116"/>
      <c r="L644" s="170">
        <v>42949</v>
      </c>
      <c r="M644" s="116">
        <v>496.67500000000001</v>
      </c>
      <c r="N644" s="116">
        <v>506.375</v>
      </c>
      <c r="O644" s="116">
        <v>493.6</v>
      </c>
      <c r="P644" s="116">
        <v>503</v>
      </c>
      <c r="Q644" s="116">
        <v>993.35</v>
      </c>
      <c r="R644">
        <v>2128792</v>
      </c>
    </row>
    <row r="645" spans="1:18" x14ac:dyDescent="0.25">
      <c r="A645" s="170">
        <v>42950</v>
      </c>
      <c r="B645" s="116">
        <v>499.4</v>
      </c>
      <c r="C645" s="116">
        <v>491.8</v>
      </c>
      <c r="D645" s="116">
        <v>490.5</v>
      </c>
      <c r="E645" s="116">
        <v>496.22500000000002</v>
      </c>
      <c r="F645" s="116">
        <v>983.6</v>
      </c>
      <c r="G645">
        <v>76846</v>
      </c>
      <c r="H645" s="116"/>
      <c r="I645" s="116"/>
      <c r="L645" s="170">
        <v>42950</v>
      </c>
      <c r="M645" s="116">
        <v>492</v>
      </c>
      <c r="N645" s="116">
        <v>499.375</v>
      </c>
      <c r="O645" s="116">
        <v>490.125</v>
      </c>
      <c r="P645" s="116">
        <v>495.5</v>
      </c>
      <c r="Q645" s="116">
        <v>984</v>
      </c>
      <c r="R645">
        <v>2320174</v>
      </c>
    </row>
    <row r="646" spans="1:18" x14ac:dyDescent="0.25">
      <c r="A646" s="170">
        <v>42951</v>
      </c>
      <c r="B646" s="116">
        <v>494.3</v>
      </c>
      <c r="C646" s="116">
        <v>492.67500000000001</v>
      </c>
      <c r="D646" s="116">
        <v>488.65</v>
      </c>
      <c r="E646" s="116">
        <v>492.6</v>
      </c>
      <c r="F646" s="116">
        <v>985.35</v>
      </c>
      <c r="G646">
        <v>69895</v>
      </c>
      <c r="H646" s="116"/>
      <c r="I646" s="116"/>
      <c r="L646" s="170">
        <v>42951</v>
      </c>
      <c r="M646" s="116">
        <v>491.875</v>
      </c>
      <c r="N646" s="116">
        <v>494.5</v>
      </c>
      <c r="O646" s="116">
        <v>488.02499999999998</v>
      </c>
      <c r="P646" s="116">
        <v>494</v>
      </c>
      <c r="Q646" s="116">
        <v>983.75</v>
      </c>
      <c r="R646">
        <v>2674509</v>
      </c>
    </row>
    <row r="647" spans="1:18" x14ac:dyDescent="0.25">
      <c r="A647" s="170">
        <v>42954</v>
      </c>
      <c r="B647" s="116">
        <v>491.82499999999999</v>
      </c>
      <c r="C647" s="116">
        <v>484.07499999999999</v>
      </c>
      <c r="D647" s="116">
        <v>483</v>
      </c>
      <c r="E647" s="116">
        <v>491</v>
      </c>
      <c r="F647" s="116">
        <v>968.15</v>
      </c>
      <c r="G647">
        <v>104979</v>
      </c>
      <c r="H647" s="116"/>
      <c r="I647" s="116"/>
      <c r="L647" s="170">
        <v>42954</v>
      </c>
      <c r="M647" s="116">
        <v>484.125</v>
      </c>
      <c r="N647" s="116">
        <v>491.875</v>
      </c>
      <c r="O647" s="116">
        <v>482.85</v>
      </c>
      <c r="P647" s="116">
        <v>491.75</v>
      </c>
      <c r="Q647" s="116">
        <v>968.25</v>
      </c>
      <c r="R647">
        <v>3036872</v>
      </c>
    </row>
    <row r="648" spans="1:18" x14ac:dyDescent="0.25">
      <c r="A648" s="170">
        <v>42955</v>
      </c>
      <c r="B648" s="116">
        <v>485.52499999999998</v>
      </c>
      <c r="C648" s="116">
        <v>482.3</v>
      </c>
      <c r="D648" s="116">
        <v>477.77499999999998</v>
      </c>
      <c r="E648" s="116">
        <v>485</v>
      </c>
      <c r="F648" s="116">
        <v>964.6</v>
      </c>
      <c r="G648">
        <v>104566</v>
      </c>
      <c r="H648" s="116"/>
      <c r="I648" s="116"/>
      <c r="L648" s="170">
        <v>42955</v>
      </c>
      <c r="M648" s="116">
        <v>481.92500000000001</v>
      </c>
      <c r="N648" s="116">
        <v>485.125</v>
      </c>
      <c r="O648" s="116">
        <v>477.52499999999998</v>
      </c>
      <c r="P648" s="116">
        <v>484.25</v>
      </c>
      <c r="Q648" s="116">
        <v>963.85</v>
      </c>
      <c r="R648">
        <v>3002324</v>
      </c>
    </row>
    <row r="649" spans="1:18" x14ac:dyDescent="0.25">
      <c r="A649" s="170">
        <v>42956</v>
      </c>
      <c r="B649" s="116">
        <v>486.8</v>
      </c>
      <c r="C649" s="116">
        <v>484.72500000000002</v>
      </c>
      <c r="D649" s="116">
        <v>482.27499999999998</v>
      </c>
      <c r="E649" s="116">
        <v>483.125</v>
      </c>
      <c r="F649" s="116">
        <v>969.45</v>
      </c>
      <c r="G649">
        <v>84569</v>
      </c>
      <c r="H649" s="116"/>
      <c r="I649" s="116"/>
      <c r="L649" s="170">
        <v>42956</v>
      </c>
      <c r="M649" s="116">
        <v>484.67500000000001</v>
      </c>
      <c r="N649" s="116">
        <v>486.95</v>
      </c>
      <c r="O649" s="116">
        <v>482.27499999999998</v>
      </c>
      <c r="P649" s="116">
        <v>483.82499999999999</v>
      </c>
      <c r="Q649" s="116">
        <v>969.35</v>
      </c>
      <c r="R649">
        <v>1961205</v>
      </c>
    </row>
    <row r="650" spans="1:18" x14ac:dyDescent="0.25">
      <c r="A650" s="170">
        <v>42957</v>
      </c>
      <c r="B650" s="116">
        <v>494</v>
      </c>
      <c r="C650" s="116">
        <v>491.25</v>
      </c>
      <c r="D650" s="116">
        <v>485</v>
      </c>
      <c r="E650" s="116">
        <v>485.95</v>
      </c>
      <c r="F650" s="116">
        <v>982.5</v>
      </c>
      <c r="G650">
        <v>260085</v>
      </c>
      <c r="H650" s="116"/>
      <c r="I650" s="116"/>
      <c r="L650" s="170">
        <v>42957</v>
      </c>
      <c r="M650" s="116">
        <v>490.625</v>
      </c>
      <c r="N650" s="116">
        <v>493.75</v>
      </c>
      <c r="O650" s="116">
        <v>484.67500000000001</v>
      </c>
      <c r="P650" s="116">
        <v>484.95</v>
      </c>
      <c r="Q650" s="116">
        <v>981.25</v>
      </c>
      <c r="R650">
        <v>4570342</v>
      </c>
    </row>
    <row r="651" spans="1:18" x14ac:dyDescent="0.25">
      <c r="A651" s="170">
        <v>42958</v>
      </c>
      <c r="B651" s="116">
        <v>497.8</v>
      </c>
      <c r="C651" s="116">
        <v>493.875</v>
      </c>
      <c r="D651" s="116">
        <v>484.77499999999998</v>
      </c>
      <c r="E651" s="116">
        <v>488.5</v>
      </c>
      <c r="F651" s="116">
        <v>987.75</v>
      </c>
      <c r="G651">
        <v>154195</v>
      </c>
      <c r="H651" s="116"/>
      <c r="I651" s="116"/>
      <c r="L651" s="170">
        <v>42958</v>
      </c>
      <c r="M651" s="116">
        <v>493.85</v>
      </c>
      <c r="N651" s="116">
        <v>498.5</v>
      </c>
      <c r="O651" s="116">
        <v>484.8</v>
      </c>
      <c r="P651" s="116">
        <v>488</v>
      </c>
      <c r="Q651" s="116">
        <v>987.7</v>
      </c>
      <c r="R651">
        <v>3272078</v>
      </c>
    </row>
    <row r="652" spans="1:18" x14ac:dyDescent="0.25">
      <c r="A652" s="170">
        <v>42961</v>
      </c>
      <c r="B652" s="116">
        <v>493.875</v>
      </c>
      <c r="C652" s="116">
        <v>489.72500000000002</v>
      </c>
      <c r="D652" s="116">
        <v>488.15</v>
      </c>
      <c r="E652" s="116">
        <v>492.57499999999999</v>
      </c>
      <c r="F652" s="116">
        <v>979.45</v>
      </c>
      <c r="G652">
        <v>77805</v>
      </c>
      <c r="H652" s="116"/>
      <c r="I652" s="116"/>
      <c r="L652" s="170">
        <v>42961</v>
      </c>
      <c r="M652" s="116">
        <v>490.72500000000002</v>
      </c>
      <c r="N652" s="116">
        <v>494.6</v>
      </c>
      <c r="O652" s="116">
        <v>488.57499999999999</v>
      </c>
      <c r="P652" s="116">
        <v>494</v>
      </c>
      <c r="Q652" s="116">
        <v>981.45</v>
      </c>
      <c r="R652">
        <v>1908235</v>
      </c>
    </row>
    <row r="653" spans="1:18" x14ac:dyDescent="0.25">
      <c r="A653" s="170">
        <v>42963</v>
      </c>
      <c r="B653" s="116">
        <v>493.05</v>
      </c>
      <c r="C653" s="116">
        <v>488.4</v>
      </c>
      <c r="D653" s="116">
        <v>485</v>
      </c>
      <c r="E653" s="116">
        <v>492</v>
      </c>
      <c r="F653" s="116">
        <v>976.8</v>
      </c>
      <c r="G653">
        <v>90238</v>
      </c>
      <c r="H653" s="116"/>
      <c r="I653" s="116"/>
      <c r="L653" s="170">
        <v>42963</v>
      </c>
      <c r="M653" s="116">
        <v>487.6</v>
      </c>
      <c r="N653" s="116">
        <v>493.05</v>
      </c>
      <c r="O653" s="116">
        <v>484.5</v>
      </c>
      <c r="P653" s="116">
        <v>491</v>
      </c>
      <c r="Q653" s="116">
        <v>975.2</v>
      </c>
      <c r="R653">
        <v>3089040</v>
      </c>
    </row>
    <row r="654" spans="1:18" x14ac:dyDescent="0.25">
      <c r="A654" s="170">
        <v>42964</v>
      </c>
      <c r="B654" s="116">
        <v>514.45000000000005</v>
      </c>
      <c r="C654" s="116">
        <v>510.57499999999999</v>
      </c>
      <c r="D654" s="116">
        <v>499</v>
      </c>
      <c r="E654" s="116">
        <v>505</v>
      </c>
      <c r="F654" s="116">
        <v>1021.15</v>
      </c>
      <c r="G654">
        <v>532195</v>
      </c>
      <c r="H654" s="116"/>
      <c r="I654" s="116"/>
      <c r="L654" s="170">
        <v>42964</v>
      </c>
      <c r="M654" s="116">
        <v>510.42500000000001</v>
      </c>
      <c r="N654" s="116">
        <v>514.625</v>
      </c>
      <c r="O654" s="116">
        <v>499.02499999999998</v>
      </c>
      <c r="P654" s="116">
        <v>502.5</v>
      </c>
      <c r="Q654" s="116">
        <v>1020.85</v>
      </c>
      <c r="R654">
        <v>12892130</v>
      </c>
    </row>
    <row r="655" spans="1:18" x14ac:dyDescent="0.25">
      <c r="A655" s="170">
        <v>42965</v>
      </c>
      <c r="B655" s="116">
        <v>510.75</v>
      </c>
      <c r="C655" s="116">
        <v>461.55</v>
      </c>
      <c r="D655" s="116">
        <v>442.2</v>
      </c>
      <c r="E655" s="116">
        <v>510.75</v>
      </c>
      <c r="F655" s="116">
        <v>923.1</v>
      </c>
      <c r="G655">
        <v>8157426</v>
      </c>
      <c r="H655" s="116"/>
      <c r="I655" s="116"/>
      <c r="L655" s="170">
        <v>42965</v>
      </c>
      <c r="M655" s="116">
        <v>461.625</v>
      </c>
      <c r="N655" s="116">
        <v>508.95</v>
      </c>
      <c r="O655" s="116">
        <v>442.1</v>
      </c>
      <c r="P655" s="116">
        <v>508.95</v>
      </c>
      <c r="Q655" s="116">
        <v>923.25</v>
      </c>
      <c r="R655">
        <v>82202480</v>
      </c>
    </row>
    <row r="656" spans="1:18" x14ac:dyDescent="0.25">
      <c r="A656" s="170">
        <v>42968</v>
      </c>
      <c r="B656" s="116">
        <v>464.5</v>
      </c>
      <c r="C656" s="116">
        <v>436.75</v>
      </c>
      <c r="D656" s="116">
        <v>435</v>
      </c>
      <c r="E656" s="116">
        <v>464.5</v>
      </c>
      <c r="F656" s="116">
        <v>873.5</v>
      </c>
      <c r="G656">
        <v>4476699</v>
      </c>
      <c r="H656" s="116"/>
      <c r="I656" s="116"/>
      <c r="L656" s="170">
        <v>42968</v>
      </c>
      <c r="M656" s="116">
        <v>436.7</v>
      </c>
      <c r="N656" s="116">
        <v>462</v>
      </c>
      <c r="O656" s="116">
        <v>435</v>
      </c>
      <c r="P656" s="116">
        <v>462</v>
      </c>
      <c r="Q656" s="116">
        <v>873.4</v>
      </c>
      <c r="R656">
        <v>45203588</v>
      </c>
    </row>
    <row r="657" spans="1:18" x14ac:dyDescent="0.25">
      <c r="A657" s="170">
        <v>42969</v>
      </c>
      <c r="B657" s="116">
        <v>448.5</v>
      </c>
      <c r="C657" s="116">
        <v>438.57499999999999</v>
      </c>
      <c r="D657" s="116">
        <v>430.75</v>
      </c>
      <c r="E657" s="116">
        <v>446.25</v>
      </c>
      <c r="F657" s="116">
        <v>877.15</v>
      </c>
      <c r="G657">
        <v>1967963</v>
      </c>
      <c r="H657" s="116"/>
      <c r="I657" s="116"/>
      <c r="L657" s="170">
        <v>42969</v>
      </c>
      <c r="M657" s="116">
        <v>437.7</v>
      </c>
      <c r="N657" s="116">
        <v>448.52499999999998</v>
      </c>
      <c r="O657" s="116">
        <v>430</v>
      </c>
      <c r="P657" s="116">
        <v>447.6</v>
      </c>
      <c r="Q657" s="116">
        <v>875.4</v>
      </c>
      <c r="R657">
        <v>24621299</v>
      </c>
    </row>
    <row r="658" spans="1:18" x14ac:dyDescent="0.25">
      <c r="A658" s="170">
        <v>42970</v>
      </c>
      <c r="B658" s="116">
        <v>452</v>
      </c>
      <c r="C658" s="116">
        <v>447.25</v>
      </c>
      <c r="D658" s="116">
        <v>437.27499999999998</v>
      </c>
      <c r="E658" s="116">
        <v>440.55</v>
      </c>
      <c r="F658" s="116">
        <v>894.5</v>
      </c>
      <c r="G658">
        <v>2121468</v>
      </c>
      <c r="H658" s="116"/>
      <c r="I658" s="116"/>
      <c r="L658" s="170">
        <v>42970</v>
      </c>
      <c r="M658" s="116">
        <v>446.4</v>
      </c>
      <c r="N658" s="116">
        <v>451.85</v>
      </c>
      <c r="O658" s="116">
        <v>436.95</v>
      </c>
      <c r="P658" s="116">
        <v>440</v>
      </c>
      <c r="Q658" s="116">
        <v>892.8</v>
      </c>
      <c r="R658">
        <v>30642095</v>
      </c>
    </row>
    <row r="659" spans="1:18" x14ac:dyDescent="0.25">
      <c r="A659" s="170">
        <v>42971</v>
      </c>
      <c r="B659" s="116">
        <v>459.4</v>
      </c>
      <c r="C659" s="116">
        <v>456.25</v>
      </c>
      <c r="D659" s="116">
        <v>451.17500000000001</v>
      </c>
      <c r="E659" s="116">
        <v>453.5</v>
      </c>
      <c r="F659" s="116">
        <v>912.5</v>
      </c>
      <c r="G659">
        <v>1304177</v>
      </c>
      <c r="H659" s="116"/>
      <c r="I659" s="116"/>
      <c r="L659" s="170">
        <v>42971</v>
      </c>
      <c r="M659" s="116">
        <v>456.07499999999999</v>
      </c>
      <c r="N659" s="116">
        <v>459.125</v>
      </c>
      <c r="O659" s="116">
        <v>451.17500000000001</v>
      </c>
      <c r="P659" s="116">
        <v>455</v>
      </c>
      <c r="Q659" s="116">
        <v>912.15</v>
      </c>
      <c r="R659">
        <v>21190262</v>
      </c>
    </row>
    <row r="660" spans="1:18" x14ac:dyDescent="0.25">
      <c r="A660" s="170">
        <v>42975</v>
      </c>
      <c r="B660" s="116">
        <v>476.75</v>
      </c>
      <c r="C660" s="116">
        <v>470.57499999999999</v>
      </c>
      <c r="D660" s="116">
        <v>468.95</v>
      </c>
      <c r="E660" s="116">
        <v>473.5</v>
      </c>
      <c r="F660" s="116">
        <v>941.15</v>
      </c>
      <c r="G660">
        <v>1421709</v>
      </c>
      <c r="H660" s="116"/>
      <c r="I660" s="116"/>
      <c r="L660" s="170">
        <v>42975</v>
      </c>
      <c r="M660" s="116">
        <v>470.5</v>
      </c>
      <c r="N660" s="116">
        <v>476.97500000000002</v>
      </c>
      <c r="O660" s="116">
        <v>469</v>
      </c>
      <c r="P660" s="116">
        <v>471.97500000000002</v>
      </c>
      <c r="Q660" s="116">
        <v>941</v>
      </c>
      <c r="R660">
        <v>20356054</v>
      </c>
    </row>
    <row r="661" spans="1:18" x14ac:dyDescent="0.25">
      <c r="A661" s="170">
        <v>42976</v>
      </c>
      <c r="B661" s="116">
        <v>471.7</v>
      </c>
      <c r="C661" s="116">
        <v>463.77499999999998</v>
      </c>
      <c r="D661" s="116">
        <v>463</v>
      </c>
      <c r="E661" s="116">
        <v>471.7</v>
      </c>
      <c r="F661" s="116">
        <v>927.55</v>
      </c>
      <c r="G661">
        <v>603822</v>
      </c>
      <c r="H661" s="116"/>
      <c r="I661" s="116"/>
      <c r="L661" s="170">
        <v>42976</v>
      </c>
      <c r="M661" s="116">
        <v>463.72500000000002</v>
      </c>
      <c r="N661" s="116">
        <v>471</v>
      </c>
      <c r="O661" s="116">
        <v>462.77499999999998</v>
      </c>
      <c r="P661" s="116">
        <v>470.72500000000002</v>
      </c>
      <c r="Q661" s="116">
        <v>927.45</v>
      </c>
      <c r="R661">
        <v>6684696</v>
      </c>
    </row>
    <row r="662" spans="1:18" x14ac:dyDescent="0.25">
      <c r="A662" s="170">
        <v>42977</v>
      </c>
      <c r="B662" s="116">
        <v>469.77499999999998</v>
      </c>
      <c r="C662" s="116">
        <v>463.32499999999999</v>
      </c>
      <c r="D662" s="116">
        <v>462</v>
      </c>
      <c r="E662" s="116">
        <v>467.55</v>
      </c>
      <c r="F662" s="116">
        <v>926.65</v>
      </c>
      <c r="G662">
        <v>404166</v>
      </c>
      <c r="H662" s="116"/>
      <c r="I662" s="116"/>
      <c r="L662" s="170">
        <v>42977</v>
      </c>
      <c r="M662" s="116">
        <v>463.32499999999999</v>
      </c>
      <c r="N662" s="116">
        <v>469.5</v>
      </c>
      <c r="O662" s="116">
        <v>462.05</v>
      </c>
      <c r="P662" s="116">
        <v>468.6</v>
      </c>
      <c r="Q662" s="116">
        <v>926.65</v>
      </c>
      <c r="R662">
        <v>8074832</v>
      </c>
    </row>
    <row r="663" spans="1:18" x14ac:dyDescent="0.25">
      <c r="A663" s="170">
        <v>42978</v>
      </c>
      <c r="B663" s="116">
        <v>466.35</v>
      </c>
      <c r="C663" s="116">
        <v>457.65</v>
      </c>
      <c r="D663" s="116">
        <v>456.35</v>
      </c>
      <c r="E663" s="116">
        <v>464</v>
      </c>
      <c r="F663" s="116">
        <v>915.3</v>
      </c>
      <c r="G663">
        <v>994749</v>
      </c>
      <c r="H663" s="116"/>
      <c r="I663" s="116"/>
      <c r="L663" s="170">
        <v>42978</v>
      </c>
      <c r="M663" s="116">
        <v>457.47500000000002</v>
      </c>
      <c r="N663" s="116">
        <v>464.47500000000002</v>
      </c>
      <c r="O663" s="116">
        <v>456.45</v>
      </c>
      <c r="P663" s="116">
        <v>464.4</v>
      </c>
      <c r="Q663" s="116">
        <v>914.95</v>
      </c>
      <c r="R663">
        <v>7511226</v>
      </c>
    </row>
    <row r="664" spans="1:18" x14ac:dyDescent="0.25">
      <c r="A664" s="170">
        <v>42979</v>
      </c>
      <c r="B664" s="116">
        <v>463.1</v>
      </c>
      <c r="C664" s="116">
        <v>460.05</v>
      </c>
      <c r="D664" s="116">
        <v>455.125</v>
      </c>
      <c r="E664" s="116">
        <v>457.6</v>
      </c>
      <c r="F664" s="116">
        <v>920.1</v>
      </c>
      <c r="G664">
        <v>298495</v>
      </c>
      <c r="H664" s="116"/>
      <c r="I664" s="116"/>
      <c r="L664" s="170">
        <v>42979</v>
      </c>
      <c r="M664" s="116">
        <v>459.97500000000002</v>
      </c>
      <c r="N664" s="116">
        <v>462.95</v>
      </c>
      <c r="O664" s="116">
        <v>455</v>
      </c>
      <c r="P664" s="116">
        <v>457.97500000000002</v>
      </c>
      <c r="Q664" s="116">
        <v>919.95</v>
      </c>
      <c r="R664">
        <v>4216961</v>
      </c>
    </row>
    <row r="665" spans="1:18" x14ac:dyDescent="0.25">
      <c r="A665" s="170">
        <v>42982</v>
      </c>
      <c r="B665" s="116">
        <v>460.875</v>
      </c>
      <c r="C665" s="116">
        <v>450.65</v>
      </c>
      <c r="D665" s="116">
        <v>446.8</v>
      </c>
      <c r="E665" s="116">
        <v>460.625</v>
      </c>
      <c r="F665" s="116">
        <v>901.3</v>
      </c>
      <c r="G665">
        <v>587084</v>
      </c>
      <c r="H665" s="116"/>
      <c r="I665" s="116"/>
      <c r="L665" s="170">
        <v>42982</v>
      </c>
      <c r="M665" s="116">
        <v>450.1</v>
      </c>
      <c r="N665" s="116">
        <v>460.55</v>
      </c>
      <c r="O665" s="116">
        <v>446.75</v>
      </c>
      <c r="P665" s="116">
        <v>460.5</v>
      </c>
      <c r="Q665" s="116">
        <v>900.2</v>
      </c>
      <c r="R665">
        <v>5088554</v>
      </c>
    </row>
    <row r="666" spans="1:18" x14ac:dyDescent="0.25">
      <c r="A666" s="170">
        <v>42983</v>
      </c>
      <c r="B666" s="116">
        <v>452.25</v>
      </c>
      <c r="C666" s="116">
        <v>450.55</v>
      </c>
      <c r="D666" s="116">
        <v>448.625</v>
      </c>
      <c r="E666" s="116">
        <v>451.67500000000001</v>
      </c>
      <c r="F666" s="116">
        <v>901.1</v>
      </c>
      <c r="G666">
        <v>347416</v>
      </c>
      <c r="H666" s="116"/>
      <c r="I666" s="116"/>
      <c r="L666" s="170">
        <v>42983</v>
      </c>
      <c r="M666" s="116">
        <v>450.95</v>
      </c>
      <c r="N666" s="116">
        <v>452.5</v>
      </c>
      <c r="O666" s="116">
        <v>448.625</v>
      </c>
      <c r="P666" s="116">
        <v>451</v>
      </c>
      <c r="Q666" s="116">
        <v>901.9</v>
      </c>
      <c r="R666">
        <v>4891696</v>
      </c>
    </row>
    <row r="667" spans="1:18" x14ac:dyDescent="0.25">
      <c r="A667" s="170">
        <v>42984</v>
      </c>
      <c r="B667" s="116">
        <v>450</v>
      </c>
      <c r="C667" s="116">
        <v>447.85</v>
      </c>
      <c r="D667" s="116">
        <v>445.125</v>
      </c>
      <c r="E667" s="116">
        <v>449.5</v>
      </c>
      <c r="F667" s="116">
        <v>895.7</v>
      </c>
      <c r="G667">
        <v>439334</v>
      </c>
      <c r="H667" s="116"/>
      <c r="I667" s="116"/>
      <c r="L667" s="170">
        <v>42984</v>
      </c>
      <c r="M667" s="116">
        <v>447.8</v>
      </c>
      <c r="N667" s="116">
        <v>450.15</v>
      </c>
      <c r="O667" s="116">
        <v>445</v>
      </c>
      <c r="P667" s="116">
        <v>450</v>
      </c>
      <c r="Q667" s="116">
        <v>895.6</v>
      </c>
      <c r="R667">
        <v>3867955</v>
      </c>
    </row>
    <row r="668" spans="1:18" x14ac:dyDescent="0.25">
      <c r="A668" s="170">
        <v>42985</v>
      </c>
      <c r="B668" s="116">
        <v>450.42500000000001</v>
      </c>
      <c r="C668" s="116">
        <v>447.77499999999998</v>
      </c>
      <c r="D668" s="116">
        <v>446.27499999999998</v>
      </c>
      <c r="E668" s="116">
        <v>449</v>
      </c>
      <c r="F668" s="116">
        <v>895.55</v>
      </c>
      <c r="G668">
        <v>280332</v>
      </c>
      <c r="H668" s="116"/>
      <c r="I668" s="116"/>
      <c r="L668" s="170">
        <v>42985</v>
      </c>
      <c r="M668" s="116">
        <v>447.875</v>
      </c>
      <c r="N668" s="116">
        <v>450.25</v>
      </c>
      <c r="O668" s="116">
        <v>446.17500000000001</v>
      </c>
      <c r="P668" s="116">
        <v>450</v>
      </c>
      <c r="Q668" s="116">
        <v>895.75</v>
      </c>
      <c r="R668">
        <v>3120596</v>
      </c>
    </row>
    <row r="669" spans="1:18" x14ac:dyDescent="0.25">
      <c r="A669" s="170">
        <v>42986</v>
      </c>
      <c r="B669" s="116">
        <v>449</v>
      </c>
      <c r="C669" s="116">
        <v>442.2</v>
      </c>
      <c r="D669" s="116">
        <v>441.125</v>
      </c>
      <c r="E669" s="116">
        <v>448.05</v>
      </c>
      <c r="F669" s="116">
        <v>884.4</v>
      </c>
      <c r="G669">
        <v>459029</v>
      </c>
      <c r="H669" s="116"/>
      <c r="I669" s="116"/>
      <c r="L669" s="170">
        <v>42986</v>
      </c>
      <c r="M669" s="116">
        <v>442.15</v>
      </c>
      <c r="N669" s="116">
        <v>449.5</v>
      </c>
      <c r="O669" s="116">
        <v>441.05</v>
      </c>
      <c r="P669" s="116">
        <v>449.5</v>
      </c>
      <c r="Q669" s="116">
        <v>884.3</v>
      </c>
      <c r="R669">
        <v>4302271</v>
      </c>
    </row>
    <row r="670" spans="1:18" x14ac:dyDescent="0.25">
      <c r="A670" s="170">
        <v>42989</v>
      </c>
      <c r="B670" s="116">
        <v>446.1</v>
      </c>
      <c r="C670" s="116">
        <v>439.27499999999998</v>
      </c>
      <c r="D670" s="116">
        <v>437</v>
      </c>
      <c r="E670" s="116">
        <v>445</v>
      </c>
      <c r="F670" s="116">
        <v>878.55</v>
      </c>
      <c r="G670">
        <v>344077</v>
      </c>
      <c r="H670" s="116"/>
      <c r="I670" s="116"/>
      <c r="L670" s="170">
        <v>42989</v>
      </c>
      <c r="M670" s="116">
        <v>439.35</v>
      </c>
      <c r="N670" s="116">
        <v>445.9</v>
      </c>
      <c r="O670" s="116">
        <v>436.82499999999999</v>
      </c>
      <c r="P670" s="116">
        <v>445.2</v>
      </c>
      <c r="Q670" s="116">
        <v>878.7</v>
      </c>
      <c r="R670">
        <v>6893821</v>
      </c>
    </row>
    <row r="671" spans="1:18" x14ac:dyDescent="0.25">
      <c r="A671" s="170">
        <v>42990</v>
      </c>
      <c r="B671" s="116">
        <v>443.77499999999998</v>
      </c>
      <c r="C671" s="116">
        <v>441.92500000000001</v>
      </c>
      <c r="D671" s="116">
        <v>439.52499999999998</v>
      </c>
      <c r="E671" s="116">
        <v>440.5</v>
      </c>
      <c r="F671" s="116">
        <v>883.85</v>
      </c>
      <c r="G671">
        <v>266997</v>
      </c>
      <c r="H671" s="116"/>
      <c r="I671" s="116"/>
      <c r="L671" s="170">
        <v>42990</v>
      </c>
      <c r="M671" s="116">
        <v>442.02499999999998</v>
      </c>
      <c r="N671" s="116">
        <v>443.875</v>
      </c>
      <c r="O671" s="116">
        <v>439.4</v>
      </c>
      <c r="P671" s="116">
        <v>441.27499999999998</v>
      </c>
      <c r="Q671" s="116">
        <v>884.05</v>
      </c>
      <c r="R671">
        <v>8620677</v>
      </c>
    </row>
    <row r="672" spans="1:18" x14ac:dyDescent="0.25">
      <c r="A672" s="170">
        <v>42991</v>
      </c>
      <c r="B672" s="116">
        <v>443.875</v>
      </c>
      <c r="C672" s="116">
        <v>441.77499999999998</v>
      </c>
      <c r="D672" s="116">
        <v>440.5</v>
      </c>
      <c r="E672" s="116">
        <v>442.5</v>
      </c>
      <c r="F672" s="116">
        <v>883.55</v>
      </c>
      <c r="G672">
        <v>408963</v>
      </c>
      <c r="H672" s="116"/>
      <c r="I672" s="116"/>
      <c r="L672" s="170">
        <v>42991</v>
      </c>
      <c r="M672" s="116">
        <v>441.875</v>
      </c>
      <c r="N672" s="116">
        <v>443.8</v>
      </c>
      <c r="O672" s="116">
        <v>440.5</v>
      </c>
      <c r="P672" s="116">
        <v>442.75</v>
      </c>
      <c r="Q672" s="116">
        <v>883.75</v>
      </c>
      <c r="R672">
        <v>5739114</v>
      </c>
    </row>
    <row r="673" spans="1:18" x14ac:dyDescent="0.25">
      <c r="A673" s="170">
        <v>42992</v>
      </c>
      <c r="B673" s="116">
        <v>448.15</v>
      </c>
      <c r="C673" s="116">
        <v>446.15</v>
      </c>
      <c r="D673" s="116">
        <v>440.8</v>
      </c>
      <c r="E673" s="116">
        <v>443.2</v>
      </c>
      <c r="F673" s="116">
        <v>892.3</v>
      </c>
      <c r="G673">
        <v>271803</v>
      </c>
      <c r="H673" s="116"/>
      <c r="I673" s="116"/>
      <c r="L673" s="170">
        <v>42992</v>
      </c>
      <c r="M673" s="116">
        <v>446.2</v>
      </c>
      <c r="N673" s="116">
        <v>448.3</v>
      </c>
      <c r="O673" s="116">
        <v>440.8</v>
      </c>
      <c r="P673" s="116">
        <v>442.25</v>
      </c>
      <c r="Q673" s="116">
        <v>892.4</v>
      </c>
      <c r="R673">
        <v>6849003</v>
      </c>
    </row>
    <row r="674" spans="1:18" x14ac:dyDescent="0.25">
      <c r="A674" s="170">
        <v>42993</v>
      </c>
      <c r="B674" s="116">
        <v>456.125</v>
      </c>
      <c r="C674" s="116">
        <v>454.3</v>
      </c>
      <c r="D674" s="116">
        <v>446.5</v>
      </c>
      <c r="E674" s="116">
        <v>447.5</v>
      </c>
      <c r="F674" s="116">
        <v>908.6</v>
      </c>
      <c r="G674">
        <v>509060</v>
      </c>
      <c r="H674" s="116"/>
      <c r="I674" s="116"/>
      <c r="L674" s="170">
        <v>42993</v>
      </c>
      <c r="M674" s="116">
        <v>454.125</v>
      </c>
      <c r="N674" s="116">
        <v>456.625</v>
      </c>
      <c r="O674" s="116">
        <v>446.1</v>
      </c>
      <c r="P674" s="116">
        <v>446.15</v>
      </c>
      <c r="Q674" s="116">
        <v>908.25</v>
      </c>
      <c r="R674">
        <v>6729730</v>
      </c>
    </row>
    <row r="675" spans="1:18" x14ac:dyDescent="0.25">
      <c r="A675" s="170">
        <v>42996</v>
      </c>
      <c r="B675" s="116">
        <v>458.97500000000002</v>
      </c>
      <c r="C675" s="116">
        <v>454.22500000000002</v>
      </c>
      <c r="D675" s="116">
        <v>453.25</v>
      </c>
      <c r="E675" s="116">
        <v>455</v>
      </c>
      <c r="F675" s="116">
        <v>908.45</v>
      </c>
      <c r="G675">
        <v>277488</v>
      </c>
      <c r="H675" s="116"/>
      <c r="I675" s="116"/>
      <c r="L675" s="170">
        <v>42996</v>
      </c>
      <c r="M675" s="116">
        <v>454.55</v>
      </c>
      <c r="N675" s="116">
        <v>458.875</v>
      </c>
      <c r="O675" s="116">
        <v>453.15</v>
      </c>
      <c r="P675" s="116">
        <v>455</v>
      </c>
      <c r="Q675" s="116">
        <v>909.1</v>
      </c>
      <c r="R675">
        <v>4237930</v>
      </c>
    </row>
    <row r="676" spans="1:18" x14ac:dyDescent="0.25">
      <c r="A676" s="170">
        <v>42997</v>
      </c>
      <c r="B676" s="116">
        <v>457.7</v>
      </c>
      <c r="C676" s="116">
        <v>455.65</v>
      </c>
      <c r="D676" s="116">
        <v>451.82499999999999</v>
      </c>
      <c r="E676" s="116">
        <v>455.05</v>
      </c>
      <c r="F676" s="116">
        <v>911.3</v>
      </c>
      <c r="G676">
        <v>174702</v>
      </c>
      <c r="H676" s="116"/>
      <c r="I676" s="116"/>
      <c r="L676" s="170">
        <v>42997</v>
      </c>
      <c r="M676" s="116">
        <v>456.125</v>
      </c>
      <c r="N676" s="116">
        <v>458</v>
      </c>
      <c r="O676" s="116">
        <v>451.75</v>
      </c>
      <c r="P676" s="116">
        <v>454</v>
      </c>
      <c r="Q676" s="116">
        <v>912.25</v>
      </c>
      <c r="R676">
        <v>3016665</v>
      </c>
    </row>
    <row r="677" spans="1:18" x14ac:dyDescent="0.25">
      <c r="A677" s="170">
        <v>42998</v>
      </c>
      <c r="B677" s="116">
        <v>458</v>
      </c>
      <c r="C677" s="116">
        <v>456</v>
      </c>
      <c r="D677" s="116">
        <v>453.77499999999998</v>
      </c>
      <c r="E677" s="116">
        <v>457.65</v>
      </c>
      <c r="F677" s="116">
        <v>912</v>
      </c>
      <c r="G677">
        <v>122248</v>
      </c>
      <c r="H677" s="116"/>
      <c r="I677" s="116"/>
      <c r="L677" s="170">
        <v>42998</v>
      </c>
      <c r="M677" s="116">
        <v>456.35</v>
      </c>
      <c r="N677" s="116">
        <v>458.5</v>
      </c>
      <c r="O677" s="116">
        <v>453.72500000000002</v>
      </c>
      <c r="P677" s="116">
        <v>458.5</v>
      </c>
      <c r="Q677" s="116">
        <v>912.7</v>
      </c>
      <c r="R677">
        <v>2883915</v>
      </c>
    </row>
    <row r="678" spans="1:18" x14ac:dyDescent="0.25">
      <c r="A678" s="170">
        <v>42999</v>
      </c>
      <c r="B678" s="116">
        <v>457.625</v>
      </c>
      <c r="C678" s="116">
        <v>454.77499999999998</v>
      </c>
      <c r="D678" s="116">
        <v>454.22500000000002</v>
      </c>
      <c r="E678" s="116">
        <v>456.25</v>
      </c>
      <c r="F678" s="116">
        <v>909.55</v>
      </c>
      <c r="G678">
        <v>139591</v>
      </c>
      <c r="H678" s="116"/>
      <c r="I678" s="116"/>
      <c r="L678" s="170">
        <v>42999</v>
      </c>
      <c r="M678" s="116">
        <v>454.77499999999998</v>
      </c>
      <c r="N678" s="116">
        <v>457.625</v>
      </c>
      <c r="O678" s="116">
        <v>454.07499999999999</v>
      </c>
      <c r="P678" s="116">
        <v>457.5</v>
      </c>
      <c r="Q678" s="116">
        <v>909.55</v>
      </c>
      <c r="R678">
        <v>4102076</v>
      </c>
    </row>
    <row r="679" spans="1:18" x14ac:dyDescent="0.25">
      <c r="A679" s="170">
        <v>43000</v>
      </c>
      <c r="B679" s="116">
        <v>454.95</v>
      </c>
      <c r="C679" s="116">
        <v>449.02499999999998</v>
      </c>
      <c r="D679" s="116">
        <v>444.2</v>
      </c>
      <c r="E679" s="116">
        <v>454.1</v>
      </c>
      <c r="F679" s="116">
        <v>898.05</v>
      </c>
      <c r="G679">
        <v>204387</v>
      </c>
      <c r="H679" s="116"/>
      <c r="I679" s="116"/>
      <c r="L679" s="170">
        <v>43000</v>
      </c>
      <c r="M679" s="116">
        <v>449.15</v>
      </c>
      <c r="N679" s="116">
        <v>455.125</v>
      </c>
      <c r="O679" s="116">
        <v>444</v>
      </c>
      <c r="P679" s="116">
        <v>454.07499999999999</v>
      </c>
      <c r="Q679" s="116">
        <v>898.3</v>
      </c>
      <c r="R679">
        <v>8802044</v>
      </c>
    </row>
    <row r="680" spans="1:18" x14ac:dyDescent="0.25">
      <c r="A680" s="170">
        <v>43003</v>
      </c>
      <c r="B680" s="116">
        <v>451.07499999999999</v>
      </c>
      <c r="C680" s="116">
        <v>448.32499999999999</v>
      </c>
      <c r="D680" s="116">
        <v>445</v>
      </c>
      <c r="E680" s="116">
        <v>450.5</v>
      </c>
      <c r="F680" s="116">
        <v>896.65</v>
      </c>
      <c r="G680">
        <v>155594</v>
      </c>
      <c r="H680" s="116"/>
      <c r="I680" s="116"/>
      <c r="L680" s="170">
        <v>43003</v>
      </c>
      <c r="M680" s="116">
        <v>447.67500000000001</v>
      </c>
      <c r="N680" s="116">
        <v>450.97500000000002</v>
      </c>
      <c r="O680" s="116">
        <v>444.55</v>
      </c>
      <c r="P680" s="116">
        <v>450.5</v>
      </c>
      <c r="Q680" s="116">
        <v>895.35</v>
      </c>
      <c r="R680">
        <v>4544350</v>
      </c>
    </row>
    <row r="681" spans="1:18" x14ac:dyDescent="0.25">
      <c r="A681" s="170">
        <v>43004</v>
      </c>
      <c r="B681" s="116">
        <v>454.02499999999998</v>
      </c>
      <c r="C681" s="116">
        <v>453.22500000000002</v>
      </c>
      <c r="D681" s="116">
        <v>447.25</v>
      </c>
      <c r="E681" s="116">
        <v>448</v>
      </c>
      <c r="F681" s="116">
        <v>906.45</v>
      </c>
      <c r="G681">
        <v>522249</v>
      </c>
      <c r="H681" s="116"/>
      <c r="I681" s="116"/>
      <c r="L681" s="170">
        <v>43004</v>
      </c>
      <c r="M681" s="116">
        <v>452.95</v>
      </c>
      <c r="N681" s="116">
        <v>454.2</v>
      </c>
      <c r="O681" s="116">
        <v>447.15</v>
      </c>
      <c r="P681" s="116">
        <v>448.5</v>
      </c>
      <c r="Q681" s="116">
        <v>905.9</v>
      </c>
      <c r="R681">
        <v>3683239</v>
      </c>
    </row>
    <row r="682" spans="1:18" x14ac:dyDescent="0.25">
      <c r="A682" s="170">
        <v>43005</v>
      </c>
      <c r="B682" s="116">
        <v>453.97500000000002</v>
      </c>
      <c r="C682" s="116">
        <v>449.32499999999999</v>
      </c>
      <c r="D682" s="116">
        <v>447.55</v>
      </c>
      <c r="E682" s="116">
        <v>452.5</v>
      </c>
      <c r="F682" s="116">
        <v>898.65</v>
      </c>
      <c r="G682">
        <v>135494</v>
      </c>
      <c r="H682" s="116"/>
      <c r="I682" s="116"/>
      <c r="L682" s="170">
        <v>43005</v>
      </c>
      <c r="M682" s="116">
        <v>449.9</v>
      </c>
      <c r="N682" s="116">
        <v>453.95</v>
      </c>
      <c r="O682" s="116">
        <v>447.55</v>
      </c>
      <c r="P682" s="116">
        <v>453.05</v>
      </c>
      <c r="Q682" s="116">
        <v>899.8</v>
      </c>
      <c r="R682">
        <v>3000069</v>
      </c>
    </row>
    <row r="683" spans="1:18" x14ac:dyDescent="0.25">
      <c r="A683" s="170">
        <v>43006</v>
      </c>
      <c r="B683" s="116">
        <v>451.97500000000002</v>
      </c>
      <c r="C683" s="116">
        <v>447.85</v>
      </c>
      <c r="D683" s="116">
        <v>446.52499999999998</v>
      </c>
      <c r="E683" s="116">
        <v>449</v>
      </c>
      <c r="F683" s="116">
        <v>895.7</v>
      </c>
      <c r="G683">
        <v>111402</v>
      </c>
      <c r="H683" s="116"/>
      <c r="I683" s="116"/>
      <c r="L683" s="170">
        <v>43006</v>
      </c>
      <c r="M683" s="116">
        <v>448</v>
      </c>
      <c r="N683" s="116">
        <v>451.95</v>
      </c>
      <c r="O683" s="116">
        <v>447.15</v>
      </c>
      <c r="P683" s="116">
        <v>448.05</v>
      </c>
      <c r="Q683" s="116">
        <v>896</v>
      </c>
      <c r="R683">
        <v>8768633</v>
      </c>
    </row>
    <row r="684" spans="1:18" x14ac:dyDescent="0.25">
      <c r="A684" s="170">
        <v>43007</v>
      </c>
      <c r="B684" s="116">
        <v>451.125</v>
      </c>
      <c r="C684" s="116">
        <v>449.375</v>
      </c>
      <c r="D684" s="116">
        <v>447.55</v>
      </c>
      <c r="E684" s="116">
        <v>450</v>
      </c>
      <c r="F684" s="116">
        <v>898.75</v>
      </c>
      <c r="G684">
        <v>241991</v>
      </c>
      <c r="H684" s="116"/>
      <c r="I684" s="116"/>
      <c r="L684" s="170">
        <v>43007</v>
      </c>
      <c r="M684" s="116">
        <v>449.95</v>
      </c>
      <c r="N684" s="116">
        <v>451.2</v>
      </c>
      <c r="O684" s="116">
        <v>447.5</v>
      </c>
      <c r="P684" s="116">
        <v>449</v>
      </c>
      <c r="Q684" s="116">
        <v>899.9</v>
      </c>
      <c r="R684">
        <v>2852916</v>
      </c>
    </row>
    <row r="685" spans="1:18" x14ac:dyDescent="0.25">
      <c r="A685" s="170">
        <v>43011</v>
      </c>
      <c r="B685" s="116">
        <v>455.82499999999999</v>
      </c>
      <c r="C685" s="116">
        <v>451.97500000000002</v>
      </c>
      <c r="D685" s="116">
        <v>451</v>
      </c>
      <c r="E685" s="116">
        <v>454</v>
      </c>
      <c r="F685" s="116">
        <v>903.95</v>
      </c>
      <c r="G685">
        <v>106117</v>
      </c>
      <c r="H685" s="116"/>
      <c r="I685" s="116"/>
      <c r="L685" s="170">
        <v>43011</v>
      </c>
      <c r="M685" s="116">
        <v>451.77499999999998</v>
      </c>
      <c r="N685" s="116">
        <v>456</v>
      </c>
      <c r="O685" s="116">
        <v>450.8</v>
      </c>
      <c r="P685" s="116">
        <v>455.05</v>
      </c>
      <c r="Q685" s="116">
        <v>903.55</v>
      </c>
      <c r="R685">
        <v>2473761</v>
      </c>
    </row>
    <row r="686" spans="1:18" x14ac:dyDescent="0.25">
      <c r="A686" s="170">
        <v>43012</v>
      </c>
      <c r="B686" s="116">
        <v>452.47500000000002</v>
      </c>
      <c r="C686" s="116">
        <v>449.9</v>
      </c>
      <c r="D686" s="116">
        <v>448.72500000000002</v>
      </c>
      <c r="E686" s="116">
        <v>451.97500000000002</v>
      </c>
      <c r="F686" s="116">
        <v>899.8</v>
      </c>
      <c r="G686">
        <v>99568</v>
      </c>
      <c r="H686" s="116"/>
      <c r="I686" s="116"/>
      <c r="L686" s="170">
        <v>43012</v>
      </c>
      <c r="M686" s="116">
        <v>449.8</v>
      </c>
      <c r="N686" s="116">
        <v>452.7</v>
      </c>
      <c r="O686" s="116">
        <v>448.57499999999999</v>
      </c>
      <c r="P686" s="116">
        <v>451.5</v>
      </c>
      <c r="Q686" s="116">
        <v>899.6</v>
      </c>
      <c r="R686">
        <v>2495746</v>
      </c>
    </row>
    <row r="687" spans="1:18" x14ac:dyDescent="0.25">
      <c r="A687" s="170">
        <v>43013</v>
      </c>
      <c r="B687" s="116">
        <v>452.6</v>
      </c>
      <c r="C687" s="116">
        <v>451.55</v>
      </c>
      <c r="D687" s="116">
        <v>449.35</v>
      </c>
      <c r="E687" s="116">
        <v>449.5</v>
      </c>
      <c r="F687" s="116">
        <v>903.1</v>
      </c>
      <c r="G687">
        <v>118312</v>
      </c>
      <c r="H687" s="116"/>
      <c r="I687" s="116"/>
      <c r="L687" s="170">
        <v>43013</v>
      </c>
      <c r="M687" s="116">
        <v>451.52499999999998</v>
      </c>
      <c r="N687" s="116">
        <v>452.47500000000002</v>
      </c>
      <c r="O687" s="116">
        <v>449.5</v>
      </c>
      <c r="P687" s="116">
        <v>450</v>
      </c>
      <c r="Q687" s="116">
        <v>903.05</v>
      </c>
      <c r="R687">
        <v>4305650</v>
      </c>
    </row>
    <row r="688" spans="1:18" x14ac:dyDescent="0.25">
      <c r="A688" s="170">
        <v>43014</v>
      </c>
      <c r="B688" s="116">
        <v>460.3</v>
      </c>
      <c r="C688" s="116">
        <v>459.72500000000002</v>
      </c>
      <c r="D688" s="116">
        <v>451.52499999999998</v>
      </c>
      <c r="E688" s="116">
        <v>453.3</v>
      </c>
      <c r="F688" s="116">
        <v>919.45</v>
      </c>
      <c r="G688">
        <v>203064</v>
      </c>
      <c r="H688" s="116"/>
      <c r="I688" s="116"/>
      <c r="L688" s="170">
        <v>43014</v>
      </c>
      <c r="M688" s="116">
        <v>460.07499999999999</v>
      </c>
      <c r="N688" s="116">
        <v>461</v>
      </c>
      <c r="O688" s="116">
        <v>451.97500000000002</v>
      </c>
      <c r="P688" s="116">
        <v>452</v>
      </c>
      <c r="Q688" s="116">
        <v>920.15</v>
      </c>
      <c r="R688">
        <v>4287154</v>
      </c>
    </row>
    <row r="689" spans="1:18" x14ac:dyDescent="0.25">
      <c r="A689" s="170">
        <v>43017</v>
      </c>
      <c r="B689" s="116">
        <v>464.3</v>
      </c>
      <c r="C689" s="116">
        <v>461.82499999999999</v>
      </c>
      <c r="D689" s="116">
        <v>457.15</v>
      </c>
      <c r="E689" s="116">
        <v>461</v>
      </c>
      <c r="F689" s="116">
        <v>923.65</v>
      </c>
      <c r="G689">
        <v>120446</v>
      </c>
      <c r="H689" s="116"/>
      <c r="I689" s="116"/>
      <c r="L689" s="170">
        <v>43017</v>
      </c>
      <c r="M689" s="116">
        <v>461.95</v>
      </c>
      <c r="N689" s="116">
        <v>464.5</v>
      </c>
      <c r="O689" s="116">
        <v>457</v>
      </c>
      <c r="P689" s="116">
        <v>460</v>
      </c>
      <c r="Q689" s="116">
        <v>923.9</v>
      </c>
      <c r="R689">
        <v>1752416</v>
      </c>
    </row>
    <row r="690" spans="1:18" x14ac:dyDescent="0.25">
      <c r="A690" s="170">
        <v>43018</v>
      </c>
      <c r="B690" s="116">
        <v>472.92500000000001</v>
      </c>
      <c r="C690" s="116">
        <v>467.8</v>
      </c>
      <c r="D690" s="116">
        <v>464.55</v>
      </c>
      <c r="E690" s="116">
        <v>470</v>
      </c>
      <c r="F690" s="116">
        <v>935.6</v>
      </c>
      <c r="G690">
        <v>260520</v>
      </c>
      <c r="H690" s="116"/>
      <c r="I690" s="116"/>
      <c r="L690" s="170">
        <v>43018</v>
      </c>
      <c r="M690" s="116">
        <v>467.72500000000002</v>
      </c>
      <c r="N690" s="116">
        <v>469.97500000000002</v>
      </c>
      <c r="O690" s="116">
        <v>464.77499999999998</v>
      </c>
      <c r="P690" s="116">
        <v>469.97500000000002</v>
      </c>
      <c r="Q690" s="116">
        <v>935.45</v>
      </c>
      <c r="R690">
        <v>3571610</v>
      </c>
    </row>
    <row r="691" spans="1:18" x14ac:dyDescent="0.25">
      <c r="A691" s="170">
        <v>43019</v>
      </c>
      <c r="B691" s="116">
        <v>468.85</v>
      </c>
      <c r="C691" s="116">
        <v>465.3</v>
      </c>
      <c r="D691" s="116">
        <v>464.07499999999999</v>
      </c>
      <c r="E691" s="116">
        <v>468</v>
      </c>
      <c r="F691" s="116">
        <v>930.6</v>
      </c>
      <c r="G691">
        <v>171872</v>
      </c>
      <c r="H691" s="116"/>
      <c r="I691" s="116"/>
      <c r="L691" s="170">
        <v>43019</v>
      </c>
      <c r="M691" s="116">
        <v>465.35</v>
      </c>
      <c r="N691" s="116">
        <v>469</v>
      </c>
      <c r="O691" s="116">
        <v>464</v>
      </c>
      <c r="P691" s="116">
        <v>467.72500000000002</v>
      </c>
      <c r="Q691" s="116">
        <v>930.7</v>
      </c>
      <c r="R691">
        <v>2991252</v>
      </c>
    </row>
    <row r="692" spans="1:18" x14ac:dyDescent="0.25">
      <c r="A692" s="170">
        <v>43020</v>
      </c>
      <c r="B692" s="116">
        <v>467.32499999999999</v>
      </c>
      <c r="C692" s="116">
        <v>463.57499999999999</v>
      </c>
      <c r="D692" s="116">
        <v>460</v>
      </c>
      <c r="E692" s="116">
        <v>465</v>
      </c>
      <c r="F692" s="116">
        <v>927.15</v>
      </c>
      <c r="G692">
        <v>335844</v>
      </c>
      <c r="H692" s="116"/>
      <c r="I692" s="116"/>
      <c r="L692" s="170">
        <v>43020</v>
      </c>
      <c r="M692" s="116">
        <v>463.65</v>
      </c>
      <c r="N692" s="116">
        <v>467.17500000000001</v>
      </c>
      <c r="O692" s="116">
        <v>459.77499999999998</v>
      </c>
      <c r="P692" s="116">
        <v>465</v>
      </c>
      <c r="Q692" s="116">
        <v>927.3</v>
      </c>
      <c r="R692">
        <v>5140486</v>
      </c>
    </row>
    <row r="693" spans="1:18" x14ac:dyDescent="0.25">
      <c r="A693" s="170">
        <v>43021</v>
      </c>
      <c r="B693" s="116">
        <v>467</v>
      </c>
      <c r="C693" s="116">
        <v>465.95</v>
      </c>
      <c r="D693" s="116">
        <v>463.8</v>
      </c>
      <c r="E693" s="116">
        <v>465.02499999999998</v>
      </c>
      <c r="F693" s="116">
        <v>931.9</v>
      </c>
      <c r="G693">
        <v>1228079</v>
      </c>
      <c r="H693" s="116"/>
      <c r="I693" s="116"/>
      <c r="L693" s="170">
        <v>43021</v>
      </c>
      <c r="M693" s="116">
        <v>465.05</v>
      </c>
      <c r="N693" s="116">
        <v>466.75</v>
      </c>
      <c r="O693" s="116">
        <v>463.77499999999998</v>
      </c>
      <c r="P693" s="116">
        <v>466.4</v>
      </c>
      <c r="Q693" s="116">
        <v>930.1</v>
      </c>
      <c r="R693">
        <v>3590364</v>
      </c>
    </row>
    <row r="694" spans="1:18" x14ac:dyDescent="0.25">
      <c r="A694" s="170">
        <v>43024</v>
      </c>
      <c r="B694" s="116">
        <v>471</v>
      </c>
      <c r="C694" s="116">
        <v>469.65</v>
      </c>
      <c r="D694" s="116">
        <v>466.75</v>
      </c>
      <c r="E694" s="116">
        <v>467.5</v>
      </c>
      <c r="F694" s="116">
        <v>939.3</v>
      </c>
      <c r="G694">
        <v>220106</v>
      </c>
      <c r="H694" s="116"/>
      <c r="I694" s="116"/>
      <c r="L694" s="170">
        <v>43024</v>
      </c>
      <c r="M694" s="116">
        <v>469.5</v>
      </c>
      <c r="N694" s="116">
        <v>471</v>
      </c>
      <c r="O694" s="116">
        <v>466.5</v>
      </c>
      <c r="P694" s="116">
        <v>467.97500000000002</v>
      </c>
      <c r="Q694" s="116">
        <v>939</v>
      </c>
      <c r="R694">
        <v>2879375</v>
      </c>
    </row>
    <row r="695" spans="1:18" x14ac:dyDescent="0.25">
      <c r="A695" s="170">
        <v>43025</v>
      </c>
      <c r="B695" s="116">
        <v>468.7</v>
      </c>
      <c r="C695" s="116">
        <v>465.72500000000002</v>
      </c>
      <c r="D695" s="116">
        <v>465.125</v>
      </c>
      <c r="E695" s="116">
        <v>467.5</v>
      </c>
      <c r="F695" s="116">
        <v>931.45</v>
      </c>
      <c r="G695">
        <v>192483</v>
      </c>
      <c r="H695" s="116"/>
      <c r="I695" s="116"/>
      <c r="L695" s="170">
        <v>43025</v>
      </c>
      <c r="M695" s="116">
        <v>465.25</v>
      </c>
      <c r="N695" s="116">
        <v>468.4</v>
      </c>
      <c r="O695" s="116">
        <v>464.75</v>
      </c>
      <c r="P695" s="116">
        <v>468.4</v>
      </c>
      <c r="Q695" s="116">
        <v>930.5</v>
      </c>
      <c r="R695">
        <v>2812551</v>
      </c>
    </row>
    <row r="696" spans="1:18" x14ac:dyDescent="0.25">
      <c r="A696" s="170">
        <v>43026</v>
      </c>
      <c r="B696" s="116">
        <v>465</v>
      </c>
      <c r="C696" s="116">
        <v>462.22500000000002</v>
      </c>
      <c r="D696" s="116">
        <v>461.625</v>
      </c>
      <c r="E696" s="116">
        <v>464.5</v>
      </c>
      <c r="F696" s="116">
        <v>924.45</v>
      </c>
      <c r="G696">
        <v>185791</v>
      </c>
      <c r="H696" s="116"/>
      <c r="I696" s="116"/>
      <c r="L696" s="170">
        <v>43026</v>
      </c>
      <c r="M696" s="116">
        <v>462.17500000000001</v>
      </c>
      <c r="N696" s="116">
        <v>465</v>
      </c>
      <c r="O696" s="116">
        <v>461.47500000000002</v>
      </c>
      <c r="P696" s="116">
        <v>464.45</v>
      </c>
      <c r="Q696" s="116">
        <v>924.35</v>
      </c>
      <c r="R696">
        <v>3615926</v>
      </c>
    </row>
    <row r="697" spans="1:18" x14ac:dyDescent="0.25">
      <c r="A697" s="170">
        <v>43027</v>
      </c>
      <c r="B697" s="116">
        <v>466.67500000000001</v>
      </c>
      <c r="C697" s="116">
        <v>463.55</v>
      </c>
      <c r="D697" s="116">
        <v>462.92500000000001</v>
      </c>
      <c r="E697" s="116">
        <v>465</v>
      </c>
      <c r="F697" s="116">
        <v>927.1</v>
      </c>
      <c r="G697">
        <v>100767</v>
      </c>
      <c r="H697" s="116"/>
      <c r="I697" s="116"/>
      <c r="L697" s="170">
        <v>43027</v>
      </c>
      <c r="M697" s="116">
        <v>463.47500000000002</v>
      </c>
      <c r="N697" s="116">
        <v>466</v>
      </c>
      <c r="O697" s="116">
        <v>462.6</v>
      </c>
      <c r="P697" s="116">
        <v>465</v>
      </c>
      <c r="Q697" s="116">
        <v>926.95</v>
      </c>
      <c r="R697">
        <v>545717</v>
      </c>
    </row>
    <row r="698" spans="1:18" x14ac:dyDescent="0.25">
      <c r="A698" s="170">
        <v>43031</v>
      </c>
      <c r="B698" s="116">
        <v>471.4</v>
      </c>
      <c r="C698" s="116">
        <v>469.82499999999999</v>
      </c>
      <c r="D698" s="116">
        <v>464.1</v>
      </c>
      <c r="E698" s="116">
        <v>464.1</v>
      </c>
      <c r="F698" s="116">
        <v>939.65</v>
      </c>
      <c r="G698">
        <v>263458</v>
      </c>
      <c r="H698" s="116"/>
      <c r="I698" s="116"/>
      <c r="L698" s="170">
        <v>43031</v>
      </c>
      <c r="M698" s="116">
        <v>469.75</v>
      </c>
      <c r="N698" s="116">
        <v>471</v>
      </c>
      <c r="O698" s="116">
        <v>464.05</v>
      </c>
      <c r="P698" s="116">
        <v>465</v>
      </c>
      <c r="Q698" s="116">
        <v>939.5</v>
      </c>
      <c r="R698">
        <v>4577048</v>
      </c>
    </row>
    <row r="699" spans="1:18" x14ac:dyDescent="0.25">
      <c r="A699" s="170">
        <v>43032</v>
      </c>
      <c r="B699" s="116">
        <v>473.75</v>
      </c>
      <c r="C699" s="116">
        <v>463.375</v>
      </c>
      <c r="D699" s="116">
        <v>462</v>
      </c>
      <c r="E699" s="116">
        <v>472.5</v>
      </c>
      <c r="F699" s="116">
        <v>926.75</v>
      </c>
      <c r="G699">
        <v>445725</v>
      </c>
      <c r="H699" s="116"/>
      <c r="I699" s="116"/>
      <c r="L699" s="170">
        <v>43032</v>
      </c>
      <c r="M699" s="116">
        <v>463.25</v>
      </c>
      <c r="N699" s="116">
        <v>473.32499999999999</v>
      </c>
      <c r="O699" s="116">
        <v>460.8</v>
      </c>
      <c r="P699" s="116">
        <v>473</v>
      </c>
      <c r="Q699" s="116">
        <v>926.5</v>
      </c>
      <c r="R699">
        <v>7264664</v>
      </c>
    </row>
    <row r="700" spans="1:18" x14ac:dyDescent="0.25">
      <c r="A700" s="170">
        <v>43033</v>
      </c>
      <c r="B700" s="116">
        <v>472.07499999999999</v>
      </c>
      <c r="C700" s="116">
        <v>467.7</v>
      </c>
      <c r="D700" s="116">
        <v>457.625</v>
      </c>
      <c r="E700" s="116">
        <v>460</v>
      </c>
      <c r="F700" s="116">
        <v>935.4</v>
      </c>
      <c r="G700">
        <v>416050</v>
      </c>
      <c r="H700" s="116"/>
      <c r="I700" s="116"/>
      <c r="L700" s="170">
        <v>43033</v>
      </c>
      <c r="M700" s="116">
        <v>467.65</v>
      </c>
      <c r="N700" s="116">
        <v>472.35</v>
      </c>
      <c r="O700" s="116">
        <v>457.625</v>
      </c>
      <c r="P700" s="116">
        <v>459.5</v>
      </c>
      <c r="Q700" s="116">
        <v>935.3</v>
      </c>
      <c r="R700">
        <v>6992067</v>
      </c>
    </row>
    <row r="701" spans="1:18" x14ac:dyDescent="0.25">
      <c r="A701" s="170">
        <v>43034</v>
      </c>
      <c r="B701" s="116">
        <v>475.17500000000001</v>
      </c>
      <c r="C701" s="116">
        <v>473.75</v>
      </c>
      <c r="D701" s="116">
        <v>470.07499999999999</v>
      </c>
      <c r="E701" s="116">
        <v>470.07499999999999</v>
      </c>
      <c r="F701" s="116">
        <v>947.5</v>
      </c>
      <c r="G701">
        <v>527292</v>
      </c>
      <c r="H701" s="116"/>
      <c r="I701" s="116"/>
      <c r="L701" s="170">
        <v>43034</v>
      </c>
      <c r="M701" s="116">
        <v>473.67500000000001</v>
      </c>
      <c r="N701" s="116">
        <v>475.9</v>
      </c>
      <c r="O701" s="116">
        <v>470.05</v>
      </c>
      <c r="P701" s="116">
        <v>471</v>
      </c>
      <c r="Q701" s="116">
        <v>947.35</v>
      </c>
      <c r="R701">
        <v>16829629</v>
      </c>
    </row>
    <row r="702" spans="1:18" x14ac:dyDescent="0.25">
      <c r="A702" s="170">
        <v>43035</v>
      </c>
      <c r="B702" s="116">
        <v>478.52499999999998</v>
      </c>
      <c r="C702" s="116">
        <v>473.72500000000002</v>
      </c>
      <c r="D702" s="116">
        <v>472.5</v>
      </c>
      <c r="E702" s="116">
        <v>477.5</v>
      </c>
      <c r="F702" s="116">
        <v>947.45</v>
      </c>
      <c r="G702">
        <v>399399</v>
      </c>
      <c r="H702" s="116"/>
      <c r="I702" s="116"/>
      <c r="L702" s="170">
        <v>43035</v>
      </c>
      <c r="M702" s="116">
        <v>473.17500000000001</v>
      </c>
      <c r="N702" s="116">
        <v>478.85</v>
      </c>
      <c r="O702" s="116">
        <v>472</v>
      </c>
      <c r="P702" s="116">
        <v>477.5</v>
      </c>
      <c r="Q702" s="116">
        <v>946.35</v>
      </c>
      <c r="R702">
        <v>4262478</v>
      </c>
    </row>
    <row r="703" spans="1:18" x14ac:dyDescent="0.25">
      <c r="A703" s="170">
        <v>43038</v>
      </c>
      <c r="B703" s="116">
        <v>477.5</v>
      </c>
      <c r="C703" s="116">
        <v>472.32499999999999</v>
      </c>
      <c r="D703" s="116">
        <v>470.5</v>
      </c>
      <c r="E703" s="116">
        <v>477</v>
      </c>
      <c r="F703" s="116">
        <v>944.65</v>
      </c>
      <c r="G703">
        <v>514296</v>
      </c>
      <c r="H703" s="116"/>
      <c r="I703" s="116"/>
      <c r="L703" s="170">
        <v>43038</v>
      </c>
      <c r="M703" s="116">
        <v>472.05</v>
      </c>
      <c r="N703" s="116">
        <v>477.32499999999999</v>
      </c>
      <c r="O703" s="116">
        <v>470.52499999999998</v>
      </c>
      <c r="P703" s="116">
        <v>477.32499999999999</v>
      </c>
      <c r="Q703" s="116">
        <v>944.1</v>
      </c>
      <c r="R703">
        <v>6484163</v>
      </c>
    </row>
    <row r="704" spans="1:18" x14ac:dyDescent="0.25">
      <c r="A704" s="170">
        <v>43039</v>
      </c>
      <c r="B704" s="116">
        <v>465.17500000000001</v>
      </c>
      <c r="C704" s="116">
        <v>460.82499999999999</v>
      </c>
      <c r="D704" s="116">
        <v>460</v>
      </c>
      <c r="E704" s="116">
        <v>461.7</v>
      </c>
      <c r="F704" s="116">
        <v>921.65</v>
      </c>
      <c r="G704">
        <v>212404</v>
      </c>
      <c r="H704" s="116"/>
      <c r="I704" s="116"/>
      <c r="L704" s="170">
        <v>43039</v>
      </c>
      <c r="M704" s="116">
        <v>460.92500000000001</v>
      </c>
      <c r="N704" s="116">
        <v>465</v>
      </c>
      <c r="O704" s="116">
        <v>460</v>
      </c>
      <c r="P704" s="116">
        <v>462.5</v>
      </c>
      <c r="Q704" s="116">
        <v>921.85</v>
      </c>
      <c r="R704">
        <v>4977494</v>
      </c>
    </row>
    <row r="705" spans="1:18" x14ac:dyDescent="0.25">
      <c r="A705" s="170">
        <v>43040</v>
      </c>
      <c r="B705" s="116">
        <v>464.47500000000002</v>
      </c>
      <c r="C705" s="116">
        <v>463.125</v>
      </c>
      <c r="D705" s="116">
        <v>461</v>
      </c>
      <c r="E705" s="116">
        <v>462</v>
      </c>
      <c r="F705" s="116">
        <v>926.25</v>
      </c>
      <c r="G705">
        <v>117668</v>
      </c>
      <c r="H705" s="116"/>
      <c r="I705" s="116"/>
      <c r="L705" s="170">
        <v>43040</v>
      </c>
      <c r="M705" s="116">
        <v>463.52499999999998</v>
      </c>
      <c r="N705" s="116">
        <v>464.7</v>
      </c>
      <c r="O705" s="116">
        <v>461.65</v>
      </c>
      <c r="P705" s="116">
        <v>462.5</v>
      </c>
      <c r="Q705" s="116">
        <v>927.05</v>
      </c>
      <c r="R705">
        <v>2816567</v>
      </c>
    </row>
    <row r="706" spans="1:18" x14ac:dyDescent="0.25">
      <c r="A706" s="170">
        <v>43041</v>
      </c>
      <c r="B706" s="116">
        <v>463.27499999999998</v>
      </c>
      <c r="C706" s="116">
        <v>461.45</v>
      </c>
      <c r="D706" s="116">
        <v>459.9</v>
      </c>
      <c r="E706" s="116">
        <v>462</v>
      </c>
      <c r="F706" s="116">
        <v>922.9</v>
      </c>
      <c r="G706">
        <v>108104</v>
      </c>
      <c r="H706" s="116"/>
      <c r="I706" s="116"/>
      <c r="L706" s="170">
        <v>43041</v>
      </c>
      <c r="M706" s="116">
        <v>461.45</v>
      </c>
      <c r="N706" s="116">
        <v>463</v>
      </c>
      <c r="O706" s="116">
        <v>460</v>
      </c>
      <c r="P706" s="116">
        <v>461.52499999999998</v>
      </c>
      <c r="Q706" s="116">
        <v>922.9</v>
      </c>
      <c r="R706">
        <v>2343069</v>
      </c>
    </row>
    <row r="707" spans="1:18" x14ac:dyDescent="0.25">
      <c r="A707" s="170">
        <v>43042</v>
      </c>
      <c r="B707" s="116">
        <v>464.7</v>
      </c>
      <c r="C707" s="116">
        <v>463.32499999999999</v>
      </c>
      <c r="D707" s="116">
        <v>459</v>
      </c>
      <c r="E707" s="116">
        <v>461.35</v>
      </c>
      <c r="F707" s="116">
        <v>926.65</v>
      </c>
      <c r="G707">
        <v>74840</v>
      </c>
      <c r="H707" s="116"/>
      <c r="I707" s="116"/>
      <c r="L707" s="170">
        <v>43042</v>
      </c>
      <c r="M707" s="116">
        <v>463.32499999999999</v>
      </c>
      <c r="N707" s="116">
        <v>464.95</v>
      </c>
      <c r="O707" s="116">
        <v>458.47500000000002</v>
      </c>
      <c r="P707" s="116">
        <v>458.5</v>
      </c>
      <c r="Q707" s="116">
        <v>926.65</v>
      </c>
      <c r="R707">
        <v>1849543</v>
      </c>
    </row>
    <row r="708" spans="1:18" x14ac:dyDescent="0.25">
      <c r="A708" s="170">
        <v>43045</v>
      </c>
      <c r="B708" s="116">
        <v>467.42500000000001</v>
      </c>
      <c r="C708" s="116">
        <v>464.3</v>
      </c>
      <c r="D708" s="116">
        <v>461.17500000000001</v>
      </c>
      <c r="E708" s="116">
        <v>462.5</v>
      </c>
      <c r="F708" s="116">
        <v>928.6</v>
      </c>
      <c r="G708">
        <v>122239</v>
      </c>
      <c r="H708" s="116"/>
      <c r="I708" s="116"/>
      <c r="L708" s="170">
        <v>43045</v>
      </c>
      <c r="M708" s="116">
        <v>464.35</v>
      </c>
      <c r="N708" s="116">
        <v>467.5</v>
      </c>
      <c r="O708" s="116">
        <v>461.32499999999999</v>
      </c>
      <c r="P708" s="116">
        <v>461.57499999999999</v>
      </c>
      <c r="Q708" s="116">
        <v>928.7</v>
      </c>
      <c r="R708">
        <v>2533267</v>
      </c>
    </row>
    <row r="709" spans="1:18" x14ac:dyDescent="0.25">
      <c r="A709" s="170">
        <v>43046</v>
      </c>
      <c r="B709" s="116">
        <v>479.9</v>
      </c>
      <c r="C709" s="116">
        <v>477.85</v>
      </c>
      <c r="D709" s="116">
        <v>463.5</v>
      </c>
      <c r="E709" s="116">
        <v>464.25</v>
      </c>
      <c r="F709" s="116">
        <v>955.7</v>
      </c>
      <c r="G709">
        <v>415729</v>
      </c>
      <c r="H709" s="116"/>
      <c r="I709" s="116"/>
      <c r="L709" s="170">
        <v>43046</v>
      </c>
      <c r="M709" s="116">
        <v>477.75</v>
      </c>
      <c r="N709" s="116">
        <v>480</v>
      </c>
      <c r="O709" s="116">
        <v>462.92500000000001</v>
      </c>
      <c r="P709" s="116">
        <v>463.125</v>
      </c>
      <c r="Q709" s="116">
        <v>955.5</v>
      </c>
      <c r="R709">
        <v>6721410</v>
      </c>
    </row>
    <row r="710" spans="1:18" x14ac:dyDescent="0.25">
      <c r="A710" s="170">
        <v>43047</v>
      </c>
      <c r="B710" s="116">
        <v>480.75</v>
      </c>
      <c r="C710" s="116">
        <v>475.97500000000002</v>
      </c>
      <c r="D710" s="116">
        <v>473.65</v>
      </c>
      <c r="E710" s="116">
        <v>479.125</v>
      </c>
      <c r="F710" s="116">
        <v>951.95</v>
      </c>
      <c r="G710">
        <v>158558</v>
      </c>
      <c r="H710" s="116"/>
      <c r="I710" s="116"/>
      <c r="L710" s="170">
        <v>43047</v>
      </c>
      <c r="M710" s="116">
        <v>476.15</v>
      </c>
      <c r="N710" s="116">
        <v>480.92500000000001</v>
      </c>
      <c r="O710" s="116">
        <v>473.75</v>
      </c>
      <c r="P710" s="116">
        <v>480.125</v>
      </c>
      <c r="Q710" s="116">
        <v>952.3</v>
      </c>
      <c r="R710">
        <v>2684997</v>
      </c>
    </row>
    <row r="711" spans="1:18" x14ac:dyDescent="0.25">
      <c r="A711" s="170">
        <v>43048</v>
      </c>
      <c r="B711" s="116">
        <v>481</v>
      </c>
      <c r="C711" s="116">
        <v>477.3</v>
      </c>
      <c r="D711" s="116">
        <v>474.57499999999999</v>
      </c>
      <c r="E711" s="116">
        <v>479.25</v>
      </c>
      <c r="F711" s="116">
        <v>954.6</v>
      </c>
      <c r="G711">
        <v>144503</v>
      </c>
      <c r="H711" s="116"/>
      <c r="I711" s="116"/>
      <c r="L711" s="170">
        <v>43048</v>
      </c>
      <c r="M711" s="116">
        <v>477.25</v>
      </c>
      <c r="N711" s="116">
        <v>481.5</v>
      </c>
      <c r="O711" s="116">
        <v>474.125</v>
      </c>
      <c r="P711" s="116">
        <v>476.5</v>
      </c>
      <c r="Q711" s="116">
        <v>954.5</v>
      </c>
      <c r="R711">
        <v>2361616</v>
      </c>
    </row>
    <row r="712" spans="1:18" x14ac:dyDescent="0.25">
      <c r="A712" s="170">
        <v>43049</v>
      </c>
      <c r="B712" s="116">
        <v>481.375</v>
      </c>
      <c r="C712" s="116">
        <v>480.3</v>
      </c>
      <c r="D712" s="116">
        <v>475.1</v>
      </c>
      <c r="E712" s="116">
        <v>477.3</v>
      </c>
      <c r="F712" s="116">
        <v>960.6</v>
      </c>
      <c r="G712">
        <v>97430</v>
      </c>
      <c r="H712" s="116"/>
      <c r="I712" s="116"/>
      <c r="L712" s="170">
        <v>43049</v>
      </c>
      <c r="M712" s="116">
        <v>481.02499999999998</v>
      </c>
      <c r="N712" s="116">
        <v>482.17500000000001</v>
      </c>
      <c r="O712" s="116">
        <v>475</v>
      </c>
      <c r="P712" s="116">
        <v>479.4</v>
      </c>
      <c r="Q712" s="116">
        <v>962.05</v>
      </c>
      <c r="R712">
        <v>3294714</v>
      </c>
    </row>
    <row r="713" spans="1:18" x14ac:dyDescent="0.25">
      <c r="A713" s="170">
        <v>43052</v>
      </c>
      <c r="B713" s="116">
        <v>484.45</v>
      </c>
      <c r="C713" s="116">
        <v>475.9</v>
      </c>
      <c r="D713" s="116">
        <v>474.55</v>
      </c>
      <c r="E713" s="116">
        <v>480.3</v>
      </c>
      <c r="F713" s="116">
        <v>951.8</v>
      </c>
      <c r="G713">
        <v>1275844</v>
      </c>
      <c r="H713" s="116"/>
      <c r="I713" s="116"/>
      <c r="L713" s="170">
        <v>43052</v>
      </c>
      <c r="M713" s="116">
        <v>475.97500000000002</v>
      </c>
      <c r="N713" s="116">
        <v>484.7</v>
      </c>
      <c r="O713" s="116">
        <v>474.67500000000001</v>
      </c>
      <c r="P713" s="116">
        <v>481.02499999999998</v>
      </c>
      <c r="Q713" s="116">
        <v>951.95</v>
      </c>
      <c r="R713">
        <v>2510608</v>
      </c>
    </row>
    <row r="714" spans="1:18" x14ac:dyDescent="0.25">
      <c r="A714" s="170">
        <v>43053</v>
      </c>
      <c r="B714" s="116">
        <v>477.2</v>
      </c>
      <c r="C714" s="116">
        <v>474.72500000000002</v>
      </c>
      <c r="D714" s="116">
        <v>472</v>
      </c>
      <c r="E714" s="116">
        <v>475</v>
      </c>
      <c r="F714" s="116">
        <v>949.45</v>
      </c>
      <c r="G714">
        <v>74616</v>
      </c>
      <c r="H714" s="116"/>
      <c r="I714" s="116"/>
      <c r="L714" s="170">
        <v>43053</v>
      </c>
      <c r="M714" s="116">
        <v>474.55</v>
      </c>
      <c r="N714" s="116">
        <v>477.42500000000001</v>
      </c>
      <c r="O714" s="116">
        <v>471.625</v>
      </c>
      <c r="P714" s="116">
        <v>475.97500000000002</v>
      </c>
      <c r="Q714" s="116">
        <v>949.1</v>
      </c>
      <c r="R714">
        <v>2866855</v>
      </c>
    </row>
    <row r="715" spans="1:18" x14ac:dyDescent="0.25">
      <c r="A715" s="170">
        <v>43054</v>
      </c>
      <c r="B715" s="116">
        <v>476.72500000000002</v>
      </c>
      <c r="C715" s="116">
        <v>475.97500000000002</v>
      </c>
      <c r="D715" s="116">
        <v>472.5</v>
      </c>
      <c r="E715" s="116">
        <v>473.5</v>
      </c>
      <c r="F715" s="116">
        <v>951.95</v>
      </c>
      <c r="G715">
        <v>84411</v>
      </c>
      <c r="H715" s="116"/>
      <c r="I715" s="116"/>
      <c r="L715" s="170">
        <v>43054</v>
      </c>
      <c r="M715" s="116">
        <v>475.9</v>
      </c>
      <c r="N715" s="116">
        <v>476.75</v>
      </c>
      <c r="O715" s="116">
        <v>472.25</v>
      </c>
      <c r="P715" s="116">
        <v>472.57499999999999</v>
      </c>
      <c r="Q715" s="116">
        <v>951.8</v>
      </c>
      <c r="R715">
        <v>3511758</v>
      </c>
    </row>
    <row r="716" spans="1:18" x14ac:dyDescent="0.25">
      <c r="A716" s="170">
        <v>43055</v>
      </c>
      <c r="B716" s="116">
        <v>497.72500000000002</v>
      </c>
      <c r="C716" s="116">
        <v>494.3</v>
      </c>
      <c r="D716" s="116">
        <v>474.42500000000001</v>
      </c>
      <c r="E716" s="116">
        <v>475.57499999999999</v>
      </c>
      <c r="F716" s="116">
        <v>988.6</v>
      </c>
      <c r="G716">
        <v>645791</v>
      </c>
      <c r="H716" s="116"/>
      <c r="I716" s="116"/>
      <c r="L716" s="170">
        <v>43055</v>
      </c>
      <c r="M716" s="116">
        <v>494.2</v>
      </c>
      <c r="N716" s="116">
        <v>497.95</v>
      </c>
      <c r="O716" s="116">
        <v>474.25</v>
      </c>
      <c r="P716" s="116">
        <v>475.9</v>
      </c>
      <c r="Q716" s="116">
        <v>988.4</v>
      </c>
      <c r="R716">
        <v>7843751</v>
      </c>
    </row>
    <row r="717" spans="1:18" x14ac:dyDescent="0.25">
      <c r="A717" s="170">
        <v>43056</v>
      </c>
      <c r="B717" s="116">
        <v>494.9</v>
      </c>
      <c r="C717" s="116">
        <v>485.47500000000002</v>
      </c>
      <c r="D717" s="116">
        <v>481.5</v>
      </c>
      <c r="E717" s="116">
        <v>494.9</v>
      </c>
      <c r="F717" s="116">
        <v>970.95</v>
      </c>
      <c r="G717">
        <v>297180</v>
      </c>
      <c r="H717" s="116"/>
      <c r="I717" s="116"/>
      <c r="L717" s="170">
        <v>43056</v>
      </c>
      <c r="M717" s="116">
        <v>485.47500000000002</v>
      </c>
      <c r="N717" s="116">
        <v>492.75</v>
      </c>
      <c r="O717" s="116">
        <v>482.57499999999999</v>
      </c>
      <c r="P717" s="116">
        <v>492.75</v>
      </c>
      <c r="Q717" s="116">
        <v>970.95</v>
      </c>
      <c r="R717">
        <v>4028835</v>
      </c>
    </row>
    <row r="718" spans="1:18" x14ac:dyDescent="0.25">
      <c r="A718" s="170">
        <v>43059</v>
      </c>
      <c r="B718" s="116">
        <v>485</v>
      </c>
      <c r="C718" s="116">
        <v>480.67500000000001</v>
      </c>
      <c r="D718" s="116">
        <v>478.67500000000001</v>
      </c>
      <c r="E718" s="116">
        <v>484.85</v>
      </c>
      <c r="F718" s="116">
        <v>961.35</v>
      </c>
      <c r="G718">
        <v>145571</v>
      </c>
      <c r="H718" s="116"/>
      <c r="I718" s="116"/>
      <c r="L718" s="170">
        <v>43059</v>
      </c>
      <c r="M718" s="116">
        <v>480.27499999999998</v>
      </c>
      <c r="N718" s="116">
        <v>485.5</v>
      </c>
      <c r="O718" s="116">
        <v>478.625</v>
      </c>
      <c r="P718" s="116">
        <v>484.5</v>
      </c>
      <c r="Q718" s="116">
        <v>960.55</v>
      </c>
      <c r="R718">
        <v>2830595</v>
      </c>
    </row>
    <row r="719" spans="1:18" x14ac:dyDescent="0.25">
      <c r="A719" s="170">
        <v>43060</v>
      </c>
      <c r="B719" s="116">
        <v>485.77499999999998</v>
      </c>
      <c r="C719" s="116">
        <v>483.2</v>
      </c>
      <c r="D719" s="116">
        <v>479.82499999999999</v>
      </c>
      <c r="E719" s="116">
        <v>480.67500000000001</v>
      </c>
      <c r="F719" s="116">
        <v>966.4</v>
      </c>
      <c r="G719">
        <v>101994</v>
      </c>
      <c r="H719" s="116"/>
      <c r="I719" s="116"/>
      <c r="L719" s="170">
        <v>43060</v>
      </c>
      <c r="M719" s="116">
        <v>483.125</v>
      </c>
      <c r="N719" s="116">
        <v>485.75</v>
      </c>
      <c r="O719" s="116">
        <v>480.02499999999998</v>
      </c>
      <c r="P719" s="116">
        <v>480.65</v>
      </c>
      <c r="Q719" s="116">
        <v>966.25</v>
      </c>
      <c r="R719">
        <v>2682328</v>
      </c>
    </row>
    <row r="720" spans="1:18" x14ac:dyDescent="0.25">
      <c r="A720" s="170">
        <v>43061</v>
      </c>
      <c r="B720" s="116">
        <v>485.42500000000001</v>
      </c>
      <c r="C720" s="116">
        <v>483.15</v>
      </c>
      <c r="D720" s="116">
        <v>481.25</v>
      </c>
      <c r="E720" s="116">
        <v>482.5</v>
      </c>
      <c r="F720" s="116">
        <v>966.3</v>
      </c>
      <c r="G720">
        <v>81870</v>
      </c>
      <c r="H720" s="116"/>
      <c r="I720" s="116"/>
      <c r="L720" s="170">
        <v>43061</v>
      </c>
      <c r="M720" s="116">
        <v>483.15</v>
      </c>
      <c r="N720" s="116">
        <v>485.52499999999998</v>
      </c>
      <c r="O720" s="116">
        <v>481.65</v>
      </c>
      <c r="P720" s="116">
        <v>483.3</v>
      </c>
      <c r="Q720" s="116">
        <v>966.3</v>
      </c>
      <c r="R720">
        <v>3042460</v>
      </c>
    </row>
    <row r="721" spans="1:18" x14ac:dyDescent="0.25">
      <c r="A721" s="170">
        <v>43062</v>
      </c>
      <c r="B721" s="116">
        <v>497.17500000000001</v>
      </c>
      <c r="C721" s="116">
        <v>495.7</v>
      </c>
      <c r="D721" s="116">
        <v>484.92500000000001</v>
      </c>
      <c r="E721" s="116">
        <v>485</v>
      </c>
      <c r="F721" s="116">
        <v>991.4</v>
      </c>
      <c r="G721">
        <v>311986</v>
      </c>
      <c r="H721" s="116"/>
      <c r="I721" s="116"/>
      <c r="L721" s="170">
        <v>43062</v>
      </c>
      <c r="M721" s="116">
        <v>495.625</v>
      </c>
      <c r="N721" s="116">
        <v>497.22500000000002</v>
      </c>
      <c r="O721" s="116">
        <v>484.5</v>
      </c>
      <c r="P721" s="116">
        <v>485.75</v>
      </c>
      <c r="Q721" s="116">
        <v>991.25</v>
      </c>
      <c r="R721">
        <v>5947309</v>
      </c>
    </row>
    <row r="722" spans="1:18" x14ac:dyDescent="0.25">
      <c r="A722" s="170">
        <v>43063</v>
      </c>
      <c r="B722" s="116">
        <v>509.6</v>
      </c>
      <c r="C722" s="116">
        <v>504.97500000000002</v>
      </c>
      <c r="D722" s="116">
        <v>494.55</v>
      </c>
      <c r="E722" s="116">
        <v>494.55</v>
      </c>
      <c r="F722" s="116">
        <v>1009.95</v>
      </c>
      <c r="G722">
        <v>491269</v>
      </c>
      <c r="H722" s="116"/>
      <c r="I722" s="116"/>
      <c r="L722" s="170">
        <v>43063</v>
      </c>
      <c r="M722" s="116">
        <v>504.77499999999998</v>
      </c>
      <c r="N722" s="116">
        <v>509.65</v>
      </c>
      <c r="O722" s="116">
        <v>495.1</v>
      </c>
      <c r="P722" s="116">
        <v>495.45</v>
      </c>
      <c r="Q722" s="116">
        <v>1009.55</v>
      </c>
      <c r="R722">
        <v>9309956</v>
      </c>
    </row>
    <row r="723" spans="1:18" x14ac:dyDescent="0.25">
      <c r="A723" s="170">
        <v>43066</v>
      </c>
      <c r="B723" s="116">
        <v>502.5</v>
      </c>
      <c r="C723" s="116">
        <v>498.75</v>
      </c>
      <c r="D723" s="116">
        <v>497</v>
      </c>
      <c r="E723" s="116">
        <v>500</v>
      </c>
      <c r="F723" s="116">
        <v>997.5</v>
      </c>
      <c r="G723">
        <v>172456</v>
      </c>
      <c r="H723" s="116"/>
      <c r="I723" s="116"/>
      <c r="L723" s="170">
        <v>43066</v>
      </c>
      <c r="M723" s="116">
        <v>499.375</v>
      </c>
      <c r="N723" s="116">
        <v>503.35</v>
      </c>
      <c r="O723" s="116">
        <v>496.65</v>
      </c>
      <c r="P723" s="116">
        <v>503.35</v>
      </c>
      <c r="Q723" s="116">
        <v>998.75</v>
      </c>
      <c r="R723">
        <v>3008865</v>
      </c>
    </row>
    <row r="724" spans="1:18" x14ac:dyDescent="0.25">
      <c r="A724" s="170">
        <v>43067</v>
      </c>
      <c r="B724" s="116">
        <v>500.07499999999999</v>
      </c>
      <c r="C724" s="116">
        <v>492.25</v>
      </c>
      <c r="D724" s="116">
        <v>490.75</v>
      </c>
      <c r="E724" s="116">
        <v>498.45</v>
      </c>
      <c r="F724" s="116">
        <v>984.5</v>
      </c>
      <c r="G724">
        <v>153072</v>
      </c>
      <c r="H724" s="116"/>
      <c r="I724" s="116"/>
      <c r="L724" s="170">
        <v>43067</v>
      </c>
      <c r="M724" s="116">
        <v>492.35</v>
      </c>
      <c r="N724" s="116">
        <v>499.95</v>
      </c>
      <c r="O724" s="116">
        <v>490.65</v>
      </c>
      <c r="P724" s="116">
        <v>497.2</v>
      </c>
      <c r="Q724" s="116">
        <v>984.7</v>
      </c>
      <c r="R724">
        <v>2308434</v>
      </c>
    </row>
    <row r="725" spans="1:18" x14ac:dyDescent="0.25">
      <c r="A725" s="170">
        <v>43068</v>
      </c>
      <c r="B725" s="116">
        <v>496</v>
      </c>
      <c r="C725" s="116">
        <v>491.65</v>
      </c>
      <c r="D725" s="116">
        <v>490.75</v>
      </c>
      <c r="E725" s="116">
        <v>494.5</v>
      </c>
      <c r="F725" s="116">
        <v>983.3</v>
      </c>
      <c r="G725">
        <v>63584</v>
      </c>
      <c r="H725" s="116"/>
      <c r="I725" s="116"/>
      <c r="L725" s="170">
        <v>43068</v>
      </c>
      <c r="M725" s="116">
        <v>491.35</v>
      </c>
      <c r="N725" s="116">
        <v>495.97500000000002</v>
      </c>
      <c r="O725" s="116">
        <v>490.15</v>
      </c>
      <c r="P725" s="116">
        <v>493.82499999999999</v>
      </c>
      <c r="Q725" s="116">
        <v>982.7</v>
      </c>
      <c r="R725">
        <v>1919035</v>
      </c>
    </row>
    <row r="726" spans="1:18" x14ac:dyDescent="0.25">
      <c r="A726" s="170">
        <v>43069</v>
      </c>
      <c r="B726" s="116">
        <v>494.9</v>
      </c>
      <c r="C726" s="116">
        <v>487.47500000000002</v>
      </c>
      <c r="D726" s="116">
        <v>483.67500000000001</v>
      </c>
      <c r="E726" s="116">
        <v>494.5</v>
      </c>
      <c r="F726" s="116">
        <v>974.95</v>
      </c>
      <c r="G726">
        <v>128491</v>
      </c>
      <c r="H726" s="116"/>
      <c r="I726" s="116"/>
      <c r="L726" s="170">
        <v>43069</v>
      </c>
      <c r="M726" s="116">
        <v>488.05</v>
      </c>
      <c r="N726" s="116">
        <v>494.72500000000002</v>
      </c>
      <c r="O726" s="116">
        <v>484.17500000000001</v>
      </c>
      <c r="P726" s="116">
        <v>494.72500000000002</v>
      </c>
      <c r="Q726" s="116">
        <v>976.1</v>
      </c>
      <c r="R726">
        <v>8633472</v>
      </c>
    </row>
    <row r="727" spans="1:18" x14ac:dyDescent="0.25">
      <c r="A727" s="170">
        <v>43070</v>
      </c>
      <c r="B727" s="116">
        <v>491.5</v>
      </c>
      <c r="C727" s="116">
        <v>479.25</v>
      </c>
      <c r="D727" s="116">
        <v>478.22500000000002</v>
      </c>
      <c r="E727" s="116">
        <v>488.75</v>
      </c>
      <c r="F727" s="116">
        <v>958.5</v>
      </c>
      <c r="G727">
        <v>143520</v>
      </c>
      <c r="H727" s="116"/>
      <c r="I727" s="116"/>
      <c r="L727" s="170">
        <v>43070</v>
      </c>
      <c r="M727" s="116">
        <v>479.4</v>
      </c>
      <c r="N727" s="116">
        <v>491.6</v>
      </c>
      <c r="O727" s="116">
        <v>478.52499999999998</v>
      </c>
      <c r="P727" s="116">
        <v>489.7</v>
      </c>
      <c r="Q727" s="116">
        <v>958.8</v>
      </c>
      <c r="R727">
        <v>2042500</v>
      </c>
    </row>
    <row r="728" spans="1:18" x14ac:dyDescent="0.25">
      <c r="A728" s="170">
        <v>43073</v>
      </c>
      <c r="B728" s="116">
        <v>498.47500000000002</v>
      </c>
      <c r="C728" s="116">
        <v>492.65</v>
      </c>
      <c r="D728" s="116">
        <v>484.82499999999999</v>
      </c>
      <c r="E728" s="116">
        <v>491.5</v>
      </c>
      <c r="F728" s="116">
        <v>985.3</v>
      </c>
      <c r="G728">
        <v>405001</v>
      </c>
      <c r="H728" s="116"/>
      <c r="I728" s="116"/>
      <c r="L728" s="170">
        <v>43073</v>
      </c>
      <c r="M728" s="116">
        <v>492.67500000000001</v>
      </c>
      <c r="N728" s="116">
        <v>498.4</v>
      </c>
      <c r="O728" s="116">
        <v>484.27499999999998</v>
      </c>
      <c r="P728" s="116">
        <v>490</v>
      </c>
      <c r="Q728" s="116">
        <v>985.35</v>
      </c>
      <c r="R728">
        <v>8905803</v>
      </c>
    </row>
    <row r="729" spans="1:18" x14ac:dyDescent="0.25">
      <c r="A729" s="170">
        <v>43074</v>
      </c>
      <c r="B729" s="116">
        <v>501.3</v>
      </c>
      <c r="C729" s="116">
        <v>492.2</v>
      </c>
      <c r="D729" s="116">
        <v>489.65</v>
      </c>
      <c r="E729" s="116">
        <v>493</v>
      </c>
      <c r="F729" s="116">
        <v>984.4</v>
      </c>
      <c r="G729">
        <v>309135</v>
      </c>
      <c r="H729" s="116"/>
      <c r="I729" s="116"/>
      <c r="L729" s="170">
        <v>43074</v>
      </c>
      <c r="M729" s="116">
        <v>492.17500000000001</v>
      </c>
      <c r="N729" s="116">
        <v>501.5</v>
      </c>
      <c r="O729" s="116">
        <v>489.5</v>
      </c>
      <c r="P729" s="116">
        <v>492.67500000000001</v>
      </c>
      <c r="Q729" s="116">
        <v>984.35</v>
      </c>
      <c r="R729">
        <v>4988369</v>
      </c>
    </row>
    <row r="730" spans="1:18" x14ac:dyDescent="0.25">
      <c r="A730" s="170">
        <v>43075</v>
      </c>
      <c r="B730" s="116">
        <v>497</v>
      </c>
      <c r="C730" s="116">
        <v>495.2</v>
      </c>
      <c r="D730" s="116">
        <v>485</v>
      </c>
      <c r="E730" s="116">
        <v>492.2</v>
      </c>
      <c r="F730" s="116">
        <v>990.4</v>
      </c>
      <c r="G730">
        <v>142237</v>
      </c>
      <c r="H730" s="116"/>
      <c r="I730" s="116"/>
      <c r="L730" s="170">
        <v>43075</v>
      </c>
      <c r="M730" s="116">
        <v>495.15</v>
      </c>
      <c r="N730" s="116">
        <v>497.05</v>
      </c>
      <c r="O730" s="116">
        <v>492</v>
      </c>
      <c r="P730" s="116">
        <v>492.5</v>
      </c>
      <c r="Q730" s="116">
        <v>990.3</v>
      </c>
      <c r="R730">
        <v>3745047</v>
      </c>
    </row>
    <row r="731" spans="1:18" x14ac:dyDescent="0.25">
      <c r="A731" s="170">
        <v>43076</v>
      </c>
      <c r="B731" s="116">
        <v>501.07499999999999</v>
      </c>
      <c r="C731" s="116">
        <v>500.05</v>
      </c>
      <c r="D731" s="116">
        <v>491.2</v>
      </c>
      <c r="E731" s="116">
        <v>493.75</v>
      </c>
      <c r="F731" s="116">
        <v>1000.1</v>
      </c>
      <c r="G731">
        <v>219237</v>
      </c>
      <c r="H731" s="116"/>
      <c r="I731" s="116"/>
      <c r="L731" s="170">
        <v>43076</v>
      </c>
      <c r="M731" s="116">
        <v>499.9</v>
      </c>
      <c r="N731" s="116">
        <v>501.45</v>
      </c>
      <c r="O731" s="116">
        <v>492.8</v>
      </c>
      <c r="P731" s="116">
        <v>494.5</v>
      </c>
      <c r="Q731" s="116">
        <v>999.8</v>
      </c>
      <c r="R731">
        <v>3774772</v>
      </c>
    </row>
    <row r="732" spans="1:18" x14ac:dyDescent="0.25">
      <c r="A732" s="170">
        <v>43077</v>
      </c>
      <c r="B732" s="116">
        <v>503.42500000000001</v>
      </c>
      <c r="C732" s="116">
        <v>500.77499999999998</v>
      </c>
      <c r="D732" s="116">
        <v>498.02499999999998</v>
      </c>
      <c r="E732" s="116">
        <v>500.05</v>
      </c>
      <c r="F732" s="116">
        <v>1001.55</v>
      </c>
      <c r="G732">
        <v>195292</v>
      </c>
      <c r="H732" s="116"/>
      <c r="I732" s="116"/>
      <c r="L732" s="170">
        <v>43077</v>
      </c>
      <c r="M732" s="116">
        <v>500.92500000000001</v>
      </c>
      <c r="N732" s="116">
        <v>503.5</v>
      </c>
      <c r="O732" s="116">
        <v>497.5</v>
      </c>
      <c r="P732" s="116">
        <v>500.5</v>
      </c>
      <c r="Q732" s="116">
        <v>1001.85</v>
      </c>
      <c r="R732">
        <v>2991622</v>
      </c>
    </row>
    <row r="733" spans="1:18" x14ac:dyDescent="0.25">
      <c r="A733" s="170">
        <v>43080</v>
      </c>
      <c r="B733" s="116">
        <v>502.5</v>
      </c>
      <c r="C733" s="116">
        <v>501.75</v>
      </c>
      <c r="D733" s="116">
        <v>497.5</v>
      </c>
      <c r="E733" s="116">
        <v>498.5</v>
      </c>
      <c r="F733" s="116">
        <v>1003.5</v>
      </c>
      <c r="G733">
        <v>94057</v>
      </c>
      <c r="H733" s="116"/>
      <c r="I733" s="116"/>
      <c r="L733" s="170">
        <v>43080</v>
      </c>
      <c r="M733" s="116">
        <v>502.65</v>
      </c>
      <c r="N733" s="116">
        <v>503.45</v>
      </c>
      <c r="O733" s="116">
        <v>496.97500000000002</v>
      </c>
      <c r="P733" s="116">
        <v>497.47500000000002</v>
      </c>
      <c r="Q733" s="116">
        <v>1005.3</v>
      </c>
      <c r="R733">
        <v>2569549</v>
      </c>
    </row>
    <row r="734" spans="1:18" x14ac:dyDescent="0.25">
      <c r="A734" s="170">
        <v>43081</v>
      </c>
      <c r="B734" s="116">
        <v>507</v>
      </c>
      <c r="C734" s="116">
        <v>505.55</v>
      </c>
      <c r="D734" s="116">
        <v>500</v>
      </c>
      <c r="E734" s="116">
        <v>501.5</v>
      </c>
      <c r="F734" s="116">
        <v>1011.1</v>
      </c>
      <c r="G734">
        <v>161161</v>
      </c>
      <c r="H734" s="116"/>
      <c r="I734" s="116"/>
      <c r="L734" s="170">
        <v>43081</v>
      </c>
      <c r="M734" s="116">
        <v>505.25</v>
      </c>
      <c r="N734" s="116">
        <v>507</v>
      </c>
      <c r="O734" s="116">
        <v>501</v>
      </c>
      <c r="P734" s="116">
        <v>501</v>
      </c>
      <c r="Q734" s="116">
        <v>1010.5</v>
      </c>
      <c r="R734">
        <v>4660217</v>
      </c>
    </row>
    <row r="735" spans="1:18" x14ac:dyDescent="0.25">
      <c r="A735" s="170">
        <v>43082</v>
      </c>
      <c r="B735" s="116">
        <v>509</v>
      </c>
      <c r="C735" s="116">
        <v>501.72500000000002</v>
      </c>
      <c r="D735" s="116">
        <v>499.5</v>
      </c>
      <c r="E735" s="116">
        <v>506</v>
      </c>
      <c r="F735" s="116">
        <v>1003.45</v>
      </c>
      <c r="G735">
        <v>141274</v>
      </c>
      <c r="H735" s="116"/>
      <c r="I735" s="116"/>
      <c r="L735" s="170">
        <v>43082</v>
      </c>
      <c r="M735" s="116">
        <v>501.875</v>
      </c>
      <c r="N735" s="116">
        <v>509.5</v>
      </c>
      <c r="O735" s="116">
        <v>498.82499999999999</v>
      </c>
      <c r="P735" s="116">
        <v>505.45</v>
      </c>
      <c r="Q735" s="116">
        <v>1003.75</v>
      </c>
      <c r="R735">
        <v>2681199</v>
      </c>
    </row>
    <row r="736" spans="1:18" x14ac:dyDescent="0.25">
      <c r="A736" s="170">
        <v>43083</v>
      </c>
      <c r="B736" s="116">
        <v>508</v>
      </c>
      <c r="C736" s="116">
        <v>506.22500000000002</v>
      </c>
      <c r="D736" s="116">
        <v>500.02499999999998</v>
      </c>
      <c r="E736" s="116">
        <v>502.625</v>
      </c>
      <c r="F736" s="116">
        <v>1012.45</v>
      </c>
      <c r="G736">
        <v>123907</v>
      </c>
      <c r="H736" s="116"/>
      <c r="I736" s="116"/>
      <c r="L736" s="170">
        <v>43083</v>
      </c>
      <c r="M736" s="116">
        <v>506.55</v>
      </c>
      <c r="N736" s="116">
        <v>507.5</v>
      </c>
      <c r="O736" s="116">
        <v>499.65</v>
      </c>
      <c r="P736" s="116">
        <v>502.625</v>
      </c>
      <c r="Q736" s="116">
        <v>1013.1</v>
      </c>
      <c r="R736">
        <v>3011786</v>
      </c>
    </row>
    <row r="737" spans="1:18" x14ac:dyDescent="0.25">
      <c r="A737" s="170">
        <v>43084</v>
      </c>
      <c r="B737" s="116">
        <v>513</v>
      </c>
      <c r="C737" s="116">
        <v>511.72500000000002</v>
      </c>
      <c r="D737" s="116">
        <v>505.5</v>
      </c>
      <c r="E737" s="116">
        <v>507.5</v>
      </c>
      <c r="F737" s="116">
        <v>1023.45</v>
      </c>
      <c r="G737">
        <v>188338</v>
      </c>
      <c r="H737" s="116"/>
      <c r="I737" s="116"/>
      <c r="L737" s="170">
        <v>43084</v>
      </c>
      <c r="M737" s="116">
        <v>511.45</v>
      </c>
      <c r="N737" s="116">
        <v>513.20000000000005</v>
      </c>
      <c r="O737" s="116">
        <v>505.92500000000001</v>
      </c>
      <c r="P737" s="116">
        <v>506.5</v>
      </c>
      <c r="Q737" s="116">
        <v>1022.9</v>
      </c>
      <c r="R737">
        <v>5192067</v>
      </c>
    </row>
    <row r="738" spans="1:18" x14ac:dyDescent="0.25">
      <c r="A738" s="170">
        <v>43087</v>
      </c>
      <c r="B738" s="116">
        <v>514.92499999999995</v>
      </c>
      <c r="C738" s="116">
        <v>507.67500000000001</v>
      </c>
      <c r="D738" s="116">
        <v>502.8</v>
      </c>
      <c r="E738" s="116">
        <v>507.5</v>
      </c>
      <c r="F738" s="116">
        <v>1015.35</v>
      </c>
      <c r="G738">
        <v>166471</v>
      </c>
      <c r="H738" s="116"/>
      <c r="I738" s="116"/>
      <c r="L738" s="170">
        <v>43087</v>
      </c>
      <c r="M738" s="116">
        <v>508.3</v>
      </c>
      <c r="N738" s="116">
        <v>515.35</v>
      </c>
      <c r="O738" s="116">
        <v>502.9</v>
      </c>
      <c r="P738" s="116">
        <v>505.95</v>
      </c>
      <c r="Q738" s="116">
        <v>1016.6</v>
      </c>
      <c r="R738">
        <v>2017724</v>
      </c>
    </row>
    <row r="739" spans="1:18" x14ac:dyDescent="0.25">
      <c r="A739" s="170">
        <v>43088</v>
      </c>
      <c r="B739" s="116">
        <v>508.75</v>
      </c>
      <c r="C739" s="116">
        <v>502.4</v>
      </c>
      <c r="D739" s="116">
        <v>500</v>
      </c>
      <c r="E739" s="116">
        <v>507.67500000000001</v>
      </c>
      <c r="F739" s="116">
        <v>1004.8</v>
      </c>
      <c r="G739">
        <v>1739637</v>
      </c>
      <c r="H739" s="116"/>
      <c r="I739" s="116"/>
      <c r="L739" s="170">
        <v>43088</v>
      </c>
      <c r="M739" s="116">
        <v>501.97500000000002</v>
      </c>
      <c r="N739" s="116">
        <v>508.97500000000002</v>
      </c>
      <c r="O739" s="116">
        <v>499.77499999999998</v>
      </c>
      <c r="P739" s="116">
        <v>508.72500000000002</v>
      </c>
      <c r="Q739" s="116">
        <v>1003.95</v>
      </c>
      <c r="R739">
        <v>3559449</v>
      </c>
    </row>
    <row r="740" spans="1:18" x14ac:dyDescent="0.25">
      <c r="A740" s="170">
        <v>43089</v>
      </c>
      <c r="B740" s="116">
        <v>507.5</v>
      </c>
      <c r="C740" s="116">
        <v>506.65</v>
      </c>
      <c r="D740" s="116">
        <v>500.97500000000002</v>
      </c>
      <c r="E740" s="116">
        <v>502.4</v>
      </c>
      <c r="F740" s="116">
        <v>1013.3</v>
      </c>
      <c r="G740">
        <v>108144</v>
      </c>
      <c r="H740" s="116"/>
      <c r="I740" s="116"/>
      <c r="L740" s="170">
        <v>43089</v>
      </c>
      <c r="M740" s="116">
        <v>507.92500000000001</v>
      </c>
      <c r="N740" s="116">
        <v>509.3</v>
      </c>
      <c r="O740" s="116">
        <v>500.5</v>
      </c>
      <c r="P740" s="116">
        <v>502.55</v>
      </c>
      <c r="Q740" s="116">
        <v>1015.85</v>
      </c>
      <c r="R740">
        <v>2093163</v>
      </c>
    </row>
    <row r="741" spans="1:18" x14ac:dyDescent="0.25">
      <c r="A741" s="170">
        <v>43090</v>
      </c>
      <c r="B741" s="116">
        <v>514</v>
      </c>
      <c r="C741" s="116">
        <v>510.77499999999998</v>
      </c>
      <c r="D741" s="116">
        <v>499.02499999999998</v>
      </c>
      <c r="E741" s="116">
        <v>506.65</v>
      </c>
      <c r="F741" s="116">
        <v>1021.55</v>
      </c>
      <c r="G741">
        <v>302386</v>
      </c>
      <c r="H741" s="116"/>
      <c r="I741" s="116"/>
      <c r="L741" s="170">
        <v>43090</v>
      </c>
      <c r="M741" s="116">
        <v>511.02499999999998</v>
      </c>
      <c r="N741" s="116">
        <v>514.47500000000002</v>
      </c>
      <c r="O741" s="116">
        <v>499.2</v>
      </c>
      <c r="P741" s="116">
        <v>507.4</v>
      </c>
      <c r="Q741" s="116">
        <v>1022.05</v>
      </c>
      <c r="R741">
        <v>5529581</v>
      </c>
    </row>
    <row r="742" spans="1:18" x14ac:dyDescent="0.25">
      <c r="A742" s="170">
        <v>43091</v>
      </c>
      <c r="B742" s="116">
        <v>522.1</v>
      </c>
      <c r="C742" s="116">
        <v>519.20000000000005</v>
      </c>
      <c r="D742" s="116">
        <v>508.1</v>
      </c>
      <c r="E742" s="116">
        <v>509.7</v>
      </c>
      <c r="F742" s="116">
        <v>1038.4000000000001</v>
      </c>
      <c r="G742">
        <v>312947</v>
      </c>
      <c r="H742" s="116"/>
      <c r="I742" s="116"/>
      <c r="L742" s="170">
        <v>43091</v>
      </c>
      <c r="M742" s="116">
        <v>519.67499999999995</v>
      </c>
      <c r="N742" s="116">
        <v>522.4</v>
      </c>
      <c r="O742" s="116">
        <v>508</v>
      </c>
      <c r="P742" s="116">
        <v>508</v>
      </c>
      <c r="Q742" s="116">
        <v>1039.3499999999999</v>
      </c>
      <c r="R742">
        <v>6453470</v>
      </c>
    </row>
    <row r="743" spans="1:18" x14ac:dyDescent="0.25">
      <c r="A743" s="170">
        <v>43095</v>
      </c>
      <c r="B743" s="116">
        <v>520</v>
      </c>
      <c r="C743" s="116">
        <v>517.17499999999995</v>
      </c>
      <c r="D743" s="116">
        <v>511.55</v>
      </c>
      <c r="E743" s="116">
        <v>514.9</v>
      </c>
      <c r="F743" s="116">
        <v>1034.3499999999999</v>
      </c>
      <c r="G743">
        <v>1024914</v>
      </c>
      <c r="H743" s="116"/>
      <c r="I743" s="116"/>
      <c r="L743" s="170">
        <v>43095</v>
      </c>
      <c r="M743" s="116">
        <v>517.79999999999995</v>
      </c>
      <c r="N743" s="116">
        <v>520.75</v>
      </c>
      <c r="O743" s="116">
        <v>511.5</v>
      </c>
      <c r="P743" s="116">
        <v>515</v>
      </c>
      <c r="Q743" s="116">
        <v>1035.5999999999999</v>
      </c>
      <c r="R743">
        <v>5404453</v>
      </c>
    </row>
    <row r="744" spans="1:18" x14ac:dyDescent="0.25">
      <c r="A744" s="170">
        <v>43096</v>
      </c>
      <c r="B744" s="116">
        <v>519.42499999999995</v>
      </c>
      <c r="C744" s="116">
        <v>517.02499999999998</v>
      </c>
      <c r="D744" s="116">
        <v>512.54999999999995</v>
      </c>
      <c r="E744" s="116">
        <v>514.5</v>
      </c>
      <c r="F744" s="116">
        <v>1034.05</v>
      </c>
      <c r="G744">
        <v>201241</v>
      </c>
      <c r="H744" s="116"/>
      <c r="I744" s="116"/>
      <c r="L744" s="170">
        <v>43096</v>
      </c>
      <c r="M744" s="116">
        <v>517.125</v>
      </c>
      <c r="N744" s="116">
        <v>519.54999999999995</v>
      </c>
      <c r="O744" s="116">
        <v>513.70000000000005</v>
      </c>
      <c r="P744" s="116">
        <v>514</v>
      </c>
      <c r="Q744" s="116">
        <v>1034.25</v>
      </c>
      <c r="R744">
        <v>3485086</v>
      </c>
    </row>
    <row r="745" spans="1:18" x14ac:dyDescent="0.25">
      <c r="A745" s="170">
        <v>43097</v>
      </c>
      <c r="B745" s="116">
        <v>519.95000000000005</v>
      </c>
      <c r="C745" s="116">
        <v>517</v>
      </c>
      <c r="D745" s="116">
        <v>513.04999999999995</v>
      </c>
      <c r="E745" s="116">
        <v>515.95000000000005</v>
      </c>
      <c r="F745" s="116">
        <v>1034</v>
      </c>
      <c r="G745">
        <v>168919</v>
      </c>
      <c r="H745" s="116"/>
      <c r="I745" s="116"/>
      <c r="L745" s="170">
        <v>43097</v>
      </c>
      <c r="M745" s="116">
        <v>516.625</v>
      </c>
      <c r="N745" s="116">
        <v>520</v>
      </c>
      <c r="O745" s="116">
        <v>511.9</v>
      </c>
      <c r="P745" s="116">
        <v>515</v>
      </c>
      <c r="Q745" s="116">
        <v>1033.25</v>
      </c>
      <c r="R745">
        <v>4216736</v>
      </c>
    </row>
    <row r="746" spans="1:18" x14ac:dyDescent="0.25">
      <c r="A746" s="170">
        <v>43098</v>
      </c>
      <c r="B746" s="116">
        <v>523.04999999999995</v>
      </c>
      <c r="C746" s="116">
        <v>519.65</v>
      </c>
      <c r="D746" s="116">
        <v>515</v>
      </c>
      <c r="E746" s="116">
        <v>515</v>
      </c>
      <c r="F746" s="116">
        <v>1039.3</v>
      </c>
      <c r="G746">
        <v>183883</v>
      </c>
      <c r="H746" s="116"/>
      <c r="I746" s="116"/>
      <c r="L746" s="170">
        <v>43098</v>
      </c>
      <c r="M746" s="116">
        <v>521.02499999999998</v>
      </c>
      <c r="N746" s="116">
        <v>524.4</v>
      </c>
      <c r="O746" s="116">
        <v>515</v>
      </c>
      <c r="P746" s="116">
        <v>515.04999999999995</v>
      </c>
      <c r="Q746" s="116">
        <v>1042.05</v>
      </c>
      <c r="R746">
        <v>3300884</v>
      </c>
    </row>
    <row r="747" spans="1:18" x14ac:dyDescent="0.25">
      <c r="A747" s="170">
        <v>43101</v>
      </c>
      <c r="B747" s="116">
        <v>521.82500000000005</v>
      </c>
      <c r="C747" s="116">
        <v>517.27499999999998</v>
      </c>
      <c r="D747" s="116">
        <v>515.9</v>
      </c>
      <c r="E747" s="116">
        <v>520</v>
      </c>
      <c r="F747" s="116">
        <v>1034.55</v>
      </c>
      <c r="G747">
        <v>109339</v>
      </c>
      <c r="H747" s="116"/>
      <c r="I747" s="116"/>
      <c r="L747" s="170">
        <v>43101</v>
      </c>
      <c r="M747" s="116">
        <v>516.77499999999998</v>
      </c>
      <c r="N747" s="116">
        <v>522.25</v>
      </c>
      <c r="O747" s="116">
        <v>515</v>
      </c>
      <c r="P747" s="116">
        <v>518.85</v>
      </c>
      <c r="Q747" s="116">
        <v>1033.55</v>
      </c>
      <c r="R747">
        <v>2715670</v>
      </c>
    </row>
    <row r="748" spans="1:18" x14ac:dyDescent="0.25">
      <c r="A748" s="170">
        <v>43102</v>
      </c>
      <c r="B748" s="116">
        <v>521.70000000000005</v>
      </c>
      <c r="C748" s="116">
        <v>514.75</v>
      </c>
      <c r="D748" s="116">
        <v>511.47500000000002</v>
      </c>
      <c r="E748" s="116">
        <v>518.6</v>
      </c>
      <c r="F748" s="116">
        <v>1029.5</v>
      </c>
      <c r="G748">
        <v>180620</v>
      </c>
      <c r="H748" s="116"/>
      <c r="I748" s="116"/>
      <c r="L748" s="170">
        <v>43102</v>
      </c>
      <c r="M748" s="116">
        <v>514.85</v>
      </c>
      <c r="N748" s="116">
        <v>521</v>
      </c>
      <c r="O748" s="116">
        <v>511.5</v>
      </c>
      <c r="P748" s="116">
        <v>518.625</v>
      </c>
      <c r="Q748" s="116">
        <v>1029.7</v>
      </c>
      <c r="R748">
        <v>3056124</v>
      </c>
    </row>
    <row r="749" spans="1:18" x14ac:dyDescent="0.25">
      <c r="A749" s="170">
        <v>43103</v>
      </c>
      <c r="B749" s="116">
        <v>517.5</v>
      </c>
      <c r="C749" s="116">
        <v>509.55</v>
      </c>
      <c r="D749" s="116">
        <v>509</v>
      </c>
      <c r="E749" s="116">
        <v>517.5</v>
      </c>
      <c r="F749" s="116">
        <v>1019.1</v>
      </c>
      <c r="G749">
        <v>158934</v>
      </c>
      <c r="H749" s="116"/>
      <c r="I749" s="116"/>
      <c r="L749" s="170">
        <v>43103</v>
      </c>
      <c r="M749" s="116">
        <v>510.65</v>
      </c>
      <c r="N749" s="116">
        <v>515.79999999999995</v>
      </c>
      <c r="O749" s="116">
        <v>509.3</v>
      </c>
      <c r="P749" s="116">
        <v>514.25</v>
      </c>
      <c r="Q749" s="116">
        <v>1021.3</v>
      </c>
      <c r="R749">
        <v>3423276</v>
      </c>
    </row>
    <row r="750" spans="1:18" x14ac:dyDescent="0.25">
      <c r="A750" s="170">
        <v>43104</v>
      </c>
      <c r="B750" s="116">
        <v>511</v>
      </c>
      <c r="C750" s="116">
        <v>507.65</v>
      </c>
      <c r="D750" s="116">
        <v>504.8</v>
      </c>
      <c r="E750" s="116">
        <v>511</v>
      </c>
      <c r="F750" s="116">
        <v>1015.3</v>
      </c>
      <c r="G750">
        <v>319784</v>
      </c>
      <c r="H750" s="116"/>
      <c r="I750" s="116"/>
      <c r="L750" s="170">
        <v>43104</v>
      </c>
      <c r="M750" s="116">
        <v>507.7</v>
      </c>
      <c r="N750" s="116">
        <v>510.5</v>
      </c>
      <c r="O750" s="116">
        <v>504.8</v>
      </c>
      <c r="P750" s="116">
        <v>510.5</v>
      </c>
      <c r="Q750" s="116">
        <v>1015.4</v>
      </c>
      <c r="R750">
        <v>4473807</v>
      </c>
    </row>
    <row r="751" spans="1:18" x14ac:dyDescent="0.25">
      <c r="A751" s="170">
        <v>43105</v>
      </c>
      <c r="B751" s="116">
        <v>513</v>
      </c>
      <c r="C751" s="116">
        <v>506.05</v>
      </c>
      <c r="D751" s="116">
        <v>503.125</v>
      </c>
      <c r="E751" s="116">
        <v>507.65</v>
      </c>
      <c r="F751" s="116">
        <v>1012.1</v>
      </c>
      <c r="G751">
        <v>281139</v>
      </c>
      <c r="H751" s="116"/>
      <c r="I751" s="116"/>
      <c r="L751" s="170">
        <v>43105</v>
      </c>
      <c r="M751" s="116">
        <v>506</v>
      </c>
      <c r="N751" s="116">
        <v>513.20000000000005</v>
      </c>
      <c r="O751" s="116">
        <v>503</v>
      </c>
      <c r="P751" s="116">
        <v>507.65</v>
      </c>
      <c r="Q751" s="116">
        <v>1012</v>
      </c>
      <c r="R751">
        <v>5512988</v>
      </c>
    </row>
    <row r="752" spans="1:18" x14ac:dyDescent="0.25">
      <c r="A752" s="170">
        <v>43108</v>
      </c>
      <c r="B752" s="116">
        <v>519.4</v>
      </c>
      <c r="C752" s="116">
        <v>517.82500000000005</v>
      </c>
      <c r="D752" s="116">
        <v>507.5</v>
      </c>
      <c r="E752" s="116">
        <v>507.5</v>
      </c>
      <c r="F752" s="116">
        <v>1035.6500000000001</v>
      </c>
      <c r="G752">
        <v>153944</v>
      </c>
      <c r="H752" s="116"/>
      <c r="I752" s="116"/>
      <c r="L752" s="170">
        <v>43108</v>
      </c>
      <c r="M752" s="116">
        <v>518.02499999999998</v>
      </c>
      <c r="N752" s="116">
        <v>519.5</v>
      </c>
      <c r="O752" s="116">
        <v>510.02499999999998</v>
      </c>
      <c r="P752" s="116">
        <v>512.45000000000005</v>
      </c>
      <c r="Q752" s="116">
        <v>1036.05</v>
      </c>
      <c r="R752">
        <v>2797345</v>
      </c>
    </row>
    <row r="753" spans="1:18" x14ac:dyDescent="0.25">
      <c r="A753" s="170">
        <v>43109</v>
      </c>
      <c r="B753" s="116">
        <v>522.25</v>
      </c>
      <c r="C753" s="116">
        <v>520.65</v>
      </c>
      <c r="D753" s="116">
        <v>514.625</v>
      </c>
      <c r="E753" s="116">
        <v>520</v>
      </c>
      <c r="F753" s="116">
        <v>1041.3</v>
      </c>
      <c r="G753">
        <v>262081</v>
      </c>
      <c r="H753" s="116"/>
      <c r="I753" s="116"/>
      <c r="L753" s="170">
        <v>43109</v>
      </c>
      <c r="M753" s="116">
        <v>520.67499999999995</v>
      </c>
      <c r="N753" s="116">
        <v>522.45000000000005</v>
      </c>
      <c r="O753" s="116">
        <v>514.45000000000005</v>
      </c>
      <c r="P753" s="116">
        <v>520</v>
      </c>
      <c r="Q753" s="116">
        <v>1041.3499999999999</v>
      </c>
      <c r="R753">
        <v>4974118</v>
      </c>
    </row>
    <row r="754" spans="1:18" x14ac:dyDescent="0.25">
      <c r="A754" s="170">
        <v>43110</v>
      </c>
      <c r="B754" s="116">
        <v>527.77499999999998</v>
      </c>
      <c r="C754" s="116">
        <v>525.79999999999995</v>
      </c>
      <c r="D754" s="116">
        <v>517.29999999999995</v>
      </c>
      <c r="E754" s="116">
        <v>524.95000000000005</v>
      </c>
      <c r="F754" s="116">
        <v>1051.5999999999999</v>
      </c>
      <c r="G754">
        <v>704303</v>
      </c>
      <c r="H754" s="116"/>
      <c r="I754" s="116"/>
      <c r="L754" s="170">
        <v>43110</v>
      </c>
      <c r="M754" s="116">
        <v>526.125</v>
      </c>
      <c r="N754" s="116">
        <v>528</v>
      </c>
      <c r="O754" s="116">
        <v>516.52499999999998</v>
      </c>
      <c r="P754" s="116">
        <v>523.4</v>
      </c>
      <c r="Q754" s="116">
        <v>1052.25</v>
      </c>
      <c r="R754">
        <v>4734317</v>
      </c>
    </row>
    <row r="755" spans="1:18" x14ac:dyDescent="0.25">
      <c r="A755" s="170">
        <v>43111</v>
      </c>
      <c r="B755" s="116">
        <v>541.65</v>
      </c>
      <c r="C755" s="116">
        <v>537.79999999999995</v>
      </c>
      <c r="D755" s="116">
        <v>526.5</v>
      </c>
      <c r="E755" s="116">
        <v>526.5</v>
      </c>
      <c r="F755" s="116">
        <v>1075.5999999999999</v>
      </c>
      <c r="G755">
        <v>1315369</v>
      </c>
      <c r="H755" s="116"/>
      <c r="I755" s="116"/>
      <c r="L755" s="170">
        <v>43111</v>
      </c>
      <c r="M755" s="116">
        <v>537.9</v>
      </c>
      <c r="N755" s="116">
        <v>541.70000000000005</v>
      </c>
      <c r="O755" s="116">
        <v>527.625</v>
      </c>
      <c r="P755" s="116">
        <v>527.625</v>
      </c>
      <c r="Q755" s="116">
        <v>1075.8</v>
      </c>
      <c r="R755">
        <v>8387735</v>
      </c>
    </row>
    <row r="756" spans="1:18" x14ac:dyDescent="0.25">
      <c r="A756" s="170">
        <v>43112</v>
      </c>
      <c r="B756" s="116">
        <v>544.5</v>
      </c>
      <c r="C756" s="116">
        <v>539.20000000000005</v>
      </c>
      <c r="D756" s="116">
        <v>534.77499999999998</v>
      </c>
      <c r="E756" s="116">
        <v>544.5</v>
      </c>
      <c r="F756" s="116">
        <v>1078.4000000000001</v>
      </c>
      <c r="G756">
        <v>284821</v>
      </c>
      <c r="H756" s="116"/>
      <c r="I756" s="116"/>
      <c r="L756" s="170">
        <v>43112</v>
      </c>
      <c r="M756" s="116">
        <v>539.22500000000002</v>
      </c>
      <c r="N756" s="116">
        <v>542.95000000000005</v>
      </c>
      <c r="O756" s="116">
        <v>535.27499999999998</v>
      </c>
      <c r="P756" s="116">
        <v>542.9</v>
      </c>
      <c r="Q756" s="116">
        <v>1078.45</v>
      </c>
      <c r="R756">
        <v>9008264</v>
      </c>
    </row>
    <row r="757" spans="1:18" x14ac:dyDescent="0.25">
      <c r="A757" s="170">
        <v>43115</v>
      </c>
      <c r="B757" s="116">
        <v>546.02499999999998</v>
      </c>
      <c r="C757" s="116">
        <v>540.20000000000005</v>
      </c>
      <c r="D757" s="116">
        <v>532.75</v>
      </c>
      <c r="E757" s="116">
        <v>539.25</v>
      </c>
      <c r="F757" s="116">
        <v>1080.4000000000001</v>
      </c>
      <c r="G757">
        <v>222748</v>
      </c>
      <c r="H757" s="116"/>
      <c r="I757" s="116"/>
      <c r="L757" s="170">
        <v>43115</v>
      </c>
      <c r="M757" s="116">
        <v>540.57500000000005</v>
      </c>
      <c r="N757" s="116">
        <v>546.47500000000002</v>
      </c>
      <c r="O757" s="116">
        <v>532.54999999999995</v>
      </c>
      <c r="P757" s="116">
        <v>540</v>
      </c>
      <c r="Q757" s="116">
        <v>1081.1500000000001</v>
      </c>
      <c r="R757">
        <v>5324625</v>
      </c>
    </row>
    <row r="758" spans="1:18" x14ac:dyDescent="0.25">
      <c r="A758" s="170">
        <v>43116</v>
      </c>
      <c r="B758" s="116">
        <v>567.20000000000005</v>
      </c>
      <c r="C758" s="116">
        <v>561.45000000000005</v>
      </c>
      <c r="D758" s="116">
        <v>540</v>
      </c>
      <c r="E758" s="116">
        <v>540</v>
      </c>
      <c r="F758" s="116">
        <v>1122.9000000000001</v>
      </c>
      <c r="G758">
        <v>685309</v>
      </c>
      <c r="H758" s="116"/>
      <c r="I758" s="116"/>
      <c r="L758" s="170">
        <v>43116</v>
      </c>
      <c r="M758" s="116">
        <v>561.42499999999995</v>
      </c>
      <c r="N758" s="116">
        <v>567.4</v>
      </c>
      <c r="O758" s="116">
        <v>540.625</v>
      </c>
      <c r="P758" s="116">
        <v>540.625</v>
      </c>
      <c r="Q758" s="116">
        <v>1122.8499999999999</v>
      </c>
      <c r="R758">
        <v>11323483</v>
      </c>
    </row>
    <row r="759" spans="1:18" x14ac:dyDescent="0.25">
      <c r="A759" s="170">
        <v>43117</v>
      </c>
      <c r="B759" s="116">
        <v>580</v>
      </c>
      <c r="C759" s="116">
        <v>576.125</v>
      </c>
      <c r="D759" s="116">
        <v>559</v>
      </c>
      <c r="E759" s="116">
        <v>559</v>
      </c>
      <c r="F759" s="116">
        <v>1152.25</v>
      </c>
      <c r="G759">
        <v>814814</v>
      </c>
      <c r="H759" s="116"/>
      <c r="I759" s="116"/>
      <c r="L759" s="170">
        <v>43117</v>
      </c>
      <c r="M759" s="116">
        <v>576.04999999999995</v>
      </c>
      <c r="N759" s="116">
        <v>580.9</v>
      </c>
      <c r="O759" s="116">
        <v>561.5</v>
      </c>
      <c r="P759" s="116">
        <v>562.42499999999995</v>
      </c>
      <c r="Q759" s="116">
        <v>1152.0999999999999</v>
      </c>
      <c r="R759">
        <v>13077044</v>
      </c>
    </row>
    <row r="760" spans="1:18" x14ac:dyDescent="0.25">
      <c r="A760" s="170">
        <v>43118</v>
      </c>
      <c r="B760" s="116">
        <v>582.22500000000002</v>
      </c>
      <c r="C760" s="116">
        <v>576.375</v>
      </c>
      <c r="D760" s="116">
        <v>566.17499999999995</v>
      </c>
      <c r="E760" s="116">
        <v>574.5</v>
      </c>
      <c r="F760" s="116">
        <v>1152.75</v>
      </c>
      <c r="G760">
        <v>330817</v>
      </c>
      <c r="H760" s="116"/>
      <c r="I760" s="116"/>
      <c r="L760" s="170">
        <v>43118</v>
      </c>
      <c r="M760" s="116">
        <v>576.35</v>
      </c>
      <c r="N760" s="116">
        <v>582.45000000000005</v>
      </c>
      <c r="O760" s="116">
        <v>566.04999999999995</v>
      </c>
      <c r="P760" s="116">
        <v>572.5</v>
      </c>
      <c r="Q760" s="116">
        <v>1152.7</v>
      </c>
      <c r="R760">
        <v>6602485</v>
      </c>
    </row>
    <row r="761" spans="1:18" x14ac:dyDescent="0.25">
      <c r="A761" s="170">
        <v>43119</v>
      </c>
      <c r="B761" s="116">
        <v>574.45000000000005</v>
      </c>
      <c r="C761" s="116">
        <v>571.625</v>
      </c>
      <c r="D761" s="116">
        <v>568</v>
      </c>
      <c r="E761" s="116">
        <v>574.45000000000005</v>
      </c>
      <c r="F761" s="116">
        <v>1143.25</v>
      </c>
      <c r="G761">
        <v>179258</v>
      </c>
      <c r="H761" s="116"/>
      <c r="I761" s="116"/>
      <c r="L761" s="170">
        <v>43119</v>
      </c>
      <c r="M761" s="116">
        <v>571.72500000000002</v>
      </c>
      <c r="N761" s="116">
        <v>573.95000000000005</v>
      </c>
      <c r="O761" s="116">
        <v>568</v>
      </c>
      <c r="P761" s="116">
        <v>572.5</v>
      </c>
      <c r="Q761" s="116">
        <v>1143.45</v>
      </c>
      <c r="R761">
        <v>2994139</v>
      </c>
    </row>
    <row r="762" spans="1:18" x14ac:dyDescent="0.25">
      <c r="A762" s="170">
        <v>43122</v>
      </c>
      <c r="B762" s="116">
        <v>577.5</v>
      </c>
      <c r="C762" s="116">
        <v>575.15</v>
      </c>
      <c r="D762" s="116">
        <v>565.04999999999995</v>
      </c>
      <c r="E762" s="116">
        <v>570.85</v>
      </c>
      <c r="F762" s="116">
        <v>1150.3</v>
      </c>
      <c r="G762">
        <v>295157</v>
      </c>
      <c r="H762" s="116"/>
      <c r="I762" s="116"/>
      <c r="L762" s="170">
        <v>43122</v>
      </c>
      <c r="M762" s="116">
        <v>575</v>
      </c>
      <c r="N762" s="116">
        <v>578.47500000000002</v>
      </c>
      <c r="O762" s="116">
        <v>566</v>
      </c>
      <c r="P762" s="116">
        <v>566.07500000000005</v>
      </c>
      <c r="Q762" s="116">
        <v>1150</v>
      </c>
      <c r="R762">
        <v>4825107</v>
      </c>
    </row>
    <row r="763" spans="1:18" x14ac:dyDescent="0.25">
      <c r="A763" s="170">
        <v>43123</v>
      </c>
      <c r="B763" s="116">
        <v>593.5</v>
      </c>
      <c r="C763" s="116">
        <v>587.6</v>
      </c>
      <c r="D763" s="116">
        <v>575.6</v>
      </c>
      <c r="E763" s="116">
        <v>575.6</v>
      </c>
      <c r="F763" s="116">
        <v>1175.2</v>
      </c>
      <c r="G763">
        <v>1032768</v>
      </c>
      <c r="H763" s="116"/>
      <c r="I763" s="116"/>
      <c r="L763" s="170">
        <v>43123</v>
      </c>
      <c r="M763" s="116">
        <v>588.54999999999995</v>
      </c>
      <c r="N763" s="116">
        <v>594</v>
      </c>
      <c r="O763" s="116">
        <v>577.5</v>
      </c>
      <c r="P763" s="116">
        <v>577.5</v>
      </c>
      <c r="Q763" s="116">
        <v>1177.0999999999999</v>
      </c>
      <c r="R763">
        <v>7701898</v>
      </c>
    </row>
    <row r="764" spans="1:18" x14ac:dyDescent="0.25">
      <c r="A764" s="170">
        <v>43124</v>
      </c>
      <c r="B764" s="116">
        <v>610</v>
      </c>
      <c r="C764" s="116">
        <v>592.57500000000005</v>
      </c>
      <c r="D764" s="116">
        <v>583.5</v>
      </c>
      <c r="E764" s="116">
        <v>588.9</v>
      </c>
      <c r="F764" s="116">
        <v>1185.1500000000001</v>
      </c>
      <c r="G764">
        <v>531006</v>
      </c>
      <c r="H764" s="116"/>
      <c r="I764" s="116"/>
      <c r="L764" s="170">
        <v>43124</v>
      </c>
      <c r="M764" s="116">
        <v>592.9</v>
      </c>
      <c r="N764" s="116">
        <v>610.52499999999998</v>
      </c>
      <c r="O764" s="116">
        <v>583.75</v>
      </c>
      <c r="P764" s="116">
        <v>587.4</v>
      </c>
      <c r="Q764" s="116">
        <v>1185.8</v>
      </c>
      <c r="R764">
        <v>10302359</v>
      </c>
    </row>
    <row r="765" spans="1:18" x14ac:dyDescent="0.25">
      <c r="A765" s="170">
        <v>43125</v>
      </c>
      <c r="B765" s="116">
        <v>595.75</v>
      </c>
      <c r="C765" s="116">
        <v>585.4</v>
      </c>
      <c r="D765" s="116">
        <v>580.4</v>
      </c>
      <c r="E765" s="116">
        <v>592.20000000000005</v>
      </c>
      <c r="F765" s="116">
        <v>1170.8</v>
      </c>
      <c r="G765">
        <v>522853</v>
      </c>
      <c r="H765" s="116"/>
      <c r="I765" s="116"/>
      <c r="L765" s="170">
        <v>43125</v>
      </c>
      <c r="M765" s="116">
        <v>587.70000000000005</v>
      </c>
      <c r="N765" s="116">
        <v>591.70000000000005</v>
      </c>
      <c r="O765" s="116">
        <v>581.125</v>
      </c>
      <c r="P765" s="116">
        <v>591</v>
      </c>
      <c r="Q765" s="116">
        <v>1175.4000000000001</v>
      </c>
      <c r="R765">
        <v>6774457</v>
      </c>
    </row>
    <row r="766" spans="1:18" x14ac:dyDescent="0.25">
      <c r="A766" s="170">
        <v>43129</v>
      </c>
      <c r="B766" s="116">
        <v>598.1</v>
      </c>
      <c r="C766" s="116">
        <v>590.75</v>
      </c>
      <c r="D766" s="116">
        <v>582.5</v>
      </c>
      <c r="E766" s="116">
        <v>582.5</v>
      </c>
      <c r="F766" s="116">
        <v>1181.5</v>
      </c>
      <c r="G766">
        <v>219303</v>
      </c>
      <c r="H766" s="116"/>
      <c r="I766" s="116"/>
      <c r="L766" s="170">
        <v>43129</v>
      </c>
      <c r="M766" s="116">
        <v>591.45000000000005</v>
      </c>
      <c r="N766" s="116">
        <v>598.125</v>
      </c>
      <c r="O766" s="116">
        <v>582.6</v>
      </c>
      <c r="P766" s="116">
        <v>583.27499999999998</v>
      </c>
      <c r="Q766" s="116">
        <v>1182.9000000000001</v>
      </c>
      <c r="R766">
        <v>5411501</v>
      </c>
    </row>
    <row r="767" spans="1:18" x14ac:dyDescent="0.25">
      <c r="A767" s="170">
        <v>43130</v>
      </c>
      <c r="B767" s="116">
        <v>591.52499999999998</v>
      </c>
      <c r="C767" s="116">
        <v>584.85</v>
      </c>
      <c r="D767" s="116">
        <v>580.9</v>
      </c>
      <c r="E767" s="116">
        <v>590.25</v>
      </c>
      <c r="F767" s="116">
        <v>1169.7</v>
      </c>
      <c r="G767">
        <v>690377</v>
      </c>
      <c r="H767" s="116"/>
      <c r="I767" s="116"/>
      <c r="L767" s="170">
        <v>43130</v>
      </c>
      <c r="M767" s="116">
        <v>585.32500000000005</v>
      </c>
      <c r="N767" s="116">
        <v>591.54999999999995</v>
      </c>
      <c r="O767" s="116">
        <v>581.35</v>
      </c>
      <c r="P767" s="116">
        <v>589.45000000000005</v>
      </c>
      <c r="Q767" s="116">
        <v>1170.6500000000001</v>
      </c>
      <c r="R767">
        <v>4314156</v>
      </c>
    </row>
    <row r="768" spans="1:18" x14ac:dyDescent="0.25">
      <c r="A768" s="170">
        <v>43131</v>
      </c>
      <c r="B768" s="116">
        <v>583</v>
      </c>
      <c r="C768" s="116">
        <v>575.32500000000005</v>
      </c>
      <c r="D768" s="116">
        <v>571.52499999999998</v>
      </c>
      <c r="E768" s="116">
        <v>580</v>
      </c>
      <c r="F768" s="116">
        <v>1150.6500000000001</v>
      </c>
      <c r="G768">
        <v>182426</v>
      </c>
      <c r="H768" s="116"/>
      <c r="I768" s="116"/>
      <c r="L768" s="170">
        <v>43131</v>
      </c>
      <c r="M768" s="116">
        <v>575.125</v>
      </c>
      <c r="N768" s="116">
        <v>583.29999999999995</v>
      </c>
      <c r="O768" s="116">
        <v>571.07500000000005</v>
      </c>
      <c r="P768" s="116">
        <v>579.57500000000005</v>
      </c>
      <c r="Q768" s="116">
        <v>1150.25</v>
      </c>
      <c r="R768">
        <v>4606849</v>
      </c>
    </row>
    <row r="769" spans="1:18" x14ac:dyDescent="0.25">
      <c r="A769" s="170">
        <v>43132</v>
      </c>
      <c r="B769" s="116">
        <v>579</v>
      </c>
      <c r="C769" s="116">
        <v>572.25</v>
      </c>
      <c r="D769" s="116">
        <v>560</v>
      </c>
      <c r="E769" s="116">
        <v>575</v>
      </c>
      <c r="F769" s="116">
        <v>1144.5</v>
      </c>
      <c r="G769">
        <v>672082</v>
      </c>
      <c r="H769" s="116"/>
      <c r="I769" s="116"/>
      <c r="L769" s="170">
        <v>43132</v>
      </c>
      <c r="M769" s="116">
        <v>572.29999999999995</v>
      </c>
      <c r="N769" s="116">
        <v>578.95000000000005</v>
      </c>
      <c r="O769" s="116">
        <v>559.27499999999998</v>
      </c>
      <c r="P769" s="116">
        <v>571.1</v>
      </c>
      <c r="Q769" s="116">
        <v>1144.5999999999999</v>
      </c>
      <c r="R769">
        <v>6502727</v>
      </c>
    </row>
    <row r="770" spans="1:18" x14ac:dyDescent="0.25">
      <c r="A770" s="170">
        <v>43133</v>
      </c>
      <c r="B770" s="116">
        <v>581.22500000000002</v>
      </c>
      <c r="C770" s="116">
        <v>570.85</v>
      </c>
      <c r="D770" s="116">
        <v>565.02499999999998</v>
      </c>
      <c r="E770" s="116">
        <v>570</v>
      </c>
      <c r="F770" s="116">
        <v>1141.7</v>
      </c>
      <c r="G770">
        <v>461545</v>
      </c>
      <c r="H770" s="116"/>
      <c r="I770" s="116"/>
      <c r="L770" s="170">
        <v>43133</v>
      </c>
      <c r="M770" s="116">
        <v>571.625</v>
      </c>
      <c r="N770" s="116">
        <v>581.45000000000005</v>
      </c>
      <c r="O770" s="116">
        <v>565.04999999999995</v>
      </c>
      <c r="P770" s="116">
        <v>567.625</v>
      </c>
      <c r="Q770" s="116">
        <v>1143.25</v>
      </c>
      <c r="R770">
        <v>5122243</v>
      </c>
    </row>
    <row r="771" spans="1:18" x14ac:dyDescent="0.25">
      <c r="A771" s="170">
        <v>43136</v>
      </c>
      <c r="B771" s="116">
        <v>577.5</v>
      </c>
      <c r="C771" s="116">
        <v>569.15</v>
      </c>
      <c r="D771" s="116">
        <v>567.5</v>
      </c>
      <c r="E771" s="116">
        <v>569</v>
      </c>
      <c r="F771" s="116">
        <v>1138.3</v>
      </c>
      <c r="G771">
        <v>262998</v>
      </c>
      <c r="H771" s="116"/>
      <c r="I771" s="116"/>
      <c r="L771" s="170">
        <v>43136</v>
      </c>
      <c r="M771" s="116">
        <v>569.1</v>
      </c>
      <c r="N771" s="116">
        <v>577.42499999999995</v>
      </c>
      <c r="O771" s="116">
        <v>567.92499999999995</v>
      </c>
      <c r="P771" s="116">
        <v>570</v>
      </c>
      <c r="Q771" s="116">
        <v>1138.2</v>
      </c>
      <c r="R771">
        <v>4930110</v>
      </c>
    </row>
    <row r="772" spans="1:18" x14ac:dyDescent="0.25">
      <c r="A772" s="170">
        <v>43137</v>
      </c>
      <c r="B772" s="116">
        <v>563.95000000000005</v>
      </c>
      <c r="C772" s="116">
        <v>554.22500000000002</v>
      </c>
      <c r="D772" s="116">
        <v>549.35</v>
      </c>
      <c r="E772" s="116">
        <v>554.5</v>
      </c>
      <c r="F772" s="116">
        <v>1108.45</v>
      </c>
      <c r="G772">
        <v>218587</v>
      </c>
      <c r="H772" s="116"/>
      <c r="I772" s="116"/>
      <c r="L772" s="170">
        <v>43137</v>
      </c>
      <c r="M772" s="116">
        <v>553.875</v>
      </c>
      <c r="N772" s="116">
        <v>564.17499999999995</v>
      </c>
      <c r="O772" s="116">
        <v>547.57500000000005</v>
      </c>
      <c r="P772" s="116">
        <v>549.97500000000002</v>
      </c>
      <c r="Q772" s="116">
        <v>1107.75</v>
      </c>
      <c r="R772">
        <v>5276039</v>
      </c>
    </row>
    <row r="773" spans="1:18" x14ac:dyDescent="0.25">
      <c r="A773" s="170">
        <v>43138</v>
      </c>
      <c r="B773" s="116">
        <v>562.5</v>
      </c>
      <c r="C773" s="116">
        <v>554.375</v>
      </c>
      <c r="D773" s="116">
        <v>551.95000000000005</v>
      </c>
      <c r="E773" s="116">
        <v>556.04999999999995</v>
      </c>
      <c r="F773" s="116">
        <v>1108.75</v>
      </c>
      <c r="G773">
        <v>234793</v>
      </c>
      <c r="H773" s="116"/>
      <c r="I773" s="116"/>
      <c r="L773" s="170">
        <v>43138</v>
      </c>
      <c r="M773" s="116">
        <v>554.52499999999998</v>
      </c>
      <c r="N773" s="116">
        <v>562.4</v>
      </c>
      <c r="O773" s="116">
        <v>551.77499999999998</v>
      </c>
      <c r="P773" s="116">
        <v>558</v>
      </c>
      <c r="Q773" s="116">
        <v>1109.05</v>
      </c>
      <c r="R773">
        <v>4171028</v>
      </c>
    </row>
    <row r="774" spans="1:18" x14ac:dyDescent="0.25">
      <c r="A774" s="170">
        <v>43139</v>
      </c>
      <c r="B774" s="116">
        <v>572.5</v>
      </c>
      <c r="C774" s="116">
        <v>567.27499999999998</v>
      </c>
      <c r="D774" s="116">
        <v>558.52499999999998</v>
      </c>
      <c r="E774" s="116">
        <v>560.15</v>
      </c>
      <c r="F774" s="116">
        <v>1134.55</v>
      </c>
      <c r="G774">
        <v>216336</v>
      </c>
      <c r="H774" s="116"/>
      <c r="I774" s="116"/>
      <c r="L774" s="170">
        <v>43139</v>
      </c>
      <c r="M774" s="116">
        <v>567.125</v>
      </c>
      <c r="N774" s="116">
        <v>573.20000000000005</v>
      </c>
      <c r="O774" s="116">
        <v>558.27499999999998</v>
      </c>
      <c r="P774" s="116">
        <v>561.4</v>
      </c>
      <c r="Q774" s="116">
        <v>1134.25</v>
      </c>
      <c r="R774">
        <v>4403622</v>
      </c>
    </row>
    <row r="775" spans="1:18" x14ac:dyDescent="0.25">
      <c r="A775" s="170">
        <v>43140</v>
      </c>
      <c r="B775" s="116">
        <v>562.45000000000005</v>
      </c>
      <c r="C775" s="116">
        <v>555.9</v>
      </c>
      <c r="D775" s="116">
        <v>553.6</v>
      </c>
      <c r="E775" s="116">
        <v>562.45000000000005</v>
      </c>
      <c r="F775" s="116">
        <v>1111.8</v>
      </c>
      <c r="G775">
        <v>135912</v>
      </c>
      <c r="H775" s="116"/>
      <c r="I775" s="116"/>
      <c r="L775" s="170">
        <v>43140</v>
      </c>
      <c r="M775" s="116">
        <v>554.57500000000005</v>
      </c>
      <c r="N775" s="116">
        <v>560.15</v>
      </c>
      <c r="O775" s="116">
        <v>553</v>
      </c>
      <c r="P775" s="116">
        <v>559</v>
      </c>
      <c r="Q775" s="116">
        <v>1109.1500000000001</v>
      </c>
      <c r="R775">
        <v>2191345</v>
      </c>
    </row>
    <row r="776" spans="1:18" x14ac:dyDescent="0.25">
      <c r="A776" s="170">
        <v>43143</v>
      </c>
      <c r="B776" s="116">
        <v>560</v>
      </c>
      <c r="C776" s="116">
        <v>551.9</v>
      </c>
      <c r="D776" s="116">
        <v>549.375</v>
      </c>
      <c r="E776" s="116">
        <v>556</v>
      </c>
      <c r="F776" s="116">
        <v>1103.8</v>
      </c>
      <c r="G776">
        <v>362750</v>
      </c>
      <c r="H776" s="116"/>
      <c r="I776" s="116"/>
      <c r="L776" s="170">
        <v>43143</v>
      </c>
      <c r="M776" s="116">
        <v>551.4</v>
      </c>
      <c r="N776" s="116">
        <v>560.29999999999995</v>
      </c>
      <c r="O776" s="116">
        <v>548.9</v>
      </c>
      <c r="P776" s="116">
        <v>557.4</v>
      </c>
      <c r="Q776" s="116">
        <v>1102.8</v>
      </c>
      <c r="R776">
        <v>3145986</v>
      </c>
    </row>
    <row r="777" spans="1:18" x14ac:dyDescent="0.25">
      <c r="A777" s="170">
        <v>43145</v>
      </c>
      <c r="B777" s="116">
        <v>558.70000000000005</v>
      </c>
      <c r="C777" s="116">
        <v>549.02499999999998</v>
      </c>
      <c r="D777" s="116">
        <v>545.85</v>
      </c>
      <c r="E777" s="116">
        <v>552</v>
      </c>
      <c r="F777" s="116">
        <v>1098.05</v>
      </c>
      <c r="G777">
        <v>192208</v>
      </c>
      <c r="H777" s="116"/>
      <c r="I777" s="116"/>
      <c r="L777" s="170">
        <v>43145</v>
      </c>
      <c r="M777" s="116">
        <v>548.875</v>
      </c>
      <c r="N777" s="116">
        <v>558.65</v>
      </c>
      <c r="O777" s="116">
        <v>545.1</v>
      </c>
      <c r="P777" s="116">
        <v>553</v>
      </c>
      <c r="Q777" s="116">
        <v>1097.75</v>
      </c>
      <c r="R777">
        <v>4172856</v>
      </c>
    </row>
    <row r="778" spans="1:18" x14ac:dyDescent="0.25">
      <c r="A778" s="170">
        <v>43146</v>
      </c>
      <c r="B778" s="116">
        <v>564.85</v>
      </c>
      <c r="C778" s="116">
        <v>557.07500000000005</v>
      </c>
      <c r="D778" s="116">
        <v>550.04999999999995</v>
      </c>
      <c r="E778" s="116">
        <v>550.04999999999995</v>
      </c>
      <c r="F778" s="116">
        <v>1114.1500000000001</v>
      </c>
      <c r="G778">
        <v>282999</v>
      </c>
      <c r="H778" s="116"/>
      <c r="I778" s="116"/>
      <c r="L778" s="170">
        <v>43146</v>
      </c>
      <c r="M778" s="116">
        <v>557.22500000000002</v>
      </c>
      <c r="N778" s="116">
        <v>564.85</v>
      </c>
      <c r="O778" s="116">
        <v>551.5</v>
      </c>
      <c r="P778" s="116">
        <v>551.5</v>
      </c>
      <c r="Q778" s="116">
        <v>1114.45</v>
      </c>
      <c r="R778">
        <v>3993368</v>
      </c>
    </row>
    <row r="779" spans="1:18" x14ac:dyDescent="0.25">
      <c r="A779" s="170">
        <v>43147</v>
      </c>
      <c r="B779" s="116">
        <v>570</v>
      </c>
      <c r="C779" s="116">
        <v>562.42499999999995</v>
      </c>
      <c r="D779" s="116">
        <v>558.02499999999998</v>
      </c>
      <c r="E779" s="116">
        <v>560.5</v>
      </c>
      <c r="F779" s="116">
        <v>1124.8499999999999</v>
      </c>
      <c r="G779">
        <v>563385</v>
      </c>
      <c r="H779" s="116"/>
      <c r="I779" s="116"/>
      <c r="L779" s="170">
        <v>43147</v>
      </c>
      <c r="M779" s="116">
        <v>564.02499999999998</v>
      </c>
      <c r="N779" s="116">
        <v>570.82500000000005</v>
      </c>
      <c r="O779" s="116">
        <v>559.04999999999995</v>
      </c>
      <c r="P779" s="116">
        <v>562.5</v>
      </c>
      <c r="Q779" s="116">
        <v>1128.05</v>
      </c>
      <c r="R779">
        <v>4944611</v>
      </c>
    </row>
    <row r="780" spans="1:18" x14ac:dyDescent="0.25">
      <c r="A780" s="170">
        <v>43150</v>
      </c>
      <c r="B780" s="116">
        <v>567.5</v>
      </c>
      <c r="C780" s="116">
        <v>565</v>
      </c>
      <c r="D780" s="116">
        <v>560</v>
      </c>
      <c r="E780" s="116">
        <v>562.6</v>
      </c>
      <c r="F780" s="116">
        <v>1130</v>
      </c>
      <c r="G780">
        <v>270582</v>
      </c>
      <c r="H780" s="116"/>
      <c r="I780" s="116"/>
      <c r="L780" s="170">
        <v>43150</v>
      </c>
      <c r="M780" s="116">
        <v>565.875</v>
      </c>
      <c r="N780" s="116">
        <v>568</v>
      </c>
      <c r="O780" s="116">
        <v>560.15</v>
      </c>
      <c r="P780" s="116">
        <v>564.20000000000005</v>
      </c>
      <c r="Q780" s="116">
        <v>1131.75</v>
      </c>
      <c r="R780">
        <v>3230920</v>
      </c>
    </row>
    <row r="781" spans="1:18" x14ac:dyDescent="0.25">
      <c r="A781" s="170">
        <v>43151</v>
      </c>
      <c r="B781" s="116">
        <v>573.95000000000005</v>
      </c>
      <c r="C781" s="116">
        <v>567.35</v>
      </c>
      <c r="D781" s="116">
        <v>560.5</v>
      </c>
      <c r="E781" s="116">
        <v>566</v>
      </c>
      <c r="F781" s="116">
        <v>1134.7</v>
      </c>
      <c r="G781">
        <v>122989</v>
      </c>
      <c r="H781" s="116"/>
      <c r="I781" s="116"/>
      <c r="L781" s="170">
        <v>43151</v>
      </c>
      <c r="M781" s="116">
        <v>568.47500000000002</v>
      </c>
      <c r="N781" s="116">
        <v>574.75</v>
      </c>
      <c r="O781" s="116">
        <v>551.875</v>
      </c>
      <c r="P781" s="116">
        <v>551.875</v>
      </c>
      <c r="Q781" s="116">
        <v>1136.95</v>
      </c>
      <c r="R781">
        <v>3594297</v>
      </c>
    </row>
    <row r="782" spans="1:18" x14ac:dyDescent="0.25">
      <c r="A782" s="170">
        <v>43152</v>
      </c>
      <c r="B782" s="116">
        <v>575.82500000000005</v>
      </c>
      <c r="C782" s="116">
        <v>574.35</v>
      </c>
      <c r="D782" s="116">
        <v>570.20000000000005</v>
      </c>
      <c r="E782" s="116">
        <v>573</v>
      </c>
      <c r="F782" s="116">
        <v>1148.7</v>
      </c>
      <c r="G782">
        <v>145098</v>
      </c>
      <c r="H782" s="116"/>
      <c r="I782" s="116"/>
      <c r="L782" s="170">
        <v>43152</v>
      </c>
      <c r="M782" s="116">
        <v>573.70000000000005</v>
      </c>
      <c r="N782" s="116">
        <v>575.95000000000005</v>
      </c>
      <c r="O782" s="116">
        <v>570</v>
      </c>
      <c r="P782" s="116">
        <v>573.75</v>
      </c>
      <c r="Q782" s="116">
        <v>1147.4000000000001</v>
      </c>
      <c r="R782">
        <v>6885679</v>
      </c>
    </row>
    <row r="783" spans="1:18" x14ac:dyDescent="0.25">
      <c r="A783" s="170">
        <v>43153</v>
      </c>
      <c r="B783" s="116">
        <v>582</v>
      </c>
      <c r="C783" s="116">
        <v>580.25</v>
      </c>
      <c r="D783" s="116">
        <v>570.04999999999995</v>
      </c>
      <c r="E783" s="116">
        <v>574.45000000000005</v>
      </c>
      <c r="F783" s="116">
        <v>1160.5</v>
      </c>
      <c r="G783">
        <v>143323</v>
      </c>
      <c r="H783" s="116"/>
      <c r="I783" s="116"/>
      <c r="L783" s="170">
        <v>43153</v>
      </c>
      <c r="M783" s="116">
        <v>580.375</v>
      </c>
      <c r="N783" s="116">
        <v>582</v>
      </c>
      <c r="O783" s="116">
        <v>570.22500000000002</v>
      </c>
      <c r="P783" s="116">
        <v>572.77499999999998</v>
      </c>
      <c r="Q783" s="116">
        <v>1160.75</v>
      </c>
      <c r="R783">
        <v>8929987</v>
      </c>
    </row>
    <row r="784" spans="1:18" x14ac:dyDescent="0.25">
      <c r="A784" s="170">
        <v>43154</v>
      </c>
      <c r="B784" s="116">
        <v>583</v>
      </c>
      <c r="C784" s="116">
        <v>577.82500000000005</v>
      </c>
      <c r="D784" s="116">
        <v>573.6</v>
      </c>
      <c r="E784" s="116">
        <v>582.5</v>
      </c>
      <c r="F784" s="116">
        <v>1155.6500000000001</v>
      </c>
      <c r="G784">
        <v>121632</v>
      </c>
      <c r="H784" s="116"/>
      <c r="I784" s="116"/>
      <c r="L784" s="170">
        <v>43154</v>
      </c>
      <c r="M784" s="116">
        <v>577.82500000000005</v>
      </c>
      <c r="N784" s="116">
        <v>583</v>
      </c>
      <c r="O784" s="116">
        <v>573.375</v>
      </c>
      <c r="P784" s="116">
        <v>581.75</v>
      </c>
      <c r="Q784" s="116">
        <v>1155.6500000000001</v>
      </c>
      <c r="R784">
        <v>4729914</v>
      </c>
    </row>
    <row r="785" spans="1:18" x14ac:dyDescent="0.25">
      <c r="A785" s="170">
        <v>43157</v>
      </c>
      <c r="B785" s="116">
        <v>578.5</v>
      </c>
      <c r="C785" s="116">
        <v>570.52499999999998</v>
      </c>
      <c r="D785" s="116">
        <v>568.07500000000005</v>
      </c>
      <c r="E785" s="116">
        <v>578.5</v>
      </c>
      <c r="F785" s="116">
        <v>1141.05</v>
      </c>
      <c r="G785">
        <v>108917</v>
      </c>
      <c r="H785" s="116"/>
      <c r="I785" s="116"/>
      <c r="L785" s="170">
        <v>43157</v>
      </c>
      <c r="M785" s="116">
        <v>569.29999999999995</v>
      </c>
      <c r="N785" s="116">
        <v>577.52499999999998</v>
      </c>
      <c r="O785" s="116">
        <v>567.17499999999995</v>
      </c>
      <c r="P785" s="116">
        <v>575.5</v>
      </c>
      <c r="Q785" s="116">
        <v>1138.5999999999999</v>
      </c>
      <c r="R785">
        <v>2541804</v>
      </c>
    </row>
    <row r="786" spans="1:18" x14ac:dyDescent="0.25">
      <c r="A786" s="170">
        <v>43158</v>
      </c>
      <c r="B786" s="116">
        <v>576.4</v>
      </c>
      <c r="C786" s="116">
        <v>574.15</v>
      </c>
      <c r="D786" s="116">
        <v>562.92499999999995</v>
      </c>
      <c r="E786" s="116">
        <v>571.04999999999995</v>
      </c>
      <c r="F786" s="116">
        <v>1148.3</v>
      </c>
      <c r="G786">
        <v>347461</v>
      </c>
      <c r="H786" s="116"/>
      <c r="I786" s="116"/>
      <c r="L786" s="170">
        <v>43158</v>
      </c>
      <c r="M786" s="116">
        <v>575.1</v>
      </c>
      <c r="N786" s="116">
        <v>576.82500000000005</v>
      </c>
      <c r="O786" s="116">
        <v>562.82500000000005</v>
      </c>
      <c r="P786" s="116">
        <v>572.47500000000002</v>
      </c>
      <c r="Q786" s="116">
        <v>1150.2</v>
      </c>
      <c r="R786">
        <v>3308013</v>
      </c>
    </row>
    <row r="787" spans="1:18" x14ac:dyDescent="0.25">
      <c r="A787" s="170">
        <v>43159</v>
      </c>
      <c r="B787" s="116">
        <v>594.6</v>
      </c>
      <c r="C787" s="116">
        <v>587.125</v>
      </c>
      <c r="D787" s="116">
        <v>571.17499999999995</v>
      </c>
      <c r="E787" s="116">
        <v>574.02499999999998</v>
      </c>
      <c r="F787" s="116">
        <v>1174.25</v>
      </c>
      <c r="G787">
        <v>400910</v>
      </c>
      <c r="H787" s="116"/>
      <c r="I787" s="116"/>
      <c r="L787" s="170">
        <v>43159</v>
      </c>
      <c r="M787" s="116">
        <v>586.29999999999995</v>
      </c>
      <c r="N787" s="116">
        <v>594.75</v>
      </c>
      <c r="O787" s="116">
        <v>571.27499999999998</v>
      </c>
      <c r="P787" s="116">
        <v>573.79999999999995</v>
      </c>
      <c r="Q787" s="116">
        <v>1172.5999999999999</v>
      </c>
      <c r="R787">
        <v>8634208</v>
      </c>
    </row>
    <row r="788" spans="1:18" x14ac:dyDescent="0.25">
      <c r="A788" s="170">
        <v>43160</v>
      </c>
      <c r="B788" s="116">
        <v>586.72500000000002</v>
      </c>
      <c r="C788" s="116">
        <v>580.125</v>
      </c>
      <c r="D788" s="116">
        <v>578.20000000000005</v>
      </c>
      <c r="E788" s="116">
        <v>586.72500000000002</v>
      </c>
      <c r="F788" s="116">
        <v>1160.25</v>
      </c>
      <c r="G788">
        <v>90150</v>
      </c>
      <c r="H788" s="116"/>
      <c r="I788" s="116"/>
      <c r="L788" s="170">
        <v>43160</v>
      </c>
      <c r="M788" s="116">
        <v>580.375</v>
      </c>
      <c r="N788" s="116">
        <v>584.79999999999995</v>
      </c>
      <c r="O788" s="116">
        <v>578.02499999999998</v>
      </c>
      <c r="P788" s="116">
        <v>584.79999999999995</v>
      </c>
      <c r="Q788" s="116">
        <v>1160.75</v>
      </c>
      <c r="R788">
        <v>3289926</v>
      </c>
    </row>
    <row r="789" spans="1:18" x14ac:dyDescent="0.25">
      <c r="A789" s="170">
        <v>43164</v>
      </c>
      <c r="B789" s="116">
        <v>585.04999999999995</v>
      </c>
      <c r="C789" s="116">
        <v>576.54999999999995</v>
      </c>
      <c r="D789" s="116">
        <v>572.02499999999998</v>
      </c>
      <c r="E789" s="116">
        <v>580</v>
      </c>
      <c r="F789" s="116">
        <v>1153.0999999999999</v>
      </c>
      <c r="G789">
        <v>764295</v>
      </c>
      <c r="H789" s="116"/>
      <c r="I789" s="116"/>
      <c r="L789" s="170">
        <v>43164</v>
      </c>
      <c r="M789" s="116">
        <v>577.95000000000005</v>
      </c>
      <c r="N789" s="116">
        <v>585.4</v>
      </c>
      <c r="O789" s="116">
        <v>571.625</v>
      </c>
      <c r="P789" s="116">
        <v>580.375</v>
      </c>
      <c r="Q789" s="116">
        <v>1155.9000000000001</v>
      </c>
      <c r="R789">
        <v>4050728</v>
      </c>
    </row>
    <row r="790" spans="1:18" x14ac:dyDescent="0.25">
      <c r="A790" s="170">
        <v>43165</v>
      </c>
      <c r="B790" s="116">
        <v>583.625</v>
      </c>
      <c r="C790" s="116">
        <v>573.42499999999995</v>
      </c>
      <c r="D790" s="116">
        <v>564.92499999999995</v>
      </c>
      <c r="E790" s="116">
        <v>583.625</v>
      </c>
      <c r="F790" s="116">
        <v>1146.8499999999999</v>
      </c>
      <c r="G790">
        <v>117362</v>
      </c>
      <c r="H790" s="116"/>
      <c r="I790" s="116"/>
      <c r="L790" s="170">
        <v>43165</v>
      </c>
      <c r="M790" s="116">
        <v>575.67499999999995</v>
      </c>
      <c r="N790" s="116">
        <v>582.70000000000005</v>
      </c>
      <c r="O790" s="116">
        <v>571.79999999999995</v>
      </c>
      <c r="P790" s="116">
        <v>581.27499999999998</v>
      </c>
      <c r="Q790" s="116">
        <v>1151.3499999999999</v>
      </c>
      <c r="R790">
        <v>3344867</v>
      </c>
    </row>
    <row r="791" spans="1:18" x14ac:dyDescent="0.25">
      <c r="A791" s="170">
        <v>43166</v>
      </c>
      <c r="B791" s="116">
        <v>580</v>
      </c>
      <c r="C791" s="116">
        <v>571.4</v>
      </c>
      <c r="D791" s="116">
        <v>569.1</v>
      </c>
      <c r="E791" s="116">
        <v>575.65</v>
      </c>
      <c r="F791" s="116">
        <v>1142.8</v>
      </c>
      <c r="G791">
        <v>151702</v>
      </c>
      <c r="H791" s="116"/>
      <c r="I791" s="116"/>
      <c r="L791" s="170">
        <v>43166</v>
      </c>
      <c r="M791" s="116">
        <v>572.04999999999995</v>
      </c>
      <c r="N791" s="116">
        <v>580</v>
      </c>
      <c r="O791" s="116">
        <v>569.02499999999998</v>
      </c>
      <c r="P791" s="116">
        <v>577.5</v>
      </c>
      <c r="Q791" s="116">
        <v>1144.0999999999999</v>
      </c>
      <c r="R791">
        <v>3185208</v>
      </c>
    </row>
    <row r="792" spans="1:18" x14ac:dyDescent="0.25">
      <c r="A792" s="170">
        <v>43167</v>
      </c>
      <c r="B792" s="116">
        <v>582.5</v>
      </c>
      <c r="C792" s="116">
        <v>578.35</v>
      </c>
      <c r="D792" s="116">
        <v>572</v>
      </c>
      <c r="E792" s="116">
        <v>572</v>
      </c>
      <c r="F792" s="116">
        <v>1156.7</v>
      </c>
      <c r="G792">
        <v>207644</v>
      </c>
      <c r="H792" s="116"/>
      <c r="I792" s="116"/>
      <c r="L792" s="170">
        <v>43167</v>
      </c>
      <c r="M792" s="116">
        <v>578.32500000000005</v>
      </c>
      <c r="N792" s="116">
        <v>582.9</v>
      </c>
      <c r="O792" s="116">
        <v>574.5</v>
      </c>
      <c r="P792" s="116">
        <v>574.5</v>
      </c>
      <c r="Q792" s="116">
        <v>1156.6500000000001</v>
      </c>
      <c r="R792">
        <v>3046507</v>
      </c>
    </row>
    <row r="793" spans="1:18" x14ac:dyDescent="0.25">
      <c r="A793" s="170">
        <v>43168</v>
      </c>
      <c r="B793" s="116">
        <v>583</v>
      </c>
      <c r="C793" s="116">
        <v>581.70000000000005</v>
      </c>
      <c r="D793" s="116">
        <v>578.25</v>
      </c>
      <c r="E793" s="116">
        <v>580.1</v>
      </c>
      <c r="F793" s="116">
        <v>1163.4000000000001</v>
      </c>
      <c r="G793">
        <v>107817</v>
      </c>
      <c r="H793" s="116"/>
      <c r="I793" s="116"/>
      <c r="L793" s="170">
        <v>43168</v>
      </c>
      <c r="M793" s="116">
        <v>581.70000000000005</v>
      </c>
      <c r="N793" s="116">
        <v>583</v>
      </c>
      <c r="O793" s="116">
        <v>577.77499999999998</v>
      </c>
      <c r="P793" s="116">
        <v>581.17499999999995</v>
      </c>
      <c r="Q793" s="116">
        <v>1163.4000000000001</v>
      </c>
      <c r="R793">
        <v>2110482</v>
      </c>
    </row>
    <row r="794" spans="1:18" x14ac:dyDescent="0.25">
      <c r="A794" s="170">
        <v>43171</v>
      </c>
      <c r="B794" s="116">
        <v>595.92499999999995</v>
      </c>
      <c r="C794" s="116">
        <v>592.92499999999995</v>
      </c>
      <c r="D794" s="116">
        <v>585.15</v>
      </c>
      <c r="E794" s="116">
        <v>585.15</v>
      </c>
      <c r="F794" s="116">
        <v>1185.8499999999999</v>
      </c>
      <c r="G794">
        <v>373881</v>
      </c>
      <c r="H794" s="116"/>
      <c r="I794" s="116"/>
      <c r="L794" s="170">
        <v>43171</v>
      </c>
      <c r="M794" s="116">
        <v>592.875</v>
      </c>
      <c r="N794" s="116">
        <v>595.92499999999995</v>
      </c>
      <c r="O794" s="116">
        <v>585.875</v>
      </c>
      <c r="P794" s="116">
        <v>588</v>
      </c>
      <c r="Q794" s="116">
        <v>1185.75</v>
      </c>
      <c r="R794">
        <v>3838485</v>
      </c>
    </row>
    <row r="795" spans="1:18" x14ac:dyDescent="0.25">
      <c r="A795" s="170">
        <v>43172</v>
      </c>
      <c r="B795" s="116">
        <v>597.75</v>
      </c>
      <c r="C795" s="116">
        <v>590.27499999999998</v>
      </c>
      <c r="D795" s="116">
        <v>587.5</v>
      </c>
      <c r="E795" s="116">
        <v>588.1</v>
      </c>
      <c r="F795" s="116">
        <v>1180.55</v>
      </c>
      <c r="G795">
        <v>89198</v>
      </c>
      <c r="H795" s="116"/>
      <c r="I795" s="116"/>
      <c r="L795" s="170">
        <v>43172</v>
      </c>
      <c r="M795" s="116">
        <v>591.9</v>
      </c>
      <c r="N795" s="116">
        <v>598.5</v>
      </c>
      <c r="O795" s="116">
        <v>587.57500000000005</v>
      </c>
      <c r="P795" s="116">
        <v>590.1</v>
      </c>
      <c r="Q795" s="116">
        <v>1183.8</v>
      </c>
      <c r="R795">
        <v>4290526</v>
      </c>
    </row>
    <row r="796" spans="1:18" x14ac:dyDescent="0.25">
      <c r="A796" s="170">
        <v>43173</v>
      </c>
      <c r="B796" s="116">
        <v>594.5</v>
      </c>
      <c r="C796" s="116">
        <v>590.1</v>
      </c>
      <c r="D796" s="116">
        <v>584.72500000000002</v>
      </c>
      <c r="E796" s="116">
        <v>589.5</v>
      </c>
      <c r="F796" s="116">
        <v>1180.2</v>
      </c>
      <c r="G796">
        <v>64893</v>
      </c>
      <c r="H796" s="116"/>
      <c r="I796" s="116"/>
      <c r="L796" s="170">
        <v>43173</v>
      </c>
      <c r="M796" s="116">
        <v>590.4</v>
      </c>
      <c r="N796" s="116">
        <v>595.29999999999995</v>
      </c>
      <c r="O796" s="116">
        <v>584.54999999999995</v>
      </c>
      <c r="P796" s="116">
        <v>590</v>
      </c>
      <c r="Q796" s="116">
        <v>1180.8</v>
      </c>
      <c r="R796">
        <v>2214855</v>
      </c>
    </row>
    <row r="797" spans="1:18" x14ac:dyDescent="0.25">
      <c r="A797" s="170">
        <v>43174</v>
      </c>
      <c r="B797" s="116">
        <v>593.95000000000005</v>
      </c>
      <c r="C797" s="116">
        <v>591.07500000000005</v>
      </c>
      <c r="D797" s="116">
        <v>586.125</v>
      </c>
      <c r="E797" s="116">
        <v>590</v>
      </c>
      <c r="F797" s="116">
        <v>1182.1500000000001</v>
      </c>
      <c r="G797">
        <v>459416</v>
      </c>
      <c r="H797" s="116"/>
      <c r="I797" s="116"/>
      <c r="L797" s="170">
        <v>43174</v>
      </c>
      <c r="M797" s="116">
        <v>591.25</v>
      </c>
      <c r="N797" s="116">
        <v>594.20000000000005</v>
      </c>
      <c r="O797" s="116">
        <v>586</v>
      </c>
      <c r="P797" s="116">
        <v>590</v>
      </c>
      <c r="Q797" s="116">
        <v>1182.5</v>
      </c>
      <c r="R797">
        <v>3050750</v>
      </c>
    </row>
    <row r="798" spans="1:18" x14ac:dyDescent="0.25">
      <c r="A798" s="170">
        <v>43175</v>
      </c>
      <c r="B798" s="116">
        <v>592.5</v>
      </c>
      <c r="C798" s="116">
        <v>586.25</v>
      </c>
      <c r="D798" s="116">
        <v>584.5</v>
      </c>
      <c r="E798" s="116">
        <v>592.4</v>
      </c>
      <c r="F798" s="116">
        <v>1172.5</v>
      </c>
      <c r="G798">
        <v>55362</v>
      </c>
      <c r="H798" s="116"/>
      <c r="I798" s="116"/>
      <c r="L798" s="170">
        <v>43175</v>
      </c>
      <c r="M798" s="116">
        <v>585.95000000000005</v>
      </c>
      <c r="N798" s="116">
        <v>591.20000000000005</v>
      </c>
      <c r="O798" s="116">
        <v>584.625</v>
      </c>
      <c r="P798" s="116">
        <v>591</v>
      </c>
      <c r="Q798" s="116">
        <v>1171.9000000000001</v>
      </c>
      <c r="R798">
        <v>8977413</v>
      </c>
    </row>
    <row r="799" spans="1:18" x14ac:dyDescent="0.25">
      <c r="A799" s="170">
        <v>43178</v>
      </c>
      <c r="B799" s="116">
        <v>590</v>
      </c>
      <c r="C799" s="116">
        <v>573.57500000000005</v>
      </c>
      <c r="D799" s="116">
        <v>571.9</v>
      </c>
      <c r="E799" s="116">
        <v>582.35</v>
      </c>
      <c r="F799" s="116">
        <v>1147.1500000000001</v>
      </c>
      <c r="G799">
        <v>277264</v>
      </c>
      <c r="H799" s="116"/>
      <c r="I799" s="116"/>
      <c r="L799" s="170">
        <v>43178</v>
      </c>
      <c r="M799" s="116">
        <v>573.375</v>
      </c>
      <c r="N799" s="116">
        <v>590.25</v>
      </c>
      <c r="O799" s="116">
        <v>571.32500000000005</v>
      </c>
      <c r="P799" s="116">
        <v>582</v>
      </c>
      <c r="Q799" s="116">
        <v>1146.75</v>
      </c>
      <c r="R799">
        <v>3763310</v>
      </c>
    </row>
    <row r="800" spans="1:18" x14ac:dyDescent="0.25">
      <c r="A800" s="170">
        <v>43179</v>
      </c>
      <c r="B800" s="116">
        <v>585</v>
      </c>
      <c r="C800" s="116">
        <v>581.04999999999995</v>
      </c>
      <c r="D800" s="116">
        <v>573.57500000000005</v>
      </c>
      <c r="E800" s="116">
        <v>573.57500000000005</v>
      </c>
      <c r="F800" s="116">
        <v>1162.0999999999999</v>
      </c>
      <c r="G800">
        <v>692539</v>
      </c>
      <c r="H800" s="116"/>
      <c r="I800" s="116"/>
      <c r="L800" s="170">
        <v>43179</v>
      </c>
      <c r="M800" s="116">
        <v>582.27499999999998</v>
      </c>
      <c r="N800" s="116">
        <v>585</v>
      </c>
      <c r="O800" s="116">
        <v>574.29999999999995</v>
      </c>
      <c r="P800" s="116">
        <v>574.29999999999995</v>
      </c>
      <c r="Q800" s="116">
        <v>1164.55</v>
      </c>
      <c r="R800">
        <v>4276883</v>
      </c>
    </row>
    <row r="801" spans="1:18" x14ac:dyDescent="0.25">
      <c r="A801" s="170">
        <v>43180</v>
      </c>
      <c r="B801" s="116">
        <v>588.29999999999995</v>
      </c>
      <c r="C801" s="116">
        <v>584.29999999999995</v>
      </c>
      <c r="D801" s="116">
        <v>581.54999999999995</v>
      </c>
      <c r="E801" s="116">
        <v>581.54999999999995</v>
      </c>
      <c r="F801" s="116">
        <v>1168.5999999999999</v>
      </c>
      <c r="G801">
        <v>88405</v>
      </c>
      <c r="H801" s="116"/>
      <c r="I801" s="116"/>
      <c r="L801" s="170">
        <v>43180</v>
      </c>
      <c r="M801" s="116">
        <v>583.75</v>
      </c>
      <c r="N801" s="116">
        <v>587.75</v>
      </c>
      <c r="O801" s="116">
        <v>581.1</v>
      </c>
      <c r="P801" s="116">
        <v>585</v>
      </c>
      <c r="Q801" s="116">
        <v>1167.5</v>
      </c>
      <c r="R801">
        <v>3846497</v>
      </c>
    </row>
    <row r="802" spans="1:18" x14ac:dyDescent="0.25">
      <c r="A802" s="170">
        <v>43181</v>
      </c>
      <c r="B802" s="116">
        <v>588.02499999999998</v>
      </c>
      <c r="C802" s="116">
        <v>579.4</v>
      </c>
      <c r="D802" s="116">
        <v>576.79999999999995</v>
      </c>
      <c r="E802" s="116">
        <v>583.45000000000005</v>
      </c>
      <c r="F802" s="116">
        <v>1158.8</v>
      </c>
      <c r="G802">
        <v>251295</v>
      </c>
      <c r="H802" s="116"/>
      <c r="I802" s="116"/>
      <c r="L802" s="170">
        <v>43181</v>
      </c>
      <c r="M802" s="116">
        <v>580.65</v>
      </c>
      <c r="N802" s="116">
        <v>588.72500000000002</v>
      </c>
      <c r="O802" s="116">
        <v>577.65</v>
      </c>
      <c r="P802" s="116">
        <v>582.25</v>
      </c>
      <c r="Q802" s="116">
        <v>1161.3</v>
      </c>
      <c r="R802">
        <v>3406584</v>
      </c>
    </row>
    <row r="803" spans="1:18" x14ac:dyDescent="0.25">
      <c r="A803" s="170">
        <v>43182</v>
      </c>
      <c r="B803" s="116">
        <v>586.85</v>
      </c>
      <c r="C803" s="116">
        <v>583.72500000000002</v>
      </c>
      <c r="D803" s="116">
        <v>570</v>
      </c>
      <c r="E803" s="116">
        <v>572.5</v>
      </c>
      <c r="F803" s="116">
        <v>1167.45</v>
      </c>
      <c r="G803">
        <v>341510</v>
      </c>
      <c r="H803" s="116"/>
      <c r="I803" s="116"/>
      <c r="L803" s="170">
        <v>43182</v>
      </c>
      <c r="M803" s="116">
        <v>583.79999999999995</v>
      </c>
      <c r="N803" s="116">
        <v>586.9</v>
      </c>
      <c r="O803" s="116">
        <v>571.17499999999995</v>
      </c>
      <c r="P803" s="116">
        <v>573.5</v>
      </c>
      <c r="Q803" s="116">
        <v>1167.5999999999999</v>
      </c>
      <c r="R803">
        <v>6004042</v>
      </c>
    </row>
    <row r="804" spans="1:18" x14ac:dyDescent="0.25">
      <c r="A804" s="170">
        <v>43185</v>
      </c>
      <c r="B804" s="116">
        <v>583.5</v>
      </c>
      <c r="C804" s="116">
        <v>577.15</v>
      </c>
      <c r="D804" s="116">
        <v>571.95000000000005</v>
      </c>
      <c r="E804" s="116">
        <v>583.5</v>
      </c>
      <c r="F804" s="116">
        <v>1154.3</v>
      </c>
      <c r="G804">
        <v>196300</v>
      </c>
      <c r="H804" s="116"/>
      <c r="I804" s="116"/>
      <c r="L804" s="170">
        <v>43185</v>
      </c>
      <c r="M804" s="116">
        <v>577.625</v>
      </c>
      <c r="N804" s="116">
        <v>583.45000000000005</v>
      </c>
      <c r="O804" s="116">
        <v>572</v>
      </c>
      <c r="P804" s="116">
        <v>583.45000000000005</v>
      </c>
      <c r="Q804" s="116">
        <v>1155.25</v>
      </c>
      <c r="R804">
        <v>4465361</v>
      </c>
    </row>
    <row r="805" spans="1:18" x14ac:dyDescent="0.25">
      <c r="A805" s="170">
        <v>43186</v>
      </c>
      <c r="B805" s="116">
        <v>585</v>
      </c>
      <c r="C805" s="116">
        <v>576.4</v>
      </c>
      <c r="D805" s="116">
        <v>572.5</v>
      </c>
      <c r="E805" s="116">
        <v>572.5</v>
      </c>
      <c r="F805" s="116">
        <v>1152.8</v>
      </c>
      <c r="G805">
        <v>109970</v>
      </c>
      <c r="H805" s="116"/>
      <c r="I805" s="116"/>
      <c r="L805" s="170">
        <v>43186</v>
      </c>
      <c r="M805" s="116">
        <v>577</v>
      </c>
      <c r="N805" s="116">
        <v>580.65</v>
      </c>
      <c r="O805" s="116">
        <v>575.04999999999995</v>
      </c>
      <c r="P805" s="116">
        <v>580</v>
      </c>
      <c r="Q805" s="116">
        <v>1154</v>
      </c>
      <c r="R805">
        <v>1901044</v>
      </c>
    </row>
    <row r="806" spans="1:18" x14ac:dyDescent="0.25">
      <c r="A806" s="170">
        <v>43187</v>
      </c>
      <c r="B806" s="116">
        <v>576.5</v>
      </c>
      <c r="C806" s="116">
        <v>567.20000000000005</v>
      </c>
      <c r="D806" s="116">
        <v>564.5</v>
      </c>
      <c r="E806" s="116">
        <v>576.5</v>
      </c>
      <c r="F806" s="116">
        <v>1134.4000000000001</v>
      </c>
      <c r="G806">
        <v>95733</v>
      </c>
      <c r="H806" s="116"/>
      <c r="I806" s="116"/>
      <c r="L806" s="170">
        <v>43187</v>
      </c>
      <c r="M806" s="116">
        <v>565.9</v>
      </c>
      <c r="N806" s="116">
        <v>575.375</v>
      </c>
      <c r="O806" s="116">
        <v>563.125</v>
      </c>
      <c r="P806" s="116">
        <v>575.375</v>
      </c>
      <c r="Q806" s="116">
        <v>1131.8</v>
      </c>
      <c r="R806">
        <v>6279161</v>
      </c>
    </row>
    <row r="807" spans="1:18" x14ac:dyDescent="0.25">
      <c r="A807" s="170">
        <v>43192</v>
      </c>
      <c r="B807" s="116">
        <v>574.47500000000002</v>
      </c>
      <c r="C807" s="116">
        <v>568.75</v>
      </c>
      <c r="D807" s="116">
        <v>561</v>
      </c>
      <c r="E807" s="116">
        <v>567.75</v>
      </c>
      <c r="F807" s="116">
        <v>1137.5</v>
      </c>
      <c r="G807">
        <v>72812</v>
      </c>
      <c r="H807" s="116"/>
      <c r="I807" s="116"/>
      <c r="L807" s="170">
        <v>43192</v>
      </c>
      <c r="M807" s="116">
        <v>568.57500000000005</v>
      </c>
      <c r="N807" s="116">
        <v>574.77499999999998</v>
      </c>
      <c r="O807" s="116">
        <v>560.65</v>
      </c>
      <c r="P807" s="116">
        <v>570.5</v>
      </c>
      <c r="Q807" s="116">
        <v>1137.1500000000001</v>
      </c>
      <c r="R807">
        <v>4036351</v>
      </c>
    </row>
    <row r="808" spans="1:18" x14ac:dyDescent="0.25">
      <c r="A808" s="170">
        <v>43193</v>
      </c>
      <c r="B808" s="116">
        <v>572.5</v>
      </c>
      <c r="C808" s="116">
        <v>570.02499999999998</v>
      </c>
      <c r="D808" s="116">
        <v>564.79999999999995</v>
      </c>
      <c r="E808" s="116">
        <v>568.4</v>
      </c>
      <c r="F808" s="116">
        <v>1140.05</v>
      </c>
      <c r="G808">
        <v>55686</v>
      </c>
      <c r="H808" s="116"/>
      <c r="I808" s="116"/>
      <c r="L808" s="170">
        <v>43193</v>
      </c>
      <c r="M808" s="116">
        <v>570.22500000000002</v>
      </c>
      <c r="N808" s="116">
        <v>571.77499999999998</v>
      </c>
      <c r="O808" s="116">
        <v>564.04999999999995</v>
      </c>
      <c r="P808" s="116">
        <v>567.35</v>
      </c>
      <c r="Q808" s="116">
        <v>1140.45</v>
      </c>
      <c r="R808">
        <v>2038584</v>
      </c>
    </row>
    <row r="809" spans="1:18" x14ac:dyDescent="0.25">
      <c r="A809" s="170">
        <v>43194</v>
      </c>
      <c r="B809" s="116">
        <v>572.5</v>
      </c>
      <c r="C809" s="116">
        <v>562.27499999999998</v>
      </c>
      <c r="D809" s="116">
        <v>560</v>
      </c>
      <c r="E809" s="116">
        <v>570.25</v>
      </c>
      <c r="F809" s="116">
        <v>1124.55</v>
      </c>
      <c r="G809">
        <v>174290</v>
      </c>
      <c r="H809" s="116"/>
      <c r="I809" s="116"/>
      <c r="L809" s="170">
        <v>43194</v>
      </c>
      <c r="M809" s="116">
        <v>562.1</v>
      </c>
      <c r="N809" s="116">
        <v>572.27499999999998</v>
      </c>
      <c r="O809" s="116">
        <v>560</v>
      </c>
      <c r="P809" s="116">
        <v>572</v>
      </c>
      <c r="Q809" s="116">
        <v>1124.2</v>
      </c>
      <c r="R809">
        <v>2406651</v>
      </c>
    </row>
    <row r="810" spans="1:18" x14ac:dyDescent="0.25">
      <c r="A810" s="170">
        <v>43195</v>
      </c>
      <c r="B810" s="116">
        <v>575.20000000000005</v>
      </c>
      <c r="C810" s="116">
        <v>572.5</v>
      </c>
      <c r="D810" s="116">
        <v>564.97500000000002</v>
      </c>
      <c r="E810" s="116">
        <v>567.02499999999998</v>
      </c>
      <c r="F810" s="116">
        <v>1145</v>
      </c>
      <c r="G810">
        <v>57310</v>
      </c>
      <c r="H810" s="116"/>
      <c r="I810" s="116"/>
      <c r="L810" s="170">
        <v>43195</v>
      </c>
      <c r="M810" s="116">
        <v>573.77499999999998</v>
      </c>
      <c r="N810" s="116">
        <v>575.65</v>
      </c>
      <c r="O810" s="116">
        <v>564.54999999999995</v>
      </c>
      <c r="P810" s="116">
        <v>569.77499999999998</v>
      </c>
      <c r="Q810" s="116">
        <v>1147.55</v>
      </c>
      <c r="R810">
        <v>3881772</v>
      </c>
    </row>
    <row r="811" spans="1:18" x14ac:dyDescent="0.25">
      <c r="A811" s="170">
        <v>43196</v>
      </c>
      <c r="B811" s="116">
        <v>572.85</v>
      </c>
      <c r="C811" s="116">
        <v>564.65</v>
      </c>
      <c r="D811" s="116">
        <v>561.82500000000005</v>
      </c>
      <c r="E811" s="116">
        <v>570</v>
      </c>
      <c r="F811" s="116">
        <v>1129.3</v>
      </c>
      <c r="G811">
        <v>88857</v>
      </c>
      <c r="H811" s="116"/>
      <c r="I811" s="116"/>
      <c r="L811" s="170">
        <v>43196</v>
      </c>
      <c r="M811" s="116">
        <v>563.5</v>
      </c>
      <c r="N811" s="116">
        <v>573</v>
      </c>
      <c r="O811" s="116">
        <v>561.04999999999995</v>
      </c>
      <c r="P811" s="116">
        <v>571.5</v>
      </c>
      <c r="Q811" s="116">
        <v>1127</v>
      </c>
      <c r="R811">
        <v>2968871</v>
      </c>
    </row>
    <row r="812" spans="1:18" x14ac:dyDescent="0.25">
      <c r="A812" s="170">
        <v>43199</v>
      </c>
      <c r="B812" s="116">
        <v>564.95000000000005</v>
      </c>
      <c r="C812" s="116">
        <v>555.47500000000002</v>
      </c>
      <c r="D812" s="116">
        <v>553.4</v>
      </c>
      <c r="E812" s="116">
        <v>564.95000000000005</v>
      </c>
      <c r="F812" s="116">
        <v>1110.95</v>
      </c>
      <c r="G812">
        <v>167351</v>
      </c>
      <c r="H812" s="116"/>
      <c r="I812" s="116"/>
      <c r="L812" s="170">
        <v>43199</v>
      </c>
      <c r="M812" s="116">
        <v>555.625</v>
      </c>
      <c r="N812" s="116">
        <v>562.9</v>
      </c>
      <c r="O812" s="116">
        <v>553.27499999999998</v>
      </c>
      <c r="P812" s="116">
        <v>562.5</v>
      </c>
      <c r="Q812" s="116">
        <v>1111.25</v>
      </c>
      <c r="R812">
        <v>3601441</v>
      </c>
    </row>
    <row r="813" spans="1:18" x14ac:dyDescent="0.25">
      <c r="A813" s="170">
        <v>43200</v>
      </c>
      <c r="B813" s="116">
        <v>563.5</v>
      </c>
      <c r="C813" s="116">
        <v>557.07500000000005</v>
      </c>
      <c r="D813" s="116">
        <v>552.77499999999998</v>
      </c>
      <c r="E813" s="116">
        <v>563.5</v>
      </c>
      <c r="F813" s="116">
        <v>1114.1500000000001</v>
      </c>
      <c r="G813">
        <v>221698</v>
      </c>
      <c r="H813" s="116"/>
      <c r="I813" s="116"/>
      <c r="L813" s="170">
        <v>43200</v>
      </c>
      <c r="M813" s="116">
        <v>556.70000000000005</v>
      </c>
      <c r="N813" s="116">
        <v>562.25</v>
      </c>
      <c r="O813" s="116">
        <v>552.70000000000005</v>
      </c>
      <c r="P813" s="116">
        <v>556</v>
      </c>
      <c r="Q813" s="116">
        <v>1113.4000000000001</v>
      </c>
      <c r="R813">
        <v>4463029</v>
      </c>
    </row>
    <row r="814" spans="1:18" x14ac:dyDescent="0.25">
      <c r="A814" s="170">
        <v>43201</v>
      </c>
      <c r="B814" s="116">
        <v>565.875</v>
      </c>
      <c r="C814" s="116">
        <v>561.95000000000005</v>
      </c>
      <c r="D814" s="116">
        <v>558.85</v>
      </c>
      <c r="E814" s="116">
        <v>559</v>
      </c>
      <c r="F814" s="116">
        <v>1123.9000000000001</v>
      </c>
      <c r="G814">
        <v>340196</v>
      </c>
      <c r="H814" s="116"/>
      <c r="I814" s="116"/>
      <c r="L814" s="170">
        <v>43201</v>
      </c>
      <c r="M814" s="116">
        <v>562.125</v>
      </c>
      <c r="N814" s="116">
        <v>565.75</v>
      </c>
      <c r="O814" s="116">
        <v>558.25</v>
      </c>
      <c r="P814" s="116">
        <v>559</v>
      </c>
      <c r="Q814" s="116">
        <v>1124.25</v>
      </c>
      <c r="R814">
        <v>4512787</v>
      </c>
    </row>
    <row r="815" spans="1:18" x14ac:dyDescent="0.25">
      <c r="A815" s="170">
        <v>43202</v>
      </c>
      <c r="B815" s="116">
        <v>586</v>
      </c>
      <c r="C815" s="116">
        <v>581.125</v>
      </c>
      <c r="D815" s="116">
        <v>564.15</v>
      </c>
      <c r="E815" s="116">
        <v>566.45000000000005</v>
      </c>
      <c r="F815" s="116">
        <v>1162.25</v>
      </c>
      <c r="G815">
        <v>282880</v>
      </c>
      <c r="H815" s="116"/>
      <c r="I815" s="116"/>
      <c r="L815" s="170">
        <v>43202</v>
      </c>
      <c r="M815" s="116">
        <v>581.29999999999995</v>
      </c>
      <c r="N815" s="116">
        <v>586.375</v>
      </c>
      <c r="O815" s="116">
        <v>562.5</v>
      </c>
      <c r="P815" s="116">
        <v>564.72500000000002</v>
      </c>
      <c r="Q815" s="116">
        <v>1162.5999999999999</v>
      </c>
      <c r="R815">
        <v>8522183</v>
      </c>
    </row>
    <row r="816" spans="1:18" x14ac:dyDescent="0.25">
      <c r="A816" s="170">
        <v>43203</v>
      </c>
      <c r="B816" s="116">
        <v>592</v>
      </c>
      <c r="C816" s="116">
        <v>584.5</v>
      </c>
      <c r="D816" s="116">
        <v>575.1</v>
      </c>
      <c r="E816" s="116">
        <v>587.25</v>
      </c>
      <c r="F816" s="116">
        <v>1169</v>
      </c>
      <c r="G816">
        <v>294809</v>
      </c>
      <c r="H816" s="116"/>
      <c r="I816" s="116"/>
      <c r="L816" s="170">
        <v>43203</v>
      </c>
      <c r="M816" s="116">
        <v>585.72500000000002</v>
      </c>
      <c r="N816" s="116">
        <v>592.95000000000005</v>
      </c>
      <c r="O816" s="116">
        <v>575.125</v>
      </c>
      <c r="P816" s="116">
        <v>587</v>
      </c>
      <c r="Q816" s="116">
        <v>1171.45</v>
      </c>
      <c r="R816">
        <v>10613519</v>
      </c>
    </row>
    <row r="817" spans="1:18" x14ac:dyDescent="0.25">
      <c r="A817" s="170">
        <v>43206</v>
      </c>
      <c r="B817" s="116">
        <v>570</v>
      </c>
      <c r="C817" s="116">
        <v>566.4</v>
      </c>
      <c r="D817" s="116">
        <v>549.5</v>
      </c>
      <c r="E817" s="116">
        <v>549.65</v>
      </c>
      <c r="F817" s="116">
        <v>1132.8</v>
      </c>
      <c r="G817">
        <v>531561</v>
      </c>
      <c r="H817" s="116"/>
      <c r="I817" s="116"/>
      <c r="L817" s="170">
        <v>43206</v>
      </c>
      <c r="M817" s="116">
        <v>566.6</v>
      </c>
      <c r="N817" s="116">
        <v>570</v>
      </c>
      <c r="O817" s="116">
        <v>551</v>
      </c>
      <c r="P817" s="116">
        <v>551</v>
      </c>
      <c r="Q817" s="116">
        <v>1133.2</v>
      </c>
      <c r="R817">
        <v>12372542</v>
      </c>
    </row>
    <row r="818" spans="1:18" x14ac:dyDescent="0.25">
      <c r="A818" s="170">
        <v>43207</v>
      </c>
      <c r="B818" s="116">
        <v>565.97500000000002</v>
      </c>
      <c r="C818" s="116">
        <v>562.5</v>
      </c>
      <c r="D818" s="116">
        <v>557.67499999999995</v>
      </c>
      <c r="E818" s="116">
        <v>565.97500000000002</v>
      </c>
      <c r="F818" s="116">
        <v>1125</v>
      </c>
      <c r="G818">
        <v>157534</v>
      </c>
      <c r="H818" s="116"/>
      <c r="I818" s="116"/>
      <c r="L818" s="170">
        <v>43207</v>
      </c>
      <c r="M818" s="116">
        <v>562.6</v>
      </c>
      <c r="N818" s="116">
        <v>563.70000000000005</v>
      </c>
      <c r="O818" s="116">
        <v>557.5</v>
      </c>
      <c r="P818" s="116">
        <v>563.5</v>
      </c>
      <c r="Q818" s="116">
        <v>1125.2</v>
      </c>
      <c r="R818">
        <v>5198970</v>
      </c>
    </row>
    <row r="819" spans="1:18" x14ac:dyDescent="0.25">
      <c r="A819" s="170">
        <v>43208</v>
      </c>
      <c r="B819" s="116">
        <v>567</v>
      </c>
      <c r="C819" s="116">
        <v>562.72500000000002</v>
      </c>
      <c r="D819" s="116">
        <v>556.85</v>
      </c>
      <c r="E819" s="116">
        <v>562</v>
      </c>
      <c r="F819" s="116">
        <v>1125.45</v>
      </c>
      <c r="G819">
        <v>158222</v>
      </c>
      <c r="H819" s="116"/>
      <c r="I819" s="116"/>
      <c r="L819" s="170">
        <v>43208</v>
      </c>
      <c r="M819" s="116">
        <v>562.97500000000002</v>
      </c>
      <c r="N819" s="116">
        <v>567.375</v>
      </c>
      <c r="O819" s="116">
        <v>556.92499999999995</v>
      </c>
      <c r="P819" s="116">
        <v>561.42499999999995</v>
      </c>
      <c r="Q819" s="116">
        <v>1125.95</v>
      </c>
      <c r="R819">
        <v>5215190</v>
      </c>
    </row>
    <row r="820" spans="1:18" x14ac:dyDescent="0.25">
      <c r="A820" s="170">
        <v>43209</v>
      </c>
      <c r="B820" s="116">
        <v>569.5</v>
      </c>
      <c r="C820" s="116">
        <v>566.35</v>
      </c>
      <c r="D820" s="116">
        <v>562</v>
      </c>
      <c r="E820" s="116">
        <v>562</v>
      </c>
      <c r="F820" s="116">
        <v>1132.7</v>
      </c>
      <c r="G820">
        <v>119682</v>
      </c>
      <c r="H820" s="116"/>
      <c r="I820" s="116"/>
      <c r="L820" s="170">
        <v>43209</v>
      </c>
      <c r="M820" s="116">
        <v>566.42499999999995</v>
      </c>
      <c r="N820" s="116">
        <v>569.9</v>
      </c>
      <c r="O820" s="116">
        <v>561.54999999999995</v>
      </c>
      <c r="P820" s="116">
        <v>562</v>
      </c>
      <c r="Q820" s="116">
        <v>1132.8499999999999</v>
      </c>
      <c r="R820">
        <v>4262771</v>
      </c>
    </row>
    <row r="821" spans="1:18" x14ac:dyDescent="0.25">
      <c r="A821" s="170">
        <v>43210</v>
      </c>
      <c r="B821" s="116">
        <v>595.9</v>
      </c>
      <c r="C821" s="116">
        <v>589.125</v>
      </c>
      <c r="D821" s="116">
        <v>567.45000000000005</v>
      </c>
      <c r="E821" s="116">
        <v>569.25</v>
      </c>
      <c r="F821" s="116">
        <v>1178.25</v>
      </c>
      <c r="G821">
        <v>562279</v>
      </c>
      <c r="H821" s="116"/>
      <c r="I821" s="116"/>
      <c r="L821" s="170">
        <v>43210</v>
      </c>
      <c r="M821" s="116">
        <v>589.22500000000002</v>
      </c>
      <c r="N821" s="116">
        <v>596.85</v>
      </c>
      <c r="O821" s="116">
        <v>568.47500000000002</v>
      </c>
      <c r="P821" s="116">
        <v>569.5</v>
      </c>
      <c r="Q821" s="116">
        <v>1178.45</v>
      </c>
      <c r="R821">
        <v>12136346</v>
      </c>
    </row>
    <row r="822" spans="1:18" x14ac:dyDescent="0.25">
      <c r="A822" s="170">
        <v>43213</v>
      </c>
      <c r="B822" s="116">
        <v>606.20000000000005</v>
      </c>
      <c r="C822" s="116">
        <v>591.67499999999995</v>
      </c>
      <c r="D822" s="116">
        <v>577.5</v>
      </c>
      <c r="E822" s="116">
        <v>583</v>
      </c>
      <c r="F822" s="116">
        <v>1183.3499999999999</v>
      </c>
      <c r="G822">
        <v>518622</v>
      </c>
      <c r="H822" s="116"/>
      <c r="I822" s="116"/>
      <c r="L822" s="170">
        <v>43213</v>
      </c>
      <c r="M822" s="116">
        <v>593.85</v>
      </c>
      <c r="N822" s="116">
        <v>607.20000000000005</v>
      </c>
      <c r="O822" s="116">
        <v>577.625</v>
      </c>
      <c r="P822" s="116">
        <v>584</v>
      </c>
      <c r="Q822" s="116">
        <v>1187.7</v>
      </c>
      <c r="R822">
        <v>10915319</v>
      </c>
    </row>
    <row r="823" spans="1:18" x14ac:dyDescent="0.25">
      <c r="A823" s="170">
        <v>43214</v>
      </c>
      <c r="B823" s="116">
        <v>598</v>
      </c>
      <c r="C823" s="116">
        <v>576.95000000000005</v>
      </c>
      <c r="D823" s="116">
        <v>575</v>
      </c>
      <c r="E823" s="116">
        <v>592.5</v>
      </c>
      <c r="F823" s="116">
        <v>1153.9000000000001</v>
      </c>
      <c r="G823">
        <v>171251</v>
      </c>
      <c r="H823" s="116"/>
      <c r="I823" s="116"/>
      <c r="L823" s="170">
        <v>43214</v>
      </c>
      <c r="M823" s="116">
        <v>577.25</v>
      </c>
      <c r="N823" s="116">
        <v>598.20000000000005</v>
      </c>
      <c r="O823" s="116">
        <v>575.04999999999995</v>
      </c>
      <c r="P823" s="116">
        <v>592.5</v>
      </c>
      <c r="Q823" s="116">
        <v>1154.5</v>
      </c>
      <c r="R823">
        <v>4263108</v>
      </c>
    </row>
    <row r="824" spans="1:18" x14ac:dyDescent="0.25">
      <c r="A824" s="170">
        <v>43215</v>
      </c>
      <c r="B824" s="116">
        <v>585.65</v>
      </c>
      <c r="C824" s="116">
        <v>580.45000000000005</v>
      </c>
      <c r="D824" s="116">
        <v>572.6</v>
      </c>
      <c r="E824" s="116">
        <v>577</v>
      </c>
      <c r="F824" s="116">
        <v>1160.9000000000001</v>
      </c>
      <c r="G824">
        <v>243147</v>
      </c>
      <c r="H824" s="116"/>
      <c r="I824" s="116"/>
      <c r="L824" s="170">
        <v>43215</v>
      </c>
      <c r="M824" s="116">
        <v>580.17499999999995</v>
      </c>
      <c r="N824" s="116">
        <v>585.5</v>
      </c>
      <c r="O824" s="116">
        <v>572.6</v>
      </c>
      <c r="P824" s="116">
        <v>576</v>
      </c>
      <c r="Q824" s="116">
        <v>1160.3499999999999</v>
      </c>
      <c r="R824">
        <v>5797089</v>
      </c>
    </row>
    <row r="825" spans="1:18" x14ac:dyDescent="0.25">
      <c r="A825" s="170">
        <v>43216</v>
      </c>
      <c r="B825" s="116">
        <v>591</v>
      </c>
      <c r="C825" s="116">
        <v>587.82500000000005</v>
      </c>
      <c r="D825" s="116">
        <v>580</v>
      </c>
      <c r="E825" s="116">
        <v>582.5</v>
      </c>
      <c r="F825" s="116">
        <v>1175.6500000000001</v>
      </c>
      <c r="G825">
        <v>148546</v>
      </c>
      <c r="H825" s="116"/>
      <c r="I825" s="116"/>
      <c r="L825" s="170">
        <v>43216</v>
      </c>
      <c r="M825" s="116">
        <v>588.22500000000002</v>
      </c>
      <c r="N825" s="116">
        <v>590.82500000000005</v>
      </c>
      <c r="O825" s="116">
        <v>580</v>
      </c>
      <c r="P825" s="116">
        <v>587</v>
      </c>
      <c r="Q825" s="116">
        <v>1176.45</v>
      </c>
      <c r="R825">
        <v>5651042</v>
      </c>
    </row>
    <row r="826" spans="1:18" x14ac:dyDescent="0.25">
      <c r="A826" s="170">
        <v>43217</v>
      </c>
      <c r="B826" s="116">
        <v>595.85</v>
      </c>
      <c r="C826" s="116">
        <v>592.57500000000005</v>
      </c>
      <c r="D826" s="116">
        <v>587.5</v>
      </c>
      <c r="E826" s="116">
        <v>590</v>
      </c>
      <c r="F826" s="116">
        <v>1185.1500000000001</v>
      </c>
      <c r="G826">
        <v>143721</v>
      </c>
      <c r="H826" s="116"/>
      <c r="I826" s="116"/>
      <c r="L826" s="170">
        <v>43217</v>
      </c>
      <c r="M826" s="116">
        <v>592.6</v>
      </c>
      <c r="N826" s="116">
        <v>595.79999999999995</v>
      </c>
      <c r="O826" s="116">
        <v>587.1</v>
      </c>
      <c r="P826" s="116">
        <v>590</v>
      </c>
      <c r="Q826" s="116">
        <v>1185.2</v>
      </c>
      <c r="R826">
        <v>3831685</v>
      </c>
    </row>
    <row r="827" spans="1:18" x14ac:dyDescent="0.25">
      <c r="A827" s="170">
        <v>43220</v>
      </c>
      <c r="B827" s="116">
        <v>603.97500000000002</v>
      </c>
      <c r="C827" s="116">
        <v>599.70000000000005</v>
      </c>
      <c r="D827" s="116">
        <v>592.5</v>
      </c>
      <c r="E827" s="116">
        <v>594</v>
      </c>
      <c r="F827" s="116">
        <v>1199.4000000000001</v>
      </c>
      <c r="G827">
        <v>128818</v>
      </c>
      <c r="H827" s="116"/>
      <c r="I827" s="116"/>
      <c r="L827" s="170">
        <v>43220</v>
      </c>
      <c r="M827" s="116">
        <v>599.75</v>
      </c>
      <c r="N827" s="116">
        <v>603.97500000000002</v>
      </c>
      <c r="O827" s="116">
        <v>590.32500000000005</v>
      </c>
      <c r="P827" s="116">
        <v>590.85</v>
      </c>
      <c r="Q827" s="116">
        <v>1199.5</v>
      </c>
      <c r="R827">
        <v>2755839</v>
      </c>
    </row>
    <row r="828" spans="1:18" x14ac:dyDescent="0.25">
      <c r="A828" s="170">
        <v>43222</v>
      </c>
      <c r="B828" s="116">
        <v>602</v>
      </c>
      <c r="C828" s="116">
        <v>598.9</v>
      </c>
      <c r="D828" s="116">
        <v>590.20000000000005</v>
      </c>
      <c r="E828" s="116">
        <v>600</v>
      </c>
      <c r="F828" s="116">
        <v>1197.8</v>
      </c>
      <c r="G828">
        <v>261839</v>
      </c>
      <c r="H828" s="116"/>
      <c r="I828" s="116"/>
      <c r="L828" s="170">
        <v>43222</v>
      </c>
      <c r="M828" s="116">
        <v>598.52499999999998</v>
      </c>
      <c r="N828" s="116">
        <v>600.79999999999995</v>
      </c>
      <c r="O828" s="116">
        <v>590.5</v>
      </c>
      <c r="P828" s="116">
        <v>599.45000000000005</v>
      </c>
      <c r="Q828" s="116">
        <v>1197.05</v>
      </c>
      <c r="R828">
        <v>5147521</v>
      </c>
    </row>
    <row r="829" spans="1:18" x14ac:dyDescent="0.25">
      <c r="A829" s="170">
        <v>43223</v>
      </c>
      <c r="B829" s="116">
        <v>602.32500000000005</v>
      </c>
      <c r="C829" s="116">
        <v>590.92499999999995</v>
      </c>
      <c r="D829" s="116">
        <v>587.5</v>
      </c>
      <c r="E829" s="116">
        <v>599</v>
      </c>
      <c r="F829" s="116">
        <v>1181.8499999999999</v>
      </c>
      <c r="G829">
        <v>88988</v>
      </c>
      <c r="H829" s="116"/>
      <c r="I829" s="116"/>
      <c r="L829" s="170">
        <v>43223</v>
      </c>
      <c r="M829" s="116">
        <v>591.27499999999998</v>
      </c>
      <c r="N829" s="116">
        <v>602.35</v>
      </c>
      <c r="O829" s="116">
        <v>588.04999999999995</v>
      </c>
      <c r="P829" s="116">
        <v>598.625</v>
      </c>
      <c r="Q829" s="116">
        <v>1182.55</v>
      </c>
      <c r="R829">
        <v>2666115</v>
      </c>
    </row>
    <row r="830" spans="1:18" x14ac:dyDescent="0.25">
      <c r="A830" s="170">
        <v>43224</v>
      </c>
      <c r="B830" s="116">
        <v>598</v>
      </c>
      <c r="C830" s="116">
        <v>586.45000000000005</v>
      </c>
      <c r="D830" s="116">
        <v>578.4</v>
      </c>
      <c r="E830" s="116">
        <v>595</v>
      </c>
      <c r="F830" s="116">
        <v>1172.9000000000001</v>
      </c>
      <c r="G830">
        <v>106963</v>
      </c>
      <c r="H830" s="116"/>
      <c r="I830" s="116"/>
      <c r="L830" s="170">
        <v>43224</v>
      </c>
      <c r="M830" s="116">
        <v>586.54999999999995</v>
      </c>
      <c r="N830" s="116">
        <v>593</v>
      </c>
      <c r="O830" s="116">
        <v>577.5</v>
      </c>
      <c r="P830" s="116">
        <v>592.5</v>
      </c>
      <c r="Q830" s="116">
        <v>1173.0999999999999</v>
      </c>
      <c r="R830">
        <v>3011684</v>
      </c>
    </row>
    <row r="831" spans="1:18" x14ac:dyDescent="0.25">
      <c r="A831" s="170">
        <v>43227</v>
      </c>
      <c r="B831" s="116">
        <v>595.1</v>
      </c>
      <c r="C831" s="116">
        <v>591.67499999999995</v>
      </c>
      <c r="D831" s="116">
        <v>588.4</v>
      </c>
      <c r="E831" s="116">
        <v>588.54999999999995</v>
      </c>
      <c r="F831" s="116">
        <v>1183.3499999999999</v>
      </c>
      <c r="G831">
        <v>92096</v>
      </c>
      <c r="H831" s="116"/>
      <c r="I831" s="116"/>
      <c r="L831" s="170">
        <v>43227</v>
      </c>
      <c r="M831" s="116">
        <v>591.5</v>
      </c>
      <c r="N831" s="116">
        <v>595</v>
      </c>
      <c r="O831" s="116">
        <v>587.75</v>
      </c>
      <c r="P831" s="116">
        <v>590.625</v>
      </c>
      <c r="Q831" s="116">
        <v>1183</v>
      </c>
      <c r="R831">
        <v>2319480</v>
      </c>
    </row>
    <row r="832" spans="1:18" x14ac:dyDescent="0.25">
      <c r="A832" s="170">
        <v>43228</v>
      </c>
      <c r="B832" s="116">
        <v>590</v>
      </c>
      <c r="C832" s="116">
        <v>582.67499999999995</v>
      </c>
      <c r="D832" s="116">
        <v>581</v>
      </c>
      <c r="E832" s="116">
        <v>588.27499999999998</v>
      </c>
      <c r="F832" s="116">
        <v>1165.3499999999999</v>
      </c>
      <c r="G832">
        <v>193127</v>
      </c>
      <c r="H832" s="116"/>
      <c r="I832" s="116"/>
      <c r="L832" s="170">
        <v>43228</v>
      </c>
      <c r="M832" s="116">
        <v>582.77499999999998</v>
      </c>
      <c r="N832" s="116">
        <v>588.95000000000005</v>
      </c>
      <c r="O832" s="116">
        <v>580.52499999999998</v>
      </c>
      <c r="P832" s="116">
        <v>588.95000000000005</v>
      </c>
      <c r="Q832" s="116">
        <v>1165.55</v>
      </c>
      <c r="R832">
        <v>2859278</v>
      </c>
    </row>
    <row r="833" spans="1:18" x14ac:dyDescent="0.25">
      <c r="A833" s="170">
        <v>43229</v>
      </c>
      <c r="B833" s="116">
        <v>588.22500000000002</v>
      </c>
      <c r="C833" s="116">
        <v>585.625</v>
      </c>
      <c r="D833" s="116">
        <v>581.65</v>
      </c>
      <c r="E833" s="116">
        <v>585</v>
      </c>
      <c r="F833" s="116">
        <v>1171.25</v>
      </c>
      <c r="G833">
        <v>124117</v>
      </c>
      <c r="H833" s="116"/>
      <c r="I833" s="116"/>
      <c r="L833" s="170">
        <v>43229</v>
      </c>
      <c r="M833" s="116">
        <v>585.35</v>
      </c>
      <c r="N833" s="116">
        <v>588.45000000000005</v>
      </c>
      <c r="O833" s="116">
        <v>581.5</v>
      </c>
      <c r="P833" s="116">
        <v>583.75</v>
      </c>
      <c r="Q833" s="116">
        <v>1170.7</v>
      </c>
      <c r="R833">
        <v>1891752</v>
      </c>
    </row>
    <row r="834" spans="1:18" x14ac:dyDescent="0.25">
      <c r="A834" s="170">
        <v>43230</v>
      </c>
      <c r="B834" s="116">
        <v>591.5</v>
      </c>
      <c r="C834" s="116">
        <v>583.77499999999998</v>
      </c>
      <c r="D834" s="116">
        <v>581.54999999999995</v>
      </c>
      <c r="E834" s="116">
        <v>582.5</v>
      </c>
      <c r="F834" s="116">
        <v>1167.55</v>
      </c>
      <c r="G834">
        <v>78304</v>
      </c>
      <c r="H834" s="116"/>
      <c r="I834" s="116"/>
      <c r="L834" s="170">
        <v>43230</v>
      </c>
      <c r="M834" s="116">
        <v>584</v>
      </c>
      <c r="N834" s="116">
        <v>591.5</v>
      </c>
      <c r="O834" s="116">
        <v>581.42499999999995</v>
      </c>
      <c r="P834" s="116">
        <v>588</v>
      </c>
      <c r="Q834" s="116">
        <v>1168</v>
      </c>
      <c r="R834">
        <v>1591431</v>
      </c>
    </row>
    <row r="835" spans="1:18" x14ac:dyDescent="0.25">
      <c r="A835" s="170">
        <v>43231</v>
      </c>
      <c r="B835" s="116">
        <v>594.5</v>
      </c>
      <c r="C835" s="116">
        <v>590.5</v>
      </c>
      <c r="D835" s="116">
        <v>583.17499999999995</v>
      </c>
      <c r="E835" s="116">
        <v>585.25</v>
      </c>
      <c r="F835" s="116">
        <v>1181</v>
      </c>
      <c r="G835">
        <v>61494</v>
      </c>
      <c r="H835" s="116"/>
      <c r="I835" s="116"/>
      <c r="L835" s="170">
        <v>43231</v>
      </c>
      <c r="M835" s="116">
        <v>590.375</v>
      </c>
      <c r="N835" s="116">
        <v>591.6</v>
      </c>
      <c r="O835" s="116">
        <v>583.02499999999998</v>
      </c>
      <c r="P835" s="116">
        <v>586.15</v>
      </c>
      <c r="Q835" s="116">
        <v>1180.75</v>
      </c>
      <c r="R835">
        <v>1655853</v>
      </c>
    </row>
    <row r="836" spans="1:18" x14ac:dyDescent="0.25">
      <c r="A836" s="170">
        <v>43234</v>
      </c>
      <c r="B836" s="116">
        <v>597.35</v>
      </c>
      <c r="C836" s="116">
        <v>594.79999999999995</v>
      </c>
      <c r="D836" s="116">
        <v>585.02499999999998</v>
      </c>
      <c r="E836" s="116">
        <v>587.5</v>
      </c>
      <c r="F836" s="116">
        <v>1189.5999999999999</v>
      </c>
      <c r="G836">
        <v>58761</v>
      </c>
      <c r="H836" s="116"/>
      <c r="I836" s="116"/>
      <c r="L836" s="170">
        <v>43234</v>
      </c>
      <c r="M836" s="116">
        <v>594.65</v>
      </c>
      <c r="N836" s="116">
        <v>595.75</v>
      </c>
      <c r="O836" s="116">
        <v>585</v>
      </c>
      <c r="P836" s="116">
        <v>592.17499999999995</v>
      </c>
      <c r="Q836" s="116">
        <v>1189.3</v>
      </c>
      <c r="R836">
        <v>2216047</v>
      </c>
    </row>
    <row r="837" spans="1:18" x14ac:dyDescent="0.25">
      <c r="A837" s="170">
        <v>43235</v>
      </c>
      <c r="B837" s="116">
        <v>603.875</v>
      </c>
      <c r="C837" s="116">
        <v>596.27499999999998</v>
      </c>
      <c r="D837" s="116">
        <v>593.4</v>
      </c>
      <c r="E837" s="116">
        <v>594.65</v>
      </c>
      <c r="F837" s="116">
        <v>1192.55</v>
      </c>
      <c r="G837">
        <v>204419</v>
      </c>
      <c r="H837" s="116"/>
      <c r="I837" s="116"/>
      <c r="L837" s="170">
        <v>43235</v>
      </c>
      <c r="M837" s="116">
        <v>597.27499999999998</v>
      </c>
      <c r="N837" s="116">
        <v>604</v>
      </c>
      <c r="O837" s="116">
        <v>594.04999999999995</v>
      </c>
      <c r="P837" s="116">
        <v>594.04999999999995</v>
      </c>
      <c r="Q837" s="116">
        <v>1194.55</v>
      </c>
      <c r="R837">
        <v>2805987</v>
      </c>
    </row>
    <row r="838" spans="1:18" x14ac:dyDescent="0.25">
      <c r="A838" s="170">
        <v>43236</v>
      </c>
      <c r="B838" s="116">
        <v>598.75</v>
      </c>
      <c r="C838" s="116">
        <v>595.02499999999998</v>
      </c>
      <c r="D838" s="116">
        <v>592.5</v>
      </c>
      <c r="E838" s="116">
        <v>596.27499999999998</v>
      </c>
      <c r="F838" s="116">
        <v>1190.05</v>
      </c>
      <c r="G838">
        <v>109600</v>
      </c>
      <c r="H838" s="116"/>
      <c r="I838" s="116"/>
      <c r="L838" s="170">
        <v>43236</v>
      </c>
      <c r="M838" s="116">
        <v>594.97500000000002</v>
      </c>
      <c r="N838" s="116">
        <v>599</v>
      </c>
      <c r="O838" s="116">
        <v>592.25</v>
      </c>
      <c r="P838" s="116">
        <v>593.625</v>
      </c>
      <c r="Q838" s="116">
        <v>1189.95</v>
      </c>
      <c r="R838">
        <v>3102502</v>
      </c>
    </row>
    <row r="839" spans="1:18" x14ac:dyDescent="0.25">
      <c r="A839" s="170">
        <v>43237</v>
      </c>
      <c r="B839" s="116">
        <v>599.45000000000005</v>
      </c>
      <c r="C839" s="116">
        <v>592.47500000000002</v>
      </c>
      <c r="D839" s="116">
        <v>587.5</v>
      </c>
      <c r="E839" s="116">
        <v>599.45000000000005</v>
      </c>
      <c r="F839" s="116">
        <v>1184.95</v>
      </c>
      <c r="G839">
        <v>69002</v>
      </c>
      <c r="H839" s="116"/>
      <c r="I839" s="116"/>
      <c r="L839" s="170">
        <v>43237</v>
      </c>
      <c r="M839" s="116">
        <v>591.45000000000005</v>
      </c>
      <c r="N839" s="116">
        <v>598.72500000000002</v>
      </c>
      <c r="O839" s="116">
        <v>586.77499999999998</v>
      </c>
      <c r="P839" s="116">
        <v>598</v>
      </c>
      <c r="Q839" s="116">
        <v>1182.9000000000001</v>
      </c>
      <c r="R839">
        <v>4759799</v>
      </c>
    </row>
    <row r="840" spans="1:18" x14ac:dyDescent="0.25">
      <c r="A840" s="170">
        <v>43238</v>
      </c>
      <c r="B840" s="116">
        <v>593.77499999999998</v>
      </c>
      <c r="C840" s="116">
        <v>591.875</v>
      </c>
      <c r="D840" s="116">
        <v>586.52499999999998</v>
      </c>
      <c r="E840" s="116">
        <v>593</v>
      </c>
      <c r="F840" s="116">
        <v>1183.75</v>
      </c>
      <c r="G840">
        <v>52731</v>
      </c>
      <c r="H840" s="116"/>
      <c r="I840" s="116"/>
      <c r="L840" s="170">
        <v>43238</v>
      </c>
      <c r="M840" s="116">
        <v>591.6</v>
      </c>
      <c r="N840" s="116">
        <v>593.27499999999998</v>
      </c>
      <c r="O840" s="116">
        <v>586.5</v>
      </c>
      <c r="P840" s="116">
        <v>591.5</v>
      </c>
      <c r="Q840" s="116">
        <v>1183.2</v>
      </c>
      <c r="R840">
        <v>3569830</v>
      </c>
    </row>
    <row r="841" spans="1:18" x14ac:dyDescent="0.25">
      <c r="A841" s="170">
        <v>43241</v>
      </c>
      <c r="B841" s="116">
        <v>594</v>
      </c>
      <c r="C841" s="116">
        <v>591.29999999999995</v>
      </c>
      <c r="D841" s="116">
        <v>585.15</v>
      </c>
      <c r="E841" s="116">
        <v>590</v>
      </c>
      <c r="F841" s="116">
        <v>1182.5999999999999</v>
      </c>
      <c r="G841">
        <v>83855</v>
      </c>
      <c r="H841" s="116"/>
      <c r="I841" s="116"/>
      <c r="L841" s="170">
        <v>43241</v>
      </c>
      <c r="M841" s="116">
        <v>589.75</v>
      </c>
      <c r="N841" s="116">
        <v>594.20000000000005</v>
      </c>
      <c r="O841" s="116">
        <v>585</v>
      </c>
      <c r="P841" s="116">
        <v>589.77499999999998</v>
      </c>
      <c r="Q841" s="116">
        <v>1179.5</v>
      </c>
      <c r="R841">
        <v>4237660</v>
      </c>
    </row>
    <row r="842" spans="1:18" x14ac:dyDescent="0.25">
      <c r="A842" s="170">
        <v>43242</v>
      </c>
      <c r="B842" s="116">
        <v>598.97500000000002</v>
      </c>
      <c r="C842" s="116">
        <v>596.77499999999998</v>
      </c>
      <c r="D842" s="116">
        <v>587.27499999999998</v>
      </c>
      <c r="E842" s="116">
        <v>587.79999999999995</v>
      </c>
      <c r="F842" s="116">
        <v>1193.55</v>
      </c>
      <c r="G842">
        <v>97019</v>
      </c>
      <c r="H842" s="116"/>
      <c r="I842" s="116"/>
      <c r="L842" s="170">
        <v>43242</v>
      </c>
      <c r="M842" s="116">
        <v>596.92499999999995</v>
      </c>
      <c r="N842" s="116">
        <v>599</v>
      </c>
      <c r="O842" s="116">
        <v>586.95000000000005</v>
      </c>
      <c r="P842" s="116">
        <v>587.5</v>
      </c>
      <c r="Q842" s="116">
        <v>1193.8499999999999</v>
      </c>
      <c r="R842">
        <v>2818402</v>
      </c>
    </row>
    <row r="843" spans="1:18" x14ac:dyDescent="0.25">
      <c r="A843" s="170">
        <v>43243</v>
      </c>
      <c r="B843" s="116">
        <v>603.35</v>
      </c>
      <c r="C843" s="116">
        <v>592.625</v>
      </c>
      <c r="D843" s="116">
        <v>590.45000000000005</v>
      </c>
      <c r="E843" s="116">
        <v>598.4</v>
      </c>
      <c r="F843" s="116">
        <v>1185.25</v>
      </c>
      <c r="G843">
        <v>104464</v>
      </c>
      <c r="H843" s="116"/>
      <c r="I843" s="116"/>
      <c r="L843" s="170">
        <v>43243</v>
      </c>
      <c r="M843" s="116">
        <v>592.45000000000005</v>
      </c>
      <c r="N843" s="116">
        <v>603.82500000000005</v>
      </c>
      <c r="O843" s="116">
        <v>590.75</v>
      </c>
      <c r="P843" s="116">
        <v>597.5</v>
      </c>
      <c r="Q843" s="116">
        <v>1184.9000000000001</v>
      </c>
      <c r="R843">
        <v>4769221</v>
      </c>
    </row>
    <row r="844" spans="1:18" x14ac:dyDescent="0.25">
      <c r="A844" s="170">
        <v>43244</v>
      </c>
      <c r="B844" s="116">
        <v>613.79999999999995</v>
      </c>
      <c r="C844" s="116">
        <v>610.92499999999995</v>
      </c>
      <c r="D844" s="116">
        <v>596.22500000000002</v>
      </c>
      <c r="E844" s="116">
        <v>596.22500000000002</v>
      </c>
      <c r="F844" s="116">
        <v>1221.8499999999999</v>
      </c>
      <c r="G844">
        <v>254783</v>
      </c>
      <c r="H844" s="116"/>
      <c r="I844" s="116"/>
      <c r="L844" s="170">
        <v>43244</v>
      </c>
      <c r="M844" s="116">
        <v>610.5</v>
      </c>
      <c r="N844" s="116">
        <v>613.77499999999998</v>
      </c>
      <c r="O844" s="116">
        <v>599</v>
      </c>
      <c r="P844" s="116">
        <v>599</v>
      </c>
      <c r="Q844" s="116">
        <v>1221</v>
      </c>
      <c r="R844">
        <v>4870285</v>
      </c>
    </row>
    <row r="845" spans="1:18" x14ac:dyDescent="0.25">
      <c r="A845" s="170">
        <v>43245</v>
      </c>
      <c r="B845" s="116">
        <v>624</v>
      </c>
      <c r="C845" s="116">
        <v>614.4</v>
      </c>
      <c r="D845" s="116">
        <v>610.67499999999995</v>
      </c>
      <c r="E845" s="116">
        <v>611.5</v>
      </c>
      <c r="F845" s="116">
        <v>1228.8</v>
      </c>
      <c r="G845">
        <v>205711</v>
      </c>
      <c r="H845" s="116"/>
      <c r="I845" s="116"/>
      <c r="L845" s="170">
        <v>43245</v>
      </c>
      <c r="M845" s="116">
        <v>614.15</v>
      </c>
      <c r="N845" s="116">
        <v>624.32500000000005</v>
      </c>
      <c r="O845" s="116">
        <v>610.4</v>
      </c>
      <c r="P845" s="116">
        <v>615.04999999999995</v>
      </c>
      <c r="Q845" s="116">
        <v>1228.3</v>
      </c>
      <c r="R845">
        <v>4450719</v>
      </c>
    </row>
    <row r="846" spans="1:18" x14ac:dyDescent="0.25">
      <c r="A846" s="170">
        <v>43248</v>
      </c>
      <c r="B846" s="116">
        <v>616.47500000000002</v>
      </c>
      <c r="C846" s="116">
        <v>607.25</v>
      </c>
      <c r="D846" s="116">
        <v>603.04999999999995</v>
      </c>
      <c r="E846" s="116">
        <v>614.15</v>
      </c>
      <c r="F846" s="116">
        <v>1214.5</v>
      </c>
      <c r="G846">
        <v>190203</v>
      </c>
      <c r="H846" s="116"/>
      <c r="I846" s="116"/>
      <c r="L846" s="170">
        <v>43248</v>
      </c>
      <c r="M846" s="116">
        <v>607.20000000000005</v>
      </c>
      <c r="N846" s="116">
        <v>616.29999999999995</v>
      </c>
      <c r="O846" s="116">
        <v>603</v>
      </c>
      <c r="P846" s="116">
        <v>615.5</v>
      </c>
      <c r="Q846" s="116">
        <v>1214.4000000000001</v>
      </c>
      <c r="R846">
        <v>2869897</v>
      </c>
    </row>
    <row r="847" spans="1:18" x14ac:dyDescent="0.25">
      <c r="A847" s="170">
        <v>43249</v>
      </c>
      <c r="B847" s="116">
        <v>612.77499999999998</v>
      </c>
      <c r="C847" s="116">
        <v>608.32500000000005</v>
      </c>
      <c r="D847" s="116">
        <v>603.5</v>
      </c>
      <c r="E847" s="116">
        <v>610</v>
      </c>
      <c r="F847" s="116">
        <v>1216.6500000000001</v>
      </c>
      <c r="G847">
        <v>58709</v>
      </c>
      <c r="H847" s="116"/>
      <c r="I847" s="116"/>
      <c r="L847" s="170">
        <v>43249</v>
      </c>
      <c r="M847" s="116">
        <v>608.35</v>
      </c>
      <c r="N847" s="116">
        <v>613.27499999999998</v>
      </c>
      <c r="O847" s="116">
        <v>603.1</v>
      </c>
      <c r="P847" s="116">
        <v>607.02499999999998</v>
      </c>
      <c r="Q847" s="116">
        <v>1216.7</v>
      </c>
      <c r="R847">
        <v>1694467</v>
      </c>
    </row>
    <row r="848" spans="1:18" x14ac:dyDescent="0.25">
      <c r="A848" s="170">
        <v>43250</v>
      </c>
      <c r="B848" s="116">
        <v>614.5</v>
      </c>
      <c r="C848" s="116">
        <v>607.04999999999995</v>
      </c>
      <c r="D848" s="116">
        <v>603.5</v>
      </c>
      <c r="E848" s="116">
        <v>608.35</v>
      </c>
      <c r="F848" s="116">
        <v>1214.0999999999999</v>
      </c>
      <c r="G848">
        <v>376108</v>
      </c>
      <c r="H848" s="116"/>
      <c r="I848" s="116"/>
      <c r="L848" s="170">
        <v>43250</v>
      </c>
      <c r="M848" s="116">
        <v>605.85</v>
      </c>
      <c r="N848" s="116">
        <v>614.375</v>
      </c>
      <c r="O848" s="116">
        <v>602.79999999999995</v>
      </c>
      <c r="P848" s="116">
        <v>608.5</v>
      </c>
      <c r="Q848" s="116">
        <v>1211.7</v>
      </c>
      <c r="R848">
        <v>3161533</v>
      </c>
    </row>
    <row r="849" spans="1:18" x14ac:dyDescent="0.25">
      <c r="A849" s="170">
        <v>43251</v>
      </c>
      <c r="B849" s="116">
        <v>620</v>
      </c>
      <c r="C849" s="116">
        <v>615.95000000000005</v>
      </c>
      <c r="D849" s="116">
        <v>605.22500000000002</v>
      </c>
      <c r="E849" s="116">
        <v>608.5</v>
      </c>
      <c r="F849" s="116">
        <v>1231.9000000000001</v>
      </c>
      <c r="G849">
        <v>105319</v>
      </c>
      <c r="H849" s="116"/>
      <c r="I849" s="116"/>
      <c r="L849" s="170">
        <v>43251</v>
      </c>
      <c r="M849" s="116">
        <v>615.9</v>
      </c>
      <c r="N849" s="116">
        <v>621</v>
      </c>
      <c r="O849" s="116">
        <v>605.125</v>
      </c>
      <c r="P849" s="116">
        <v>605.85</v>
      </c>
      <c r="Q849" s="116">
        <v>1231.8</v>
      </c>
      <c r="R849">
        <v>9860170</v>
      </c>
    </row>
    <row r="850" spans="1:18" x14ac:dyDescent="0.25">
      <c r="A850" s="170">
        <v>43252</v>
      </c>
      <c r="B850" s="116">
        <v>622.57500000000005</v>
      </c>
      <c r="C850" s="116">
        <v>610.125</v>
      </c>
      <c r="D850" s="116">
        <v>608.95000000000005</v>
      </c>
      <c r="E850" s="116">
        <v>615.95000000000005</v>
      </c>
      <c r="F850" s="116">
        <v>1220.25</v>
      </c>
      <c r="G850">
        <v>132782</v>
      </c>
      <c r="H850" s="116"/>
      <c r="I850" s="116"/>
      <c r="L850" s="170">
        <v>43252</v>
      </c>
      <c r="M850" s="116">
        <v>610.4</v>
      </c>
      <c r="N850" s="116">
        <v>623.125</v>
      </c>
      <c r="O850" s="116">
        <v>608.6</v>
      </c>
      <c r="P850" s="116">
        <v>615.20000000000005</v>
      </c>
      <c r="Q850" s="116">
        <v>1220.8</v>
      </c>
      <c r="R850">
        <v>2499178</v>
      </c>
    </row>
    <row r="851" spans="1:18" x14ac:dyDescent="0.25">
      <c r="A851" s="170">
        <v>43255</v>
      </c>
      <c r="B851" s="116">
        <v>621.67499999999995</v>
      </c>
      <c r="C851" s="116">
        <v>619.79999999999995</v>
      </c>
      <c r="D851" s="116">
        <v>606.375</v>
      </c>
      <c r="E851" s="116">
        <v>610</v>
      </c>
      <c r="F851" s="116">
        <v>1239.5999999999999</v>
      </c>
      <c r="G851">
        <v>88790</v>
      </c>
      <c r="H851" s="116"/>
      <c r="I851" s="116"/>
      <c r="L851" s="170">
        <v>43255</v>
      </c>
      <c r="M851" s="116">
        <v>619.70000000000005</v>
      </c>
      <c r="N851" s="116">
        <v>621.5</v>
      </c>
      <c r="O851" s="116">
        <v>606</v>
      </c>
      <c r="P851" s="116">
        <v>610.54999999999995</v>
      </c>
      <c r="Q851" s="116">
        <v>1239.4000000000001</v>
      </c>
      <c r="R851">
        <v>2135078</v>
      </c>
    </row>
    <row r="852" spans="1:18" x14ac:dyDescent="0.25">
      <c r="A852" s="170">
        <v>43256</v>
      </c>
      <c r="B852" s="116">
        <v>620.5</v>
      </c>
      <c r="C852" s="116">
        <v>610.6</v>
      </c>
      <c r="D852" s="116">
        <v>608.5</v>
      </c>
      <c r="E852" s="116">
        <v>612.54999999999995</v>
      </c>
      <c r="F852" s="116">
        <v>1221.2</v>
      </c>
      <c r="G852">
        <v>45830</v>
      </c>
      <c r="H852" s="116"/>
      <c r="I852" s="116"/>
      <c r="L852" s="170">
        <v>43256</v>
      </c>
      <c r="M852" s="116">
        <v>610.42499999999995</v>
      </c>
      <c r="N852" s="116">
        <v>621</v>
      </c>
      <c r="O852" s="116">
        <v>608.5</v>
      </c>
      <c r="P852" s="116">
        <v>621</v>
      </c>
      <c r="Q852" s="116">
        <v>1220.8499999999999</v>
      </c>
      <c r="R852">
        <v>2355431</v>
      </c>
    </row>
    <row r="853" spans="1:18" x14ac:dyDescent="0.25">
      <c r="A853" s="170">
        <v>43257</v>
      </c>
      <c r="B853" s="116">
        <v>620.29999999999995</v>
      </c>
      <c r="C853" s="116">
        <v>617.79999999999995</v>
      </c>
      <c r="D853" s="116">
        <v>610.04999999999995</v>
      </c>
      <c r="E853" s="116">
        <v>610.6</v>
      </c>
      <c r="F853" s="116">
        <v>1235.5999999999999</v>
      </c>
      <c r="G853">
        <v>67578</v>
      </c>
      <c r="H853" s="116"/>
      <c r="I853" s="116"/>
      <c r="L853" s="170">
        <v>43257</v>
      </c>
      <c r="M853" s="116">
        <v>618.72500000000002</v>
      </c>
      <c r="N853" s="116">
        <v>620.77499999999998</v>
      </c>
      <c r="O853" s="116">
        <v>610.02499999999998</v>
      </c>
      <c r="P853" s="116">
        <v>612.6</v>
      </c>
      <c r="Q853" s="116">
        <v>1237.45</v>
      </c>
      <c r="R853">
        <v>2019092</v>
      </c>
    </row>
    <row r="854" spans="1:18" x14ac:dyDescent="0.25">
      <c r="A854" s="170">
        <v>43258</v>
      </c>
      <c r="B854" s="116">
        <v>628.5</v>
      </c>
      <c r="C854" s="116">
        <v>625.4</v>
      </c>
      <c r="D854" s="116">
        <v>618.5</v>
      </c>
      <c r="E854" s="116">
        <v>619</v>
      </c>
      <c r="F854" s="116">
        <v>1250.8</v>
      </c>
      <c r="G854">
        <v>157001</v>
      </c>
      <c r="H854" s="116"/>
      <c r="I854" s="116"/>
      <c r="L854" s="170">
        <v>43258</v>
      </c>
      <c r="M854" s="116">
        <v>626.22500000000002</v>
      </c>
      <c r="N854" s="116">
        <v>629</v>
      </c>
      <c r="O854" s="116">
        <v>619</v>
      </c>
      <c r="P854" s="116">
        <v>619</v>
      </c>
      <c r="Q854" s="116">
        <v>1252.45</v>
      </c>
      <c r="R854">
        <v>3338113</v>
      </c>
    </row>
    <row r="855" spans="1:18" x14ac:dyDescent="0.25">
      <c r="A855" s="170">
        <v>43259</v>
      </c>
      <c r="B855" s="116">
        <v>631.22500000000002</v>
      </c>
      <c r="C855" s="116">
        <v>629.875</v>
      </c>
      <c r="D855" s="116">
        <v>622.57500000000005</v>
      </c>
      <c r="E855" s="116">
        <v>624.95000000000005</v>
      </c>
      <c r="F855" s="116">
        <v>1259.75</v>
      </c>
      <c r="G855">
        <v>415785</v>
      </c>
      <c r="H855" s="116"/>
      <c r="I855" s="116"/>
      <c r="L855" s="170">
        <v>43259</v>
      </c>
      <c r="M855" s="116">
        <v>630.02499999999998</v>
      </c>
      <c r="N855" s="116">
        <v>631</v>
      </c>
      <c r="O855" s="116">
        <v>623.02499999999998</v>
      </c>
      <c r="P855" s="116">
        <v>624</v>
      </c>
      <c r="Q855" s="116">
        <v>1260.05</v>
      </c>
      <c r="R855">
        <v>3229939</v>
      </c>
    </row>
    <row r="856" spans="1:18" x14ac:dyDescent="0.25">
      <c r="A856" s="170">
        <v>43262</v>
      </c>
      <c r="B856" s="116">
        <v>635</v>
      </c>
      <c r="C856" s="116">
        <v>631.52499999999998</v>
      </c>
      <c r="D856" s="116">
        <v>628</v>
      </c>
      <c r="E856" s="116">
        <v>629.875</v>
      </c>
      <c r="F856" s="116">
        <v>1263.05</v>
      </c>
      <c r="G856">
        <v>68721</v>
      </c>
      <c r="H856" s="116"/>
      <c r="I856" s="116"/>
      <c r="L856" s="170">
        <v>43262</v>
      </c>
      <c r="M856" s="116">
        <v>631.20000000000005</v>
      </c>
      <c r="N856" s="116">
        <v>635</v>
      </c>
      <c r="O856" s="116">
        <v>627.52499999999998</v>
      </c>
      <c r="P856" s="116">
        <v>632.77499999999998</v>
      </c>
      <c r="Q856" s="116">
        <v>1262.4000000000001</v>
      </c>
      <c r="R856">
        <v>2585645</v>
      </c>
    </row>
    <row r="857" spans="1:18" x14ac:dyDescent="0.25">
      <c r="A857" s="170">
        <v>43263</v>
      </c>
      <c r="B857" s="116">
        <v>635.42499999999995</v>
      </c>
      <c r="C857" s="116">
        <v>629.20000000000005</v>
      </c>
      <c r="D857" s="116">
        <v>625.45000000000005</v>
      </c>
      <c r="E857" s="116">
        <v>632.5</v>
      </c>
      <c r="F857" s="116">
        <v>1258.4000000000001</v>
      </c>
      <c r="G857">
        <v>109216</v>
      </c>
      <c r="H857" s="116"/>
      <c r="I857" s="116"/>
      <c r="L857" s="170">
        <v>43263</v>
      </c>
      <c r="M857" s="116">
        <v>629.25</v>
      </c>
      <c r="N857" s="116">
        <v>635.625</v>
      </c>
      <c r="O857" s="116">
        <v>625.22500000000002</v>
      </c>
      <c r="P857" s="116">
        <v>632.875</v>
      </c>
      <c r="Q857" s="116">
        <v>1258.5</v>
      </c>
      <c r="R857">
        <v>3919910</v>
      </c>
    </row>
    <row r="858" spans="1:18" x14ac:dyDescent="0.25">
      <c r="A858" s="170">
        <v>43264</v>
      </c>
      <c r="B858" s="116">
        <v>642</v>
      </c>
      <c r="C858" s="116">
        <v>638.04999999999995</v>
      </c>
      <c r="D858" s="116">
        <v>630.5</v>
      </c>
      <c r="E858" s="116">
        <v>632.5</v>
      </c>
      <c r="F858" s="116">
        <v>1276.0999999999999</v>
      </c>
      <c r="G858">
        <v>112907</v>
      </c>
      <c r="H858" s="116"/>
      <c r="I858" s="116"/>
      <c r="L858" s="170">
        <v>43264</v>
      </c>
      <c r="M858" s="116">
        <v>637.4</v>
      </c>
      <c r="N858" s="116">
        <v>642</v>
      </c>
      <c r="O858" s="116">
        <v>633.4</v>
      </c>
      <c r="P858" s="116">
        <v>633.4</v>
      </c>
      <c r="Q858" s="116">
        <v>1274.8</v>
      </c>
      <c r="R858">
        <v>2883464</v>
      </c>
    </row>
    <row r="859" spans="1:18" x14ac:dyDescent="0.25">
      <c r="A859" s="170">
        <v>43265</v>
      </c>
      <c r="B859" s="116">
        <v>629.5</v>
      </c>
      <c r="C859" s="116">
        <v>619.35</v>
      </c>
      <c r="D859" s="116">
        <v>617.02499999999998</v>
      </c>
      <c r="E859" s="116">
        <v>629.5</v>
      </c>
      <c r="F859" s="116">
        <v>1238.7</v>
      </c>
      <c r="G859">
        <v>149758</v>
      </c>
      <c r="H859" s="116"/>
      <c r="I859" s="116"/>
      <c r="L859" s="170">
        <v>43265</v>
      </c>
      <c r="M859" s="116">
        <v>619.85</v>
      </c>
      <c r="N859" s="116">
        <v>626.5</v>
      </c>
      <c r="O859" s="116">
        <v>617.04999999999995</v>
      </c>
      <c r="P859" s="116">
        <v>626.5</v>
      </c>
      <c r="Q859" s="116">
        <v>1239.7</v>
      </c>
      <c r="R859">
        <v>3799424</v>
      </c>
    </row>
    <row r="860" spans="1:18" x14ac:dyDescent="0.25">
      <c r="A860" s="170">
        <v>43266</v>
      </c>
      <c r="B860" s="116">
        <v>645</v>
      </c>
      <c r="C860" s="116">
        <v>640.22500000000002</v>
      </c>
      <c r="D860" s="116">
        <v>618.5</v>
      </c>
      <c r="E860" s="116">
        <v>619.35</v>
      </c>
      <c r="F860" s="116">
        <v>1280.45</v>
      </c>
      <c r="G860">
        <v>194266</v>
      </c>
      <c r="H860" s="116"/>
      <c r="I860" s="116"/>
      <c r="L860" s="170">
        <v>43266</v>
      </c>
      <c r="M860" s="116">
        <v>640.625</v>
      </c>
      <c r="N860" s="116">
        <v>645.75</v>
      </c>
      <c r="O860" s="116">
        <v>617.5</v>
      </c>
      <c r="P860" s="116">
        <v>618.5</v>
      </c>
      <c r="Q860" s="116">
        <v>1281.25</v>
      </c>
      <c r="R860">
        <v>9978880</v>
      </c>
    </row>
    <row r="861" spans="1:18" x14ac:dyDescent="0.25">
      <c r="A861" s="170">
        <v>43269</v>
      </c>
      <c r="B861" s="116">
        <v>645.25</v>
      </c>
      <c r="C861" s="116">
        <v>633.25</v>
      </c>
      <c r="D861" s="116">
        <v>631.15</v>
      </c>
      <c r="E861" s="116">
        <v>642.5</v>
      </c>
      <c r="F861" s="116">
        <v>1266.5</v>
      </c>
      <c r="G861">
        <v>90832</v>
      </c>
      <c r="H861" s="116"/>
      <c r="I861" s="116"/>
      <c r="L861" s="170">
        <v>43269</v>
      </c>
      <c r="M861" s="116">
        <v>633.70000000000005</v>
      </c>
      <c r="N861" s="116">
        <v>645.625</v>
      </c>
      <c r="O861" s="116">
        <v>631.17499999999995</v>
      </c>
      <c r="P861" s="116">
        <v>642</v>
      </c>
      <c r="Q861" s="116">
        <v>1267.4000000000001</v>
      </c>
      <c r="R861">
        <v>4107423</v>
      </c>
    </row>
    <row r="862" spans="1:18" x14ac:dyDescent="0.25">
      <c r="A862" s="170">
        <v>43270</v>
      </c>
      <c r="B862" s="116">
        <v>633</v>
      </c>
      <c r="C862" s="116">
        <v>622.02499999999998</v>
      </c>
      <c r="D862" s="116">
        <v>618</v>
      </c>
      <c r="E862" s="116">
        <v>633</v>
      </c>
      <c r="F862" s="116">
        <v>1244.05</v>
      </c>
      <c r="G862">
        <v>104975</v>
      </c>
      <c r="H862" s="116"/>
      <c r="I862" s="116"/>
      <c r="L862" s="170">
        <v>43270</v>
      </c>
      <c r="M862" s="116">
        <v>620.79999999999995</v>
      </c>
      <c r="N862" s="116">
        <v>631.70000000000005</v>
      </c>
      <c r="O862" s="116">
        <v>619.02499999999998</v>
      </c>
      <c r="P862" s="116">
        <v>631.5</v>
      </c>
      <c r="Q862" s="116">
        <v>1241.5999999999999</v>
      </c>
      <c r="R862">
        <v>3772850</v>
      </c>
    </row>
    <row r="863" spans="1:18" x14ac:dyDescent="0.25">
      <c r="A863" s="170">
        <v>43271</v>
      </c>
      <c r="B863" s="116">
        <v>626.22500000000002</v>
      </c>
      <c r="C863" s="116">
        <v>621.67499999999995</v>
      </c>
      <c r="D863" s="116">
        <v>619.54999999999995</v>
      </c>
      <c r="E863" s="116">
        <v>622.5</v>
      </c>
      <c r="F863" s="116">
        <v>1243.3499999999999</v>
      </c>
      <c r="G863">
        <v>55126</v>
      </c>
      <c r="H863" s="116"/>
      <c r="I863" s="116"/>
      <c r="L863" s="170">
        <v>43271</v>
      </c>
      <c r="M863" s="116">
        <v>621.57500000000005</v>
      </c>
      <c r="N863" s="116">
        <v>626.17499999999995</v>
      </c>
      <c r="O863" s="116">
        <v>619</v>
      </c>
      <c r="P863" s="116">
        <v>624.25</v>
      </c>
      <c r="Q863" s="116">
        <v>1243.1500000000001</v>
      </c>
      <c r="R863">
        <v>2685901</v>
      </c>
    </row>
    <row r="864" spans="1:18" x14ac:dyDescent="0.25">
      <c r="A864" s="170">
        <v>43272</v>
      </c>
      <c r="B864" s="116">
        <v>627.9</v>
      </c>
      <c r="C864" s="116">
        <v>623.17499999999995</v>
      </c>
      <c r="D864" s="116">
        <v>618.72500000000002</v>
      </c>
      <c r="E864" s="116">
        <v>625</v>
      </c>
      <c r="F864" s="116">
        <v>1246.3499999999999</v>
      </c>
      <c r="G864">
        <v>50694</v>
      </c>
      <c r="H864" s="116"/>
      <c r="I864" s="116"/>
      <c r="L864" s="170">
        <v>43272</v>
      </c>
      <c r="M864" s="116">
        <v>623.27499999999998</v>
      </c>
      <c r="N864" s="116">
        <v>628.25</v>
      </c>
      <c r="O864" s="116">
        <v>618</v>
      </c>
      <c r="P864" s="116">
        <v>622.97500000000002</v>
      </c>
      <c r="Q864" s="116">
        <v>1246.55</v>
      </c>
      <c r="R864">
        <v>2899395</v>
      </c>
    </row>
    <row r="865" spans="1:18" x14ac:dyDescent="0.25">
      <c r="A865" s="170">
        <v>43273</v>
      </c>
      <c r="B865" s="116">
        <v>627</v>
      </c>
      <c r="C865" s="116">
        <v>623.22500000000002</v>
      </c>
      <c r="D865" s="116">
        <v>620.9</v>
      </c>
      <c r="E865" s="116">
        <v>622.75</v>
      </c>
      <c r="F865" s="116">
        <v>1246.45</v>
      </c>
      <c r="G865">
        <v>39355</v>
      </c>
      <c r="H865" s="116"/>
      <c r="I865" s="116"/>
      <c r="L865" s="170">
        <v>43273</v>
      </c>
      <c r="M865" s="116">
        <v>623.92499999999995</v>
      </c>
      <c r="N865" s="116">
        <v>627.75</v>
      </c>
      <c r="O865" s="116">
        <v>620.6</v>
      </c>
      <c r="P865" s="116">
        <v>621.5</v>
      </c>
      <c r="Q865" s="116">
        <v>1247.8499999999999</v>
      </c>
      <c r="R865">
        <v>2171559</v>
      </c>
    </row>
    <row r="866" spans="1:18" x14ac:dyDescent="0.25">
      <c r="A866" s="170">
        <v>43276</v>
      </c>
      <c r="B866" s="116">
        <v>639.47500000000002</v>
      </c>
      <c r="C866" s="116">
        <v>636.15</v>
      </c>
      <c r="D866" s="116">
        <v>625</v>
      </c>
      <c r="E866" s="116">
        <v>625</v>
      </c>
      <c r="F866" s="116">
        <v>1272.3</v>
      </c>
      <c r="G866">
        <v>145403</v>
      </c>
      <c r="H866" s="116"/>
      <c r="I866" s="116"/>
      <c r="L866" s="170">
        <v>43276</v>
      </c>
      <c r="M866" s="116">
        <v>636.22500000000002</v>
      </c>
      <c r="N866" s="116">
        <v>639.4</v>
      </c>
      <c r="O866" s="116">
        <v>627</v>
      </c>
      <c r="P866" s="116">
        <v>628.57500000000005</v>
      </c>
      <c r="Q866" s="116">
        <v>1272.45</v>
      </c>
      <c r="R866">
        <v>3865589</v>
      </c>
    </row>
    <row r="867" spans="1:18" x14ac:dyDescent="0.25">
      <c r="A867" s="170">
        <v>43277</v>
      </c>
      <c r="B867" s="116">
        <v>641.9</v>
      </c>
      <c r="C867" s="116">
        <v>638.92499999999995</v>
      </c>
      <c r="D867" s="116">
        <v>630</v>
      </c>
      <c r="E867" s="116">
        <v>634.95000000000005</v>
      </c>
      <c r="F867" s="116">
        <v>1277.8499999999999</v>
      </c>
      <c r="G867">
        <v>76989</v>
      </c>
      <c r="H867" s="116"/>
      <c r="I867" s="116"/>
      <c r="L867" s="170">
        <v>43277</v>
      </c>
      <c r="M867" s="116">
        <v>638.92499999999995</v>
      </c>
      <c r="N867" s="116">
        <v>641.95000000000005</v>
      </c>
      <c r="O867" s="116">
        <v>633.125</v>
      </c>
      <c r="P867" s="116">
        <v>634.5</v>
      </c>
      <c r="Q867" s="116">
        <v>1277.8499999999999</v>
      </c>
      <c r="R867">
        <v>2241752</v>
      </c>
    </row>
    <row r="868" spans="1:18" x14ac:dyDescent="0.25">
      <c r="A868" s="170">
        <v>43278</v>
      </c>
      <c r="B868" s="116">
        <v>646.95000000000005</v>
      </c>
      <c r="C868" s="116">
        <v>634.6</v>
      </c>
      <c r="D868" s="116">
        <v>632.15</v>
      </c>
      <c r="E868" s="116">
        <v>640.57500000000005</v>
      </c>
      <c r="F868" s="116">
        <v>1269.2</v>
      </c>
      <c r="G868">
        <v>100585</v>
      </c>
      <c r="H868" s="116"/>
      <c r="I868" s="116"/>
      <c r="L868" s="170">
        <v>43278</v>
      </c>
      <c r="M868" s="116">
        <v>635</v>
      </c>
      <c r="N868" s="116">
        <v>646.72500000000002</v>
      </c>
      <c r="O868" s="116">
        <v>632.79999999999995</v>
      </c>
      <c r="P868" s="116">
        <v>641.97500000000002</v>
      </c>
      <c r="Q868" s="116">
        <v>1270</v>
      </c>
      <c r="R868">
        <v>3476071</v>
      </c>
    </row>
    <row r="869" spans="1:18" x14ac:dyDescent="0.25">
      <c r="A869" s="170">
        <v>43279</v>
      </c>
      <c r="B869" s="116">
        <v>649.1</v>
      </c>
      <c r="C869" s="116">
        <v>644.42499999999995</v>
      </c>
      <c r="D869" s="116">
        <v>634.6</v>
      </c>
      <c r="E869" s="116">
        <v>634.6</v>
      </c>
      <c r="F869" s="116">
        <v>1288.8499999999999</v>
      </c>
      <c r="G869">
        <v>98334</v>
      </c>
      <c r="H869" s="116"/>
      <c r="I869" s="116"/>
      <c r="L869" s="170">
        <v>43279</v>
      </c>
      <c r="M869" s="116">
        <v>644.79999999999995</v>
      </c>
      <c r="N869" s="116">
        <v>649</v>
      </c>
      <c r="O869" s="116">
        <v>638.125</v>
      </c>
      <c r="P869" s="116">
        <v>638.15</v>
      </c>
      <c r="Q869" s="116">
        <v>1289.5999999999999</v>
      </c>
      <c r="R869">
        <v>5498409</v>
      </c>
    </row>
    <row r="870" spans="1:18" x14ac:dyDescent="0.25">
      <c r="A870" s="170">
        <v>43280</v>
      </c>
      <c r="B870" s="116">
        <v>656.72500000000002</v>
      </c>
      <c r="C870" s="116">
        <v>653.375</v>
      </c>
      <c r="D870" s="116">
        <v>642</v>
      </c>
      <c r="E870" s="116">
        <v>647.6</v>
      </c>
      <c r="F870" s="116">
        <v>1306.75</v>
      </c>
      <c r="G870">
        <v>118623</v>
      </c>
      <c r="H870" s="116"/>
      <c r="I870" s="116"/>
      <c r="L870" s="170">
        <v>43280</v>
      </c>
      <c r="M870" s="116">
        <v>653.6</v>
      </c>
      <c r="N870" s="116">
        <v>657.5</v>
      </c>
      <c r="O870" s="116">
        <v>641.625</v>
      </c>
      <c r="P870" s="116">
        <v>649.02499999999998</v>
      </c>
      <c r="Q870" s="116">
        <v>1307.2</v>
      </c>
      <c r="R870">
        <v>4983300</v>
      </c>
    </row>
    <row r="871" spans="1:18" x14ac:dyDescent="0.25">
      <c r="A871" s="170">
        <v>43283</v>
      </c>
      <c r="B871" s="116">
        <v>670.9</v>
      </c>
      <c r="C871" s="116">
        <v>667.22500000000002</v>
      </c>
      <c r="D871" s="116">
        <v>656.95</v>
      </c>
      <c r="E871" s="116">
        <v>656.95</v>
      </c>
      <c r="F871" s="116">
        <v>1334.45</v>
      </c>
      <c r="G871">
        <v>120951</v>
      </c>
      <c r="H871" s="116"/>
      <c r="I871" s="116"/>
      <c r="L871" s="170">
        <v>43283</v>
      </c>
      <c r="M871" s="116">
        <v>667.35</v>
      </c>
      <c r="N871" s="116">
        <v>670</v>
      </c>
      <c r="O871" s="116">
        <v>657</v>
      </c>
      <c r="P871" s="116">
        <v>657</v>
      </c>
      <c r="Q871" s="116">
        <v>1334.7</v>
      </c>
      <c r="R871">
        <v>2415072</v>
      </c>
    </row>
    <row r="872" spans="1:18" x14ac:dyDescent="0.25">
      <c r="A872" s="170">
        <v>43284</v>
      </c>
      <c r="B872" s="116">
        <v>679</v>
      </c>
      <c r="C872" s="116">
        <v>676.82500000000005</v>
      </c>
      <c r="D872" s="116">
        <v>666.65</v>
      </c>
      <c r="E872" s="116">
        <v>670</v>
      </c>
      <c r="F872" s="116">
        <v>1353.65</v>
      </c>
      <c r="G872">
        <v>137330</v>
      </c>
      <c r="H872" s="116"/>
      <c r="I872" s="116"/>
      <c r="L872" s="170">
        <v>43284</v>
      </c>
      <c r="M872" s="116">
        <v>676.875</v>
      </c>
      <c r="N872" s="116">
        <v>678.95</v>
      </c>
      <c r="O872" s="116">
        <v>665.875</v>
      </c>
      <c r="P872" s="116">
        <v>665.95</v>
      </c>
      <c r="Q872" s="116">
        <v>1353.75</v>
      </c>
      <c r="R872">
        <v>4063726</v>
      </c>
    </row>
    <row r="873" spans="1:18" x14ac:dyDescent="0.25">
      <c r="A873" s="170">
        <v>43285</v>
      </c>
      <c r="B873" s="116">
        <v>677.47500000000002</v>
      </c>
      <c r="C873" s="116">
        <v>672.3</v>
      </c>
      <c r="D873" s="116">
        <v>669.85</v>
      </c>
      <c r="E873" s="116">
        <v>676.5</v>
      </c>
      <c r="F873" s="116">
        <v>1344.6</v>
      </c>
      <c r="G873">
        <v>65988</v>
      </c>
      <c r="H873" s="116"/>
      <c r="I873" s="116"/>
      <c r="L873" s="170">
        <v>43285</v>
      </c>
      <c r="M873" s="116">
        <v>672.6</v>
      </c>
      <c r="N873" s="116">
        <v>676.32500000000005</v>
      </c>
      <c r="O873" s="116">
        <v>669.42499999999995</v>
      </c>
      <c r="P873" s="116">
        <v>676.02499999999998</v>
      </c>
      <c r="Q873" s="116">
        <v>1345.2</v>
      </c>
      <c r="R873">
        <v>2512861</v>
      </c>
    </row>
    <row r="874" spans="1:18" x14ac:dyDescent="0.25">
      <c r="A874" s="170">
        <v>43286</v>
      </c>
      <c r="B874" s="116">
        <v>675</v>
      </c>
      <c r="C874" s="116">
        <v>642.25</v>
      </c>
      <c r="D874" s="116">
        <v>634.42499999999995</v>
      </c>
      <c r="E874" s="116">
        <v>674.9</v>
      </c>
      <c r="F874" s="116">
        <v>1284.5</v>
      </c>
      <c r="G874">
        <v>457269</v>
      </c>
      <c r="H874" s="116"/>
      <c r="I874" s="116"/>
      <c r="L874" s="170">
        <v>43286</v>
      </c>
      <c r="M874" s="116">
        <v>642</v>
      </c>
      <c r="N874" s="116">
        <v>673.625</v>
      </c>
      <c r="O874" s="116">
        <v>634.04999999999995</v>
      </c>
      <c r="P874" s="116">
        <v>673.55</v>
      </c>
      <c r="Q874" s="116">
        <v>1284</v>
      </c>
      <c r="R874">
        <v>8509951</v>
      </c>
    </row>
    <row r="875" spans="1:18" x14ac:dyDescent="0.25">
      <c r="A875" s="170">
        <v>43287</v>
      </c>
      <c r="B875" s="116">
        <v>650.67499999999995</v>
      </c>
      <c r="C875" s="116">
        <v>642.25</v>
      </c>
      <c r="D875" s="116">
        <v>634.75</v>
      </c>
      <c r="E875" s="116">
        <v>640</v>
      </c>
      <c r="F875" s="116">
        <v>1284.5</v>
      </c>
      <c r="G875">
        <v>198957</v>
      </c>
      <c r="H875" s="116"/>
      <c r="I875" s="116"/>
      <c r="L875" s="170">
        <v>43287</v>
      </c>
      <c r="M875" s="116">
        <v>642.125</v>
      </c>
      <c r="N875" s="116">
        <v>650.92499999999995</v>
      </c>
      <c r="O875" s="116">
        <v>634.5</v>
      </c>
      <c r="P875" s="116">
        <v>645.125</v>
      </c>
      <c r="Q875" s="116">
        <v>1284.25</v>
      </c>
      <c r="R875">
        <v>5607678</v>
      </c>
    </row>
    <row r="876" spans="1:18" x14ac:dyDescent="0.25">
      <c r="A876" s="170">
        <v>43290</v>
      </c>
      <c r="B876" s="116">
        <v>651.5</v>
      </c>
      <c r="C876" s="116">
        <v>649.57500000000005</v>
      </c>
      <c r="D876" s="116">
        <v>639.75</v>
      </c>
      <c r="E876" s="116">
        <v>646.27499999999998</v>
      </c>
      <c r="F876" s="116">
        <v>1299.1500000000001</v>
      </c>
      <c r="G876">
        <v>148420</v>
      </c>
      <c r="H876" s="116"/>
      <c r="I876" s="116"/>
      <c r="L876" s="170">
        <v>43290</v>
      </c>
      <c r="M876" s="116">
        <v>649.42499999999995</v>
      </c>
      <c r="N876" s="116">
        <v>651.5</v>
      </c>
      <c r="O876" s="116">
        <v>639.52499999999998</v>
      </c>
      <c r="P876" s="116">
        <v>648.5</v>
      </c>
      <c r="Q876" s="116">
        <v>1298.8499999999999</v>
      </c>
      <c r="R876">
        <v>3322499</v>
      </c>
    </row>
    <row r="877" spans="1:18" x14ac:dyDescent="0.25">
      <c r="A877" s="170">
        <v>43291</v>
      </c>
      <c r="B877" s="116">
        <v>657.75</v>
      </c>
      <c r="C877" s="116">
        <v>651.25</v>
      </c>
      <c r="D877" s="116">
        <v>647.5</v>
      </c>
      <c r="E877" s="116">
        <v>652.6</v>
      </c>
      <c r="F877" s="116">
        <v>1302.5</v>
      </c>
      <c r="G877">
        <v>136779</v>
      </c>
      <c r="H877" s="116"/>
      <c r="I877" s="116"/>
      <c r="L877" s="170">
        <v>43291</v>
      </c>
      <c r="M877" s="116">
        <v>650.70000000000005</v>
      </c>
      <c r="N877" s="116">
        <v>657.72500000000002</v>
      </c>
      <c r="O877" s="116">
        <v>647.15</v>
      </c>
      <c r="P877" s="116">
        <v>654.25</v>
      </c>
      <c r="Q877" s="116">
        <v>1301.4000000000001</v>
      </c>
      <c r="R877">
        <v>2987244</v>
      </c>
    </row>
    <row r="878" spans="1:18" x14ac:dyDescent="0.25">
      <c r="A878" s="170">
        <v>43292</v>
      </c>
      <c r="B878" s="116">
        <v>670.95</v>
      </c>
      <c r="C878" s="116">
        <v>660.17499999999995</v>
      </c>
      <c r="D878" s="116">
        <v>646.5</v>
      </c>
      <c r="E878" s="116">
        <v>655</v>
      </c>
      <c r="F878" s="116">
        <v>1320.35</v>
      </c>
      <c r="G878">
        <v>299143</v>
      </c>
      <c r="H878" s="116"/>
      <c r="I878" s="116"/>
      <c r="L878" s="170">
        <v>43292</v>
      </c>
      <c r="M878" s="116">
        <v>660.22500000000002</v>
      </c>
      <c r="N878" s="116">
        <v>671.05</v>
      </c>
      <c r="O878" s="116">
        <v>645.67499999999995</v>
      </c>
      <c r="P878" s="116">
        <v>658.77499999999998</v>
      </c>
      <c r="Q878" s="116">
        <v>1320.45</v>
      </c>
      <c r="R878">
        <v>5949916</v>
      </c>
    </row>
    <row r="879" spans="1:18" x14ac:dyDescent="0.25">
      <c r="A879" s="170">
        <v>43293</v>
      </c>
      <c r="B879" s="116">
        <v>663.35</v>
      </c>
      <c r="C879" s="116">
        <v>647.29999999999995</v>
      </c>
      <c r="D879" s="116">
        <v>642.29999999999995</v>
      </c>
      <c r="E879" s="116">
        <v>662</v>
      </c>
      <c r="F879" s="116">
        <v>1294.5999999999999</v>
      </c>
      <c r="G879">
        <v>494965</v>
      </c>
      <c r="H879" s="116"/>
      <c r="I879" s="116"/>
      <c r="L879" s="170">
        <v>43293</v>
      </c>
      <c r="M879" s="116">
        <v>647.17499999999995</v>
      </c>
      <c r="N879" s="116">
        <v>663.55</v>
      </c>
      <c r="O879" s="116">
        <v>642.22500000000002</v>
      </c>
      <c r="P879" s="116">
        <v>663.05</v>
      </c>
      <c r="Q879" s="116">
        <v>1294.3499999999999</v>
      </c>
      <c r="R879">
        <v>6636120</v>
      </c>
    </row>
    <row r="880" spans="1:18" x14ac:dyDescent="0.25">
      <c r="A880" s="170">
        <v>43294</v>
      </c>
      <c r="B880" s="116">
        <v>665.67499999999995</v>
      </c>
      <c r="C880" s="116">
        <v>654.54999999999995</v>
      </c>
      <c r="D880" s="116">
        <v>650.07500000000005</v>
      </c>
      <c r="E880" s="116">
        <v>655</v>
      </c>
      <c r="F880" s="116">
        <v>1309.0999999999999</v>
      </c>
      <c r="G880">
        <v>1105721</v>
      </c>
      <c r="H880" s="116"/>
      <c r="I880" s="116"/>
      <c r="L880" s="170">
        <v>43294</v>
      </c>
      <c r="M880" s="116">
        <v>658.7</v>
      </c>
      <c r="N880" s="116">
        <v>665.8</v>
      </c>
      <c r="O880" s="116">
        <v>649.17499999999995</v>
      </c>
      <c r="P880" s="116">
        <v>657.5</v>
      </c>
      <c r="Q880" s="116">
        <v>1317.4</v>
      </c>
      <c r="R880">
        <v>9748079</v>
      </c>
    </row>
    <row r="881" spans="1:18" x14ac:dyDescent="0.25">
      <c r="A881" s="170">
        <v>43297</v>
      </c>
      <c r="B881" s="116">
        <v>692.2</v>
      </c>
      <c r="C881" s="116">
        <v>666.52499999999998</v>
      </c>
      <c r="D881" s="116">
        <v>644.17499999999995</v>
      </c>
      <c r="E881" s="116">
        <v>662.5</v>
      </c>
      <c r="F881" s="116">
        <v>1333.05</v>
      </c>
      <c r="G881">
        <v>959431</v>
      </c>
      <c r="H881" s="116"/>
      <c r="I881" s="116"/>
      <c r="L881" s="170">
        <v>43297</v>
      </c>
      <c r="M881" s="116">
        <v>666.42499999999995</v>
      </c>
      <c r="N881" s="116">
        <v>692.2</v>
      </c>
      <c r="O881" s="116">
        <v>643.85</v>
      </c>
      <c r="P881" s="116">
        <v>658.7</v>
      </c>
      <c r="Q881" s="116">
        <v>1332.85</v>
      </c>
      <c r="R881">
        <v>17672340</v>
      </c>
    </row>
    <row r="882" spans="1:18" x14ac:dyDescent="0.25">
      <c r="A882" s="170">
        <v>43298</v>
      </c>
      <c r="B882" s="116">
        <v>674.4</v>
      </c>
      <c r="C882" s="116">
        <v>663.7</v>
      </c>
      <c r="D882" s="116">
        <v>656.75</v>
      </c>
      <c r="E882" s="116">
        <v>666.35</v>
      </c>
      <c r="F882" s="116">
        <v>1327.4</v>
      </c>
      <c r="G882">
        <v>266227</v>
      </c>
      <c r="H882" s="116"/>
      <c r="I882" s="116"/>
      <c r="L882" s="170">
        <v>43298</v>
      </c>
      <c r="M882" s="116">
        <v>663.95</v>
      </c>
      <c r="N882" s="116">
        <v>674.75</v>
      </c>
      <c r="O882" s="116">
        <v>656.35</v>
      </c>
      <c r="P882" s="116">
        <v>664.85</v>
      </c>
      <c r="Q882" s="116">
        <v>1327.9</v>
      </c>
      <c r="R882">
        <v>5580845</v>
      </c>
    </row>
    <row r="883" spans="1:18" x14ac:dyDescent="0.25">
      <c r="A883" s="170">
        <v>43299</v>
      </c>
      <c r="B883" s="116">
        <v>671.6</v>
      </c>
      <c r="C883" s="116">
        <v>661.2</v>
      </c>
      <c r="D883" s="116">
        <v>657.17499999999995</v>
      </c>
      <c r="E883" s="116">
        <v>670</v>
      </c>
      <c r="F883" s="116">
        <v>1322.4</v>
      </c>
      <c r="G883">
        <v>184669</v>
      </c>
      <c r="H883" s="116"/>
      <c r="I883" s="116"/>
      <c r="L883" s="170">
        <v>43299</v>
      </c>
      <c r="M883" s="116">
        <v>661.27499999999998</v>
      </c>
      <c r="N883" s="116">
        <v>671.7</v>
      </c>
      <c r="O883" s="116">
        <v>657</v>
      </c>
      <c r="P883" s="116">
        <v>669.9</v>
      </c>
      <c r="Q883" s="116">
        <v>1322.55</v>
      </c>
      <c r="R883">
        <v>3459508</v>
      </c>
    </row>
    <row r="884" spans="1:18" x14ac:dyDescent="0.25">
      <c r="A884" s="170">
        <v>43300</v>
      </c>
      <c r="B884" s="116">
        <v>665.15</v>
      </c>
      <c r="C884" s="116">
        <v>658.27499999999998</v>
      </c>
      <c r="D884" s="116">
        <v>655.42499999999995</v>
      </c>
      <c r="E884" s="116">
        <v>661.2</v>
      </c>
      <c r="F884" s="116">
        <v>1316.55</v>
      </c>
      <c r="G884">
        <v>116146</v>
      </c>
      <c r="H884" s="116"/>
      <c r="I884" s="116"/>
      <c r="L884" s="170">
        <v>43300</v>
      </c>
      <c r="M884" s="116">
        <v>658.35</v>
      </c>
      <c r="N884" s="116">
        <v>665.95</v>
      </c>
      <c r="O884" s="116">
        <v>654.54999999999995</v>
      </c>
      <c r="P884" s="116">
        <v>661.5</v>
      </c>
      <c r="Q884" s="116">
        <v>1316.7</v>
      </c>
      <c r="R884">
        <v>2559432</v>
      </c>
    </row>
    <row r="885" spans="1:18" x14ac:dyDescent="0.25">
      <c r="A885" s="170">
        <v>43301</v>
      </c>
      <c r="B885" s="116">
        <v>683.52499999999998</v>
      </c>
      <c r="C885" s="116">
        <v>674.17499999999995</v>
      </c>
      <c r="D885" s="116">
        <v>660.52499999999998</v>
      </c>
      <c r="E885" s="116">
        <v>660.52499999999998</v>
      </c>
      <c r="F885" s="116">
        <v>1348.35</v>
      </c>
      <c r="G885">
        <v>816448</v>
      </c>
      <c r="H885" s="116"/>
      <c r="I885" s="116"/>
      <c r="L885" s="170">
        <v>43301</v>
      </c>
      <c r="M885" s="116">
        <v>674.05</v>
      </c>
      <c r="N885" s="116">
        <v>683.57500000000005</v>
      </c>
      <c r="O885" s="116">
        <v>660.65</v>
      </c>
      <c r="P885" s="116">
        <v>663</v>
      </c>
      <c r="Q885" s="116">
        <v>1348.1</v>
      </c>
      <c r="R885">
        <v>5852869</v>
      </c>
    </row>
    <row r="886" spans="1:18" x14ac:dyDescent="0.25">
      <c r="A886" s="170">
        <v>43304</v>
      </c>
      <c r="B886" s="116">
        <v>684.02499999999998</v>
      </c>
      <c r="C886" s="116">
        <v>677.875</v>
      </c>
      <c r="D886" s="116">
        <v>668.35</v>
      </c>
      <c r="E886" s="116">
        <v>675.05</v>
      </c>
      <c r="F886" s="116">
        <v>1355.75</v>
      </c>
      <c r="G886">
        <v>130280</v>
      </c>
      <c r="H886" s="116"/>
      <c r="I886" s="116"/>
      <c r="L886" s="170">
        <v>43304</v>
      </c>
      <c r="M886" s="116">
        <v>677.97500000000002</v>
      </c>
      <c r="N886" s="116">
        <v>684</v>
      </c>
      <c r="O886" s="116">
        <v>668.125</v>
      </c>
      <c r="P886" s="116">
        <v>676.07500000000005</v>
      </c>
      <c r="Q886" s="116">
        <v>1355.95</v>
      </c>
      <c r="R886">
        <v>3837851</v>
      </c>
    </row>
    <row r="887" spans="1:18" x14ac:dyDescent="0.25">
      <c r="A887" s="170">
        <v>43305</v>
      </c>
      <c r="B887" s="116">
        <v>689.9</v>
      </c>
      <c r="C887" s="116">
        <v>688</v>
      </c>
      <c r="D887" s="116">
        <v>678.25</v>
      </c>
      <c r="E887" s="116">
        <v>681</v>
      </c>
      <c r="F887" s="116">
        <v>1376</v>
      </c>
      <c r="G887">
        <v>113488</v>
      </c>
      <c r="H887" s="116"/>
      <c r="I887" s="116"/>
      <c r="L887" s="170">
        <v>43305</v>
      </c>
      <c r="M887" s="116">
        <v>688.57500000000005</v>
      </c>
      <c r="N887" s="116">
        <v>691.2</v>
      </c>
      <c r="O887" s="116">
        <v>678</v>
      </c>
      <c r="P887" s="116">
        <v>687.2</v>
      </c>
      <c r="Q887" s="116">
        <v>1377.15</v>
      </c>
      <c r="R887">
        <v>3086123</v>
      </c>
    </row>
    <row r="888" spans="1:18" x14ac:dyDescent="0.25">
      <c r="A888" s="170">
        <v>43306</v>
      </c>
      <c r="B888" s="116">
        <v>696.05</v>
      </c>
      <c r="C888" s="116">
        <v>691.85</v>
      </c>
      <c r="D888" s="116">
        <v>683.05</v>
      </c>
      <c r="E888" s="116">
        <v>690</v>
      </c>
      <c r="F888" s="116">
        <v>1383.7</v>
      </c>
      <c r="G888">
        <v>192554</v>
      </c>
      <c r="H888" s="116"/>
      <c r="I888" s="116"/>
      <c r="L888" s="170">
        <v>43306</v>
      </c>
      <c r="M888" s="116">
        <v>691.875</v>
      </c>
      <c r="N888" s="116">
        <v>696.9</v>
      </c>
      <c r="O888" s="116">
        <v>682.72500000000002</v>
      </c>
      <c r="P888" s="116">
        <v>689.5</v>
      </c>
      <c r="Q888" s="116">
        <v>1383.75</v>
      </c>
      <c r="R888">
        <v>3468461</v>
      </c>
    </row>
    <row r="889" spans="1:18" x14ac:dyDescent="0.25">
      <c r="A889" s="170">
        <v>43307</v>
      </c>
      <c r="B889" s="116">
        <v>694.85</v>
      </c>
      <c r="C889" s="116">
        <v>687.6</v>
      </c>
      <c r="D889" s="116">
        <v>684.5</v>
      </c>
      <c r="E889" s="116">
        <v>690</v>
      </c>
      <c r="F889" s="116">
        <v>1375.2</v>
      </c>
      <c r="G889">
        <v>894575</v>
      </c>
      <c r="H889" s="116"/>
      <c r="I889" s="116"/>
      <c r="L889" s="170">
        <v>43307</v>
      </c>
      <c r="M889" s="116">
        <v>686.625</v>
      </c>
      <c r="N889" s="116">
        <v>695.2</v>
      </c>
      <c r="O889" s="116">
        <v>684.6</v>
      </c>
      <c r="P889" s="116">
        <v>689.27499999999998</v>
      </c>
      <c r="Q889" s="116">
        <v>1373.25</v>
      </c>
      <c r="R889">
        <v>3681109</v>
      </c>
    </row>
    <row r="890" spans="1:18" x14ac:dyDescent="0.25">
      <c r="A890" s="170">
        <v>43308</v>
      </c>
      <c r="B890" s="116">
        <v>694.15</v>
      </c>
      <c r="C890" s="116">
        <v>687.27499999999998</v>
      </c>
      <c r="D890" s="116">
        <v>685</v>
      </c>
      <c r="E890" s="116">
        <v>690</v>
      </c>
      <c r="F890" s="116">
        <v>1374.55</v>
      </c>
      <c r="G890">
        <v>1266384</v>
      </c>
      <c r="H890" s="116"/>
      <c r="I890" s="116"/>
      <c r="L890" s="170">
        <v>43308</v>
      </c>
      <c r="M890" s="116">
        <v>686.72500000000002</v>
      </c>
      <c r="N890" s="116">
        <v>694.5</v>
      </c>
      <c r="O890" s="116">
        <v>684.15</v>
      </c>
      <c r="P890" s="116">
        <v>686.6</v>
      </c>
      <c r="Q890" s="116">
        <v>1373.45</v>
      </c>
      <c r="R890">
        <v>3246616</v>
      </c>
    </row>
    <row r="891" spans="1:18" x14ac:dyDescent="0.25">
      <c r="A891" s="170">
        <v>43311</v>
      </c>
      <c r="B891" s="116">
        <v>692.5</v>
      </c>
      <c r="C891" s="116">
        <v>676.57500000000005</v>
      </c>
      <c r="D891" s="116">
        <v>675</v>
      </c>
      <c r="E891" s="116">
        <v>692.5</v>
      </c>
      <c r="F891" s="116">
        <v>1353.15</v>
      </c>
      <c r="G891">
        <v>1592102</v>
      </c>
      <c r="H891" s="116"/>
      <c r="I891" s="116"/>
      <c r="L891" s="170">
        <v>43311</v>
      </c>
      <c r="M891" s="116">
        <v>675.5</v>
      </c>
      <c r="N891" s="116">
        <v>686.5</v>
      </c>
      <c r="O891" s="116">
        <v>674</v>
      </c>
      <c r="P891" s="116">
        <v>685</v>
      </c>
      <c r="Q891" s="116">
        <v>1351</v>
      </c>
      <c r="R891">
        <v>3204985</v>
      </c>
    </row>
    <row r="892" spans="1:18" x14ac:dyDescent="0.25">
      <c r="A892" s="170">
        <v>43312</v>
      </c>
      <c r="B892" s="116">
        <v>685.02499999999998</v>
      </c>
      <c r="C892" s="116">
        <v>682.5</v>
      </c>
      <c r="D892" s="116">
        <v>667.5</v>
      </c>
      <c r="E892" s="116">
        <v>675</v>
      </c>
      <c r="F892" s="116">
        <v>1365</v>
      </c>
      <c r="G892">
        <v>2863072</v>
      </c>
      <c r="H892" s="116"/>
      <c r="I892" s="116"/>
      <c r="L892" s="170">
        <v>43312</v>
      </c>
      <c r="M892" s="116">
        <v>682.55</v>
      </c>
      <c r="N892" s="116">
        <v>685</v>
      </c>
      <c r="O892" s="116">
        <v>667.77499999999998</v>
      </c>
      <c r="P892" s="116">
        <v>674.27499999999998</v>
      </c>
      <c r="Q892" s="116">
        <v>1365.1</v>
      </c>
      <c r="R892">
        <v>3971998</v>
      </c>
    </row>
    <row r="893" spans="1:18" x14ac:dyDescent="0.25">
      <c r="A893" s="170">
        <v>43313</v>
      </c>
      <c r="B893" s="116">
        <v>684</v>
      </c>
      <c r="C893" s="116">
        <v>676.875</v>
      </c>
      <c r="D893" s="116">
        <v>675.5</v>
      </c>
      <c r="E893" s="116">
        <v>682.92499999999995</v>
      </c>
      <c r="F893" s="116">
        <v>1353.75</v>
      </c>
      <c r="G893">
        <v>1176161</v>
      </c>
      <c r="H893" s="116"/>
      <c r="I893" s="116"/>
      <c r="L893" s="170">
        <v>43313</v>
      </c>
      <c r="M893" s="116">
        <v>677.02499999999998</v>
      </c>
      <c r="N893" s="116">
        <v>684.22500000000002</v>
      </c>
      <c r="O893" s="116">
        <v>675.5</v>
      </c>
      <c r="P893" s="116">
        <v>681.9</v>
      </c>
      <c r="Q893" s="116">
        <v>1354.05</v>
      </c>
      <c r="R893">
        <v>2337853</v>
      </c>
    </row>
    <row r="894" spans="1:18" x14ac:dyDescent="0.25">
      <c r="A894" s="170">
        <v>43314</v>
      </c>
      <c r="B894" s="116">
        <v>683.22500000000002</v>
      </c>
      <c r="C894" s="116">
        <v>677.7</v>
      </c>
      <c r="D894" s="116">
        <v>675.55</v>
      </c>
      <c r="E894" s="116">
        <v>677.55</v>
      </c>
      <c r="F894" s="116">
        <v>1355.4</v>
      </c>
      <c r="G894">
        <v>69616</v>
      </c>
      <c r="H894" s="116"/>
      <c r="I894" s="116"/>
      <c r="L894" s="170">
        <v>43314</v>
      </c>
      <c r="M894" s="116">
        <v>676.82500000000005</v>
      </c>
      <c r="N894" s="116">
        <v>683.375</v>
      </c>
      <c r="O894" s="116">
        <v>675.07500000000005</v>
      </c>
      <c r="P894" s="116">
        <v>679.8</v>
      </c>
      <c r="Q894" s="116">
        <v>1353.65</v>
      </c>
      <c r="R894">
        <v>2970371</v>
      </c>
    </row>
    <row r="895" spans="1:18" x14ac:dyDescent="0.25">
      <c r="A895" s="170">
        <v>43315</v>
      </c>
      <c r="B895" s="116">
        <v>683.2</v>
      </c>
      <c r="C895" s="116">
        <v>682.05</v>
      </c>
      <c r="D895" s="116">
        <v>678.2</v>
      </c>
      <c r="E895" s="116">
        <v>680</v>
      </c>
      <c r="F895" s="116">
        <v>1364.1</v>
      </c>
      <c r="G895">
        <v>1581820</v>
      </c>
      <c r="H895" s="116"/>
      <c r="I895" s="116"/>
      <c r="L895" s="170">
        <v>43315</v>
      </c>
      <c r="M895" s="116">
        <v>682.05</v>
      </c>
      <c r="N895" s="116">
        <v>683.1</v>
      </c>
      <c r="O895" s="116">
        <v>678</v>
      </c>
      <c r="P895" s="116">
        <v>683.1</v>
      </c>
      <c r="Q895" s="116">
        <v>1364.1</v>
      </c>
      <c r="R895">
        <v>1985195</v>
      </c>
    </row>
    <row r="896" spans="1:18" x14ac:dyDescent="0.25">
      <c r="A896" s="170">
        <v>43318</v>
      </c>
      <c r="B896" s="116">
        <v>687.9</v>
      </c>
      <c r="C896" s="116">
        <v>680.4</v>
      </c>
      <c r="D896" s="116">
        <v>674.02499999999998</v>
      </c>
      <c r="E896" s="116">
        <v>682.5</v>
      </c>
      <c r="F896" s="116">
        <v>1360.8</v>
      </c>
      <c r="G896">
        <v>109802</v>
      </c>
      <c r="H896" s="116"/>
      <c r="I896" s="116"/>
      <c r="L896" s="170">
        <v>43318</v>
      </c>
      <c r="M896" s="116">
        <v>680.32500000000005</v>
      </c>
      <c r="N896" s="116">
        <v>687.5</v>
      </c>
      <c r="O896" s="116">
        <v>673.75</v>
      </c>
      <c r="P896" s="116">
        <v>683.02499999999998</v>
      </c>
      <c r="Q896" s="116">
        <v>1360.65</v>
      </c>
      <c r="R896">
        <v>3089465</v>
      </c>
    </row>
    <row r="897" spans="1:18" x14ac:dyDescent="0.25">
      <c r="A897" s="170">
        <v>43319</v>
      </c>
      <c r="B897" s="116">
        <v>688.77499999999998</v>
      </c>
      <c r="C897" s="116">
        <v>684.7</v>
      </c>
      <c r="D897" s="116">
        <v>680.92499999999995</v>
      </c>
      <c r="E897" s="116">
        <v>683.5</v>
      </c>
      <c r="F897" s="116">
        <v>1369.4</v>
      </c>
      <c r="G897">
        <v>142725</v>
      </c>
      <c r="H897" s="116"/>
      <c r="I897" s="116"/>
      <c r="L897" s="170">
        <v>43319</v>
      </c>
      <c r="M897" s="116">
        <v>683.97500000000002</v>
      </c>
      <c r="N897" s="116">
        <v>689.97500000000002</v>
      </c>
      <c r="O897" s="116">
        <v>680.32500000000005</v>
      </c>
      <c r="P897" s="116">
        <v>687</v>
      </c>
      <c r="Q897" s="116">
        <v>1367.95</v>
      </c>
      <c r="R897">
        <v>3675764</v>
      </c>
    </row>
    <row r="898" spans="1:18" x14ac:dyDescent="0.25">
      <c r="A898" s="170">
        <v>43320</v>
      </c>
      <c r="B898" s="116">
        <v>687.07500000000005</v>
      </c>
      <c r="C898" s="116">
        <v>681.45</v>
      </c>
      <c r="D898" s="116">
        <v>677.15</v>
      </c>
      <c r="E898" s="116">
        <v>684.05</v>
      </c>
      <c r="F898" s="116">
        <v>1362.9</v>
      </c>
      <c r="G898">
        <v>63645</v>
      </c>
      <c r="H898" s="116"/>
      <c r="I898" s="116"/>
      <c r="L898" s="170">
        <v>43320</v>
      </c>
      <c r="M898" s="116">
        <v>681.375</v>
      </c>
      <c r="N898" s="116">
        <v>686.25</v>
      </c>
      <c r="O898" s="116">
        <v>676.65</v>
      </c>
      <c r="P898" s="116">
        <v>685.9</v>
      </c>
      <c r="Q898" s="116">
        <v>1362.75</v>
      </c>
      <c r="R898">
        <v>1996179</v>
      </c>
    </row>
    <row r="899" spans="1:18" x14ac:dyDescent="0.25">
      <c r="A899" s="170">
        <v>43321</v>
      </c>
      <c r="B899" s="116">
        <v>694.9</v>
      </c>
      <c r="C899" s="116">
        <v>690.15</v>
      </c>
      <c r="D899" s="116">
        <v>683.02499999999998</v>
      </c>
      <c r="E899" s="116">
        <v>683.02499999999998</v>
      </c>
      <c r="F899" s="116">
        <v>1380.3</v>
      </c>
      <c r="G899">
        <v>158379</v>
      </c>
      <c r="H899" s="116"/>
      <c r="I899" s="116"/>
      <c r="L899" s="170">
        <v>43321</v>
      </c>
      <c r="M899" s="116">
        <v>689.97500000000002</v>
      </c>
      <c r="N899" s="116">
        <v>694.72500000000002</v>
      </c>
      <c r="O899" s="116">
        <v>686.82500000000005</v>
      </c>
      <c r="P899" s="116">
        <v>686.82500000000005</v>
      </c>
      <c r="Q899" s="116">
        <v>1379.95</v>
      </c>
      <c r="R899">
        <v>3204762</v>
      </c>
    </row>
    <row r="900" spans="1:18" x14ac:dyDescent="0.25">
      <c r="A900" s="170">
        <v>43322</v>
      </c>
      <c r="B900" s="116">
        <v>694.45</v>
      </c>
      <c r="C900" s="116">
        <v>692.6</v>
      </c>
      <c r="D900" s="116">
        <v>686.77499999999998</v>
      </c>
      <c r="E900" s="116">
        <v>691.15</v>
      </c>
      <c r="F900" s="116">
        <v>1385.2</v>
      </c>
      <c r="G900">
        <v>61473</v>
      </c>
      <c r="H900" s="116"/>
      <c r="I900" s="116"/>
      <c r="L900" s="170">
        <v>43322</v>
      </c>
      <c r="M900" s="116">
        <v>692.72500000000002</v>
      </c>
      <c r="N900" s="116">
        <v>694.5</v>
      </c>
      <c r="O900" s="116">
        <v>686.52499999999998</v>
      </c>
      <c r="P900" s="116">
        <v>692.9</v>
      </c>
      <c r="Q900" s="116">
        <v>1385.45</v>
      </c>
      <c r="R900">
        <v>2389760</v>
      </c>
    </row>
    <row r="901" spans="1:18" x14ac:dyDescent="0.25">
      <c r="A901" s="170">
        <v>43325</v>
      </c>
      <c r="B901" s="116">
        <v>705.5</v>
      </c>
      <c r="C901" s="116">
        <v>704.72500000000002</v>
      </c>
      <c r="D901" s="116">
        <v>689.9</v>
      </c>
      <c r="E901" s="116">
        <v>692.5</v>
      </c>
      <c r="F901" s="116">
        <v>1409.45</v>
      </c>
      <c r="G901">
        <v>281218</v>
      </c>
      <c r="H901" s="116"/>
      <c r="I901" s="116"/>
      <c r="L901" s="170">
        <v>43325</v>
      </c>
      <c r="M901" s="116">
        <v>704.375</v>
      </c>
      <c r="N901" s="116">
        <v>704.92499999999995</v>
      </c>
      <c r="O901" s="116">
        <v>689.35</v>
      </c>
      <c r="P901" s="116">
        <v>695</v>
      </c>
      <c r="Q901" s="116">
        <v>1408.75</v>
      </c>
      <c r="R901">
        <v>4989873</v>
      </c>
    </row>
    <row r="902" spans="1:18" x14ac:dyDescent="0.25">
      <c r="A902" s="170">
        <v>43326</v>
      </c>
      <c r="B902" s="116">
        <v>712</v>
      </c>
      <c r="C902" s="116">
        <v>704.375</v>
      </c>
      <c r="D902" s="116">
        <v>701.7</v>
      </c>
      <c r="E902" s="116">
        <v>705.17499999999995</v>
      </c>
      <c r="F902" s="116">
        <v>1408.75</v>
      </c>
      <c r="G902">
        <v>121305</v>
      </c>
      <c r="H902" s="116"/>
      <c r="I902" s="116"/>
      <c r="L902" s="170">
        <v>43326</v>
      </c>
      <c r="M902" s="116">
        <v>704.15</v>
      </c>
      <c r="N902" s="116">
        <v>712.27499999999998</v>
      </c>
      <c r="O902" s="116">
        <v>702</v>
      </c>
      <c r="P902" s="116">
        <v>706.97500000000002</v>
      </c>
      <c r="Q902" s="116">
        <v>1408.3</v>
      </c>
      <c r="R902">
        <v>3075660</v>
      </c>
    </row>
    <row r="903" spans="1:18" x14ac:dyDescent="0.25">
      <c r="A903" s="170">
        <v>43328</v>
      </c>
      <c r="B903" s="116">
        <v>717.35</v>
      </c>
      <c r="C903" s="116">
        <v>712.65</v>
      </c>
      <c r="D903" s="116">
        <v>705.625</v>
      </c>
      <c r="E903" s="116">
        <v>705.625</v>
      </c>
      <c r="F903" s="116">
        <v>1425.3</v>
      </c>
      <c r="G903">
        <v>127148</v>
      </c>
      <c r="H903" s="116"/>
      <c r="I903" s="116"/>
      <c r="L903" s="170">
        <v>43328</v>
      </c>
      <c r="M903" s="116">
        <v>714.77499999999998</v>
      </c>
      <c r="N903" s="116">
        <v>717.45</v>
      </c>
      <c r="O903" s="116">
        <v>705.625</v>
      </c>
      <c r="P903" s="116">
        <v>707.47500000000002</v>
      </c>
      <c r="Q903" s="116">
        <v>1429.55</v>
      </c>
      <c r="R903">
        <v>3313387</v>
      </c>
    </row>
    <row r="904" spans="1:18" x14ac:dyDescent="0.25">
      <c r="A904" s="170">
        <v>43329</v>
      </c>
      <c r="B904" s="116">
        <v>718.32500000000005</v>
      </c>
      <c r="C904" s="116">
        <v>715.67499999999995</v>
      </c>
      <c r="D904" s="116">
        <v>711.72500000000002</v>
      </c>
      <c r="E904" s="116">
        <v>716.42499999999995</v>
      </c>
      <c r="F904" s="116">
        <v>1431.35</v>
      </c>
      <c r="G904">
        <v>90661</v>
      </c>
      <c r="H904" s="116"/>
      <c r="I904" s="116"/>
      <c r="L904" s="170">
        <v>43329</v>
      </c>
      <c r="M904" s="116">
        <v>715.17499999999995</v>
      </c>
      <c r="N904" s="116">
        <v>718.82500000000005</v>
      </c>
      <c r="O904" s="116">
        <v>711.5</v>
      </c>
      <c r="P904" s="116">
        <v>715.45</v>
      </c>
      <c r="Q904" s="116">
        <v>1430.35</v>
      </c>
      <c r="R904">
        <v>3195204</v>
      </c>
    </row>
    <row r="905" spans="1:18" x14ac:dyDescent="0.25">
      <c r="A905" s="170">
        <v>43332</v>
      </c>
      <c r="B905" s="116">
        <v>704</v>
      </c>
      <c r="C905" s="116">
        <v>692.6</v>
      </c>
      <c r="D905" s="116">
        <v>686.77499999999998</v>
      </c>
      <c r="E905" s="116">
        <v>694.35</v>
      </c>
      <c r="F905" s="116">
        <v>1385.2</v>
      </c>
      <c r="G905">
        <v>519336</v>
      </c>
      <c r="H905" s="116"/>
      <c r="I905" s="116"/>
      <c r="L905" s="170">
        <v>43332</v>
      </c>
      <c r="M905" s="116">
        <v>692.125</v>
      </c>
      <c r="N905" s="116">
        <v>703.97500000000002</v>
      </c>
      <c r="O905" s="116">
        <v>686.75</v>
      </c>
      <c r="P905" s="116">
        <v>694</v>
      </c>
      <c r="Q905" s="116">
        <v>1384.25</v>
      </c>
      <c r="R905">
        <v>8050938</v>
      </c>
    </row>
    <row r="906" spans="1:18" x14ac:dyDescent="0.25">
      <c r="A906" s="170">
        <v>43333</v>
      </c>
      <c r="B906" s="116">
        <v>697</v>
      </c>
      <c r="C906" s="116">
        <v>692.15</v>
      </c>
      <c r="D906" s="116">
        <v>687.125</v>
      </c>
      <c r="E906" s="116">
        <v>693.05</v>
      </c>
      <c r="F906" s="116">
        <v>1384.3</v>
      </c>
      <c r="G906">
        <v>250832</v>
      </c>
      <c r="H906" s="116"/>
      <c r="I906" s="116"/>
      <c r="L906" s="170">
        <v>43333</v>
      </c>
      <c r="M906" s="116">
        <v>691.97500000000002</v>
      </c>
      <c r="N906" s="116">
        <v>698</v>
      </c>
      <c r="O906" s="116">
        <v>686.875</v>
      </c>
      <c r="P906" s="116">
        <v>695</v>
      </c>
      <c r="Q906" s="116">
        <v>1383.95</v>
      </c>
      <c r="R906">
        <v>4180741</v>
      </c>
    </row>
    <row r="907" spans="1:18" x14ac:dyDescent="0.25">
      <c r="A907" s="170">
        <v>43335</v>
      </c>
      <c r="B907" s="116">
        <v>701.32500000000005</v>
      </c>
      <c r="C907" s="116">
        <v>699.6</v>
      </c>
      <c r="D907" s="116">
        <v>693.17499999999995</v>
      </c>
      <c r="E907" s="116">
        <v>694.15</v>
      </c>
      <c r="F907" s="116">
        <v>1399.2</v>
      </c>
      <c r="G907">
        <v>102744</v>
      </c>
      <c r="H907" s="116"/>
      <c r="I907" s="116"/>
      <c r="L907" s="170">
        <v>43335</v>
      </c>
      <c r="M907" s="116">
        <v>698.7</v>
      </c>
      <c r="N907" s="116">
        <v>700.75</v>
      </c>
      <c r="O907" s="116">
        <v>692.67499999999995</v>
      </c>
      <c r="P907" s="116">
        <v>696.5</v>
      </c>
      <c r="Q907" s="116">
        <v>1397.4</v>
      </c>
      <c r="R907">
        <v>3858591</v>
      </c>
    </row>
    <row r="908" spans="1:18" x14ac:dyDescent="0.25">
      <c r="A908" s="170">
        <v>43336</v>
      </c>
      <c r="B908" s="116">
        <v>701.5</v>
      </c>
      <c r="C908" s="116">
        <v>689.97500000000002</v>
      </c>
      <c r="D908" s="116">
        <v>688</v>
      </c>
      <c r="E908" s="116">
        <v>696.27499999999998</v>
      </c>
      <c r="F908" s="116">
        <v>1379.95</v>
      </c>
      <c r="G908">
        <v>561628</v>
      </c>
      <c r="H908" s="116"/>
      <c r="I908" s="116"/>
      <c r="L908" s="170">
        <v>43336</v>
      </c>
      <c r="M908" s="116">
        <v>689.15</v>
      </c>
      <c r="N908" s="116">
        <v>700.95</v>
      </c>
      <c r="O908" s="116">
        <v>688.05</v>
      </c>
      <c r="P908" s="116">
        <v>698.25</v>
      </c>
      <c r="Q908" s="116">
        <v>1378.3</v>
      </c>
      <c r="R908">
        <v>3526500</v>
      </c>
    </row>
    <row r="909" spans="1:18" x14ac:dyDescent="0.25">
      <c r="A909" s="170">
        <v>43339</v>
      </c>
      <c r="B909" s="116">
        <v>709.45</v>
      </c>
      <c r="C909" s="116">
        <v>707.45</v>
      </c>
      <c r="D909" s="116">
        <v>691.67499999999995</v>
      </c>
      <c r="E909" s="116">
        <v>691.67499999999995</v>
      </c>
      <c r="F909" s="116">
        <v>1414.9</v>
      </c>
      <c r="G909">
        <v>135904</v>
      </c>
      <c r="H909" s="116"/>
      <c r="I909" s="116"/>
      <c r="L909" s="170">
        <v>43339</v>
      </c>
      <c r="M909" s="116">
        <v>707.7</v>
      </c>
      <c r="N909" s="116">
        <v>709.97500000000002</v>
      </c>
      <c r="O909" s="116">
        <v>690.7</v>
      </c>
      <c r="P909" s="116">
        <v>691.5</v>
      </c>
      <c r="Q909" s="116">
        <v>1415.4</v>
      </c>
      <c r="R909">
        <v>3506475</v>
      </c>
    </row>
    <row r="910" spans="1:18" x14ac:dyDescent="0.25">
      <c r="A910" s="170">
        <v>43340</v>
      </c>
      <c r="B910" s="116">
        <v>719.25</v>
      </c>
      <c r="C910" s="116">
        <v>712.17499999999995</v>
      </c>
      <c r="D910" s="116">
        <v>706.15</v>
      </c>
      <c r="E910" s="116">
        <v>708</v>
      </c>
      <c r="F910" s="116">
        <v>1424.35</v>
      </c>
      <c r="G910">
        <v>160074</v>
      </c>
      <c r="H910" s="116"/>
      <c r="I910" s="116"/>
      <c r="L910" s="170">
        <v>43340</v>
      </c>
      <c r="M910" s="116">
        <v>712.35</v>
      </c>
      <c r="N910" s="116">
        <v>719.2</v>
      </c>
      <c r="O910" s="116">
        <v>705.75</v>
      </c>
      <c r="P910" s="116">
        <v>708.6</v>
      </c>
      <c r="Q910" s="116">
        <v>1424.7</v>
      </c>
      <c r="R910">
        <v>3248445</v>
      </c>
    </row>
    <row r="911" spans="1:18" x14ac:dyDescent="0.25">
      <c r="A911" s="170">
        <v>43341</v>
      </c>
      <c r="B911" s="116">
        <v>717.85</v>
      </c>
      <c r="C911" s="116">
        <v>705.17499999999995</v>
      </c>
      <c r="D911" s="116">
        <v>703</v>
      </c>
      <c r="E911" s="116">
        <v>717.5</v>
      </c>
      <c r="F911" s="116">
        <v>1410.35</v>
      </c>
      <c r="G911">
        <v>218669</v>
      </c>
      <c r="H911" s="116"/>
      <c r="I911" s="116"/>
      <c r="L911" s="170">
        <v>43341</v>
      </c>
      <c r="M911" s="116">
        <v>705.05</v>
      </c>
      <c r="N911" s="116">
        <v>716.8</v>
      </c>
      <c r="O911" s="116">
        <v>702.57500000000005</v>
      </c>
      <c r="P911" s="116">
        <v>716.8</v>
      </c>
      <c r="Q911" s="116">
        <v>1410.1</v>
      </c>
      <c r="R911">
        <v>2823248</v>
      </c>
    </row>
    <row r="912" spans="1:18" x14ac:dyDescent="0.25">
      <c r="A912" s="170">
        <v>43342</v>
      </c>
      <c r="B912" s="116">
        <v>711.5</v>
      </c>
      <c r="C912" s="116">
        <v>708.75</v>
      </c>
      <c r="D912" s="116">
        <v>698.5</v>
      </c>
      <c r="E912" s="116">
        <v>705.5</v>
      </c>
      <c r="F912" s="116">
        <v>1417.5</v>
      </c>
      <c r="G912">
        <v>245211</v>
      </c>
      <c r="H912" s="116"/>
      <c r="I912" s="116"/>
      <c r="L912" s="170">
        <v>43342</v>
      </c>
      <c r="M912" s="116">
        <v>708.1</v>
      </c>
      <c r="N912" s="116">
        <v>710.77499999999998</v>
      </c>
      <c r="O912" s="116">
        <v>698.07500000000005</v>
      </c>
      <c r="P912" s="116">
        <v>706.4</v>
      </c>
      <c r="Q912" s="116">
        <v>1416.2</v>
      </c>
      <c r="R912">
        <v>5753981</v>
      </c>
    </row>
    <row r="913" spans="1:18" x14ac:dyDescent="0.25">
      <c r="A913" s="170">
        <v>43343</v>
      </c>
      <c r="B913" s="116">
        <v>726.5</v>
      </c>
      <c r="C913" s="116">
        <v>720</v>
      </c>
      <c r="D913" s="116">
        <v>711</v>
      </c>
      <c r="E913" s="116">
        <v>711</v>
      </c>
      <c r="F913" s="116">
        <v>1440</v>
      </c>
      <c r="G913">
        <v>2123233</v>
      </c>
      <c r="H913" s="116"/>
      <c r="I913" s="116"/>
      <c r="L913" s="170">
        <v>43343</v>
      </c>
      <c r="M913" s="116">
        <v>720.55</v>
      </c>
      <c r="N913" s="116">
        <v>727.15</v>
      </c>
      <c r="O913" s="116">
        <v>710.55</v>
      </c>
      <c r="P913" s="116">
        <v>712.55</v>
      </c>
      <c r="Q913" s="116">
        <v>1441.1</v>
      </c>
      <c r="R913">
        <v>5437932</v>
      </c>
    </row>
    <row r="914" spans="1:18" x14ac:dyDescent="0.25">
      <c r="A914" s="170">
        <v>43346</v>
      </c>
      <c r="B914" s="116">
        <v>733.5</v>
      </c>
      <c r="C914" s="116">
        <v>716.72500000000002</v>
      </c>
      <c r="D914" s="116">
        <v>715</v>
      </c>
      <c r="E914" s="116">
        <v>729</v>
      </c>
      <c r="F914" s="116">
        <v>1433.45</v>
      </c>
      <c r="G914">
        <v>628171</v>
      </c>
      <c r="H914" s="116"/>
      <c r="I914" s="116"/>
      <c r="L914" s="170">
        <v>43346</v>
      </c>
      <c r="M914" s="116">
        <v>717.125</v>
      </c>
      <c r="N914" s="116">
        <v>733.95</v>
      </c>
      <c r="O914" s="116">
        <v>715</v>
      </c>
      <c r="P914" s="116">
        <v>724.5</v>
      </c>
      <c r="Q914" s="116">
        <v>1434.25</v>
      </c>
      <c r="R914">
        <v>5488164</v>
      </c>
    </row>
    <row r="915" spans="1:18" x14ac:dyDescent="0.25">
      <c r="A915" s="170">
        <v>43347</v>
      </c>
      <c r="B915" s="116">
        <v>748.35</v>
      </c>
      <c r="C915" s="116">
        <v>735.65</v>
      </c>
      <c r="D915" s="116">
        <v>717</v>
      </c>
      <c r="E915" s="116">
        <v>723.7</v>
      </c>
      <c r="F915" s="116">
        <v>735.65</v>
      </c>
      <c r="G915">
        <v>832961</v>
      </c>
      <c r="H915" s="116"/>
      <c r="I915" s="116"/>
      <c r="L915" s="170">
        <v>43347</v>
      </c>
      <c r="M915" s="116">
        <v>737.15</v>
      </c>
      <c r="N915" s="116">
        <v>748.5</v>
      </c>
      <c r="O915" s="116">
        <v>716</v>
      </c>
      <c r="P915" s="116">
        <v>722</v>
      </c>
      <c r="Q915" s="116">
        <v>737.15</v>
      </c>
      <c r="R915">
        <v>15370124</v>
      </c>
    </row>
    <row r="916" spans="1:18" x14ac:dyDescent="0.25">
      <c r="A916" s="170">
        <v>43348</v>
      </c>
      <c r="B916" s="116">
        <v>748.45</v>
      </c>
      <c r="C916" s="116">
        <v>729.8</v>
      </c>
      <c r="D916" s="116">
        <v>726.35</v>
      </c>
      <c r="E916" s="116">
        <v>741.75</v>
      </c>
      <c r="F916" s="116">
        <v>729.8</v>
      </c>
      <c r="G916">
        <v>625030</v>
      </c>
      <c r="H916" s="116"/>
      <c r="I916" s="116"/>
      <c r="L916" s="170">
        <v>43348</v>
      </c>
      <c r="M916" s="116">
        <v>729.9</v>
      </c>
      <c r="N916" s="116">
        <v>744.05</v>
      </c>
      <c r="O916" s="116">
        <v>725.4</v>
      </c>
      <c r="P916" s="116">
        <v>741.95</v>
      </c>
      <c r="Q916" s="116">
        <v>729.9</v>
      </c>
      <c r="R916">
        <v>8658978</v>
      </c>
    </row>
    <row r="917" spans="1:18" x14ac:dyDescent="0.25">
      <c r="A917" s="170">
        <v>43349</v>
      </c>
      <c r="B917" s="116">
        <v>735</v>
      </c>
      <c r="C917" s="116">
        <v>727.95</v>
      </c>
      <c r="D917" s="116">
        <v>725</v>
      </c>
      <c r="E917" s="116">
        <v>734.5</v>
      </c>
      <c r="F917" s="116">
        <v>727.95</v>
      </c>
      <c r="G917">
        <v>246579</v>
      </c>
      <c r="H917" s="116"/>
      <c r="I917" s="116"/>
      <c r="L917" s="170">
        <v>43349</v>
      </c>
      <c r="M917" s="116">
        <v>727.15</v>
      </c>
      <c r="N917" s="116">
        <v>735.5</v>
      </c>
      <c r="O917" s="116">
        <v>724.1</v>
      </c>
      <c r="P917" s="116">
        <v>732.55</v>
      </c>
      <c r="Q917" s="116">
        <v>727.15</v>
      </c>
      <c r="R917">
        <v>5598659</v>
      </c>
    </row>
    <row r="918" spans="1:18" x14ac:dyDescent="0.25">
      <c r="A918" s="170">
        <v>43350</v>
      </c>
      <c r="B918" s="116">
        <v>737</v>
      </c>
      <c r="C918" s="116">
        <v>733.15</v>
      </c>
      <c r="D918" s="116">
        <v>724.75</v>
      </c>
      <c r="E918" s="116">
        <v>733.05</v>
      </c>
      <c r="F918" s="116">
        <v>733.15</v>
      </c>
      <c r="G918">
        <v>353724</v>
      </c>
      <c r="H918" s="116"/>
      <c r="I918" s="116"/>
      <c r="L918" s="170">
        <v>43350</v>
      </c>
      <c r="M918" s="116">
        <v>732.8</v>
      </c>
      <c r="N918" s="116">
        <v>735.15</v>
      </c>
      <c r="O918" s="116">
        <v>723.8</v>
      </c>
      <c r="P918" s="116">
        <v>734.35</v>
      </c>
      <c r="Q918" s="116">
        <v>732.8</v>
      </c>
      <c r="R918">
        <v>6510605</v>
      </c>
    </row>
    <row r="919" spans="1:18" x14ac:dyDescent="0.25">
      <c r="A919" s="170">
        <v>43353</v>
      </c>
      <c r="B919" s="116">
        <v>746.5</v>
      </c>
      <c r="C919" s="116">
        <v>731.95</v>
      </c>
      <c r="D919" s="116">
        <v>729.65</v>
      </c>
      <c r="E919" s="116">
        <v>737</v>
      </c>
      <c r="F919" s="116">
        <v>731.95</v>
      </c>
      <c r="G919">
        <v>312641</v>
      </c>
      <c r="H919" s="116"/>
      <c r="I919" s="116"/>
      <c r="L919" s="170">
        <v>43353</v>
      </c>
      <c r="M919" s="116">
        <v>730.85</v>
      </c>
      <c r="N919" s="116">
        <v>747</v>
      </c>
      <c r="O919" s="116">
        <v>729.4</v>
      </c>
      <c r="P919" s="116">
        <v>737.75</v>
      </c>
      <c r="Q919" s="116">
        <v>730.85</v>
      </c>
      <c r="R919">
        <v>5629871</v>
      </c>
    </row>
    <row r="920" spans="1:18" x14ac:dyDescent="0.25">
      <c r="A920" s="170">
        <v>43354</v>
      </c>
      <c r="B920" s="116">
        <v>744.15</v>
      </c>
      <c r="C920" s="116">
        <v>734.25</v>
      </c>
      <c r="D920" s="116">
        <v>732.55</v>
      </c>
      <c r="E920" s="116">
        <v>734.3</v>
      </c>
      <c r="F920" s="116">
        <v>734.25</v>
      </c>
      <c r="G920">
        <v>465074</v>
      </c>
      <c r="H920" s="116"/>
      <c r="I920" s="116"/>
      <c r="L920" s="170">
        <v>43354</v>
      </c>
      <c r="M920" s="116">
        <v>734.3</v>
      </c>
      <c r="N920" s="116">
        <v>744.75</v>
      </c>
      <c r="O920" s="116">
        <v>732</v>
      </c>
      <c r="P920" s="116">
        <v>735.9</v>
      </c>
      <c r="Q920" s="116">
        <v>734.3</v>
      </c>
      <c r="R920">
        <v>6963561</v>
      </c>
    </row>
    <row r="921" spans="1:18" x14ac:dyDescent="0.25">
      <c r="A921" s="170">
        <v>43355</v>
      </c>
      <c r="B921" s="116">
        <v>745.75</v>
      </c>
      <c r="C921" s="116">
        <v>742.7</v>
      </c>
      <c r="D921" s="116">
        <v>736.25</v>
      </c>
      <c r="E921" s="116">
        <v>743</v>
      </c>
      <c r="F921" s="116">
        <v>742.7</v>
      </c>
      <c r="G921">
        <v>285153</v>
      </c>
      <c r="H921" s="116"/>
      <c r="I921" s="116"/>
      <c r="L921" s="170">
        <v>43355</v>
      </c>
      <c r="M921" s="116">
        <v>742.9</v>
      </c>
      <c r="N921" s="116">
        <v>746.5</v>
      </c>
      <c r="O921" s="116">
        <v>736.25</v>
      </c>
      <c r="P921" s="116">
        <v>744.4</v>
      </c>
      <c r="Q921" s="116">
        <v>742.9</v>
      </c>
      <c r="R921">
        <v>4636617</v>
      </c>
    </row>
    <row r="922" spans="1:18" x14ac:dyDescent="0.25">
      <c r="A922" s="170">
        <v>43357</v>
      </c>
      <c r="B922" s="116">
        <v>744</v>
      </c>
      <c r="C922" s="116">
        <v>735.2</v>
      </c>
      <c r="D922" s="116">
        <v>730.15</v>
      </c>
      <c r="E922" s="116">
        <v>742.5</v>
      </c>
      <c r="F922" s="116">
        <v>735.2</v>
      </c>
      <c r="G922">
        <v>374118</v>
      </c>
      <c r="H922" s="116"/>
      <c r="I922" s="116"/>
      <c r="L922" s="170">
        <v>43357</v>
      </c>
      <c r="M922" s="116">
        <v>733.7</v>
      </c>
      <c r="N922" s="116">
        <v>745</v>
      </c>
      <c r="O922" s="116">
        <v>729.05</v>
      </c>
      <c r="P922" s="116">
        <v>741.9</v>
      </c>
      <c r="Q922" s="116">
        <v>733.7</v>
      </c>
      <c r="R922">
        <v>7896514</v>
      </c>
    </row>
    <row r="923" spans="1:18" x14ac:dyDescent="0.25">
      <c r="A923" s="170">
        <v>43360</v>
      </c>
      <c r="B923" s="116">
        <v>740</v>
      </c>
      <c r="C923" s="116">
        <v>726.55</v>
      </c>
      <c r="D923" s="116">
        <v>725.1</v>
      </c>
      <c r="E923" s="116">
        <v>736.4</v>
      </c>
      <c r="F923" s="116">
        <v>726.55</v>
      </c>
      <c r="G923">
        <v>292264</v>
      </c>
      <c r="H923" s="116"/>
      <c r="I923" s="116"/>
      <c r="L923" s="170">
        <v>43360</v>
      </c>
      <c r="M923" s="116">
        <v>725.95</v>
      </c>
      <c r="N923" s="116">
        <v>740</v>
      </c>
      <c r="O923" s="116">
        <v>724.6</v>
      </c>
      <c r="P923" s="116">
        <v>735</v>
      </c>
      <c r="Q923" s="116">
        <v>725.95</v>
      </c>
      <c r="R923">
        <v>5427054</v>
      </c>
    </row>
    <row r="924" spans="1:18" x14ac:dyDescent="0.25">
      <c r="A924" s="170">
        <v>43361</v>
      </c>
      <c r="B924" s="116">
        <v>732</v>
      </c>
      <c r="C924" s="116">
        <v>719.15</v>
      </c>
      <c r="D924" s="116">
        <v>716.8</v>
      </c>
      <c r="E924" s="116">
        <v>732</v>
      </c>
      <c r="F924" s="116">
        <v>719.15</v>
      </c>
      <c r="G924">
        <v>202211</v>
      </c>
      <c r="H924" s="116"/>
      <c r="I924" s="116"/>
      <c r="L924" s="170">
        <v>43361</v>
      </c>
      <c r="M924" s="116">
        <v>719.1</v>
      </c>
      <c r="N924" s="116">
        <v>730</v>
      </c>
      <c r="O924" s="116">
        <v>717</v>
      </c>
      <c r="P924" s="116">
        <v>730</v>
      </c>
      <c r="Q924" s="116">
        <v>719.1</v>
      </c>
      <c r="R924">
        <v>7729732</v>
      </c>
    </row>
    <row r="925" spans="1:18" x14ac:dyDescent="0.25">
      <c r="A925" s="170">
        <v>43362</v>
      </c>
      <c r="B925" s="116">
        <v>727.4</v>
      </c>
      <c r="C925" s="116">
        <v>720.4</v>
      </c>
      <c r="D925" s="116">
        <v>714.95</v>
      </c>
      <c r="E925" s="116">
        <v>725</v>
      </c>
      <c r="F925" s="116">
        <v>720.4</v>
      </c>
      <c r="G925">
        <v>151490</v>
      </c>
      <c r="H925" s="116"/>
      <c r="I925" s="116"/>
      <c r="L925" s="170">
        <v>43362</v>
      </c>
      <c r="M925" s="116">
        <v>719.75</v>
      </c>
      <c r="N925" s="116">
        <v>727</v>
      </c>
      <c r="O925" s="116">
        <v>713.2</v>
      </c>
      <c r="P925" s="116">
        <v>727</v>
      </c>
      <c r="Q925" s="116">
        <v>719.75</v>
      </c>
      <c r="R925">
        <v>4849498</v>
      </c>
    </row>
    <row r="926" spans="1:18" x14ac:dyDescent="0.25">
      <c r="A926" s="170">
        <v>43364</v>
      </c>
      <c r="B926" s="116">
        <v>719</v>
      </c>
      <c r="C926" s="116">
        <v>706.3</v>
      </c>
      <c r="D926" s="116">
        <v>692</v>
      </c>
      <c r="E926" s="116">
        <v>719</v>
      </c>
      <c r="F926" s="116">
        <v>706.3</v>
      </c>
      <c r="G926">
        <v>773924</v>
      </c>
      <c r="H926" s="116"/>
      <c r="I926" s="116"/>
      <c r="L926" s="170">
        <v>43364</v>
      </c>
      <c r="M926" s="116">
        <v>705.3</v>
      </c>
      <c r="N926" s="116">
        <v>717.4</v>
      </c>
      <c r="O926" s="116">
        <v>692</v>
      </c>
      <c r="P926" s="116">
        <v>713.85</v>
      </c>
      <c r="Q926" s="116">
        <v>705.3</v>
      </c>
      <c r="R926">
        <v>14350769</v>
      </c>
    </row>
    <row r="927" spans="1:18" x14ac:dyDescent="0.25">
      <c r="A927" s="170">
        <v>43367</v>
      </c>
      <c r="B927" s="116">
        <v>729.95</v>
      </c>
      <c r="C927" s="116">
        <v>717.3</v>
      </c>
      <c r="D927" s="116">
        <v>705.5</v>
      </c>
      <c r="E927" s="116">
        <v>709</v>
      </c>
      <c r="F927" s="116">
        <v>717.3</v>
      </c>
      <c r="G927">
        <v>749018</v>
      </c>
      <c r="H927" s="116"/>
      <c r="I927" s="116"/>
      <c r="L927" s="170">
        <v>43367</v>
      </c>
      <c r="M927" s="116">
        <v>718.25</v>
      </c>
      <c r="N927" s="116">
        <v>729.95</v>
      </c>
      <c r="O927" s="116">
        <v>706.5</v>
      </c>
      <c r="P927" s="116">
        <v>706.5</v>
      </c>
      <c r="Q927" s="116">
        <v>718.25</v>
      </c>
      <c r="R927">
        <v>8637881</v>
      </c>
    </row>
    <row r="928" spans="1:18" x14ac:dyDescent="0.25">
      <c r="A928" s="170">
        <v>43368</v>
      </c>
      <c r="B928" s="116">
        <v>735.8</v>
      </c>
      <c r="C928" s="116">
        <v>726.5</v>
      </c>
      <c r="D928" s="116">
        <v>717.35</v>
      </c>
      <c r="E928" s="116">
        <v>720</v>
      </c>
      <c r="F928" s="116">
        <v>726.5</v>
      </c>
      <c r="G928">
        <v>359507</v>
      </c>
      <c r="H928" s="116"/>
      <c r="I928" s="116"/>
      <c r="L928" s="170">
        <v>43368</v>
      </c>
      <c r="M928" s="116">
        <v>726.2</v>
      </c>
      <c r="N928" s="116">
        <v>736</v>
      </c>
      <c r="O928" s="116">
        <v>717</v>
      </c>
      <c r="P928" s="116">
        <v>718.25</v>
      </c>
      <c r="Q928" s="116">
        <v>726.2</v>
      </c>
      <c r="R928">
        <v>9602273</v>
      </c>
    </row>
    <row r="929" spans="1:18" x14ac:dyDescent="0.25">
      <c r="A929" s="170">
        <v>43369</v>
      </c>
      <c r="B929" s="116">
        <v>738</v>
      </c>
      <c r="C929" s="116">
        <v>717.8</v>
      </c>
      <c r="D929" s="116">
        <v>712.4</v>
      </c>
      <c r="E929" s="116">
        <v>738</v>
      </c>
      <c r="F929" s="116">
        <v>717.8</v>
      </c>
      <c r="G929">
        <v>282597</v>
      </c>
      <c r="H929" s="116"/>
      <c r="I929" s="116"/>
      <c r="L929" s="170">
        <v>43369</v>
      </c>
      <c r="M929" s="116">
        <v>717.85</v>
      </c>
      <c r="N929" s="116">
        <v>731.85</v>
      </c>
      <c r="O929" s="116">
        <v>712</v>
      </c>
      <c r="P929" s="116">
        <v>731.2</v>
      </c>
      <c r="Q929" s="116">
        <v>717.85</v>
      </c>
      <c r="R929">
        <v>6599606</v>
      </c>
    </row>
    <row r="930" spans="1:18" x14ac:dyDescent="0.25">
      <c r="A930" s="170">
        <v>43370</v>
      </c>
      <c r="B930" s="116">
        <v>730.65</v>
      </c>
      <c r="C930" s="116">
        <v>724.15</v>
      </c>
      <c r="D930" s="116">
        <v>718.05</v>
      </c>
      <c r="E930" s="116">
        <v>719.5</v>
      </c>
      <c r="F930" s="116">
        <v>724.15</v>
      </c>
      <c r="G930">
        <v>804565</v>
      </c>
      <c r="H930" s="116"/>
      <c r="I930" s="116"/>
      <c r="L930" s="170">
        <v>43370</v>
      </c>
      <c r="M930" s="116">
        <v>724.8</v>
      </c>
      <c r="N930" s="116">
        <v>730.8</v>
      </c>
      <c r="O930" s="116">
        <v>717.45</v>
      </c>
      <c r="P930" s="116">
        <v>722</v>
      </c>
      <c r="Q930" s="116">
        <v>724.8</v>
      </c>
      <c r="R930">
        <v>14592616</v>
      </c>
    </row>
    <row r="931" spans="1:18" x14ac:dyDescent="0.25">
      <c r="A931" s="170">
        <v>43371</v>
      </c>
      <c r="B931" s="116">
        <v>734</v>
      </c>
      <c r="C931" s="116">
        <v>727.85</v>
      </c>
      <c r="D931" s="116">
        <v>715.8</v>
      </c>
      <c r="E931" s="116">
        <v>720</v>
      </c>
      <c r="F931" s="116">
        <v>727.85</v>
      </c>
      <c r="G931">
        <v>506489</v>
      </c>
      <c r="H931" s="116"/>
      <c r="I931" s="116"/>
      <c r="L931" s="170">
        <v>43371</v>
      </c>
      <c r="M931" s="116">
        <v>730.05</v>
      </c>
      <c r="N931" s="116">
        <v>734.55</v>
      </c>
      <c r="O931" s="116">
        <v>715.2</v>
      </c>
      <c r="P931" s="116">
        <v>721</v>
      </c>
      <c r="Q931" s="116">
        <v>730.05</v>
      </c>
      <c r="R931">
        <v>7490031</v>
      </c>
    </row>
    <row r="932" spans="1:18" x14ac:dyDescent="0.25">
      <c r="A932" s="170">
        <v>43374</v>
      </c>
      <c r="B932" s="116">
        <v>754.95</v>
      </c>
      <c r="C932" s="116">
        <v>744.45</v>
      </c>
      <c r="D932" s="116">
        <v>733.4</v>
      </c>
      <c r="E932" s="116">
        <v>735.1</v>
      </c>
      <c r="F932" s="116">
        <v>744.45</v>
      </c>
      <c r="G932">
        <v>3761334</v>
      </c>
      <c r="H932" s="116"/>
      <c r="I932" s="116"/>
      <c r="L932" s="170">
        <v>43374</v>
      </c>
      <c r="M932" s="116">
        <v>746.65</v>
      </c>
      <c r="N932" s="116">
        <v>754.9</v>
      </c>
      <c r="O932" s="116">
        <v>733</v>
      </c>
      <c r="P932" s="116">
        <v>737.5</v>
      </c>
      <c r="Q932" s="116">
        <v>746.65</v>
      </c>
      <c r="R932">
        <v>8252398</v>
      </c>
    </row>
    <row r="933" spans="1:18" x14ac:dyDescent="0.25">
      <c r="A933" s="170">
        <v>43376</v>
      </c>
      <c r="B933" s="116">
        <v>751.95</v>
      </c>
      <c r="C933" s="116">
        <v>727.85</v>
      </c>
      <c r="D933" s="116">
        <v>726.55</v>
      </c>
      <c r="E933" s="116">
        <v>744.7</v>
      </c>
      <c r="F933" s="116">
        <v>727.85</v>
      </c>
      <c r="G933">
        <v>292087</v>
      </c>
      <c r="H933" s="116"/>
      <c r="I933" s="116"/>
      <c r="L933" s="170">
        <v>43376</v>
      </c>
      <c r="M933" s="116">
        <v>728.5</v>
      </c>
      <c r="N933" s="116">
        <v>751.95</v>
      </c>
      <c r="O933" s="116">
        <v>726.3</v>
      </c>
      <c r="P933" s="116">
        <v>743.8</v>
      </c>
      <c r="Q933" s="116">
        <v>728.5</v>
      </c>
      <c r="R933">
        <v>7792464</v>
      </c>
    </row>
    <row r="934" spans="1:18" x14ac:dyDescent="0.25">
      <c r="A934" s="170">
        <v>43377</v>
      </c>
      <c r="B934" s="116">
        <v>729</v>
      </c>
      <c r="C934" s="116">
        <v>706.35</v>
      </c>
      <c r="D934" s="116">
        <v>702.9</v>
      </c>
      <c r="E934" s="116">
        <v>728</v>
      </c>
      <c r="F934" s="116">
        <v>706.35</v>
      </c>
      <c r="G934">
        <v>403889</v>
      </c>
      <c r="H934" s="116"/>
      <c r="I934" s="116"/>
      <c r="L934" s="170">
        <v>43377</v>
      </c>
      <c r="M934" s="116">
        <v>707.2</v>
      </c>
      <c r="N934" s="116">
        <v>729.75</v>
      </c>
      <c r="O934" s="116">
        <v>702.5</v>
      </c>
      <c r="P934" s="116">
        <v>728.5</v>
      </c>
      <c r="Q934" s="116">
        <v>707.2</v>
      </c>
      <c r="R934">
        <v>6173037</v>
      </c>
    </row>
    <row r="935" spans="1:18" x14ac:dyDescent="0.25">
      <c r="A935" s="170">
        <v>43378</v>
      </c>
      <c r="B935" s="116">
        <v>731.25</v>
      </c>
      <c r="C935" s="116">
        <v>721.85</v>
      </c>
      <c r="D935" s="116">
        <v>709</v>
      </c>
      <c r="E935" s="116">
        <v>711</v>
      </c>
      <c r="F935" s="116">
        <v>721.85</v>
      </c>
      <c r="G935">
        <v>399124</v>
      </c>
      <c r="H935" s="116"/>
      <c r="I935" s="116"/>
      <c r="L935" s="170">
        <v>43378</v>
      </c>
      <c r="M935" s="116">
        <v>724.6</v>
      </c>
      <c r="N935" s="116">
        <v>731.5</v>
      </c>
      <c r="O935" s="116">
        <v>709.3</v>
      </c>
      <c r="P935" s="116">
        <v>713</v>
      </c>
      <c r="Q935" s="116">
        <v>724.6</v>
      </c>
      <c r="R935">
        <v>8543578</v>
      </c>
    </row>
    <row r="936" spans="1:18" x14ac:dyDescent="0.25">
      <c r="A936" s="170">
        <v>43381</v>
      </c>
      <c r="B936" s="116">
        <v>728.5</v>
      </c>
      <c r="C936" s="116">
        <v>714.5</v>
      </c>
      <c r="D936" s="116">
        <v>710.35</v>
      </c>
      <c r="E936" s="116">
        <v>725.05</v>
      </c>
      <c r="F936" s="116">
        <v>714.5</v>
      </c>
      <c r="G936">
        <v>228274</v>
      </c>
      <c r="H936" s="116"/>
      <c r="I936" s="116"/>
      <c r="L936" s="170">
        <v>43381</v>
      </c>
      <c r="M936" s="116">
        <v>714.45</v>
      </c>
      <c r="N936" s="116">
        <v>728.7</v>
      </c>
      <c r="O936" s="116">
        <v>709.25</v>
      </c>
      <c r="P936" s="116">
        <v>725.05</v>
      </c>
      <c r="Q936" s="116">
        <v>714.45</v>
      </c>
      <c r="R936">
        <v>7259306</v>
      </c>
    </row>
    <row r="937" spans="1:18" x14ac:dyDescent="0.25">
      <c r="A937" s="170">
        <v>43382</v>
      </c>
      <c r="B937" s="116">
        <v>726</v>
      </c>
      <c r="C937" s="116">
        <v>717.35</v>
      </c>
      <c r="D937" s="116">
        <v>703.1</v>
      </c>
      <c r="E937" s="116">
        <v>716</v>
      </c>
      <c r="F937" s="116">
        <v>717.35</v>
      </c>
      <c r="G937">
        <v>437278</v>
      </c>
      <c r="H937" s="116"/>
      <c r="I937" s="116"/>
      <c r="L937" s="170">
        <v>43382</v>
      </c>
      <c r="M937" s="116">
        <v>717.75</v>
      </c>
      <c r="N937" s="116">
        <v>722.4</v>
      </c>
      <c r="O937" s="116">
        <v>702.65</v>
      </c>
      <c r="P937" s="116">
        <v>717.1</v>
      </c>
      <c r="Q937" s="116">
        <v>717.75</v>
      </c>
      <c r="R937">
        <v>6777212</v>
      </c>
    </row>
    <row r="938" spans="1:18" x14ac:dyDescent="0.25">
      <c r="A938" s="170">
        <v>43383</v>
      </c>
      <c r="B938" s="116">
        <v>720</v>
      </c>
      <c r="C938" s="116">
        <v>700.3</v>
      </c>
      <c r="D938" s="116">
        <v>695.4</v>
      </c>
      <c r="E938" s="116">
        <v>718.15</v>
      </c>
      <c r="F938" s="116">
        <v>700.3</v>
      </c>
      <c r="G938">
        <v>1078764</v>
      </c>
      <c r="H938" s="116"/>
      <c r="I938" s="116"/>
      <c r="L938" s="170">
        <v>43383</v>
      </c>
      <c r="M938" s="116">
        <v>700.45</v>
      </c>
      <c r="N938" s="116">
        <v>719.9</v>
      </c>
      <c r="O938" s="116">
        <v>695.4</v>
      </c>
      <c r="P938" s="116">
        <v>719.9</v>
      </c>
      <c r="Q938" s="116">
        <v>700.45</v>
      </c>
      <c r="R938">
        <v>8866251</v>
      </c>
    </row>
    <row r="939" spans="1:18" x14ac:dyDescent="0.25">
      <c r="A939" s="170">
        <v>43384</v>
      </c>
      <c r="B939" s="116">
        <v>691.75</v>
      </c>
      <c r="C939" s="116">
        <v>675</v>
      </c>
      <c r="D939" s="116">
        <v>665.25</v>
      </c>
      <c r="E939" s="116">
        <v>689.9</v>
      </c>
      <c r="F939" s="116">
        <v>675</v>
      </c>
      <c r="G939">
        <v>680373</v>
      </c>
      <c r="H939" s="116"/>
      <c r="I939" s="116"/>
      <c r="L939" s="170">
        <v>43384</v>
      </c>
      <c r="M939" s="116">
        <v>673.35</v>
      </c>
      <c r="N939" s="116">
        <v>692.9</v>
      </c>
      <c r="O939" s="116">
        <v>663.3</v>
      </c>
      <c r="P939" s="116">
        <v>685</v>
      </c>
      <c r="Q939" s="116">
        <v>673.35</v>
      </c>
      <c r="R939">
        <v>10985897</v>
      </c>
    </row>
    <row r="940" spans="1:18" x14ac:dyDescent="0.25">
      <c r="A940" s="170">
        <v>43385</v>
      </c>
      <c r="B940" s="116">
        <v>690</v>
      </c>
      <c r="C940" s="116">
        <v>679.05</v>
      </c>
      <c r="D940" s="116">
        <v>662.6</v>
      </c>
      <c r="E940" s="116">
        <v>677</v>
      </c>
      <c r="F940" s="116">
        <v>679.05</v>
      </c>
      <c r="G940">
        <v>422848</v>
      </c>
      <c r="H940" s="116"/>
      <c r="I940" s="116"/>
      <c r="L940" s="170">
        <v>43385</v>
      </c>
      <c r="M940" s="116">
        <v>678.8</v>
      </c>
      <c r="N940" s="116">
        <v>684.05</v>
      </c>
      <c r="O940" s="116">
        <v>661.5</v>
      </c>
      <c r="P940" s="116">
        <v>676.4</v>
      </c>
      <c r="Q940" s="116">
        <v>678.8</v>
      </c>
      <c r="R940">
        <v>8909221</v>
      </c>
    </row>
    <row r="941" spans="1:18" x14ac:dyDescent="0.25">
      <c r="A941" s="170">
        <v>43388</v>
      </c>
      <c r="B941" s="116">
        <v>705.8</v>
      </c>
      <c r="C941" s="116">
        <v>699.1</v>
      </c>
      <c r="D941" s="116">
        <v>681.65</v>
      </c>
      <c r="E941" s="116">
        <v>690</v>
      </c>
      <c r="F941" s="116">
        <v>699.1</v>
      </c>
      <c r="G941">
        <v>443802</v>
      </c>
      <c r="H941" s="116"/>
      <c r="I941" s="116"/>
      <c r="L941" s="170">
        <v>43388</v>
      </c>
      <c r="M941" s="116">
        <v>698.8</v>
      </c>
      <c r="N941" s="116">
        <v>705</v>
      </c>
      <c r="O941" s="116">
        <v>681.5</v>
      </c>
      <c r="P941" s="116">
        <v>688.6</v>
      </c>
      <c r="Q941" s="116">
        <v>698.8</v>
      </c>
      <c r="R941">
        <v>6222176</v>
      </c>
    </row>
    <row r="942" spans="1:18" x14ac:dyDescent="0.25">
      <c r="A942" s="170">
        <v>43389</v>
      </c>
      <c r="B942" s="116">
        <v>713.75</v>
      </c>
      <c r="C942" s="116">
        <v>696.4</v>
      </c>
      <c r="D942" s="116">
        <v>688.1</v>
      </c>
      <c r="E942" s="116">
        <v>709</v>
      </c>
      <c r="F942" s="116">
        <v>696.4</v>
      </c>
      <c r="G942">
        <v>774209</v>
      </c>
      <c r="H942" s="116"/>
      <c r="I942" s="116"/>
      <c r="L942" s="170">
        <v>43389</v>
      </c>
      <c r="M942" s="116">
        <v>695.25</v>
      </c>
      <c r="N942" s="116">
        <v>713.9</v>
      </c>
      <c r="O942" s="116">
        <v>689.4</v>
      </c>
      <c r="P942" s="116">
        <v>710</v>
      </c>
      <c r="Q942" s="116">
        <v>695.25</v>
      </c>
      <c r="R942">
        <v>11588963</v>
      </c>
    </row>
    <row r="943" spans="1:18" x14ac:dyDescent="0.25">
      <c r="A943" s="170">
        <v>43390</v>
      </c>
      <c r="B943" s="116">
        <v>721</v>
      </c>
      <c r="C943" s="116">
        <v>704.5</v>
      </c>
      <c r="D943" s="116">
        <v>701.25</v>
      </c>
      <c r="E943" s="116">
        <v>707</v>
      </c>
      <c r="F943" s="116">
        <v>704.5</v>
      </c>
      <c r="G943">
        <v>1145997</v>
      </c>
      <c r="H943" s="116"/>
      <c r="I943" s="116"/>
      <c r="L943" s="170">
        <v>43390</v>
      </c>
      <c r="M943" s="116">
        <v>705.35</v>
      </c>
      <c r="N943" s="116">
        <v>721.8</v>
      </c>
      <c r="O943" s="116">
        <v>701.35</v>
      </c>
      <c r="P943" s="116">
        <v>710</v>
      </c>
      <c r="Q943" s="116">
        <v>705.35</v>
      </c>
      <c r="R943">
        <v>20360697</v>
      </c>
    </row>
    <row r="944" spans="1:18" x14ac:dyDescent="0.25">
      <c r="A944" s="170">
        <v>43392</v>
      </c>
      <c r="B944" s="116">
        <v>689.8</v>
      </c>
      <c r="C944" s="116">
        <v>682.6</v>
      </c>
      <c r="D944" s="116">
        <v>678.5</v>
      </c>
      <c r="E944" s="116">
        <v>689.8</v>
      </c>
      <c r="F944" s="116">
        <v>682.6</v>
      </c>
      <c r="G944">
        <v>821154</v>
      </c>
      <c r="H944" s="116"/>
      <c r="I944" s="116"/>
      <c r="L944" s="170">
        <v>43392</v>
      </c>
      <c r="M944" s="116">
        <v>683.55</v>
      </c>
      <c r="N944" s="116">
        <v>687.7</v>
      </c>
      <c r="O944" s="116">
        <v>678</v>
      </c>
      <c r="P944" s="116">
        <v>687</v>
      </c>
      <c r="Q944" s="116">
        <v>683.55</v>
      </c>
      <c r="R944">
        <v>10421001</v>
      </c>
    </row>
    <row r="945" spans="1:18" x14ac:dyDescent="0.25">
      <c r="A945" s="170">
        <v>43395</v>
      </c>
      <c r="B945" s="116">
        <v>705</v>
      </c>
      <c r="C945" s="116">
        <v>678.25</v>
      </c>
      <c r="D945" s="116">
        <v>674.1</v>
      </c>
      <c r="E945" s="116">
        <v>691</v>
      </c>
      <c r="F945" s="116">
        <v>678.25</v>
      </c>
      <c r="G945">
        <v>462086</v>
      </c>
      <c r="H945" s="116"/>
      <c r="I945" s="116"/>
      <c r="L945" s="170">
        <v>43395</v>
      </c>
      <c r="M945" s="116">
        <v>679.95</v>
      </c>
      <c r="N945" s="116">
        <v>695.05</v>
      </c>
      <c r="O945" s="116">
        <v>673.8</v>
      </c>
      <c r="P945" s="116">
        <v>688.7</v>
      </c>
      <c r="Q945" s="116">
        <v>679.95</v>
      </c>
      <c r="R945">
        <v>6672840</v>
      </c>
    </row>
    <row r="946" spans="1:18" x14ac:dyDescent="0.25">
      <c r="A946" s="170">
        <v>43396</v>
      </c>
      <c r="B946" s="116">
        <v>681.65</v>
      </c>
      <c r="C946" s="116">
        <v>657.85</v>
      </c>
      <c r="D946" s="116">
        <v>654.65</v>
      </c>
      <c r="E946" s="116">
        <v>679</v>
      </c>
      <c r="F946" s="116">
        <v>657.85</v>
      </c>
      <c r="G946">
        <v>533828</v>
      </c>
      <c r="H946" s="116"/>
      <c r="I946" s="116"/>
      <c r="L946" s="170">
        <v>43396</v>
      </c>
      <c r="M946" s="116">
        <v>657.6</v>
      </c>
      <c r="N946" s="116">
        <v>682</v>
      </c>
      <c r="O946" s="116">
        <v>653.29999999999995</v>
      </c>
      <c r="P946" s="116">
        <v>675.95</v>
      </c>
      <c r="Q946" s="116">
        <v>657.6</v>
      </c>
      <c r="R946">
        <v>9041701</v>
      </c>
    </row>
    <row r="947" spans="1:18" x14ac:dyDescent="0.25">
      <c r="A947" s="170">
        <v>43397</v>
      </c>
      <c r="B947" s="116">
        <v>666.45</v>
      </c>
      <c r="C947" s="116">
        <v>650.15</v>
      </c>
      <c r="D947" s="116">
        <v>647.9</v>
      </c>
      <c r="E947" s="116">
        <v>663.05</v>
      </c>
      <c r="F947" s="116">
        <v>650.15</v>
      </c>
      <c r="G947">
        <v>1825795</v>
      </c>
      <c r="H947" s="116"/>
      <c r="I947" s="116"/>
      <c r="L947" s="170">
        <v>43397</v>
      </c>
      <c r="M947" s="116">
        <v>649.79999999999995</v>
      </c>
      <c r="N947" s="116">
        <v>666.5</v>
      </c>
      <c r="O947" s="116">
        <v>647.15</v>
      </c>
      <c r="P947" s="116">
        <v>663</v>
      </c>
      <c r="Q947" s="116">
        <v>649.79999999999995</v>
      </c>
      <c r="R947">
        <v>7058164</v>
      </c>
    </row>
    <row r="948" spans="1:18" x14ac:dyDescent="0.25">
      <c r="A948" s="170">
        <v>43398</v>
      </c>
      <c r="B948" s="116">
        <v>655.75</v>
      </c>
      <c r="C948" s="116">
        <v>649.29999999999995</v>
      </c>
      <c r="D948" s="116">
        <v>636.04999999999995</v>
      </c>
      <c r="E948" s="116">
        <v>643</v>
      </c>
      <c r="F948" s="116">
        <v>649.29999999999995</v>
      </c>
      <c r="G948">
        <v>373386</v>
      </c>
      <c r="H948" s="116"/>
      <c r="I948" s="116"/>
      <c r="L948" s="170">
        <v>43398</v>
      </c>
      <c r="M948" s="116">
        <v>648.75</v>
      </c>
      <c r="N948" s="116">
        <v>656.35</v>
      </c>
      <c r="O948" s="116">
        <v>636.25</v>
      </c>
      <c r="P948" s="116">
        <v>643</v>
      </c>
      <c r="Q948" s="116">
        <v>648.75</v>
      </c>
      <c r="R948">
        <v>8270469</v>
      </c>
    </row>
    <row r="949" spans="1:18" x14ac:dyDescent="0.25">
      <c r="A949" s="170">
        <v>43399</v>
      </c>
      <c r="B949" s="116">
        <v>649.85</v>
      </c>
      <c r="C949" s="116">
        <v>633.5</v>
      </c>
      <c r="D949" s="116">
        <v>630</v>
      </c>
      <c r="E949" s="116">
        <v>645.1</v>
      </c>
      <c r="F949" s="116">
        <v>633.5</v>
      </c>
      <c r="G949">
        <v>397563</v>
      </c>
      <c r="H949" s="116"/>
      <c r="I949" s="116"/>
      <c r="L949" s="170">
        <v>43399</v>
      </c>
      <c r="M949" s="116">
        <v>633.6</v>
      </c>
      <c r="N949" s="116">
        <v>648.70000000000005</v>
      </c>
      <c r="O949" s="116">
        <v>629.9</v>
      </c>
      <c r="P949" s="116">
        <v>645.29999999999995</v>
      </c>
      <c r="Q949" s="116">
        <v>633.6</v>
      </c>
      <c r="R949">
        <v>5464141</v>
      </c>
    </row>
    <row r="950" spans="1:18" x14ac:dyDescent="0.25">
      <c r="A950" s="170">
        <v>43402</v>
      </c>
      <c r="B950" s="116">
        <v>650</v>
      </c>
      <c r="C950" s="116">
        <v>643.79999999999995</v>
      </c>
      <c r="D950" s="116">
        <v>631.70000000000005</v>
      </c>
      <c r="E950" s="116">
        <v>633</v>
      </c>
      <c r="F950" s="116">
        <v>643.79999999999995</v>
      </c>
      <c r="G950">
        <v>478683</v>
      </c>
      <c r="H950" s="116"/>
      <c r="I950" s="116"/>
      <c r="L950" s="170">
        <v>43402</v>
      </c>
      <c r="M950" s="116">
        <v>644.75</v>
      </c>
      <c r="N950" s="116">
        <v>650.54999999999995</v>
      </c>
      <c r="O950" s="116">
        <v>631.5</v>
      </c>
      <c r="P950" s="116">
        <v>633.70000000000005</v>
      </c>
      <c r="Q950" s="116">
        <v>644.75</v>
      </c>
      <c r="R950">
        <v>7137446</v>
      </c>
    </row>
    <row r="951" spans="1:18" x14ac:dyDescent="0.25">
      <c r="A951" s="170">
        <v>43403</v>
      </c>
      <c r="B951" s="116">
        <v>663</v>
      </c>
      <c r="C951" s="116">
        <v>659.75</v>
      </c>
      <c r="D951" s="116">
        <v>638</v>
      </c>
      <c r="E951" s="116">
        <v>640</v>
      </c>
      <c r="F951" s="116">
        <v>659.75</v>
      </c>
      <c r="G951">
        <v>415852</v>
      </c>
      <c r="H951" s="116"/>
      <c r="I951" s="116"/>
      <c r="L951" s="170">
        <v>43403</v>
      </c>
      <c r="M951" s="116">
        <v>659.6</v>
      </c>
      <c r="N951" s="116">
        <v>663.8</v>
      </c>
      <c r="O951" s="116">
        <v>637.45000000000005</v>
      </c>
      <c r="P951" s="116">
        <v>641.1</v>
      </c>
      <c r="Q951" s="116">
        <v>659.6</v>
      </c>
      <c r="R951">
        <v>8793411</v>
      </c>
    </row>
    <row r="952" spans="1:18" x14ac:dyDescent="0.25">
      <c r="A952" s="170">
        <v>43404</v>
      </c>
      <c r="B952" s="116">
        <v>693.15</v>
      </c>
      <c r="C952" s="116">
        <v>686.25</v>
      </c>
      <c r="D952" s="116">
        <v>662.05</v>
      </c>
      <c r="E952" s="116">
        <v>665</v>
      </c>
      <c r="F952" s="116">
        <v>686.25</v>
      </c>
      <c r="G952">
        <v>582754</v>
      </c>
      <c r="H952" s="116"/>
      <c r="I952" s="116"/>
      <c r="L952" s="170">
        <v>43404</v>
      </c>
      <c r="M952" s="116">
        <v>686.4</v>
      </c>
      <c r="N952" s="116">
        <v>692.95</v>
      </c>
      <c r="O952" s="116">
        <v>663.05</v>
      </c>
      <c r="P952" s="116">
        <v>663.9</v>
      </c>
      <c r="Q952" s="116">
        <v>686.4</v>
      </c>
      <c r="R952">
        <v>11947995</v>
      </c>
    </row>
    <row r="953" spans="1:18" x14ac:dyDescent="0.25">
      <c r="A953" s="170">
        <v>43405</v>
      </c>
      <c r="B953" s="116">
        <v>693.9</v>
      </c>
      <c r="C953" s="116">
        <v>666.35</v>
      </c>
      <c r="D953" s="116">
        <v>660.1</v>
      </c>
      <c r="E953" s="116">
        <v>693.9</v>
      </c>
      <c r="F953" s="116">
        <v>666.35</v>
      </c>
      <c r="G953">
        <v>349193</v>
      </c>
      <c r="H953" s="116"/>
      <c r="I953" s="116"/>
      <c r="L953" s="170">
        <v>43405</v>
      </c>
      <c r="M953" s="116">
        <v>666.7</v>
      </c>
      <c r="N953" s="116">
        <v>689.7</v>
      </c>
      <c r="O953" s="116">
        <v>659.6</v>
      </c>
      <c r="P953" s="116">
        <v>689.7</v>
      </c>
      <c r="Q953" s="116">
        <v>666.7</v>
      </c>
      <c r="R953">
        <v>5860244</v>
      </c>
    </row>
    <row r="954" spans="1:18" x14ac:dyDescent="0.25">
      <c r="A954" s="170">
        <v>43406</v>
      </c>
      <c r="B954" s="116">
        <v>675.3</v>
      </c>
      <c r="C954" s="116">
        <v>662.05</v>
      </c>
      <c r="D954" s="116">
        <v>660.5</v>
      </c>
      <c r="E954" s="116">
        <v>668.1</v>
      </c>
      <c r="F954" s="116">
        <v>662.05</v>
      </c>
      <c r="G954">
        <v>533579</v>
      </c>
      <c r="H954" s="116"/>
      <c r="I954" s="116"/>
      <c r="L954" s="170">
        <v>43406</v>
      </c>
      <c r="M954" s="116">
        <v>662.25</v>
      </c>
      <c r="N954" s="116">
        <v>675.8</v>
      </c>
      <c r="O954" s="116">
        <v>660.1</v>
      </c>
      <c r="P954" s="116">
        <v>665.95</v>
      </c>
      <c r="Q954" s="116">
        <v>662.25</v>
      </c>
      <c r="R954">
        <v>6654067</v>
      </c>
    </row>
    <row r="955" spans="1:18" x14ac:dyDescent="0.25">
      <c r="A955" s="170">
        <v>43409</v>
      </c>
      <c r="B955" s="116">
        <v>666.9</v>
      </c>
      <c r="C955" s="116">
        <v>662.75</v>
      </c>
      <c r="D955" s="116">
        <v>657.05</v>
      </c>
      <c r="E955" s="116">
        <v>663</v>
      </c>
      <c r="F955" s="116">
        <v>662.75</v>
      </c>
      <c r="G955">
        <v>372745</v>
      </c>
      <c r="H955" s="116"/>
      <c r="I955" s="116"/>
      <c r="L955" s="170">
        <v>43409</v>
      </c>
      <c r="M955" s="116">
        <v>666</v>
      </c>
      <c r="N955" s="116">
        <v>668.6</v>
      </c>
      <c r="O955" s="116">
        <v>657</v>
      </c>
      <c r="P955" s="116">
        <v>663.5</v>
      </c>
      <c r="Q955" s="116">
        <v>666</v>
      </c>
      <c r="R955">
        <v>5799426</v>
      </c>
    </row>
    <row r="956" spans="1:18" x14ac:dyDescent="0.25">
      <c r="A956" s="170">
        <v>43410</v>
      </c>
      <c r="B956" s="116">
        <v>675.1</v>
      </c>
      <c r="C956" s="116">
        <v>666.8</v>
      </c>
      <c r="D956" s="116">
        <v>662.1</v>
      </c>
      <c r="E956" s="116">
        <v>669</v>
      </c>
      <c r="F956" s="116">
        <v>666.8</v>
      </c>
      <c r="G956">
        <v>785263</v>
      </c>
      <c r="H956" s="116"/>
      <c r="I956" s="116"/>
      <c r="L956" s="170">
        <v>43410</v>
      </c>
      <c r="M956" s="116">
        <v>666.45</v>
      </c>
      <c r="N956" s="116">
        <v>675</v>
      </c>
      <c r="O956" s="116">
        <v>660.65</v>
      </c>
      <c r="P956" s="116">
        <v>667.9</v>
      </c>
      <c r="Q956" s="116">
        <v>666.45</v>
      </c>
      <c r="R956">
        <v>6975525</v>
      </c>
    </row>
    <row r="957" spans="1:18" x14ac:dyDescent="0.25">
      <c r="A957" s="170">
        <v>43411</v>
      </c>
      <c r="B957" s="116">
        <v>678</v>
      </c>
      <c r="C957" s="116">
        <v>676</v>
      </c>
      <c r="D957" s="116">
        <v>671.75</v>
      </c>
      <c r="E957" s="116">
        <v>674.45</v>
      </c>
      <c r="F957" s="116">
        <v>676</v>
      </c>
      <c r="G957">
        <v>84376</v>
      </c>
      <c r="H957" s="116"/>
      <c r="I957" s="116"/>
      <c r="L957" s="170">
        <v>43411</v>
      </c>
      <c r="M957" s="116">
        <v>675.5</v>
      </c>
      <c r="N957" s="116">
        <v>677.5</v>
      </c>
      <c r="O957" s="116">
        <v>672</v>
      </c>
      <c r="P957" s="116">
        <v>673</v>
      </c>
      <c r="Q957" s="116">
        <v>675.5</v>
      </c>
      <c r="R957">
        <v>758956</v>
      </c>
    </row>
    <row r="958" spans="1:18" x14ac:dyDescent="0.25">
      <c r="A958" s="170">
        <v>43413</v>
      </c>
      <c r="B958" s="116">
        <v>679.45</v>
      </c>
      <c r="C958" s="116">
        <v>661.45</v>
      </c>
      <c r="D958" s="116">
        <v>657.4</v>
      </c>
      <c r="E958" s="116">
        <v>677.2</v>
      </c>
      <c r="F958" s="116">
        <v>661.45</v>
      </c>
      <c r="G958">
        <v>394045</v>
      </c>
      <c r="H958" s="116"/>
      <c r="I958" s="116"/>
      <c r="L958" s="170">
        <v>43413</v>
      </c>
      <c r="M958" s="116">
        <v>659.5</v>
      </c>
      <c r="N958" s="116">
        <v>679</v>
      </c>
      <c r="O958" s="116">
        <v>655.5</v>
      </c>
      <c r="P958" s="116">
        <v>679</v>
      </c>
      <c r="Q958" s="116">
        <v>659.5</v>
      </c>
      <c r="R958">
        <v>9694143</v>
      </c>
    </row>
    <row r="959" spans="1:18" x14ac:dyDescent="0.25">
      <c r="A959" s="170">
        <v>43416</v>
      </c>
      <c r="B959" s="116">
        <v>676.4</v>
      </c>
      <c r="C959" s="116">
        <v>664.45</v>
      </c>
      <c r="D959" s="116">
        <v>662.55</v>
      </c>
      <c r="E959" s="116">
        <v>666</v>
      </c>
      <c r="F959" s="116">
        <v>664.45</v>
      </c>
      <c r="G959">
        <v>308091</v>
      </c>
      <c r="H959" s="116"/>
      <c r="I959" s="116"/>
      <c r="L959" s="170">
        <v>43416</v>
      </c>
      <c r="M959" s="116">
        <v>664.2</v>
      </c>
      <c r="N959" s="116">
        <v>676.4</v>
      </c>
      <c r="O959" s="116">
        <v>662.3</v>
      </c>
      <c r="P959" s="116">
        <v>666</v>
      </c>
      <c r="Q959" s="116">
        <v>664.2</v>
      </c>
      <c r="R959">
        <v>7118080</v>
      </c>
    </row>
    <row r="960" spans="1:18" x14ac:dyDescent="0.25">
      <c r="A960" s="170">
        <v>43417</v>
      </c>
      <c r="B960" s="116">
        <v>667.7</v>
      </c>
      <c r="C960" s="116">
        <v>665.7</v>
      </c>
      <c r="D960" s="116">
        <v>656.95</v>
      </c>
      <c r="E960" s="116">
        <v>666</v>
      </c>
      <c r="F960" s="116">
        <v>665.7</v>
      </c>
      <c r="G960">
        <v>171252</v>
      </c>
      <c r="H960" s="116"/>
      <c r="I960" s="116"/>
      <c r="L960" s="170">
        <v>43417</v>
      </c>
      <c r="M960" s="116">
        <v>665.7</v>
      </c>
      <c r="N960" s="116">
        <v>667.75</v>
      </c>
      <c r="O960" s="116">
        <v>656.3</v>
      </c>
      <c r="P960" s="116">
        <v>663.5</v>
      </c>
      <c r="Q960" s="116">
        <v>665.7</v>
      </c>
      <c r="R960">
        <v>4137808</v>
      </c>
    </row>
    <row r="961" spans="1:18" x14ac:dyDescent="0.25">
      <c r="A961" s="170">
        <v>43418</v>
      </c>
      <c r="B961" s="116">
        <v>669</v>
      </c>
      <c r="C961" s="116">
        <v>653.45000000000005</v>
      </c>
      <c r="D961" s="116">
        <v>640.25</v>
      </c>
      <c r="E961" s="116">
        <v>669</v>
      </c>
      <c r="F961" s="116">
        <v>653.45000000000005</v>
      </c>
      <c r="G961">
        <v>1119117</v>
      </c>
      <c r="H961" s="116"/>
      <c r="I961" s="116"/>
      <c r="L961" s="170">
        <v>43418</v>
      </c>
      <c r="M961" s="116">
        <v>653.20000000000005</v>
      </c>
      <c r="N961" s="116">
        <v>665.7</v>
      </c>
      <c r="O961" s="116">
        <v>640.5</v>
      </c>
      <c r="P961" s="116">
        <v>665.7</v>
      </c>
      <c r="Q961" s="116">
        <v>653.20000000000005</v>
      </c>
      <c r="R961">
        <v>7323026</v>
      </c>
    </row>
    <row r="962" spans="1:18" x14ac:dyDescent="0.25">
      <c r="A962" s="170">
        <v>43419</v>
      </c>
      <c r="B962" s="116">
        <v>665.95</v>
      </c>
      <c r="C962" s="116">
        <v>656.35</v>
      </c>
      <c r="D962" s="116">
        <v>647.25</v>
      </c>
      <c r="E962" s="116">
        <v>653.45000000000005</v>
      </c>
      <c r="F962" s="116">
        <v>656.35</v>
      </c>
      <c r="G962">
        <v>920461</v>
      </c>
      <c r="H962" s="116"/>
      <c r="I962" s="116"/>
      <c r="L962" s="170">
        <v>43419</v>
      </c>
      <c r="M962" s="116">
        <v>656.4</v>
      </c>
      <c r="N962" s="116">
        <v>666</v>
      </c>
      <c r="O962" s="116">
        <v>646.70000000000005</v>
      </c>
      <c r="P962" s="116">
        <v>654</v>
      </c>
      <c r="Q962" s="116">
        <v>656.4</v>
      </c>
      <c r="R962">
        <v>5513390</v>
      </c>
    </row>
    <row r="963" spans="1:18" x14ac:dyDescent="0.25">
      <c r="A963" s="170">
        <v>43420</v>
      </c>
      <c r="B963" s="116">
        <v>664</v>
      </c>
      <c r="C963" s="116">
        <v>650.45000000000005</v>
      </c>
      <c r="D963" s="116">
        <v>644.4</v>
      </c>
      <c r="E963" s="116">
        <v>664</v>
      </c>
      <c r="F963" s="116">
        <v>650.45000000000005</v>
      </c>
      <c r="G963">
        <v>851972</v>
      </c>
      <c r="H963" s="116"/>
      <c r="I963" s="116"/>
      <c r="L963" s="170">
        <v>43420</v>
      </c>
      <c r="M963" s="116">
        <v>650.85</v>
      </c>
      <c r="N963" s="116">
        <v>662.5</v>
      </c>
      <c r="O963" s="116">
        <v>644.20000000000005</v>
      </c>
      <c r="P963" s="116">
        <v>659.9</v>
      </c>
      <c r="Q963" s="116">
        <v>650.85</v>
      </c>
      <c r="R963">
        <v>8583785</v>
      </c>
    </row>
    <row r="964" spans="1:18" x14ac:dyDescent="0.25">
      <c r="A964" s="170">
        <v>43423</v>
      </c>
      <c r="B964" s="116">
        <v>662</v>
      </c>
      <c r="C964" s="116">
        <v>651.79999999999995</v>
      </c>
      <c r="D964" s="116">
        <v>649.4</v>
      </c>
      <c r="E964" s="116">
        <v>655</v>
      </c>
      <c r="F964" s="116">
        <v>651.79999999999995</v>
      </c>
      <c r="G964">
        <v>436161</v>
      </c>
      <c r="H964" s="116"/>
      <c r="I964" s="116"/>
      <c r="L964" s="170">
        <v>43423</v>
      </c>
      <c r="M964" s="116">
        <v>651.70000000000005</v>
      </c>
      <c r="N964" s="116">
        <v>662</v>
      </c>
      <c r="O964" s="116">
        <v>649.25</v>
      </c>
      <c r="P964" s="116">
        <v>659</v>
      </c>
      <c r="Q964" s="116">
        <v>651.70000000000005</v>
      </c>
      <c r="R964">
        <v>6018930</v>
      </c>
    </row>
    <row r="965" spans="1:18" x14ac:dyDescent="0.25">
      <c r="A965" s="170">
        <v>43424</v>
      </c>
      <c r="B965" s="116">
        <v>655</v>
      </c>
      <c r="C965" s="116">
        <v>641.1</v>
      </c>
      <c r="D965" s="116">
        <v>639.65</v>
      </c>
      <c r="E965" s="116">
        <v>648.54999999999995</v>
      </c>
      <c r="F965" s="116">
        <v>641.1</v>
      </c>
      <c r="G965">
        <v>290896</v>
      </c>
      <c r="H965" s="116"/>
      <c r="I965" s="116"/>
      <c r="L965" s="170">
        <v>43424</v>
      </c>
      <c r="M965" s="116">
        <v>641.4</v>
      </c>
      <c r="N965" s="116">
        <v>656</v>
      </c>
      <c r="O965" s="116">
        <v>640.1</v>
      </c>
      <c r="P965" s="116">
        <v>651.70000000000005</v>
      </c>
      <c r="Q965" s="116">
        <v>641.4</v>
      </c>
      <c r="R965">
        <v>5384830</v>
      </c>
    </row>
    <row r="966" spans="1:18" x14ac:dyDescent="0.25">
      <c r="A966" s="170">
        <v>43425</v>
      </c>
      <c r="B966" s="116">
        <v>642.04999999999995</v>
      </c>
      <c r="C966" s="116">
        <v>620.95000000000005</v>
      </c>
      <c r="D966" s="116">
        <v>612.20000000000005</v>
      </c>
      <c r="E966" s="116">
        <v>642</v>
      </c>
      <c r="F966" s="116">
        <v>620.95000000000005</v>
      </c>
      <c r="G966">
        <v>1687076</v>
      </c>
      <c r="H966" s="116"/>
      <c r="I966" s="116"/>
      <c r="L966" s="170">
        <v>43425</v>
      </c>
      <c r="M966" s="116">
        <v>619.1</v>
      </c>
      <c r="N966" s="116">
        <v>640.04999999999995</v>
      </c>
      <c r="O966" s="116">
        <v>612.1</v>
      </c>
      <c r="P966" s="116">
        <v>640</v>
      </c>
      <c r="Q966" s="116">
        <v>619.1</v>
      </c>
      <c r="R966">
        <v>14359086</v>
      </c>
    </row>
    <row r="967" spans="1:18" x14ac:dyDescent="0.25">
      <c r="A967" s="170">
        <v>43426</v>
      </c>
      <c r="B967" s="116">
        <v>628.5</v>
      </c>
      <c r="C967" s="116">
        <v>620.45000000000005</v>
      </c>
      <c r="D967" s="116">
        <v>617.65</v>
      </c>
      <c r="E967" s="116">
        <v>623.9</v>
      </c>
      <c r="F967" s="116">
        <v>620.45000000000005</v>
      </c>
      <c r="G967">
        <v>477899</v>
      </c>
      <c r="H967" s="116"/>
      <c r="I967" s="116"/>
      <c r="L967" s="170">
        <v>43426</v>
      </c>
      <c r="M967" s="116">
        <v>620.75</v>
      </c>
      <c r="N967" s="116">
        <v>628.15</v>
      </c>
      <c r="O967" s="116">
        <v>616.75</v>
      </c>
      <c r="P967" s="116">
        <v>622.25</v>
      </c>
      <c r="Q967" s="116">
        <v>620.75</v>
      </c>
      <c r="R967">
        <v>6632975</v>
      </c>
    </row>
    <row r="968" spans="1:18" x14ac:dyDescent="0.25">
      <c r="A968" s="170">
        <v>43430</v>
      </c>
      <c r="B968" s="116">
        <v>627.75</v>
      </c>
      <c r="C968" s="116">
        <v>621.29999999999995</v>
      </c>
      <c r="D968" s="116">
        <v>600.65</v>
      </c>
      <c r="E968" s="116">
        <v>623.5</v>
      </c>
      <c r="F968" s="116">
        <v>621.29999999999995</v>
      </c>
      <c r="G968">
        <v>628314</v>
      </c>
      <c r="H968" s="116"/>
      <c r="I968" s="116"/>
      <c r="L968" s="170">
        <v>43430</v>
      </c>
      <c r="M968" s="116">
        <v>621.45000000000005</v>
      </c>
      <c r="N968" s="116">
        <v>628</v>
      </c>
      <c r="O968" s="116">
        <v>599.85</v>
      </c>
      <c r="P968" s="116">
        <v>621</v>
      </c>
      <c r="Q968" s="116">
        <v>621.45000000000005</v>
      </c>
      <c r="R968">
        <v>15075209</v>
      </c>
    </row>
    <row r="969" spans="1:18" x14ac:dyDescent="0.25">
      <c r="A969" s="170">
        <v>43431</v>
      </c>
      <c r="B969" s="116">
        <v>640</v>
      </c>
      <c r="C969" s="116">
        <v>637</v>
      </c>
      <c r="D969" s="116">
        <v>625.54999999999995</v>
      </c>
      <c r="E969" s="116">
        <v>627</v>
      </c>
      <c r="F969" s="116">
        <v>637</v>
      </c>
      <c r="G969">
        <v>773589</v>
      </c>
      <c r="H969" s="116"/>
      <c r="I969" s="116"/>
      <c r="L969" s="170">
        <v>43431</v>
      </c>
      <c r="M969" s="116">
        <v>638.9</v>
      </c>
      <c r="N969" s="116">
        <v>641</v>
      </c>
      <c r="O969" s="116">
        <v>625.29999999999995</v>
      </c>
      <c r="P969" s="116">
        <v>625.5</v>
      </c>
      <c r="Q969" s="116">
        <v>638.9</v>
      </c>
      <c r="R969">
        <v>12285851</v>
      </c>
    </row>
    <row r="970" spans="1:18" x14ac:dyDescent="0.25">
      <c r="A970" s="170">
        <v>43432</v>
      </c>
      <c r="B970" s="116">
        <v>668.25</v>
      </c>
      <c r="C970" s="116">
        <v>666.35</v>
      </c>
      <c r="D970" s="116">
        <v>640.1</v>
      </c>
      <c r="E970" s="116">
        <v>643</v>
      </c>
      <c r="F970" s="116">
        <v>666.35</v>
      </c>
      <c r="G970">
        <v>1150990</v>
      </c>
      <c r="H970" s="116"/>
      <c r="I970" s="116"/>
      <c r="L970" s="170">
        <v>43432</v>
      </c>
      <c r="M970" s="116">
        <v>666.4</v>
      </c>
      <c r="N970" s="116">
        <v>668.7</v>
      </c>
      <c r="O970" s="116">
        <v>640</v>
      </c>
      <c r="P970" s="116">
        <v>640.95000000000005</v>
      </c>
      <c r="Q970" s="116">
        <v>666.4</v>
      </c>
      <c r="R970">
        <v>17719890</v>
      </c>
    </row>
    <row r="971" spans="1:18" x14ac:dyDescent="0.25">
      <c r="A971" s="170">
        <v>43433</v>
      </c>
      <c r="B971" s="116">
        <v>675</v>
      </c>
      <c r="C971" s="116">
        <v>659.6</v>
      </c>
      <c r="D971" s="116">
        <v>659</v>
      </c>
      <c r="E971" s="116">
        <v>672</v>
      </c>
      <c r="F971" s="116">
        <v>659.6</v>
      </c>
      <c r="G971">
        <v>1489912</v>
      </c>
      <c r="H971" s="116"/>
      <c r="I971" s="116"/>
      <c r="L971" s="170">
        <v>43433</v>
      </c>
      <c r="M971" s="116">
        <v>661.05</v>
      </c>
      <c r="N971" s="116">
        <v>674.9</v>
      </c>
      <c r="O971" s="116">
        <v>658.8</v>
      </c>
      <c r="P971" s="116">
        <v>671</v>
      </c>
      <c r="Q971" s="116">
        <v>661.05</v>
      </c>
      <c r="R971">
        <v>13399070</v>
      </c>
    </row>
    <row r="972" spans="1:18" x14ac:dyDescent="0.25">
      <c r="A972" s="170">
        <v>43434</v>
      </c>
      <c r="B972" s="116">
        <v>671.95</v>
      </c>
      <c r="C972" s="116">
        <v>666.5</v>
      </c>
      <c r="D972" s="116">
        <v>661</v>
      </c>
      <c r="E972" s="116">
        <v>663</v>
      </c>
      <c r="F972" s="116">
        <v>666.5</v>
      </c>
      <c r="G972">
        <v>504992</v>
      </c>
      <c r="H972" s="116"/>
      <c r="I972" s="116"/>
      <c r="L972" s="170">
        <v>43434</v>
      </c>
      <c r="M972" s="116">
        <v>667.45</v>
      </c>
      <c r="N972" s="116">
        <v>672</v>
      </c>
      <c r="O972" s="116">
        <v>660.95</v>
      </c>
      <c r="P972" s="116">
        <v>661</v>
      </c>
      <c r="Q972" s="116">
        <v>667.45</v>
      </c>
      <c r="R972">
        <v>10445773</v>
      </c>
    </row>
    <row r="973" spans="1:18" x14ac:dyDescent="0.25">
      <c r="A973" s="170">
        <v>43437</v>
      </c>
      <c r="B973" s="116">
        <v>678.5</v>
      </c>
      <c r="C973" s="116">
        <v>669.85</v>
      </c>
      <c r="D973" s="116">
        <v>666.3</v>
      </c>
      <c r="E973" s="116">
        <v>670.5</v>
      </c>
      <c r="F973" s="116">
        <v>669.85</v>
      </c>
      <c r="G973">
        <v>463557</v>
      </c>
      <c r="H973" s="116"/>
      <c r="I973" s="116"/>
      <c r="L973" s="170">
        <v>43437</v>
      </c>
      <c r="M973" s="116">
        <v>670.35</v>
      </c>
      <c r="N973" s="116">
        <v>679</v>
      </c>
      <c r="O973" s="116">
        <v>665.95</v>
      </c>
      <c r="P973" s="116">
        <v>673.15</v>
      </c>
      <c r="Q973" s="116">
        <v>670.35</v>
      </c>
      <c r="R973">
        <v>8260890</v>
      </c>
    </row>
    <row r="974" spans="1:18" x14ac:dyDescent="0.25">
      <c r="A974" s="170">
        <v>43438</v>
      </c>
      <c r="B974" s="116">
        <v>688.4</v>
      </c>
      <c r="C974" s="116">
        <v>684.45</v>
      </c>
      <c r="D974" s="116">
        <v>671.4</v>
      </c>
      <c r="E974" s="116">
        <v>673.9</v>
      </c>
      <c r="F974" s="116">
        <v>684.45</v>
      </c>
      <c r="G974">
        <v>463485</v>
      </c>
      <c r="H974" s="116"/>
      <c r="I974" s="116"/>
      <c r="L974" s="170">
        <v>43438</v>
      </c>
      <c r="M974" s="116">
        <v>685.25</v>
      </c>
      <c r="N974" s="116">
        <v>688.25</v>
      </c>
      <c r="O974" s="116">
        <v>671.3</v>
      </c>
      <c r="P974" s="116">
        <v>672.55</v>
      </c>
      <c r="Q974" s="116">
        <v>685.25</v>
      </c>
      <c r="R974">
        <v>7827923</v>
      </c>
    </row>
    <row r="975" spans="1:18" x14ac:dyDescent="0.25">
      <c r="A975" s="170">
        <v>43439</v>
      </c>
      <c r="B975" s="116">
        <v>684</v>
      </c>
      <c r="C975" s="116">
        <v>681.45</v>
      </c>
      <c r="D975" s="116">
        <v>673.2</v>
      </c>
      <c r="E975" s="116">
        <v>682.2</v>
      </c>
      <c r="F975" s="116">
        <v>681.45</v>
      </c>
      <c r="G975">
        <v>494434</v>
      </c>
      <c r="H975" s="116"/>
      <c r="I975" s="116"/>
      <c r="L975" s="170">
        <v>43439</v>
      </c>
      <c r="M975" s="116">
        <v>681.4</v>
      </c>
      <c r="N975" s="116">
        <v>683.65</v>
      </c>
      <c r="O975" s="116">
        <v>672.5</v>
      </c>
      <c r="P975" s="116">
        <v>683</v>
      </c>
      <c r="Q975" s="116">
        <v>681.4</v>
      </c>
      <c r="R975">
        <v>5177288</v>
      </c>
    </row>
    <row r="976" spans="1:18" x14ac:dyDescent="0.25">
      <c r="A976" s="170">
        <v>43440</v>
      </c>
      <c r="B976" s="116">
        <v>685.2</v>
      </c>
      <c r="C976" s="116">
        <v>668.2</v>
      </c>
      <c r="D976" s="116">
        <v>664.5</v>
      </c>
      <c r="E976" s="116">
        <v>675.3</v>
      </c>
      <c r="F976" s="116">
        <v>668.2</v>
      </c>
      <c r="G976">
        <v>598535</v>
      </c>
      <c r="H976" s="116"/>
      <c r="I976" s="116"/>
      <c r="L976" s="170">
        <v>43440</v>
      </c>
      <c r="M976" s="116">
        <v>668.5</v>
      </c>
      <c r="N976" s="116">
        <v>685.45</v>
      </c>
      <c r="O976" s="116">
        <v>664.55</v>
      </c>
      <c r="P976" s="116">
        <v>676.1</v>
      </c>
      <c r="Q976" s="116">
        <v>668.5</v>
      </c>
      <c r="R976">
        <v>8039771</v>
      </c>
    </row>
    <row r="977" spans="1:18" x14ac:dyDescent="0.25">
      <c r="A977" s="170">
        <v>43441</v>
      </c>
      <c r="B977" s="116">
        <v>685</v>
      </c>
      <c r="C977" s="116">
        <v>681.05</v>
      </c>
      <c r="D977" s="116">
        <v>666.5</v>
      </c>
      <c r="E977" s="116">
        <v>670.5</v>
      </c>
      <c r="F977" s="116">
        <v>681.05</v>
      </c>
      <c r="G977">
        <v>468211</v>
      </c>
      <c r="H977" s="116"/>
      <c r="I977" s="116"/>
      <c r="L977" s="170">
        <v>43441</v>
      </c>
      <c r="M977" s="116">
        <v>682.8</v>
      </c>
      <c r="N977" s="116">
        <v>685.75</v>
      </c>
      <c r="O977" s="116">
        <v>665.6</v>
      </c>
      <c r="P977" s="116">
        <v>672</v>
      </c>
      <c r="Q977" s="116">
        <v>682.8</v>
      </c>
      <c r="R977">
        <v>5553948</v>
      </c>
    </row>
    <row r="978" spans="1:18" x14ac:dyDescent="0.25">
      <c r="A978" s="170">
        <v>43444</v>
      </c>
      <c r="B978" s="116">
        <v>683.05</v>
      </c>
      <c r="C978" s="116">
        <v>667.8</v>
      </c>
      <c r="D978" s="116">
        <v>665.7</v>
      </c>
      <c r="E978" s="116">
        <v>678</v>
      </c>
      <c r="F978" s="116">
        <v>667.8</v>
      </c>
      <c r="G978">
        <v>302526</v>
      </c>
      <c r="H978" s="116"/>
      <c r="I978" s="116"/>
      <c r="L978" s="170">
        <v>43444</v>
      </c>
      <c r="M978" s="116">
        <v>669.2</v>
      </c>
      <c r="N978" s="116">
        <v>683.8</v>
      </c>
      <c r="O978" s="116">
        <v>665.2</v>
      </c>
      <c r="P978" s="116">
        <v>669.9</v>
      </c>
      <c r="Q978" s="116">
        <v>669.2</v>
      </c>
      <c r="R978">
        <v>5121196</v>
      </c>
    </row>
    <row r="979" spans="1:18" x14ac:dyDescent="0.25">
      <c r="A979" s="170">
        <v>43445</v>
      </c>
      <c r="B979" s="116">
        <v>681.2</v>
      </c>
      <c r="C979" s="116">
        <v>674.25</v>
      </c>
      <c r="D979" s="116">
        <v>660.95</v>
      </c>
      <c r="E979" s="116">
        <v>665.15</v>
      </c>
      <c r="F979" s="116">
        <v>674.25</v>
      </c>
      <c r="G979">
        <v>398365</v>
      </c>
      <c r="H979" s="116"/>
      <c r="I979" s="116"/>
      <c r="L979" s="170">
        <v>43445</v>
      </c>
      <c r="M979" s="116">
        <v>674.5</v>
      </c>
      <c r="N979" s="116">
        <v>681.9</v>
      </c>
      <c r="O979" s="116">
        <v>660.6</v>
      </c>
      <c r="P979" s="116">
        <v>669.2</v>
      </c>
      <c r="Q979" s="116">
        <v>674.5</v>
      </c>
      <c r="R979">
        <v>7120933</v>
      </c>
    </row>
    <row r="980" spans="1:18" x14ac:dyDescent="0.25">
      <c r="A980" s="170">
        <v>43446</v>
      </c>
      <c r="B980" s="116">
        <v>680</v>
      </c>
      <c r="C980" s="116">
        <v>678.7</v>
      </c>
      <c r="D980" s="116">
        <v>671</v>
      </c>
      <c r="E980" s="116">
        <v>674.95</v>
      </c>
      <c r="F980" s="116">
        <v>678.7</v>
      </c>
      <c r="G980">
        <v>345321</v>
      </c>
      <c r="H980" s="116"/>
      <c r="I980" s="116"/>
      <c r="L980" s="170">
        <v>43446</v>
      </c>
      <c r="M980" s="116">
        <v>678.5</v>
      </c>
      <c r="N980" s="116">
        <v>680.65</v>
      </c>
      <c r="O980" s="116">
        <v>670.6</v>
      </c>
      <c r="P980" s="116">
        <v>677.1</v>
      </c>
      <c r="Q980" s="116">
        <v>678.5</v>
      </c>
      <c r="R980">
        <v>6926183</v>
      </c>
    </row>
    <row r="981" spans="1:18" x14ac:dyDescent="0.25">
      <c r="A981" s="170">
        <v>43447</v>
      </c>
      <c r="B981" s="116">
        <v>698.8</v>
      </c>
      <c r="C981" s="116">
        <v>696.5</v>
      </c>
      <c r="D981" s="116">
        <v>679.25</v>
      </c>
      <c r="E981" s="116">
        <v>679.25</v>
      </c>
      <c r="F981" s="116">
        <v>696.5</v>
      </c>
      <c r="G981">
        <v>365946</v>
      </c>
      <c r="H981" s="116"/>
      <c r="I981" s="116"/>
      <c r="L981" s="170">
        <v>43447</v>
      </c>
      <c r="M981" s="116">
        <v>697.75</v>
      </c>
      <c r="N981" s="116">
        <v>700</v>
      </c>
      <c r="O981" s="116">
        <v>680</v>
      </c>
      <c r="P981" s="116">
        <v>682</v>
      </c>
      <c r="Q981" s="116">
        <v>697.75</v>
      </c>
      <c r="R981">
        <v>7521474</v>
      </c>
    </row>
    <row r="982" spans="1:18" x14ac:dyDescent="0.25">
      <c r="A982" s="170">
        <v>43448</v>
      </c>
      <c r="B982" s="116">
        <v>713</v>
      </c>
      <c r="C982" s="116">
        <v>705.6</v>
      </c>
      <c r="D982" s="116">
        <v>693.5</v>
      </c>
      <c r="E982" s="116">
        <v>695.15</v>
      </c>
      <c r="F982" s="116">
        <v>705.6</v>
      </c>
      <c r="G982">
        <v>482934</v>
      </c>
      <c r="H982" s="116"/>
      <c r="I982" s="116"/>
      <c r="L982" s="170">
        <v>43448</v>
      </c>
      <c r="M982" s="116">
        <v>706.05</v>
      </c>
      <c r="N982" s="116">
        <v>713.7</v>
      </c>
      <c r="O982" s="116">
        <v>694.4</v>
      </c>
      <c r="P982" s="116">
        <v>697.45</v>
      </c>
      <c r="Q982" s="116">
        <v>706.05</v>
      </c>
      <c r="R982">
        <v>9560576</v>
      </c>
    </row>
    <row r="983" spans="1:18" x14ac:dyDescent="0.25">
      <c r="A983" s="170">
        <v>43451</v>
      </c>
      <c r="B983" s="116">
        <v>714</v>
      </c>
      <c r="C983" s="116">
        <v>693.55</v>
      </c>
      <c r="D983" s="116">
        <v>692.1</v>
      </c>
      <c r="E983" s="116">
        <v>713</v>
      </c>
      <c r="F983" s="116">
        <v>693.55</v>
      </c>
      <c r="G983">
        <v>612157</v>
      </c>
      <c r="H983" s="116"/>
      <c r="I983" s="116"/>
      <c r="L983" s="170">
        <v>43451</v>
      </c>
      <c r="M983" s="116">
        <v>694.4</v>
      </c>
      <c r="N983" s="116">
        <v>711.85</v>
      </c>
      <c r="O983" s="116">
        <v>692.75</v>
      </c>
      <c r="P983" s="116">
        <v>711.85</v>
      </c>
      <c r="Q983" s="116">
        <v>694.4</v>
      </c>
      <c r="R983">
        <v>4778465</v>
      </c>
    </row>
    <row r="984" spans="1:18" x14ac:dyDescent="0.25">
      <c r="A984" s="170">
        <v>43452</v>
      </c>
      <c r="B984" s="116">
        <v>694</v>
      </c>
      <c r="C984" s="116">
        <v>676.35</v>
      </c>
      <c r="D984" s="116">
        <v>675</v>
      </c>
      <c r="E984" s="116">
        <v>694</v>
      </c>
      <c r="F984" s="116">
        <v>676.35</v>
      </c>
      <c r="G984">
        <v>1040768</v>
      </c>
      <c r="H984" s="116"/>
      <c r="I984" s="116"/>
      <c r="L984" s="170">
        <v>43452</v>
      </c>
      <c r="M984" s="116">
        <v>676.6</v>
      </c>
      <c r="N984" s="116">
        <v>686.5</v>
      </c>
      <c r="O984" s="116">
        <v>674.55</v>
      </c>
      <c r="P984" s="116">
        <v>686.5</v>
      </c>
      <c r="Q984" s="116">
        <v>676.6</v>
      </c>
      <c r="R984">
        <v>8021298</v>
      </c>
    </row>
    <row r="985" spans="1:18" x14ac:dyDescent="0.25">
      <c r="A985" s="170">
        <v>43453</v>
      </c>
      <c r="B985" s="116">
        <v>673</v>
      </c>
      <c r="C985" s="116">
        <v>665.25</v>
      </c>
      <c r="D985" s="116">
        <v>661.75</v>
      </c>
      <c r="E985" s="116">
        <v>673</v>
      </c>
      <c r="F985" s="116">
        <v>665.25</v>
      </c>
      <c r="G985">
        <v>940615</v>
      </c>
      <c r="H985" s="116"/>
      <c r="I985" s="116"/>
      <c r="L985" s="170">
        <v>43453</v>
      </c>
      <c r="M985" s="116">
        <v>664.85</v>
      </c>
      <c r="N985" s="116">
        <v>671.55</v>
      </c>
      <c r="O985" s="116">
        <v>661.1</v>
      </c>
      <c r="P985" s="116">
        <v>671.55</v>
      </c>
      <c r="Q985" s="116">
        <v>664.85</v>
      </c>
      <c r="R985">
        <v>8295459</v>
      </c>
    </row>
    <row r="986" spans="1:18" x14ac:dyDescent="0.25">
      <c r="A986" s="170">
        <v>43454</v>
      </c>
      <c r="B986" s="116">
        <v>671.45</v>
      </c>
      <c r="C986" s="116">
        <v>666.85</v>
      </c>
      <c r="D986" s="116">
        <v>657</v>
      </c>
      <c r="E986" s="116">
        <v>662.7</v>
      </c>
      <c r="F986" s="116">
        <v>666.85</v>
      </c>
      <c r="G986">
        <v>579639</v>
      </c>
      <c r="H986" s="116"/>
      <c r="I986" s="116"/>
      <c r="L986" s="170">
        <v>43454</v>
      </c>
      <c r="M986" s="116">
        <v>667.05</v>
      </c>
      <c r="N986" s="116">
        <v>671.55</v>
      </c>
      <c r="O986" s="116">
        <v>656.4</v>
      </c>
      <c r="P986" s="116">
        <v>660</v>
      </c>
      <c r="Q986" s="116">
        <v>667.05</v>
      </c>
      <c r="R986">
        <v>11705260</v>
      </c>
    </row>
    <row r="987" spans="1:18" x14ac:dyDescent="0.25">
      <c r="A987" s="170">
        <v>43455</v>
      </c>
      <c r="B987" s="116">
        <v>660.7</v>
      </c>
      <c r="C987" s="116">
        <v>645.75</v>
      </c>
      <c r="D987" s="116">
        <v>643.79999999999995</v>
      </c>
      <c r="E987" s="116">
        <v>660.7</v>
      </c>
      <c r="F987" s="116">
        <v>645.75</v>
      </c>
      <c r="G987">
        <v>981311</v>
      </c>
      <c r="H987" s="116"/>
      <c r="I987" s="116"/>
      <c r="L987" s="170">
        <v>43455</v>
      </c>
      <c r="M987" s="116">
        <v>646.20000000000005</v>
      </c>
      <c r="N987" s="116">
        <v>659.5</v>
      </c>
      <c r="O987" s="116">
        <v>643.45000000000005</v>
      </c>
      <c r="P987" s="116">
        <v>659.5</v>
      </c>
      <c r="Q987" s="116">
        <v>646.20000000000005</v>
      </c>
      <c r="R987">
        <v>12802132</v>
      </c>
    </row>
    <row r="988" spans="1:18" x14ac:dyDescent="0.25">
      <c r="A988" s="170">
        <v>43458</v>
      </c>
      <c r="B988" s="116">
        <v>658.8</v>
      </c>
      <c r="C988" s="116">
        <v>649.04999999999995</v>
      </c>
      <c r="D988" s="116">
        <v>648</v>
      </c>
      <c r="E988" s="116">
        <v>658</v>
      </c>
      <c r="F988" s="116">
        <v>649.04999999999995</v>
      </c>
      <c r="G988">
        <v>579592</v>
      </c>
      <c r="H988" s="116"/>
      <c r="I988" s="116"/>
      <c r="L988" s="170">
        <v>43458</v>
      </c>
      <c r="M988" s="116">
        <v>649</v>
      </c>
      <c r="N988" s="116">
        <v>658.8</v>
      </c>
      <c r="O988" s="116">
        <v>647.6</v>
      </c>
      <c r="P988" s="116">
        <v>657</v>
      </c>
      <c r="Q988" s="116">
        <v>649</v>
      </c>
      <c r="R988">
        <v>8379825</v>
      </c>
    </row>
    <row r="989" spans="1:18" x14ac:dyDescent="0.25">
      <c r="A989" s="170">
        <v>43460</v>
      </c>
      <c r="B989" s="116">
        <v>650</v>
      </c>
      <c r="C989" s="116">
        <v>644.6</v>
      </c>
      <c r="D989" s="116">
        <v>637.70000000000005</v>
      </c>
      <c r="E989" s="116">
        <v>648.9</v>
      </c>
      <c r="F989" s="116">
        <v>644.6</v>
      </c>
      <c r="G989">
        <v>440867</v>
      </c>
      <c r="H989" s="116"/>
      <c r="I989" s="116"/>
      <c r="L989" s="170">
        <v>43460</v>
      </c>
      <c r="M989" s="116">
        <v>644.04999999999995</v>
      </c>
      <c r="N989" s="116">
        <v>647</v>
      </c>
      <c r="O989" s="116">
        <v>637.35</v>
      </c>
      <c r="P989" s="116">
        <v>647</v>
      </c>
      <c r="Q989" s="116">
        <v>644.04999999999995</v>
      </c>
      <c r="R989">
        <v>6178552</v>
      </c>
    </row>
    <row r="990" spans="1:18" x14ac:dyDescent="0.25">
      <c r="A990" s="170">
        <v>43461</v>
      </c>
      <c r="B990" s="116">
        <v>663.25</v>
      </c>
      <c r="C990" s="116">
        <v>657.35</v>
      </c>
      <c r="D990" s="116">
        <v>649.29999999999995</v>
      </c>
      <c r="E990" s="116">
        <v>652.1</v>
      </c>
      <c r="F990" s="116">
        <v>657.35</v>
      </c>
      <c r="G990">
        <v>512892</v>
      </c>
      <c r="H990" s="116"/>
      <c r="I990" s="116"/>
      <c r="L990" s="170">
        <v>43461</v>
      </c>
      <c r="M990" s="116">
        <v>656.8</v>
      </c>
      <c r="N990" s="116">
        <v>663.25</v>
      </c>
      <c r="O990" s="116">
        <v>649</v>
      </c>
      <c r="P990" s="116">
        <v>652.75</v>
      </c>
      <c r="Q990" s="116">
        <v>656.8</v>
      </c>
      <c r="R990">
        <v>15333902</v>
      </c>
    </row>
    <row r="991" spans="1:18" x14ac:dyDescent="0.25">
      <c r="A991" s="170">
        <v>43462</v>
      </c>
      <c r="B991" s="116">
        <v>663.9</v>
      </c>
      <c r="C991" s="116">
        <v>657.6</v>
      </c>
      <c r="D991" s="116">
        <v>656</v>
      </c>
      <c r="E991" s="116">
        <v>662.8</v>
      </c>
      <c r="F991" s="116">
        <v>657.6</v>
      </c>
      <c r="G991">
        <v>288729</v>
      </c>
      <c r="H991" s="116"/>
      <c r="I991" s="116"/>
      <c r="L991" s="170">
        <v>43462</v>
      </c>
      <c r="M991" s="116">
        <v>656.95</v>
      </c>
      <c r="N991" s="116">
        <v>663.5</v>
      </c>
      <c r="O991" s="116">
        <v>653.29999999999995</v>
      </c>
      <c r="P991" s="116">
        <v>663.35</v>
      </c>
      <c r="Q991" s="116">
        <v>656.95</v>
      </c>
      <c r="R991">
        <v>4736598</v>
      </c>
    </row>
    <row r="992" spans="1:18" x14ac:dyDescent="0.25">
      <c r="A992" s="170">
        <v>43465</v>
      </c>
      <c r="B992" s="116">
        <v>662.15</v>
      </c>
      <c r="C992" s="116">
        <v>659.85</v>
      </c>
      <c r="D992" s="116">
        <v>656.1</v>
      </c>
      <c r="E992" s="116">
        <v>659</v>
      </c>
      <c r="F992" s="116">
        <v>659.85</v>
      </c>
      <c r="G992">
        <v>268693</v>
      </c>
      <c r="H992" s="116"/>
      <c r="I992" s="116"/>
      <c r="L992" s="170">
        <v>43465</v>
      </c>
      <c r="M992" s="116">
        <v>658.95</v>
      </c>
      <c r="N992" s="116">
        <v>662</v>
      </c>
      <c r="O992" s="116">
        <v>655.8</v>
      </c>
      <c r="P992" s="116">
        <v>660</v>
      </c>
      <c r="Q992" s="116">
        <v>658.95</v>
      </c>
      <c r="R992">
        <v>3373319</v>
      </c>
    </row>
    <row r="993" spans="1:18" x14ac:dyDescent="0.25">
      <c r="A993" s="170">
        <v>43466</v>
      </c>
      <c r="B993" s="116">
        <v>667</v>
      </c>
      <c r="C993" s="116">
        <v>664.65</v>
      </c>
      <c r="D993" s="116">
        <v>654.29999999999995</v>
      </c>
      <c r="E993" s="116">
        <v>661</v>
      </c>
      <c r="F993" s="116">
        <v>664.65</v>
      </c>
      <c r="G993">
        <v>221951</v>
      </c>
      <c r="H993" s="116"/>
      <c r="I993" s="116"/>
      <c r="L993" s="170">
        <v>43466</v>
      </c>
      <c r="M993" s="116">
        <v>665.05</v>
      </c>
      <c r="N993" s="116">
        <v>666.3</v>
      </c>
      <c r="O993" s="116">
        <v>654.15</v>
      </c>
      <c r="P993" s="116">
        <v>660.95</v>
      </c>
      <c r="Q993" s="116">
        <v>665.05</v>
      </c>
      <c r="R993">
        <v>2943390</v>
      </c>
    </row>
    <row r="994" spans="1:18" x14ac:dyDescent="0.25">
      <c r="A994" s="170">
        <v>43467</v>
      </c>
      <c r="B994" s="116">
        <v>673.7</v>
      </c>
      <c r="C994" s="116">
        <v>669.3</v>
      </c>
      <c r="D994" s="116">
        <v>662.45</v>
      </c>
      <c r="E994" s="116">
        <v>668</v>
      </c>
      <c r="F994" s="116">
        <v>669.3</v>
      </c>
      <c r="G994">
        <v>419594</v>
      </c>
      <c r="H994" s="116"/>
      <c r="I994" s="116"/>
      <c r="L994" s="170">
        <v>43467</v>
      </c>
      <c r="M994" s="116">
        <v>669.05</v>
      </c>
      <c r="N994" s="116">
        <v>674</v>
      </c>
      <c r="O994" s="116">
        <v>662.05</v>
      </c>
      <c r="P994" s="116">
        <v>666</v>
      </c>
      <c r="Q994" s="116">
        <v>669.05</v>
      </c>
      <c r="R994">
        <v>7416655</v>
      </c>
    </row>
    <row r="995" spans="1:18" x14ac:dyDescent="0.25">
      <c r="A995" s="170">
        <v>43468</v>
      </c>
      <c r="B995" s="116">
        <v>677</v>
      </c>
      <c r="C995" s="116">
        <v>667.55</v>
      </c>
      <c r="D995" s="116">
        <v>663.8</v>
      </c>
      <c r="E995" s="116">
        <v>670.9</v>
      </c>
      <c r="F995" s="116">
        <v>667.55</v>
      </c>
      <c r="G995">
        <v>355183</v>
      </c>
      <c r="H995" s="116"/>
      <c r="I995" s="116"/>
      <c r="L995" s="170">
        <v>43468</v>
      </c>
      <c r="M995" s="116">
        <v>669.15</v>
      </c>
      <c r="N995" s="116">
        <v>677</v>
      </c>
      <c r="O995" s="116">
        <v>663.1</v>
      </c>
      <c r="P995" s="116">
        <v>672</v>
      </c>
      <c r="Q995" s="116">
        <v>669.15</v>
      </c>
      <c r="R995">
        <v>6827249</v>
      </c>
    </row>
    <row r="996" spans="1:18" x14ac:dyDescent="0.25">
      <c r="A996" s="170">
        <v>43469</v>
      </c>
      <c r="B996" s="116">
        <v>674</v>
      </c>
      <c r="C996" s="116">
        <v>660.75</v>
      </c>
      <c r="D996" s="116">
        <v>651.15</v>
      </c>
      <c r="E996" s="116">
        <v>671.1</v>
      </c>
      <c r="F996" s="116">
        <v>660.75</v>
      </c>
      <c r="G996">
        <v>532339</v>
      </c>
      <c r="H996" s="116"/>
      <c r="I996" s="116"/>
      <c r="L996" s="170">
        <v>43469</v>
      </c>
      <c r="M996" s="116">
        <v>661.05</v>
      </c>
      <c r="N996" s="116">
        <v>673.9</v>
      </c>
      <c r="O996" s="116">
        <v>651</v>
      </c>
      <c r="P996" s="116">
        <v>671.75</v>
      </c>
      <c r="Q996" s="116">
        <v>661.05</v>
      </c>
      <c r="R996">
        <v>7889310</v>
      </c>
    </row>
    <row r="997" spans="1:18" x14ac:dyDescent="0.25">
      <c r="A997" s="170">
        <v>43472</v>
      </c>
      <c r="B997" s="116">
        <v>682.8</v>
      </c>
      <c r="C997" s="116">
        <v>671.15</v>
      </c>
      <c r="D997" s="116">
        <v>662.35</v>
      </c>
      <c r="E997" s="116">
        <v>666.95</v>
      </c>
      <c r="F997" s="116">
        <v>671.15</v>
      </c>
      <c r="G997">
        <v>675873</v>
      </c>
      <c r="H997" s="116"/>
      <c r="I997" s="116"/>
      <c r="L997" s="170">
        <v>43472</v>
      </c>
      <c r="M997" s="116">
        <v>671.7</v>
      </c>
      <c r="N997" s="116">
        <v>673.6</v>
      </c>
      <c r="O997" s="116">
        <v>661.5</v>
      </c>
      <c r="P997" s="116">
        <v>665</v>
      </c>
      <c r="Q997" s="116">
        <v>671.7</v>
      </c>
      <c r="R997">
        <v>8046340</v>
      </c>
    </row>
    <row r="998" spans="1:18" x14ac:dyDescent="0.25">
      <c r="A998" s="170">
        <v>43473</v>
      </c>
      <c r="B998" s="116">
        <v>677.45</v>
      </c>
      <c r="C998" s="116">
        <v>669.85</v>
      </c>
      <c r="D998" s="116">
        <v>668.2</v>
      </c>
      <c r="E998" s="116">
        <v>673.05</v>
      </c>
      <c r="F998" s="116">
        <v>669.85</v>
      </c>
      <c r="G998">
        <v>528366</v>
      </c>
      <c r="H998" s="116"/>
      <c r="I998" s="116"/>
      <c r="L998" s="170">
        <v>43473</v>
      </c>
      <c r="M998" s="116">
        <v>670.05</v>
      </c>
      <c r="N998" s="116">
        <v>677.45</v>
      </c>
      <c r="O998" s="116">
        <v>668.55</v>
      </c>
      <c r="P998" s="116">
        <v>674.95</v>
      </c>
      <c r="Q998" s="116">
        <v>670.05</v>
      </c>
      <c r="R998">
        <v>8621545</v>
      </c>
    </row>
    <row r="999" spans="1:18" x14ac:dyDescent="0.25">
      <c r="A999" s="170">
        <v>43474</v>
      </c>
      <c r="B999" s="116">
        <v>689.8</v>
      </c>
      <c r="C999" s="116">
        <v>675.85</v>
      </c>
      <c r="D999" s="116">
        <v>664.55</v>
      </c>
      <c r="E999" s="116">
        <v>684.9</v>
      </c>
      <c r="F999" s="116">
        <v>675.85</v>
      </c>
      <c r="G999">
        <v>1401279</v>
      </c>
      <c r="H999" s="116"/>
      <c r="I999" s="116"/>
      <c r="L999" s="170">
        <v>43474</v>
      </c>
      <c r="M999" s="116">
        <v>676.1</v>
      </c>
      <c r="N999" s="116">
        <v>689.8</v>
      </c>
      <c r="O999" s="116">
        <v>664</v>
      </c>
      <c r="P999" s="116">
        <v>686.2</v>
      </c>
      <c r="Q999" s="116">
        <v>676.1</v>
      </c>
      <c r="R999">
        <v>18130292</v>
      </c>
    </row>
    <row r="1000" spans="1:18" x14ac:dyDescent="0.25">
      <c r="A1000" s="170">
        <v>43475</v>
      </c>
      <c r="B1000" s="116">
        <v>682</v>
      </c>
      <c r="C1000" s="116">
        <v>679.75</v>
      </c>
      <c r="D1000" s="116">
        <v>672.65</v>
      </c>
      <c r="E1000" s="116">
        <v>681.15</v>
      </c>
      <c r="F1000" s="116">
        <v>679.75</v>
      </c>
      <c r="G1000">
        <v>591859</v>
      </c>
      <c r="H1000" s="116"/>
      <c r="I1000" s="116"/>
      <c r="L1000" s="170">
        <v>43475</v>
      </c>
      <c r="M1000" s="116">
        <v>679.7</v>
      </c>
      <c r="N1000" s="116">
        <v>682</v>
      </c>
      <c r="O1000" s="116">
        <v>672.55</v>
      </c>
      <c r="P1000" s="116">
        <v>681.6</v>
      </c>
      <c r="Q1000" s="116">
        <v>679.7</v>
      </c>
      <c r="R1000">
        <v>9572493</v>
      </c>
    </row>
    <row r="1001" spans="1:18" x14ac:dyDescent="0.25">
      <c r="A1001" s="170">
        <v>43476</v>
      </c>
      <c r="B1001" s="116">
        <v>686</v>
      </c>
      <c r="C1001" s="116">
        <v>683.7</v>
      </c>
      <c r="D1001" s="116">
        <v>672.8</v>
      </c>
      <c r="E1001" s="116">
        <v>683.9</v>
      </c>
      <c r="F1001" s="116">
        <v>683.7</v>
      </c>
      <c r="G1001">
        <v>965600</v>
      </c>
      <c r="H1001" s="116"/>
      <c r="I1001" s="116"/>
      <c r="L1001" s="170">
        <v>43476</v>
      </c>
      <c r="M1001" s="116">
        <v>683.5</v>
      </c>
      <c r="N1001" s="116">
        <v>685.5</v>
      </c>
      <c r="O1001" s="116">
        <v>672.5</v>
      </c>
      <c r="P1001" s="116">
        <v>680.2</v>
      </c>
      <c r="Q1001" s="116">
        <v>683.5</v>
      </c>
      <c r="R1001">
        <v>12281903</v>
      </c>
    </row>
    <row r="1002" spans="1:18" x14ac:dyDescent="0.25">
      <c r="A1002" s="170">
        <v>43479</v>
      </c>
      <c r="B1002" s="116">
        <v>709</v>
      </c>
      <c r="C1002" s="116">
        <v>700.9</v>
      </c>
      <c r="D1002" s="116">
        <v>695.7</v>
      </c>
      <c r="E1002" s="116">
        <v>706</v>
      </c>
      <c r="F1002" s="116">
        <v>700.9</v>
      </c>
      <c r="G1002">
        <v>1900868</v>
      </c>
      <c r="H1002" s="116"/>
      <c r="I1002" s="116"/>
      <c r="L1002" s="170">
        <v>43479</v>
      </c>
      <c r="M1002" s="116">
        <v>701.9</v>
      </c>
      <c r="N1002" s="116">
        <v>710.2</v>
      </c>
      <c r="O1002" s="116">
        <v>695.95</v>
      </c>
      <c r="P1002" s="116">
        <v>707</v>
      </c>
      <c r="Q1002" s="116">
        <v>701.9</v>
      </c>
      <c r="R1002">
        <v>19312937</v>
      </c>
    </row>
    <row r="1003" spans="1:18" x14ac:dyDescent="0.25">
      <c r="A1003" s="170">
        <v>43480</v>
      </c>
      <c r="B1003" s="116">
        <v>729.8</v>
      </c>
      <c r="C1003" s="116">
        <v>726.55</v>
      </c>
      <c r="D1003" s="116">
        <v>705.1</v>
      </c>
      <c r="E1003" s="116">
        <v>705.1</v>
      </c>
      <c r="F1003" s="116">
        <v>726.55</v>
      </c>
      <c r="G1003">
        <v>907834</v>
      </c>
      <c r="H1003" s="116"/>
      <c r="I1003" s="116"/>
      <c r="L1003" s="170">
        <v>43480</v>
      </c>
      <c r="M1003" s="116">
        <v>726.6</v>
      </c>
      <c r="N1003" s="116">
        <v>730</v>
      </c>
      <c r="O1003" s="116">
        <v>707.2</v>
      </c>
      <c r="P1003" s="116">
        <v>707.2</v>
      </c>
      <c r="Q1003" s="116">
        <v>726.6</v>
      </c>
      <c r="R1003">
        <v>19671304</v>
      </c>
    </row>
    <row r="1004" spans="1:18" x14ac:dyDescent="0.25">
      <c r="A1004" s="170">
        <v>43481</v>
      </c>
      <c r="B1004" s="116">
        <v>737.65</v>
      </c>
      <c r="C1004" s="116">
        <v>736.55</v>
      </c>
      <c r="D1004" s="116">
        <v>729</v>
      </c>
      <c r="E1004" s="116">
        <v>729</v>
      </c>
      <c r="F1004" s="116">
        <v>736.55</v>
      </c>
      <c r="G1004">
        <v>570874</v>
      </c>
      <c r="H1004" s="116"/>
      <c r="I1004" s="116"/>
      <c r="L1004" s="170">
        <v>43481</v>
      </c>
      <c r="M1004" s="116">
        <v>736.8</v>
      </c>
      <c r="N1004" s="116">
        <v>737.8</v>
      </c>
      <c r="O1004" s="116">
        <v>728.5</v>
      </c>
      <c r="P1004" s="116">
        <v>729.9</v>
      </c>
      <c r="Q1004" s="116">
        <v>736.8</v>
      </c>
      <c r="R1004">
        <v>9658944</v>
      </c>
    </row>
    <row r="1005" spans="1:18" x14ac:dyDescent="0.25">
      <c r="A1005" s="170">
        <v>43482</v>
      </c>
      <c r="B1005" s="116">
        <v>738.65</v>
      </c>
      <c r="C1005" s="116">
        <v>733.4</v>
      </c>
      <c r="D1005" s="116">
        <v>728.75</v>
      </c>
      <c r="E1005" s="116">
        <v>736.45</v>
      </c>
      <c r="F1005" s="116">
        <v>733.4</v>
      </c>
      <c r="G1005">
        <v>284316</v>
      </c>
      <c r="H1005" s="116"/>
      <c r="I1005" s="116"/>
      <c r="L1005" s="170">
        <v>43482</v>
      </c>
      <c r="M1005" s="116">
        <v>733.35</v>
      </c>
      <c r="N1005" s="116">
        <v>739</v>
      </c>
      <c r="O1005" s="116">
        <v>729.1</v>
      </c>
      <c r="P1005" s="116">
        <v>735.8</v>
      </c>
      <c r="Q1005" s="116">
        <v>733.35</v>
      </c>
      <c r="R1005">
        <v>6903771</v>
      </c>
    </row>
    <row r="1006" spans="1:18" x14ac:dyDescent="0.25">
      <c r="A1006" s="170">
        <v>43483</v>
      </c>
      <c r="B1006" s="116">
        <v>736</v>
      </c>
      <c r="C1006" s="116">
        <v>731</v>
      </c>
      <c r="D1006" s="116">
        <v>726.5</v>
      </c>
      <c r="E1006" s="116">
        <v>731.95</v>
      </c>
      <c r="F1006" s="116">
        <v>731</v>
      </c>
      <c r="G1006">
        <v>203144</v>
      </c>
      <c r="H1006" s="116"/>
      <c r="I1006" s="116"/>
      <c r="L1006" s="170">
        <v>43483</v>
      </c>
      <c r="M1006" s="116">
        <v>730.95</v>
      </c>
      <c r="N1006" s="116">
        <v>736.2</v>
      </c>
      <c r="O1006" s="116">
        <v>726.3</v>
      </c>
      <c r="P1006" s="116">
        <v>730</v>
      </c>
      <c r="Q1006" s="116">
        <v>730.95</v>
      </c>
      <c r="R1006">
        <v>5902151</v>
      </c>
    </row>
    <row r="1007" spans="1:18" x14ac:dyDescent="0.25">
      <c r="A1007" s="170">
        <v>43486</v>
      </c>
      <c r="B1007" s="116">
        <v>750.7</v>
      </c>
      <c r="C1007" s="116">
        <v>742.75</v>
      </c>
      <c r="D1007" s="116">
        <v>733</v>
      </c>
      <c r="E1007" s="116">
        <v>733</v>
      </c>
      <c r="F1007" s="116">
        <v>742.75</v>
      </c>
      <c r="G1007">
        <v>439700</v>
      </c>
      <c r="H1007" s="116"/>
      <c r="I1007" s="116"/>
      <c r="L1007" s="170">
        <v>43486</v>
      </c>
      <c r="M1007" s="116">
        <v>745</v>
      </c>
      <c r="N1007" s="116">
        <v>751</v>
      </c>
      <c r="O1007" s="116">
        <v>734</v>
      </c>
      <c r="P1007" s="116">
        <v>738.2</v>
      </c>
      <c r="Q1007" s="116">
        <v>745</v>
      </c>
      <c r="R1007">
        <v>8129422</v>
      </c>
    </row>
    <row r="1008" spans="1:18" x14ac:dyDescent="0.25">
      <c r="A1008" s="170">
        <v>43487</v>
      </c>
      <c r="B1008" s="116">
        <v>747.2</v>
      </c>
      <c r="C1008" s="116">
        <v>744.35</v>
      </c>
      <c r="D1008" s="116">
        <v>733.85</v>
      </c>
      <c r="E1008" s="116">
        <v>740.65</v>
      </c>
      <c r="F1008" s="116">
        <v>744.35</v>
      </c>
      <c r="G1008">
        <v>241180</v>
      </c>
      <c r="H1008" s="116"/>
      <c r="I1008" s="116"/>
      <c r="L1008" s="170">
        <v>43487</v>
      </c>
      <c r="M1008" s="116">
        <v>745.35</v>
      </c>
      <c r="N1008" s="116">
        <v>749</v>
      </c>
      <c r="O1008" s="116">
        <v>734</v>
      </c>
      <c r="P1008" s="116">
        <v>741.25</v>
      </c>
      <c r="Q1008" s="116">
        <v>745.35</v>
      </c>
      <c r="R1008">
        <v>6723375</v>
      </c>
    </row>
    <row r="1009" spans="1:18" x14ac:dyDescent="0.25">
      <c r="A1009" s="170">
        <v>43488</v>
      </c>
      <c r="B1009" s="116">
        <v>743.25</v>
      </c>
      <c r="C1009" s="116">
        <v>731.45</v>
      </c>
      <c r="D1009" s="116">
        <v>729.05</v>
      </c>
      <c r="E1009" s="116">
        <v>743.25</v>
      </c>
      <c r="F1009" s="116">
        <v>731.45</v>
      </c>
      <c r="G1009">
        <v>250110</v>
      </c>
      <c r="H1009" s="116"/>
      <c r="I1009" s="116"/>
      <c r="L1009" s="170">
        <v>43488</v>
      </c>
      <c r="M1009" s="116">
        <v>731.65</v>
      </c>
      <c r="N1009" s="116">
        <v>742.6</v>
      </c>
      <c r="O1009" s="116">
        <v>729.2</v>
      </c>
      <c r="P1009" s="116">
        <v>742.35</v>
      </c>
      <c r="Q1009" s="116">
        <v>731.65</v>
      </c>
      <c r="R1009">
        <v>7212099</v>
      </c>
    </row>
    <row r="1010" spans="1:18" x14ac:dyDescent="0.25">
      <c r="A1010" s="170">
        <v>43489</v>
      </c>
      <c r="B1010" s="116">
        <v>739</v>
      </c>
      <c r="C1010" s="116">
        <v>732.8</v>
      </c>
      <c r="D1010" s="116">
        <v>721.4</v>
      </c>
      <c r="E1010" s="116">
        <v>729.5</v>
      </c>
      <c r="F1010" s="116">
        <v>732.8</v>
      </c>
      <c r="G1010">
        <v>185362</v>
      </c>
      <c r="H1010" s="116"/>
      <c r="I1010" s="116"/>
      <c r="L1010" s="170">
        <v>43489</v>
      </c>
      <c r="M1010" s="116">
        <v>732</v>
      </c>
      <c r="N1010" s="116">
        <v>736.1</v>
      </c>
      <c r="O1010" s="116">
        <v>721</v>
      </c>
      <c r="P1010" s="116">
        <v>728.1</v>
      </c>
      <c r="Q1010" s="116">
        <v>732</v>
      </c>
      <c r="R1010">
        <v>7429783</v>
      </c>
    </row>
    <row r="1011" spans="1:18" x14ac:dyDescent="0.25">
      <c r="A1011" s="170">
        <v>43490</v>
      </c>
      <c r="B1011" s="116">
        <v>737.4</v>
      </c>
      <c r="C1011" s="116">
        <v>730.2</v>
      </c>
      <c r="D1011" s="116">
        <v>725</v>
      </c>
      <c r="E1011" s="116">
        <v>728.7</v>
      </c>
      <c r="F1011" s="116">
        <v>730.2</v>
      </c>
      <c r="G1011">
        <v>176637</v>
      </c>
      <c r="H1011" s="116"/>
      <c r="I1011" s="116"/>
      <c r="L1011" s="170">
        <v>43490</v>
      </c>
      <c r="M1011" s="116">
        <v>730.35</v>
      </c>
      <c r="N1011" s="116">
        <v>737.9</v>
      </c>
      <c r="O1011" s="116">
        <v>724.25</v>
      </c>
      <c r="P1011" s="116">
        <v>728</v>
      </c>
      <c r="Q1011" s="116">
        <v>730.35</v>
      </c>
      <c r="R1011">
        <v>5543112</v>
      </c>
    </row>
    <row r="1012" spans="1:18" x14ac:dyDescent="0.25">
      <c r="A1012" s="170">
        <v>43493</v>
      </c>
      <c r="B1012" s="116">
        <v>733.85</v>
      </c>
      <c r="C1012" s="116">
        <v>728.2</v>
      </c>
      <c r="D1012" s="116">
        <v>719.05</v>
      </c>
      <c r="E1012" s="116">
        <v>732.9</v>
      </c>
      <c r="F1012" s="116">
        <v>728.2</v>
      </c>
      <c r="G1012">
        <v>500333</v>
      </c>
      <c r="H1012" s="116"/>
      <c r="I1012" s="116"/>
      <c r="L1012" s="170">
        <v>43493</v>
      </c>
      <c r="M1012" s="116">
        <v>727.95</v>
      </c>
      <c r="N1012" s="116">
        <v>732.6</v>
      </c>
      <c r="O1012" s="116">
        <v>719</v>
      </c>
      <c r="P1012" s="116">
        <v>731</v>
      </c>
      <c r="Q1012" s="116">
        <v>727.95</v>
      </c>
      <c r="R1012">
        <v>7944693</v>
      </c>
    </row>
    <row r="1013" spans="1:18" x14ac:dyDescent="0.25">
      <c r="A1013" s="170">
        <v>43494</v>
      </c>
      <c r="B1013" s="116">
        <v>730.35</v>
      </c>
      <c r="C1013" s="116">
        <v>727.35</v>
      </c>
      <c r="D1013" s="116">
        <v>716.55</v>
      </c>
      <c r="E1013" s="116">
        <v>728.2</v>
      </c>
      <c r="F1013" s="116">
        <v>727.35</v>
      </c>
      <c r="G1013">
        <v>618662</v>
      </c>
      <c r="H1013" s="116"/>
      <c r="I1013" s="116"/>
      <c r="L1013" s="170">
        <v>43494</v>
      </c>
      <c r="M1013" s="116">
        <v>727.9</v>
      </c>
      <c r="N1013" s="116">
        <v>732.85</v>
      </c>
      <c r="O1013" s="116">
        <v>716.5</v>
      </c>
      <c r="P1013" s="116">
        <v>725.5</v>
      </c>
      <c r="Q1013" s="116">
        <v>727.9</v>
      </c>
      <c r="R1013">
        <v>6760819</v>
      </c>
    </row>
    <row r="1014" spans="1:18" x14ac:dyDescent="0.25">
      <c r="A1014" s="170">
        <v>43495</v>
      </c>
      <c r="B1014" s="116">
        <v>734.65</v>
      </c>
      <c r="C1014" s="116">
        <v>724.85</v>
      </c>
      <c r="D1014" s="116">
        <v>720.6</v>
      </c>
      <c r="E1014" s="116">
        <v>727.35</v>
      </c>
      <c r="F1014" s="116">
        <v>724.85</v>
      </c>
      <c r="G1014">
        <v>653889</v>
      </c>
      <c r="H1014" s="116"/>
      <c r="I1014" s="116"/>
      <c r="L1014" s="170">
        <v>43495</v>
      </c>
      <c r="M1014" s="116">
        <v>725.9</v>
      </c>
      <c r="N1014" s="116">
        <v>734.8</v>
      </c>
      <c r="O1014" s="116">
        <v>721.1</v>
      </c>
      <c r="P1014" s="116">
        <v>727.9</v>
      </c>
      <c r="Q1014" s="116">
        <v>725.9</v>
      </c>
      <c r="R1014">
        <v>5763026</v>
      </c>
    </row>
    <row r="1015" spans="1:18" x14ac:dyDescent="0.25">
      <c r="A1015" s="170">
        <v>43496</v>
      </c>
      <c r="B1015" s="116">
        <v>751</v>
      </c>
      <c r="C1015" s="116">
        <v>749.6</v>
      </c>
      <c r="D1015" s="116">
        <v>727.05</v>
      </c>
      <c r="E1015" s="116">
        <v>728</v>
      </c>
      <c r="F1015" s="116">
        <v>749.6</v>
      </c>
      <c r="G1015">
        <v>1128305</v>
      </c>
      <c r="H1015" s="116"/>
      <c r="I1015" s="116"/>
      <c r="L1015" s="170">
        <v>43496</v>
      </c>
      <c r="M1015" s="116">
        <v>749.55</v>
      </c>
      <c r="N1015" s="116">
        <v>751.3</v>
      </c>
      <c r="O1015" s="116">
        <v>726</v>
      </c>
      <c r="P1015" s="116">
        <v>726</v>
      </c>
      <c r="Q1015" s="116">
        <v>749.55</v>
      </c>
      <c r="R1015">
        <v>13825233</v>
      </c>
    </row>
    <row r="1016" spans="1:18" x14ac:dyDescent="0.25">
      <c r="A1016" s="170">
        <v>43497</v>
      </c>
      <c r="B1016" s="116">
        <v>761.8</v>
      </c>
      <c r="C1016" s="116">
        <v>756.55</v>
      </c>
      <c r="D1016" s="116">
        <v>745</v>
      </c>
      <c r="E1016" s="116">
        <v>753.8</v>
      </c>
      <c r="F1016" s="116">
        <v>756.55</v>
      </c>
      <c r="G1016">
        <v>374496</v>
      </c>
      <c r="H1016" s="116"/>
      <c r="I1016" s="116"/>
      <c r="L1016" s="170">
        <v>43497</v>
      </c>
      <c r="M1016" s="116">
        <v>757.05</v>
      </c>
      <c r="N1016" s="116">
        <v>762.5</v>
      </c>
      <c r="O1016" s="116">
        <v>744.5</v>
      </c>
      <c r="P1016" s="116">
        <v>751.35</v>
      </c>
      <c r="Q1016" s="116">
        <v>757.05</v>
      </c>
      <c r="R1016">
        <v>6276585</v>
      </c>
    </row>
    <row r="1017" spans="1:18" x14ac:dyDescent="0.25">
      <c r="A1017" s="170">
        <v>43500</v>
      </c>
      <c r="B1017" s="116">
        <v>762</v>
      </c>
      <c r="C1017" s="116">
        <v>755.65</v>
      </c>
      <c r="D1017" s="116">
        <v>747.85</v>
      </c>
      <c r="E1017" s="116">
        <v>755</v>
      </c>
      <c r="F1017" s="116">
        <v>755.65</v>
      </c>
      <c r="G1017">
        <v>329744</v>
      </c>
      <c r="H1017" s="116"/>
      <c r="I1017" s="116"/>
      <c r="L1017" s="170">
        <v>43500</v>
      </c>
      <c r="M1017" s="116">
        <v>755.9</v>
      </c>
      <c r="N1017" s="116">
        <v>762.5</v>
      </c>
      <c r="O1017" s="116">
        <v>749.2</v>
      </c>
      <c r="P1017" s="116">
        <v>757</v>
      </c>
      <c r="Q1017" s="116">
        <v>755.9</v>
      </c>
      <c r="R1017">
        <v>3945391</v>
      </c>
    </row>
    <row r="1018" spans="1:18" x14ac:dyDescent="0.25">
      <c r="A1018" s="170">
        <v>43501</v>
      </c>
      <c r="B1018" s="116">
        <v>760</v>
      </c>
      <c r="C1018" s="116">
        <v>754.25</v>
      </c>
      <c r="D1018" s="116">
        <v>748.55</v>
      </c>
      <c r="E1018" s="116">
        <v>751</v>
      </c>
      <c r="F1018" s="116">
        <v>754.25</v>
      </c>
      <c r="G1018">
        <v>272873</v>
      </c>
      <c r="H1018" s="116"/>
      <c r="I1018" s="116"/>
      <c r="L1018" s="170">
        <v>43501</v>
      </c>
      <c r="M1018" s="116">
        <v>754.85</v>
      </c>
      <c r="N1018" s="116">
        <v>759.95</v>
      </c>
      <c r="O1018" s="116">
        <v>747</v>
      </c>
      <c r="P1018" s="116">
        <v>747</v>
      </c>
      <c r="Q1018" s="116">
        <v>754.85</v>
      </c>
      <c r="R1018">
        <v>4694366</v>
      </c>
    </row>
    <row r="1019" spans="1:18" x14ac:dyDescent="0.25">
      <c r="A1019" s="170">
        <v>43502</v>
      </c>
      <c r="B1019" s="116">
        <v>766.15</v>
      </c>
      <c r="C1019" s="116">
        <v>762.65</v>
      </c>
      <c r="D1019" s="116">
        <v>753.8</v>
      </c>
      <c r="E1019" s="116">
        <v>754.25</v>
      </c>
      <c r="F1019" s="116">
        <v>762.65</v>
      </c>
      <c r="G1019">
        <v>345880</v>
      </c>
      <c r="H1019" s="116"/>
      <c r="I1019" s="116"/>
      <c r="L1019" s="170">
        <v>43502</v>
      </c>
      <c r="M1019" s="116">
        <v>763.3</v>
      </c>
      <c r="N1019" s="116">
        <v>766.95</v>
      </c>
      <c r="O1019" s="116">
        <v>754.35</v>
      </c>
      <c r="P1019" s="116">
        <v>755.55</v>
      </c>
      <c r="Q1019" s="116">
        <v>763.3</v>
      </c>
      <c r="R1019">
        <v>5880482</v>
      </c>
    </row>
    <row r="1020" spans="1:18" x14ac:dyDescent="0.25">
      <c r="A1020" s="170">
        <v>43503</v>
      </c>
      <c r="B1020" s="116">
        <v>769.5</v>
      </c>
      <c r="C1020" s="116">
        <v>763.35</v>
      </c>
      <c r="D1020" s="116">
        <v>760.65</v>
      </c>
      <c r="E1020" s="116">
        <v>761.1</v>
      </c>
      <c r="F1020" s="116">
        <v>763.35</v>
      </c>
      <c r="G1020">
        <v>241922</v>
      </c>
      <c r="H1020" s="116"/>
      <c r="I1020" s="116"/>
      <c r="L1020" s="170">
        <v>43503</v>
      </c>
      <c r="M1020" s="116">
        <v>764</v>
      </c>
      <c r="N1020" s="116">
        <v>769.45</v>
      </c>
      <c r="O1020" s="116">
        <v>761</v>
      </c>
      <c r="P1020" s="116">
        <v>763.05</v>
      </c>
      <c r="Q1020" s="116">
        <v>764</v>
      </c>
      <c r="R1020">
        <v>3961797</v>
      </c>
    </row>
    <row r="1021" spans="1:18" x14ac:dyDescent="0.25">
      <c r="A1021" s="170">
        <v>43504</v>
      </c>
      <c r="B1021" s="116">
        <v>771.15</v>
      </c>
      <c r="C1021" s="116">
        <v>759.85</v>
      </c>
      <c r="D1021" s="116">
        <v>755.1</v>
      </c>
      <c r="E1021" s="116">
        <v>764</v>
      </c>
      <c r="F1021" s="116">
        <v>759.85</v>
      </c>
      <c r="G1021">
        <v>312650</v>
      </c>
      <c r="H1021" s="116"/>
      <c r="I1021" s="116"/>
      <c r="L1021" s="170">
        <v>43504</v>
      </c>
      <c r="M1021" s="116">
        <v>760.9</v>
      </c>
      <c r="N1021" s="116">
        <v>772.25</v>
      </c>
      <c r="O1021" s="116">
        <v>754.9</v>
      </c>
      <c r="P1021" s="116">
        <v>760</v>
      </c>
      <c r="Q1021" s="116">
        <v>760.9</v>
      </c>
      <c r="R1021">
        <v>5915169</v>
      </c>
    </row>
    <row r="1022" spans="1:18" x14ac:dyDescent="0.25">
      <c r="A1022" s="170">
        <v>43507</v>
      </c>
      <c r="B1022" s="116">
        <v>768.65</v>
      </c>
      <c r="C1022" s="116">
        <v>761.6</v>
      </c>
      <c r="D1022" s="116">
        <v>757.55</v>
      </c>
      <c r="E1022" s="116">
        <v>760</v>
      </c>
      <c r="F1022" s="116">
        <v>761.6</v>
      </c>
      <c r="G1022">
        <v>275729</v>
      </c>
      <c r="H1022" s="116"/>
      <c r="I1022" s="116"/>
      <c r="L1022" s="170">
        <v>43507</v>
      </c>
      <c r="M1022" s="116">
        <v>762.8</v>
      </c>
      <c r="N1022" s="116">
        <v>768.75</v>
      </c>
      <c r="O1022" s="116">
        <v>759</v>
      </c>
      <c r="P1022" s="116">
        <v>766.9</v>
      </c>
      <c r="Q1022" s="116">
        <v>762.8</v>
      </c>
      <c r="R1022">
        <v>5500216</v>
      </c>
    </row>
    <row r="1023" spans="1:18" x14ac:dyDescent="0.25">
      <c r="A1023" s="170">
        <v>43508</v>
      </c>
      <c r="B1023" s="116">
        <v>763</v>
      </c>
      <c r="C1023" s="116">
        <v>750.4</v>
      </c>
      <c r="D1023" s="116">
        <v>741</v>
      </c>
      <c r="E1023" s="116">
        <v>763</v>
      </c>
      <c r="F1023" s="116">
        <v>750.4</v>
      </c>
      <c r="G1023">
        <v>292287</v>
      </c>
      <c r="H1023" s="116"/>
      <c r="I1023" s="116"/>
      <c r="L1023" s="170">
        <v>43508</v>
      </c>
      <c r="M1023" s="116">
        <v>750.45</v>
      </c>
      <c r="N1023" s="116">
        <v>760.35</v>
      </c>
      <c r="O1023" s="116">
        <v>741</v>
      </c>
      <c r="P1023" s="116">
        <v>760.35</v>
      </c>
      <c r="Q1023" s="116">
        <v>750.45</v>
      </c>
      <c r="R1023">
        <v>7310690</v>
      </c>
    </row>
    <row r="1024" spans="1:18" x14ac:dyDescent="0.25">
      <c r="A1024" s="170">
        <v>43509</v>
      </c>
      <c r="B1024" s="116">
        <v>759.65</v>
      </c>
      <c r="C1024" s="116">
        <v>754.95</v>
      </c>
      <c r="D1024" s="116">
        <v>743.55</v>
      </c>
      <c r="E1024" s="116">
        <v>750.4</v>
      </c>
      <c r="F1024" s="116">
        <v>754.95</v>
      </c>
      <c r="G1024">
        <v>201502</v>
      </c>
      <c r="H1024" s="116"/>
      <c r="I1024" s="116"/>
      <c r="L1024" s="170">
        <v>43509</v>
      </c>
      <c r="M1024" s="116">
        <v>754.9</v>
      </c>
      <c r="N1024" s="116">
        <v>759.7</v>
      </c>
      <c r="O1024" s="116">
        <v>743.65</v>
      </c>
      <c r="P1024" s="116">
        <v>750.1</v>
      </c>
      <c r="Q1024" s="116">
        <v>754.9</v>
      </c>
      <c r="R1024">
        <v>5050182</v>
      </c>
    </row>
    <row r="1025" spans="1:18" x14ac:dyDescent="0.25">
      <c r="A1025" s="170">
        <v>43510</v>
      </c>
      <c r="B1025" s="116">
        <v>753</v>
      </c>
      <c r="C1025" s="116">
        <v>739.8</v>
      </c>
      <c r="D1025" s="116">
        <v>738</v>
      </c>
      <c r="E1025" s="116">
        <v>753</v>
      </c>
      <c r="F1025" s="116">
        <v>739.8</v>
      </c>
      <c r="G1025">
        <v>171101</v>
      </c>
      <c r="H1025" s="116"/>
      <c r="I1025" s="116"/>
      <c r="L1025" s="170">
        <v>43510</v>
      </c>
      <c r="M1025" s="116">
        <v>740.05</v>
      </c>
      <c r="N1025" s="116">
        <v>753</v>
      </c>
      <c r="O1025" s="116">
        <v>737.25</v>
      </c>
      <c r="P1025" s="116">
        <v>751</v>
      </c>
      <c r="Q1025" s="116">
        <v>740.05</v>
      </c>
      <c r="R1025">
        <v>4610535</v>
      </c>
    </row>
    <row r="1026" spans="1:18" x14ac:dyDescent="0.25">
      <c r="A1026" s="170">
        <v>43511</v>
      </c>
      <c r="B1026" s="116">
        <v>746.55</v>
      </c>
      <c r="C1026" s="116">
        <v>741.75</v>
      </c>
      <c r="D1026" s="116">
        <v>733</v>
      </c>
      <c r="E1026" s="116">
        <v>741.25</v>
      </c>
      <c r="F1026" s="116">
        <v>741.75</v>
      </c>
      <c r="G1026">
        <v>331471</v>
      </c>
      <c r="H1026" s="116"/>
      <c r="I1026" s="116"/>
      <c r="L1026" s="170">
        <v>43511</v>
      </c>
      <c r="M1026" s="116">
        <v>741.95</v>
      </c>
      <c r="N1026" s="116">
        <v>746.5</v>
      </c>
      <c r="O1026" s="116">
        <v>732.6</v>
      </c>
      <c r="P1026" s="116">
        <v>742.3</v>
      </c>
      <c r="Q1026" s="116">
        <v>741.95</v>
      </c>
      <c r="R1026">
        <v>5586389</v>
      </c>
    </row>
    <row r="1027" spans="1:18" x14ac:dyDescent="0.25">
      <c r="A1027" s="170">
        <v>43514</v>
      </c>
      <c r="B1027" s="116">
        <v>747.5</v>
      </c>
      <c r="C1027" s="116">
        <v>740.1</v>
      </c>
      <c r="D1027" s="116">
        <v>736.2</v>
      </c>
      <c r="E1027" s="116">
        <v>741</v>
      </c>
      <c r="F1027" s="116">
        <v>740.1</v>
      </c>
      <c r="G1027">
        <v>168645</v>
      </c>
      <c r="H1027" s="116"/>
      <c r="I1027" s="116"/>
      <c r="L1027" s="170">
        <v>43514</v>
      </c>
      <c r="M1027" s="116">
        <v>741.05</v>
      </c>
      <c r="N1027" s="116">
        <v>747.65</v>
      </c>
      <c r="O1027" s="116">
        <v>736</v>
      </c>
      <c r="P1027" s="116">
        <v>742.35</v>
      </c>
      <c r="Q1027" s="116">
        <v>741.05</v>
      </c>
      <c r="R1027">
        <v>5346825</v>
      </c>
    </row>
    <row r="1028" spans="1:18" x14ac:dyDescent="0.25">
      <c r="A1028" s="170">
        <v>43515</v>
      </c>
      <c r="B1028" s="116">
        <v>739.3</v>
      </c>
      <c r="C1028" s="116">
        <v>725.15</v>
      </c>
      <c r="D1028" s="116">
        <v>723</v>
      </c>
      <c r="E1028" s="116">
        <v>738.9</v>
      </c>
      <c r="F1028" s="116">
        <v>725.15</v>
      </c>
      <c r="G1028">
        <v>228364</v>
      </c>
      <c r="H1028" s="116"/>
      <c r="I1028" s="116"/>
      <c r="L1028" s="170">
        <v>43515</v>
      </c>
      <c r="M1028" s="116">
        <v>724.3</v>
      </c>
      <c r="N1028" s="116">
        <v>740.55</v>
      </c>
      <c r="O1028" s="116">
        <v>721.3</v>
      </c>
      <c r="P1028" s="116">
        <v>739.1</v>
      </c>
      <c r="Q1028" s="116">
        <v>724.3</v>
      </c>
      <c r="R1028">
        <v>9401334</v>
      </c>
    </row>
    <row r="1029" spans="1:18" x14ac:dyDescent="0.25">
      <c r="A1029" s="170">
        <v>43516</v>
      </c>
      <c r="B1029" s="116">
        <v>743.45</v>
      </c>
      <c r="C1029" s="116">
        <v>740.05</v>
      </c>
      <c r="D1029" s="116">
        <v>727</v>
      </c>
      <c r="E1029" s="116">
        <v>730</v>
      </c>
      <c r="F1029" s="116">
        <v>740.05</v>
      </c>
      <c r="G1029">
        <v>288411</v>
      </c>
      <c r="H1029" s="116"/>
      <c r="I1029" s="116"/>
      <c r="L1029" s="170">
        <v>43516</v>
      </c>
      <c r="M1029" s="116">
        <v>740.7</v>
      </c>
      <c r="N1029" s="116">
        <v>743</v>
      </c>
      <c r="O1029" s="116">
        <v>726.05</v>
      </c>
      <c r="P1029" s="116">
        <v>727</v>
      </c>
      <c r="Q1029" s="116">
        <v>740.7</v>
      </c>
      <c r="R1029">
        <v>5210675</v>
      </c>
    </row>
    <row r="1030" spans="1:18" x14ac:dyDescent="0.25">
      <c r="A1030" s="170">
        <v>43517</v>
      </c>
      <c r="B1030" s="116">
        <v>739.15</v>
      </c>
      <c r="C1030" s="116">
        <v>733.35</v>
      </c>
      <c r="D1030" s="116">
        <v>727.95</v>
      </c>
      <c r="E1030" s="116">
        <v>739</v>
      </c>
      <c r="F1030" s="116">
        <v>733.35</v>
      </c>
      <c r="G1030">
        <v>200596</v>
      </c>
      <c r="H1030" s="116"/>
      <c r="I1030" s="116"/>
      <c r="L1030" s="170">
        <v>43517</v>
      </c>
      <c r="M1030" s="116">
        <v>733.45</v>
      </c>
      <c r="N1030" s="116">
        <v>738</v>
      </c>
      <c r="O1030" s="116">
        <v>727.1</v>
      </c>
      <c r="P1030" s="116">
        <v>738</v>
      </c>
      <c r="Q1030" s="116">
        <v>733.45</v>
      </c>
      <c r="R1030">
        <v>7202786</v>
      </c>
    </row>
    <row r="1031" spans="1:18" x14ac:dyDescent="0.25">
      <c r="A1031" s="170">
        <v>43518</v>
      </c>
      <c r="B1031" s="116">
        <v>736.65</v>
      </c>
      <c r="C1031" s="116">
        <v>733.35</v>
      </c>
      <c r="D1031" s="116">
        <v>728</v>
      </c>
      <c r="E1031" s="116">
        <v>733.9</v>
      </c>
      <c r="F1031" s="116">
        <v>733.35</v>
      </c>
      <c r="G1031">
        <v>191573</v>
      </c>
      <c r="H1031" s="116"/>
      <c r="I1031" s="116"/>
      <c r="L1031" s="170">
        <v>43518</v>
      </c>
      <c r="M1031" s="116">
        <v>734.95</v>
      </c>
      <c r="N1031" s="116">
        <v>738.2</v>
      </c>
      <c r="O1031" s="116">
        <v>728</v>
      </c>
      <c r="P1031" s="116">
        <v>732.5</v>
      </c>
      <c r="Q1031" s="116">
        <v>734.95</v>
      </c>
      <c r="R1031">
        <v>3750833</v>
      </c>
    </row>
    <row r="1032" spans="1:18" x14ac:dyDescent="0.25">
      <c r="A1032" s="170">
        <v>43521</v>
      </c>
      <c r="B1032" s="116">
        <v>757.8</v>
      </c>
      <c r="C1032" s="116">
        <v>754.9</v>
      </c>
      <c r="D1032" s="116">
        <v>735</v>
      </c>
      <c r="E1032" s="116">
        <v>735</v>
      </c>
      <c r="F1032" s="116">
        <v>754.9</v>
      </c>
      <c r="G1032">
        <v>297704</v>
      </c>
      <c r="H1032" s="116"/>
      <c r="I1032" s="116"/>
      <c r="L1032" s="170">
        <v>43521</v>
      </c>
      <c r="M1032" s="116">
        <v>754.9</v>
      </c>
      <c r="N1032" s="116">
        <v>758</v>
      </c>
      <c r="O1032" s="116">
        <v>735.55</v>
      </c>
      <c r="P1032" s="116">
        <v>735.55</v>
      </c>
      <c r="Q1032" s="116">
        <v>754.9</v>
      </c>
      <c r="R1032">
        <v>6547552</v>
      </c>
    </row>
    <row r="1033" spans="1:18" x14ac:dyDescent="0.25">
      <c r="A1033" s="170">
        <v>43522</v>
      </c>
      <c r="B1033" s="116">
        <v>752.05</v>
      </c>
      <c r="C1033" s="116">
        <v>741.7</v>
      </c>
      <c r="D1033" s="116">
        <v>740</v>
      </c>
      <c r="E1033" s="116">
        <v>748.15</v>
      </c>
      <c r="F1033" s="116">
        <v>741.7</v>
      </c>
      <c r="G1033">
        <v>394085</v>
      </c>
      <c r="H1033" s="116"/>
      <c r="I1033" s="116"/>
      <c r="L1033" s="170">
        <v>43522</v>
      </c>
      <c r="M1033" s="116">
        <v>742.5</v>
      </c>
      <c r="N1033" s="116">
        <v>752.6</v>
      </c>
      <c r="O1033" s="116">
        <v>740.15</v>
      </c>
      <c r="P1033" s="116">
        <v>748.6</v>
      </c>
      <c r="Q1033" s="116">
        <v>742.5</v>
      </c>
      <c r="R1033">
        <v>8319610</v>
      </c>
    </row>
    <row r="1034" spans="1:18" x14ac:dyDescent="0.25">
      <c r="A1034" s="170">
        <v>43523</v>
      </c>
      <c r="B1034" s="116">
        <v>746.6</v>
      </c>
      <c r="C1034" s="116">
        <v>734.7</v>
      </c>
      <c r="D1034" s="116">
        <v>733</v>
      </c>
      <c r="E1034" s="116">
        <v>745</v>
      </c>
      <c r="F1034" s="116">
        <v>734.7</v>
      </c>
      <c r="G1034">
        <v>447430</v>
      </c>
      <c r="H1034" s="116"/>
      <c r="I1034" s="116"/>
      <c r="L1034" s="170">
        <v>43523</v>
      </c>
      <c r="M1034" s="116">
        <v>735.25</v>
      </c>
      <c r="N1034" s="116">
        <v>746.4</v>
      </c>
      <c r="O1034" s="116">
        <v>732.75</v>
      </c>
      <c r="P1034" s="116">
        <v>745</v>
      </c>
      <c r="Q1034" s="116">
        <v>735.25</v>
      </c>
      <c r="R1034">
        <v>5936354</v>
      </c>
    </row>
    <row r="1035" spans="1:18" x14ac:dyDescent="0.25">
      <c r="A1035" s="170">
        <v>43524</v>
      </c>
      <c r="B1035" s="116">
        <v>742</v>
      </c>
      <c r="C1035" s="116">
        <v>733.95</v>
      </c>
      <c r="D1035" s="116">
        <v>732.1</v>
      </c>
      <c r="E1035" s="116">
        <v>735.15</v>
      </c>
      <c r="F1035" s="116">
        <v>733.95</v>
      </c>
      <c r="G1035">
        <v>212699</v>
      </c>
      <c r="H1035" s="116"/>
      <c r="I1035" s="116"/>
      <c r="L1035" s="170">
        <v>43524</v>
      </c>
      <c r="M1035" s="116">
        <v>734.3</v>
      </c>
      <c r="N1035" s="116">
        <v>742.4</v>
      </c>
      <c r="O1035" s="116">
        <v>732.3</v>
      </c>
      <c r="P1035" s="116">
        <v>738.7</v>
      </c>
      <c r="Q1035" s="116">
        <v>734.3</v>
      </c>
      <c r="R1035">
        <v>8559921</v>
      </c>
    </row>
    <row r="1036" spans="1:18" x14ac:dyDescent="0.25">
      <c r="A1036" s="170">
        <v>43525</v>
      </c>
      <c r="B1036" s="116">
        <v>742.35</v>
      </c>
      <c r="C1036" s="116">
        <v>741.15</v>
      </c>
      <c r="D1036" s="116">
        <v>735.55</v>
      </c>
      <c r="E1036" s="116">
        <v>737.8</v>
      </c>
      <c r="F1036" s="116">
        <v>741.15</v>
      </c>
      <c r="G1036">
        <v>237031</v>
      </c>
      <c r="H1036" s="116"/>
      <c r="I1036" s="116"/>
      <c r="L1036" s="170">
        <v>43525</v>
      </c>
      <c r="M1036" s="116">
        <v>741.9</v>
      </c>
      <c r="N1036" s="116">
        <v>743.4</v>
      </c>
      <c r="O1036" s="116">
        <v>735.5</v>
      </c>
      <c r="P1036" s="116">
        <v>735.5</v>
      </c>
      <c r="Q1036" s="116">
        <v>741.9</v>
      </c>
      <c r="R1036">
        <v>3998826</v>
      </c>
    </row>
    <row r="1037" spans="1:18" x14ac:dyDescent="0.25">
      <c r="A1037" s="170">
        <v>43529</v>
      </c>
      <c r="B1037" s="116">
        <v>742.55</v>
      </c>
      <c r="C1037" s="116">
        <v>732.6</v>
      </c>
      <c r="D1037" s="116">
        <v>730</v>
      </c>
      <c r="E1037" s="116">
        <v>742</v>
      </c>
      <c r="F1037" s="116">
        <v>732.6</v>
      </c>
      <c r="G1037">
        <v>227036</v>
      </c>
      <c r="H1037" s="116"/>
      <c r="I1037" s="116"/>
      <c r="L1037" s="170">
        <v>43529</v>
      </c>
      <c r="M1037" s="116">
        <v>732.5</v>
      </c>
      <c r="N1037" s="116">
        <v>742.5</v>
      </c>
      <c r="O1037" s="116">
        <v>730.25</v>
      </c>
      <c r="P1037" s="116">
        <v>740.5</v>
      </c>
      <c r="Q1037" s="116">
        <v>732.5</v>
      </c>
      <c r="R1037">
        <v>4826505</v>
      </c>
    </row>
    <row r="1038" spans="1:18" x14ac:dyDescent="0.25">
      <c r="A1038" s="170">
        <v>43530</v>
      </c>
      <c r="B1038" s="116">
        <v>736.9</v>
      </c>
      <c r="C1038" s="116">
        <v>732.2</v>
      </c>
      <c r="D1038" s="116">
        <v>727.1</v>
      </c>
      <c r="E1038" s="116">
        <v>735</v>
      </c>
      <c r="F1038" s="116">
        <v>732.2</v>
      </c>
      <c r="G1038">
        <v>517663</v>
      </c>
      <c r="H1038" s="116"/>
      <c r="I1038" s="116"/>
      <c r="L1038" s="170">
        <v>43530</v>
      </c>
      <c r="M1038" s="116">
        <v>732.5</v>
      </c>
      <c r="N1038" s="116">
        <v>736.1</v>
      </c>
      <c r="O1038" s="116">
        <v>727</v>
      </c>
      <c r="P1038" s="116">
        <v>736.1</v>
      </c>
      <c r="Q1038" s="116">
        <v>732.5</v>
      </c>
      <c r="R1038">
        <v>6076668</v>
      </c>
    </row>
    <row r="1039" spans="1:18" x14ac:dyDescent="0.25">
      <c r="A1039" s="170">
        <v>43531</v>
      </c>
      <c r="B1039" s="116">
        <v>735.5</v>
      </c>
      <c r="C1039" s="116">
        <v>723.25</v>
      </c>
      <c r="D1039" s="116">
        <v>720.75</v>
      </c>
      <c r="E1039" s="116">
        <v>735</v>
      </c>
      <c r="F1039" s="116">
        <v>723.25</v>
      </c>
      <c r="G1039">
        <v>538547</v>
      </c>
      <c r="H1039" s="116"/>
      <c r="I1039" s="116"/>
      <c r="L1039" s="170">
        <v>43531</v>
      </c>
      <c r="M1039" s="116">
        <v>722.95</v>
      </c>
      <c r="N1039" s="116">
        <v>734.5</v>
      </c>
      <c r="O1039" s="116">
        <v>720.55</v>
      </c>
      <c r="P1039" s="116">
        <v>734</v>
      </c>
      <c r="Q1039" s="116">
        <v>722.95</v>
      </c>
      <c r="R1039">
        <v>5951551</v>
      </c>
    </row>
    <row r="1040" spans="1:18" x14ac:dyDescent="0.25">
      <c r="A1040" s="170">
        <v>43532</v>
      </c>
      <c r="B1040" s="116">
        <v>725.9</v>
      </c>
      <c r="C1040" s="116">
        <v>712.55</v>
      </c>
      <c r="D1040" s="116">
        <v>711.1</v>
      </c>
      <c r="E1040" s="116">
        <v>723.25</v>
      </c>
      <c r="F1040" s="116">
        <v>712.55</v>
      </c>
      <c r="G1040">
        <v>418002</v>
      </c>
      <c r="H1040" s="116"/>
      <c r="I1040" s="116"/>
      <c r="L1040" s="170">
        <v>43532</v>
      </c>
      <c r="M1040" s="116">
        <v>712.35</v>
      </c>
      <c r="N1040" s="116">
        <v>722.95</v>
      </c>
      <c r="O1040" s="116">
        <v>710.65</v>
      </c>
      <c r="P1040" s="116">
        <v>722.95</v>
      </c>
      <c r="Q1040" s="116">
        <v>712.35</v>
      </c>
      <c r="R1040">
        <v>7193994</v>
      </c>
    </row>
    <row r="1041" spans="1:18" x14ac:dyDescent="0.25">
      <c r="A1041" s="170">
        <v>43535</v>
      </c>
      <c r="B1041" s="116">
        <v>718.2</v>
      </c>
      <c r="C1041" s="116">
        <v>711.65</v>
      </c>
      <c r="D1041" s="116">
        <v>709.2</v>
      </c>
      <c r="E1041" s="116">
        <v>713</v>
      </c>
      <c r="F1041" s="116">
        <v>711.65</v>
      </c>
      <c r="G1041">
        <v>1177665</v>
      </c>
      <c r="H1041" s="116"/>
      <c r="I1041" s="116"/>
      <c r="L1041" s="170">
        <v>43535</v>
      </c>
      <c r="M1041" s="116">
        <v>711.25</v>
      </c>
      <c r="N1041" s="116">
        <v>718.5</v>
      </c>
      <c r="O1041" s="116">
        <v>709.4</v>
      </c>
      <c r="P1041" s="116">
        <v>713.3</v>
      </c>
      <c r="Q1041" s="116">
        <v>711.25</v>
      </c>
      <c r="R1041">
        <v>9932198</v>
      </c>
    </row>
    <row r="1042" spans="1:18" x14ac:dyDescent="0.25">
      <c r="A1042" s="170">
        <v>43536</v>
      </c>
      <c r="B1042" s="116">
        <v>714.75</v>
      </c>
      <c r="C1042" s="116">
        <v>706.9</v>
      </c>
      <c r="D1042" s="116">
        <v>705.7</v>
      </c>
      <c r="E1042" s="116">
        <v>709.9</v>
      </c>
      <c r="F1042" s="116">
        <v>706.9</v>
      </c>
      <c r="G1042">
        <v>603082</v>
      </c>
      <c r="H1042" s="116"/>
      <c r="I1042" s="116"/>
      <c r="L1042" s="170">
        <v>43536</v>
      </c>
      <c r="M1042" s="116">
        <v>706.95</v>
      </c>
      <c r="N1042" s="116">
        <v>714.95</v>
      </c>
      <c r="O1042" s="116">
        <v>705.6</v>
      </c>
      <c r="P1042" s="116">
        <v>709</v>
      </c>
      <c r="Q1042" s="116">
        <v>706.95</v>
      </c>
      <c r="R1042">
        <v>11997387</v>
      </c>
    </row>
    <row r="1043" spans="1:18" x14ac:dyDescent="0.25">
      <c r="A1043" s="170">
        <v>43537</v>
      </c>
      <c r="B1043" s="116">
        <v>718.75</v>
      </c>
      <c r="C1043" s="116">
        <v>709.15</v>
      </c>
      <c r="D1043" s="116">
        <v>706.35</v>
      </c>
      <c r="E1043" s="116">
        <v>710</v>
      </c>
      <c r="F1043" s="116">
        <v>709.15</v>
      </c>
      <c r="G1043">
        <v>466106</v>
      </c>
      <c r="H1043" s="116"/>
      <c r="I1043" s="116"/>
      <c r="L1043" s="170">
        <v>43537</v>
      </c>
      <c r="M1043" s="116">
        <v>708.45</v>
      </c>
      <c r="N1043" s="116">
        <v>718.6</v>
      </c>
      <c r="O1043" s="116">
        <v>706.3</v>
      </c>
      <c r="P1043" s="116">
        <v>710</v>
      </c>
      <c r="Q1043" s="116">
        <v>708.45</v>
      </c>
      <c r="R1043">
        <v>11348867</v>
      </c>
    </row>
    <row r="1044" spans="1:18" x14ac:dyDescent="0.25">
      <c r="A1044" s="170">
        <v>43538</v>
      </c>
      <c r="B1044" s="116">
        <v>715</v>
      </c>
      <c r="C1044" s="116">
        <v>708.35</v>
      </c>
      <c r="D1044" s="116">
        <v>706.3</v>
      </c>
      <c r="E1044" s="116">
        <v>714</v>
      </c>
      <c r="F1044" s="116">
        <v>708.35</v>
      </c>
      <c r="G1044">
        <v>351044</v>
      </c>
      <c r="H1044" s="116"/>
      <c r="I1044" s="116"/>
      <c r="L1044" s="170">
        <v>43538</v>
      </c>
      <c r="M1044" s="116">
        <v>708.35</v>
      </c>
      <c r="N1044" s="116">
        <v>714.9</v>
      </c>
      <c r="O1044" s="116">
        <v>706.2</v>
      </c>
      <c r="P1044" s="116">
        <v>714</v>
      </c>
      <c r="Q1044" s="116">
        <v>708.35</v>
      </c>
      <c r="R1044">
        <v>6415187</v>
      </c>
    </row>
    <row r="1045" spans="1:18" x14ac:dyDescent="0.25">
      <c r="A1045" s="170">
        <v>43539</v>
      </c>
      <c r="B1045" s="116">
        <v>723.65</v>
      </c>
      <c r="C1045" s="116">
        <v>718.85</v>
      </c>
      <c r="D1045" s="116">
        <v>709.15</v>
      </c>
      <c r="E1045" s="116">
        <v>712.85</v>
      </c>
      <c r="F1045" s="116">
        <v>718.85</v>
      </c>
      <c r="G1045">
        <v>806656</v>
      </c>
      <c r="H1045" s="116"/>
      <c r="I1045" s="116"/>
      <c r="L1045" s="170">
        <v>43539</v>
      </c>
      <c r="M1045" s="116">
        <v>718.55</v>
      </c>
      <c r="N1045" s="116">
        <v>723.75</v>
      </c>
      <c r="O1045" s="116">
        <v>709.6</v>
      </c>
      <c r="P1045" s="116">
        <v>712</v>
      </c>
      <c r="Q1045" s="116">
        <v>718.55</v>
      </c>
      <c r="R1045">
        <v>14638664</v>
      </c>
    </row>
    <row r="1046" spans="1:18" x14ac:dyDescent="0.25">
      <c r="A1046" s="170">
        <v>43542</v>
      </c>
      <c r="B1046" s="116">
        <v>723.85</v>
      </c>
      <c r="C1046" s="116">
        <v>709.75</v>
      </c>
      <c r="D1046" s="116">
        <v>705.65</v>
      </c>
      <c r="E1046" s="116">
        <v>723.45</v>
      </c>
      <c r="F1046" s="116">
        <v>709.75</v>
      </c>
      <c r="G1046">
        <v>866618</v>
      </c>
      <c r="H1046" s="116"/>
      <c r="I1046" s="116"/>
      <c r="L1046" s="170">
        <v>43542</v>
      </c>
      <c r="M1046" s="116">
        <v>710.2</v>
      </c>
      <c r="N1046" s="116">
        <v>723.7</v>
      </c>
      <c r="O1046" s="116">
        <v>705.35</v>
      </c>
      <c r="P1046" s="116">
        <v>721.55</v>
      </c>
      <c r="Q1046" s="116">
        <v>710.2</v>
      </c>
      <c r="R1046">
        <v>8065544</v>
      </c>
    </row>
    <row r="1047" spans="1:18" x14ac:dyDescent="0.25">
      <c r="A1047" s="170">
        <v>43543</v>
      </c>
      <c r="B1047" s="116">
        <v>725.9</v>
      </c>
      <c r="C1047" s="116">
        <v>721.5</v>
      </c>
      <c r="D1047" s="116">
        <v>707.8</v>
      </c>
      <c r="E1047" s="116">
        <v>713</v>
      </c>
      <c r="F1047" s="116">
        <v>721.5</v>
      </c>
      <c r="G1047">
        <v>686131</v>
      </c>
      <c r="H1047" s="116"/>
      <c r="I1047" s="116"/>
      <c r="L1047" s="170">
        <v>43543</v>
      </c>
      <c r="M1047" s="116">
        <v>722.25</v>
      </c>
      <c r="N1047" s="116">
        <v>726.5</v>
      </c>
      <c r="O1047" s="116">
        <v>707.4</v>
      </c>
      <c r="P1047" s="116">
        <v>712.8</v>
      </c>
      <c r="Q1047" s="116">
        <v>722.25</v>
      </c>
      <c r="R1047">
        <v>8917337</v>
      </c>
    </row>
    <row r="1048" spans="1:18" x14ac:dyDescent="0.25">
      <c r="A1048" s="170">
        <v>43544</v>
      </c>
      <c r="B1048" s="116">
        <v>742</v>
      </c>
      <c r="C1048" s="116">
        <v>738.5</v>
      </c>
      <c r="D1048" s="116">
        <v>726.2</v>
      </c>
      <c r="E1048" s="116">
        <v>726.2</v>
      </c>
      <c r="F1048" s="116">
        <v>738.5</v>
      </c>
      <c r="G1048">
        <v>976004</v>
      </c>
      <c r="H1048" s="116"/>
      <c r="I1048" s="116"/>
      <c r="L1048" s="170">
        <v>43544</v>
      </c>
      <c r="M1048" s="116">
        <v>738.95</v>
      </c>
      <c r="N1048" s="116">
        <v>742.3</v>
      </c>
      <c r="O1048" s="116">
        <v>727.15</v>
      </c>
      <c r="P1048" s="116">
        <v>727.25</v>
      </c>
      <c r="Q1048" s="116">
        <v>738.95</v>
      </c>
      <c r="R1048">
        <v>13471173</v>
      </c>
    </row>
    <row r="1049" spans="1:18" x14ac:dyDescent="0.25">
      <c r="A1049" s="170">
        <v>43546</v>
      </c>
      <c r="B1049" s="116">
        <v>746.1</v>
      </c>
      <c r="C1049" s="116">
        <v>742.15</v>
      </c>
      <c r="D1049" s="116">
        <v>733.1</v>
      </c>
      <c r="E1049" s="116">
        <v>743.35</v>
      </c>
      <c r="F1049" s="116">
        <v>742.15</v>
      </c>
      <c r="G1049">
        <v>371377</v>
      </c>
      <c r="H1049" s="116"/>
      <c r="I1049" s="116"/>
      <c r="L1049" s="170">
        <v>43546</v>
      </c>
      <c r="M1049" s="116">
        <v>743.1</v>
      </c>
      <c r="N1049" s="116">
        <v>746.35</v>
      </c>
      <c r="O1049" s="116">
        <v>732.3</v>
      </c>
      <c r="P1049" s="116">
        <v>745</v>
      </c>
      <c r="Q1049" s="116">
        <v>743.1</v>
      </c>
      <c r="R1049">
        <v>8883260</v>
      </c>
    </row>
    <row r="1050" spans="1:18" x14ac:dyDescent="0.25">
      <c r="A1050" s="170">
        <v>43549</v>
      </c>
      <c r="B1050" s="116">
        <v>742</v>
      </c>
      <c r="C1050" s="116">
        <v>735.8</v>
      </c>
      <c r="D1050" s="116">
        <v>731.5</v>
      </c>
      <c r="E1050" s="116">
        <v>741</v>
      </c>
      <c r="F1050" s="116">
        <v>735.8</v>
      </c>
      <c r="G1050">
        <v>2496241</v>
      </c>
      <c r="H1050" s="116"/>
      <c r="I1050" s="116"/>
      <c r="L1050" s="170">
        <v>43549</v>
      </c>
      <c r="M1050" s="116">
        <v>735.25</v>
      </c>
      <c r="N1050" s="116">
        <v>742.4</v>
      </c>
      <c r="O1050" s="116">
        <v>730.55</v>
      </c>
      <c r="P1050" s="116">
        <v>742.4</v>
      </c>
      <c r="Q1050" s="116">
        <v>735.25</v>
      </c>
      <c r="R1050">
        <v>7644966</v>
      </c>
    </row>
    <row r="1051" spans="1:18" x14ac:dyDescent="0.25">
      <c r="A1051" s="170">
        <v>43550</v>
      </c>
      <c r="B1051" s="116">
        <v>736</v>
      </c>
      <c r="C1051" s="116">
        <v>726.75</v>
      </c>
      <c r="D1051" s="116">
        <v>719.6</v>
      </c>
      <c r="E1051" s="116">
        <v>736</v>
      </c>
      <c r="F1051" s="116">
        <v>726.75</v>
      </c>
      <c r="G1051">
        <v>438405</v>
      </c>
      <c r="H1051" s="116"/>
      <c r="I1051" s="116"/>
      <c r="L1051" s="170">
        <v>43550</v>
      </c>
      <c r="M1051" s="116">
        <v>727.75</v>
      </c>
      <c r="N1051" s="116">
        <v>735.25</v>
      </c>
      <c r="O1051" s="116">
        <v>719.1</v>
      </c>
      <c r="P1051" s="116">
        <v>735.25</v>
      </c>
      <c r="Q1051" s="116">
        <v>727.75</v>
      </c>
      <c r="R1051">
        <v>9406261</v>
      </c>
    </row>
    <row r="1052" spans="1:18" x14ac:dyDescent="0.25">
      <c r="A1052" s="170">
        <v>43551</v>
      </c>
      <c r="B1052" s="116">
        <v>732.4</v>
      </c>
      <c r="C1052" s="116">
        <v>729.05</v>
      </c>
      <c r="D1052" s="116">
        <v>726.25</v>
      </c>
      <c r="E1052" s="116">
        <v>728</v>
      </c>
      <c r="F1052" s="116">
        <v>729.05</v>
      </c>
      <c r="G1052">
        <v>369947</v>
      </c>
      <c r="H1052" s="116"/>
      <c r="I1052" s="116"/>
      <c r="L1052" s="170">
        <v>43551</v>
      </c>
      <c r="M1052" s="116">
        <v>729.7</v>
      </c>
      <c r="N1052" s="116">
        <v>732.3</v>
      </c>
      <c r="O1052" s="116">
        <v>727.15</v>
      </c>
      <c r="P1052" s="116">
        <v>730</v>
      </c>
      <c r="Q1052" s="116">
        <v>729.7</v>
      </c>
      <c r="R1052">
        <v>7387487</v>
      </c>
    </row>
    <row r="1053" spans="1:18" x14ac:dyDescent="0.25">
      <c r="A1053" s="170">
        <v>43552</v>
      </c>
      <c r="B1053" s="116">
        <v>745</v>
      </c>
      <c r="C1053" s="116">
        <v>738.5</v>
      </c>
      <c r="D1053" s="116">
        <v>730</v>
      </c>
      <c r="E1053" s="116">
        <v>730</v>
      </c>
      <c r="F1053" s="116">
        <v>738.5</v>
      </c>
      <c r="G1053">
        <v>428974</v>
      </c>
      <c r="H1053" s="116"/>
      <c r="I1053" s="116"/>
      <c r="L1053" s="170">
        <v>43552</v>
      </c>
      <c r="M1053" s="116">
        <v>737.8</v>
      </c>
      <c r="N1053" s="116">
        <v>745</v>
      </c>
      <c r="O1053" s="116">
        <v>730</v>
      </c>
      <c r="P1053" s="116">
        <v>730</v>
      </c>
      <c r="Q1053" s="116">
        <v>737.8</v>
      </c>
      <c r="R1053">
        <v>9277241</v>
      </c>
    </row>
    <row r="1054" spans="1:18" x14ac:dyDescent="0.25">
      <c r="A1054" s="170">
        <v>43553</v>
      </c>
      <c r="B1054" s="116">
        <v>747.65</v>
      </c>
      <c r="C1054" s="116">
        <v>742.3</v>
      </c>
      <c r="D1054" s="116">
        <v>740</v>
      </c>
      <c r="E1054" s="116">
        <v>742</v>
      </c>
      <c r="F1054" s="116">
        <v>742.3</v>
      </c>
      <c r="G1054">
        <v>388054</v>
      </c>
      <c r="H1054" s="116"/>
      <c r="I1054" s="116"/>
      <c r="L1054" s="170">
        <v>43553</v>
      </c>
      <c r="M1054" s="116">
        <v>743.85</v>
      </c>
      <c r="N1054" s="116">
        <v>747.95</v>
      </c>
      <c r="O1054" s="116">
        <v>740</v>
      </c>
      <c r="P1054" s="116">
        <v>743.9</v>
      </c>
      <c r="Q1054" s="116">
        <v>743.85</v>
      </c>
      <c r="R1054">
        <v>6924061</v>
      </c>
    </row>
    <row r="1055" spans="1:18" x14ac:dyDescent="0.25">
      <c r="A1055" s="170">
        <v>43556</v>
      </c>
      <c r="B1055" s="116">
        <v>759.6</v>
      </c>
      <c r="C1055" s="116">
        <v>755.65</v>
      </c>
      <c r="D1055" s="116">
        <v>742.9</v>
      </c>
      <c r="E1055" s="116">
        <v>742.9</v>
      </c>
      <c r="F1055" s="116">
        <v>755.65</v>
      </c>
      <c r="G1055">
        <v>1913427</v>
      </c>
      <c r="H1055" s="116"/>
      <c r="I1055" s="116"/>
      <c r="L1055" s="170">
        <v>43556</v>
      </c>
      <c r="M1055" s="116">
        <v>755.1</v>
      </c>
      <c r="N1055" s="116">
        <v>760</v>
      </c>
      <c r="O1055" s="116">
        <v>742</v>
      </c>
      <c r="P1055" s="116">
        <v>742</v>
      </c>
      <c r="Q1055" s="116">
        <v>755.1</v>
      </c>
      <c r="R1055">
        <v>6584982</v>
      </c>
    </row>
    <row r="1056" spans="1:18" x14ac:dyDescent="0.25">
      <c r="A1056" s="170">
        <v>43557</v>
      </c>
      <c r="B1056" s="116">
        <v>765.45</v>
      </c>
      <c r="C1056" s="116">
        <v>757.1</v>
      </c>
      <c r="D1056" s="116">
        <v>753.1</v>
      </c>
      <c r="E1056" s="116">
        <v>757.5</v>
      </c>
      <c r="F1056" s="116">
        <v>757.1</v>
      </c>
      <c r="G1056">
        <v>877816</v>
      </c>
      <c r="H1056" s="116"/>
      <c r="I1056" s="116"/>
      <c r="L1056" s="170">
        <v>43557</v>
      </c>
      <c r="M1056" s="116">
        <v>759.4</v>
      </c>
      <c r="N1056" s="116">
        <v>765.8</v>
      </c>
      <c r="O1056" s="116">
        <v>754.6</v>
      </c>
      <c r="P1056" s="116">
        <v>759</v>
      </c>
      <c r="Q1056" s="116">
        <v>759.4</v>
      </c>
      <c r="R1056">
        <v>7283600</v>
      </c>
    </row>
    <row r="1057" spans="1:18" x14ac:dyDescent="0.25">
      <c r="A1057" s="170">
        <v>43558</v>
      </c>
      <c r="B1057" s="116">
        <v>759.05</v>
      </c>
      <c r="C1057" s="116">
        <v>754.05</v>
      </c>
      <c r="D1057" s="116">
        <v>747</v>
      </c>
      <c r="E1057" s="116">
        <v>759</v>
      </c>
      <c r="F1057" s="116">
        <v>754.05</v>
      </c>
      <c r="G1057">
        <v>580434</v>
      </c>
      <c r="H1057" s="116"/>
      <c r="I1057" s="116"/>
      <c r="L1057" s="170">
        <v>43558</v>
      </c>
      <c r="M1057" s="116">
        <v>753.3</v>
      </c>
      <c r="N1057" s="116">
        <v>758.5</v>
      </c>
      <c r="O1057" s="116">
        <v>746.8</v>
      </c>
      <c r="P1057" s="116">
        <v>756</v>
      </c>
      <c r="Q1057" s="116">
        <v>753.3</v>
      </c>
      <c r="R1057">
        <v>6897127</v>
      </c>
    </row>
    <row r="1058" spans="1:18" x14ac:dyDescent="0.25">
      <c r="A1058" s="170">
        <v>43559</v>
      </c>
      <c r="B1058" s="116">
        <v>753.8</v>
      </c>
      <c r="C1058" s="116">
        <v>748.25</v>
      </c>
      <c r="D1058" s="116">
        <v>745.5</v>
      </c>
      <c r="E1058" s="116">
        <v>751.95</v>
      </c>
      <c r="F1058" s="116">
        <v>748.25</v>
      </c>
      <c r="G1058">
        <v>246998</v>
      </c>
      <c r="H1058" s="116"/>
      <c r="I1058" s="116"/>
      <c r="L1058" s="170">
        <v>43559</v>
      </c>
      <c r="M1058" s="116">
        <v>747.9</v>
      </c>
      <c r="N1058" s="116">
        <v>753.8</v>
      </c>
      <c r="O1058" s="116">
        <v>745.1</v>
      </c>
      <c r="P1058" s="116">
        <v>751.4</v>
      </c>
      <c r="Q1058" s="116">
        <v>747.9</v>
      </c>
      <c r="R1058">
        <v>7688525</v>
      </c>
    </row>
    <row r="1059" spans="1:18" x14ac:dyDescent="0.25">
      <c r="A1059" s="170">
        <v>43560</v>
      </c>
      <c r="B1059" s="116">
        <v>760.5</v>
      </c>
      <c r="C1059" s="116">
        <v>756.25</v>
      </c>
      <c r="D1059" s="116">
        <v>748.25</v>
      </c>
      <c r="E1059" s="116">
        <v>750</v>
      </c>
      <c r="F1059" s="116">
        <v>756.25</v>
      </c>
      <c r="G1059">
        <v>1341969</v>
      </c>
      <c r="H1059" s="116"/>
      <c r="I1059" s="116"/>
      <c r="L1059" s="170">
        <v>43560</v>
      </c>
      <c r="M1059" s="116">
        <v>759.3</v>
      </c>
      <c r="N1059" s="116">
        <v>760.95</v>
      </c>
      <c r="O1059" s="116">
        <v>748</v>
      </c>
      <c r="P1059" s="116">
        <v>750.9</v>
      </c>
      <c r="Q1059" s="116">
        <v>759.3</v>
      </c>
      <c r="R1059">
        <v>6276040</v>
      </c>
    </row>
    <row r="1060" spans="1:18" x14ac:dyDescent="0.25">
      <c r="A1060" s="170">
        <v>43563</v>
      </c>
      <c r="B1060" s="116">
        <v>769.95</v>
      </c>
      <c r="C1060" s="116">
        <v>767.15</v>
      </c>
      <c r="D1060" s="116">
        <v>755.95</v>
      </c>
      <c r="E1060" s="116">
        <v>762.3</v>
      </c>
      <c r="F1060" s="116">
        <v>767.15</v>
      </c>
      <c r="G1060">
        <v>314102</v>
      </c>
      <c r="H1060" s="116"/>
      <c r="I1060" s="116"/>
      <c r="L1060" s="170">
        <v>43563</v>
      </c>
      <c r="M1060" s="116">
        <v>767.25</v>
      </c>
      <c r="N1060" s="116">
        <v>770</v>
      </c>
      <c r="O1060" s="116">
        <v>755.4</v>
      </c>
      <c r="P1060" s="116">
        <v>763.05</v>
      </c>
      <c r="Q1060" s="116">
        <v>767.25</v>
      </c>
      <c r="R1060">
        <v>4919911</v>
      </c>
    </row>
    <row r="1061" spans="1:18" x14ac:dyDescent="0.25">
      <c r="A1061" s="170">
        <v>43564</v>
      </c>
      <c r="B1061" s="116">
        <v>773.65</v>
      </c>
      <c r="C1061" s="116">
        <v>759.85</v>
      </c>
      <c r="D1061" s="116">
        <v>758.3</v>
      </c>
      <c r="E1061" s="116">
        <v>770</v>
      </c>
      <c r="F1061" s="116">
        <v>759.85</v>
      </c>
      <c r="G1061">
        <v>336826</v>
      </c>
      <c r="H1061" s="116"/>
      <c r="I1061" s="116"/>
      <c r="L1061" s="170">
        <v>43564</v>
      </c>
      <c r="M1061" s="116">
        <v>760.6</v>
      </c>
      <c r="N1061" s="116">
        <v>773</v>
      </c>
      <c r="O1061" s="116">
        <v>758.2</v>
      </c>
      <c r="P1061" s="116">
        <v>770</v>
      </c>
      <c r="Q1061" s="116">
        <v>760.6</v>
      </c>
      <c r="R1061">
        <v>6730692</v>
      </c>
    </row>
    <row r="1062" spans="1:18" x14ac:dyDescent="0.25">
      <c r="A1062" s="170">
        <v>43565</v>
      </c>
      <c r="B1062" s="116">
        <v>766.5</v>
      </c>
      <c r="C1062" s="116">
        <v>754.15</v>
      </c>
      <c r="D1062" s="116">
        <v>752.7</v>
      </c>
      <c r="E1062" s="116">
        <v>763</v>
      </c>
      <c r="F1062" s="116">
        <v>754.15</v>
      </c>
      <c r="G1062">
        <v>325180</v>
      </c>
      <c r="H1062" s="116"/>
      <c r="I1062" s="116"/>
      <c r="L1062" s="170">
        <v>43565</v>
      </c>
      <c r="M1062" s="116">
        <v>752.7</v>
      </c>
      <c r="N1062" s="116">
        <v>766.7</v>
      </c>
      <c r="O1062" s="116">
        <v>751.3</v>
      </c>
      <c r="P1062" s="116">
        <v>764</v>
      </c>
      <c r="Q1062" s="116">
        <v>752.7</v>
      </c>
      <c r="R1062">
        <v>7031088</v>
      </c>
    </row>
    <row r="1063" spans="1:18" x14ac:dyDescent="0.25">
      <c r="A1063" s="170">
        <v>43566</v>
      </c>
      <c r="B1063" s="116">
        <v>753</v>
      </c>
      <c r="C1063" s="116">
        <v>743.15</v>
      </c>
      <c r="D1063" s="116">
        <v>740.05</v>
      </c>
      <c r="E1063" s="116">
        <v>753</v>
      </c>
      <c r="F1063" s="116">
        <v>743.15</v>
      </c>
      <c r="G1063">
        <v>375859</v>
      </c>
      <c r="H1063" s="116"/>
      <c r="I1063" s="116"/>
      <c r="L1063" s="170">
        <v>43566</v>
      </c>
      <c r="M1063" s="116">
        <v>742.7</v>
      </c>
      <c r="N1063" s="116">
        <v>751.75</v>
      </c>
      <c r="O1063" s="116">
        <v>740.05</v>
      </c>
      <c r="P1063" s="116">
        <v>751.75</v>
      </c>
      <c r="Q1063" s="116">
        <v>742.7</v>
      </c>
      <c r="R1063">
        <v>8200995</v>
      </c>
    </row>
    <row r="1064" spans="1:18" x14ac:dyDescent="0.25">
      <c r="A1064" s="170">
        <v>43567</v>
      </c>
      <c r="B1064" s="116">
        <v>751.5</v>
      </c>
      <c r="C1064" s="116">
        <v>747.85</v>
      </c>
      <c r="D1064" s="116">
        <v>741</v>
      </c>
      <c r="E1064" s="116">
        <v>746</v>
      </c>
      <c r="F1064" s="116">
        <v>747.85</v>
      </c>
      <c r="G1064">
        <v>385220</v>
      </c>
      <c r="H1064" s="116"/>
      <c r="I1064" s="116"/>
      <c r="L1064" s="170">
        <v>43567</v>
      </c>
      <c r="M1064" s="116">
        <v>747.75</v>
      </c>
      <c r="N1064" s="116">
        <v>751.55</v>
      </c>
      <c r="O1064" s="116">
        <v>740.6</v>
      </c>
      <c r="P1064" s="116">
        <v>743.1</v>
      </c>
      <c r="Q1064" s="116">
        <v>747.75</v>
      </c>
      <c r="R1064">
        <v>7043212</v>
      </c>
    </row>
    <row r="1065" spans="1:18" x14ac:dyDescent="0.25">
      <c r="A1065" s="170">
        <v>43570</v>
      </c>
      <c r="B1065" s="116">
        <v>732</v>
      </c>
      <c r="C1065" s="116">
        <v>726.65</v>
      </c>
      <c r="D1065" s="116">
        <v>713.7</v>
      </c>
      <c r="E1065" s="116">
        <v>725</v>
      </c>
      <c r="F1065" s="116">
        <v>726.65</v>
      </c>
      <c r="G1065">
        <v>1070699</v>
      </c>
      <c r="H1065" s="116"/>
      <c r="I1065" s="116"/>
      <c r="L1065" s="170">
        <v>43570</v>
      </c>
      <c r="M1065" s="116">
        <v>727.5</v>
      </c>
      <c r="N1065" s="116">
        <v>731.35</v>
      </c>
      <c r="O1065" s="116">
        <v>712.6</v>
      </c>
      <c r="P1065" s="116">
        <v>724.7</v>
      </c>
      <c r="Q1065" s="116">
        <v>727.5</v>
      </c>
      <c r="R1065">
        <v>31574803</v>
      </c>
    </row>
    <row r="1066" spans="1:18" x14ac:dyDescent="0.25">
      <c r="A1066" s="170">
        <v>43571</v>
      </c>
      <c r="B1066" s="116">
        <v>728.5</v>
      </c>
      <c r="C1066" s="116">
        <v>723.85</v>
      </c>
      <c r="D1066" s="116">
        <v>714.55</v>
      </c>
      <c r="E1066" s="116">
        <v>728.3</v>
      </c>
      <c r="F1066" s="116">
        <v>723.85</v>
      </c>
      <c r="G1066">
        <v>661281</v>
      </c>
      <c r="H1066" s="116"/>
      <c r="I1066" s="116"/>
      <c r="L1066" s="170">
        <v>43571</v>
      </c>
      <c r="M1066" s="116">
        <v>724.1</v>
      </c>
      <c r="N1066" s="116">
        <v>727.9</v>
      </c>
      <c r="O1066" s="116">
        <v>714.1</v>
      </c>
      <c r="P1066" s="116">
        <v>727.9</v>
      </c>
      <c r="Q1066" s="116">
        <v>724.1</v>
      </c>
      <c r="R1066">
        <v>12524411</v>
      </c>
    </row>
    <row r="1067" spans="1:18" x14ac:dyDescent="0.25">
      <c r="A1067" s="170">
        <v>43573</v>
      </c>
      <c r="B1067" s="116">
        <v>724.85</v>
      </c>
      <c r="C1067" s="116">
        <v>716.4</v>
      </c>
      <c r="D1067" s="116">
        <v>713</v>
      </c>
      <c r="E1067" s="116">
        <v>724.85</v>
      </c>
      <c r="F1067" s="116">
        <v>716.4</v>
      </c>
      <c r="G1067">
        <v>537060</v>
      </c>
      <c r="H1067" s="116"/>
      <c r="I1067" s="116"/>
      <c r="L1067" s="170">
        <v>43573</v>
      </c>
      <c r="M1067" s="116">
        <v>717.05</v>
      </c>
      <c r="N1067" s="116">
        <v>722.5</v>
      </c>
      <c r="O1067" s="116">
        <v>712.75</v>
      </c>
      <c r="P1067" s="116">
        <v>722.5</v>
      </c>
      <c r="Q1067" s="116">
        <v>717.05</v>
      </c>
      <c r="R1067">
        <v>13801105</v>
      </c>
    </row>
    <row r="1068" spans="1:18" x14ac:dyDescent="0.25">
      <c r="A1068" s="170">
        <v>43577</v>
      </c>
      <c r="B1068" s="116">
        <v>725.75</v>
      </c>
      <c r="C1068" s="116">
        <v>720.6</v>
      </c>
      <c r="D1068" s="116">
        <v>715</v>
      </c>
      <c r="E1068" s="116">
        <v>716.4</v>
      </c>
      <c r="F1068" s="116">
        <v>720.6</v>
      </c>
      <c r="G1068">
        <v>371246</v>
      </c>
      <c r="H1068" s="116"/>
      <c r="I1068" s="116"/>
      <c r="L1068" s="170">
        <v>43577</v>
      </c>
      <c r="M1068" s="116">
        <v>721.05</v>
      </c>
      <c r="N1068" s="116">
        <v>725.75</v>
      </c>
      <c r="O1068" s="116">
        <v>715</v>
      </c>
      <c r="P1068" s="116">
        <v>717.05</v>
      </c>
      <c r="Q1068" s="116">
        <v>721.05</v>
      </c>
      <c r="R1068">
        <v>6455426</v>
      </c>
    </row>
    <row r="1069" spans="1:18" x14ac:dyDescent="0.25">
      <c r="A1069" s="170">
        <v>43578</v>
      </c>
      <c r="B1069" s="116">
        <v>729.8</v>
      </c>
      <c r="C1069" s="116">
        <v>727.85</v>
      </c>
      <c r="D1069" s="116">
        <v>718.5</v>
      </c>
      <c r="E1069" s="116">
        <v>724</v>
      </c>
      <c r="F1069" s="116">
        <v>727.85</v>
      </c>
      <c r="G1069">
        <v>322190</v>
      </c>
      <c r="H1069" s="116"/>
      <c r="I1069" s="116"/>
      <c r="L1069" s="170">
        <v>43578</v>
      </c>
      <c r="M1069" s="116">
        <v>728.2</v>
      </c>
      <c r="N1069" s="116">
        <v>730</v>
      </c>
      <c r="O1069" s="116">
        <v>718.4</v>
      </c>
      <c r="P1069" s="116">
        <v>723.9</v>
      </c>
      <c r="Q1069" s="116">
        <v>728.2</v>
      </c>
      <c r="R1069">
        <v>5516668</v>
      </c>
    </row>
    <row r="1070" spans="1:18" x14ac:dyDescent="0.25">
      <c r="A1070" s="170">
        <v>43579</v>
      </c>
      <c r="B1070" s="116">
        <v>737.8</v>
      </c>
      <c r="C1070" s="116">
        <v>736.4</v>
      </c>
      <c r="D1070" s="116">
        <v>724.25</v>
      </c>
      <c r="E1070" s="116">
        <v>727.5</v>
      </c>
      <c r="F1070" s="116">
        <v>736.4</v>
      </c>
      <c r="G1070">
        <v>366957</v>
      </c>
      <c r="H1070" s="116"/>
      <c r="I1070" s="116"/>
      <c r="L1070" s="170">
        <v>43579</v>
      </c>
      <c r="M1070" s="116">
        <v>736.45</v>
      </c>
      <c r="N1070" s="116">
        <v>737.9</v>
      </c>
      <c r="O1070" s="116">
        <v>724</v>
      </c>
      <c r="P1070" s="116">
        <v>728.2</v>
      </c>
      <c r="Q1070" s="116">
        <v>736.45</v>
      </c>
      <c r="R1070">
        <v>8285120</v>
      </c>
    </row>
    <row r="1071" spans="1:18" x14ac:dyDescent="0.25">
      <c r="A1071" s="170">
        <v>43580</v>
      </c>
      <c r="B1071" s="116">
        <v>737.55</v>
      </c>
      <c r="C1071" s="116">
        <v>728.75</v>
      </c>
      <c r="D1071" s="116">
        <v>726</v>
      </c>
      <c r="E1071" s="116">
        <v>736.4</v>
      </c>
      <c r="F1071" s="116">
        <v>728.75</v>
      </c>
      <c r="G1071">
        <v>356999</v>
      </c>
      <c r="H1071" s="116"/>
      <c r="I1071" s="116"/>
      <c r="L1071" s="170">
        <v>43580</v>
      </c>
      <c r="M1071" s="116">
        <v>728.55</v>
      </c>
      <c r="N1071" s="116">
        <v>737.65</v>
      </c>
      <c r="O1071" s="116">
        <v>727.05</v>
      </c>
      <c r="P1071" s="116">
        <v>736.45</v>
      </c>
      <c r="Q1071" s="116">
        <v>728.55</v>
      </c>
      <c r="R1071">
        <v>8005235</v>
      </c>
    </row>
    <row r="1072" spans="1:18" x14ac:dyDescent="0.25">
      <c r="A1072" s="170">
        <v>43581</v>
      </c>
      <c r="B1072" s="116">
        <v>739.9</v>
      </c>
      <c r="C1072" s="116">
        <v>737.1</v>
      </c>
      <c r="D1072" s="116">
        <v>729.6</v>
      </c>
      <c r="E1072" s="116">
        <v>731</v>
      </c>
      <c r="F1072" s="116">
        <v>737.1</v>
      </c>
      <c r="G1072">
        <v>333801</v>
      </c>
      <c r="H1072" s="116"/>
      <c r="I1072" s="116"/>
      <c r="L1072" s="170">
        <v>43581</v>
      </c>
      <c r="M1072" s="116">
        <v>738</v>
      </c>
      <c r="N1072" s="116">
        <v>739.8</v>
      </c>
      <c r="O1072" s="116">
        <v>729</v>
      </c>
      <c r="P1072" s="116">
        <v>731</v>
      </c>
      <c r="Q1072" s="116">
        <v>738</v>
      </c>
      <c r="R1072">
        <v>6895168</v>
      </c>
    </row>
    <row r="1073" spans="1:18" x14ac:dyDescent="0.25">
      <c r="A1073" s="170">
        <v>43585</v>
      </c>
      <c r="B1073" s="116">
        <v>753</v>
      </c>
      <c r="C1073" s="116">
        <v>749.95</v>
      </c>
      <c r="D1073" s="116">
        <v>737.5</v>
      </c>
      <c r="E1073" s="116">
        <v>739</v>
      </c>
      <c r="F1073" s="116">
        <v>749.95</v>
      </c>
      <c r="G1073">
        <v>738883</v>
      </c>
      <c r="H1073" s="116"/>
      <c r="I1073" s="116"/>
      <c r="L1073" s="170">
        <v>43585</v>
      </c>
      <c r="M1073" s="116">
        <v>751.35</v>
      </c>
      <c r="N1073" s="116">
        <v>753.8</v>
      </c>
      <c r="O1073" s="116">
        <v>738</v>
      </c>
      <c r="P1073" s="116">
        <v>738</v>
      </c>
      <c r="Q1073" s="116">
        <v>751.35</v>
      </c>
      <c r="R1073">
        <v>9920046</v>
      </c>
    </row>
    <row r="1074" spans="1:18" x14ac:dyDescent="0.25">
      <c r="A1074" s="170">
        <v>43587</v>
      </c>
      <c r="B1074" s="116">
        <v>748.9</v>
      </c>
      <c r="C1074" s="116">
        <v>729.85</v>
      </c>
      <c r="D1074" s="116">
        <v>728.2</v>
      </c>
      <c r="E1074" s="116">
        <v>748.6</v>
      </c>
      <c r="F1074" s="116">
        <v>729.85</v>
      </c>
      <c r="G1074">
        <v>950252</v>
      </c>
      <c r="H1074" s="116"/>
      <c r="I1074" s="116"/>
      <c r="L1074" s="170">
        <v>43587</v>
      </c>
      <c r="M1074" s="116">
        <v>730.8</v>
      </c>
      <c r="N1074" s="116">
        <v>748.4</v>
      </c>
      <c r="O1074" s="116">
        <v>729.5</v>
      </c>
      <c r="P1074" s="116">
        <v>747</v>
      </c>
      <c r="Q1074" s="116">
        <v>730.8</v>
      </c>
      <c r="R1074">
        <v>6351352</v>
      </c>
    </row>
    <row r="1075" spans="1:18" x14ac:dyDescent="0.25">
      <c r="A1075" s="170">
        <v>43588</v>
      </c>
      <c r="B1075" s="116">
        <v>730.6</v>
      </c>
      <c r="C1075" s="116">
        <v>723.75</v>
      </c>
      <c r="D1075" s="116">
        <v>719</v>
      </c>
      <c r="E1075" s="116">
        <v>723.75</v>
      </c>
      <c r="F1075" s="116">
        <v>723.75</v>
      </c>
      <c r="G1075">
        <v>366567</v>
      </c>
      <c r="H1075" s="116"/>
      <c r="I1075" s="116"/>
      <c r="L1075" s="170">
        <v>43588</v>
      </c>
      <c r="M1075" s="116">
        <v>723.6</v>
      </c>
      <c r="N1075" s="116">
        <v>731</v>
      </c>
      <c r="O1075" s="116">
        <v>718.2</v>
      </c>
      <c r="P1075" s="116">
        <v>722.9</v>
      </c>
      <c r="Q1075" s="116">
        <v>723.6</v>
      </c>
      <c r="R1075">
        <v>6348116</v>
      </c>
    </row>
    <row r="1076" spans="1:18" x14ac:dyDescent="0.25">
      <c r="A1076" s="170">
        <v>43591</v>
      </c>
      <c r="B1076" s="116">
        <v>721.95</v>
      </c>
      <c r="C1076" s="116">
        <v>717.85</v>
      </c>
      <c r="D1076" s="116">
        <v>711.1</v>
      </c>
      <c r="E1076" s="116">
        <v>718.5</v>
      </c>
      <c r="F1076" s="116">
        <v>717.85</v>
      </c>
      <c r="G1076">
        <v>1029470</v>
      </c>
      <c r="H1076" s="116"/>
      <c r="I1076" s="116"/>
      <c r="L1076" s="170">
        <v>43591</v>
      </c>
      <c r="M1076" s="116">
        <v>718.4</v>
      </c>
      <c r="N1076" s="116">
        <v>721.8</v>
      </c>
      <c r="O1076" s="116">
        <v>710.65</v>
      </c>
      <c r="P1076" s="116">
        <v>715</v>
      </c>
      <c r="Q1076" s="116">
        <v>718.4</v>
      </c>
      <c r="R1076">
        <v>8858265</v>
      </c>
    </row>
    <row r="1077" spans="1:18" x14ac:dyDescent="0.25">
      <c r="A1077" s="170">
        <v>43592</v>
      </c>
      <c r="B1077" s="116">
        <v>727.4</v>
      </c>
      <c r="C1077" s="116">
        <v>723.55</v>
      </c>
      <c r="D1077" s="116">
        <v>719</v>
      </c>
      <c r="E1077" s="116">
        <v>720.05</v>
      </c>
      <c r="F1077" s="116">
        <v>723.55</v>
      </c>
      <c r="G1077">
        <v>497580</v>
      </c>
      <c r="H1077" s="116"/>
      <c r="I1077" s="116"/>
      <c r="L1077" s="170">
        <v>43592</v>
      </c>
      <c r="M1077" s="116">
        <v>724.55</v>
      </c>
      <c r="N1077" s="116">
        <v>727.9</v>
      </c>
      <c r="O1077" s="116">
        <v>718.7</v>
      </c>
      <c r="P1077" s="116">
        <v>720.4</v>
      </c>
      <c r="Q1077" s="116">
        <v>724.55</v>
      </c>
      <c r="R1077">
        <v>5747536</v>
      </c>
    </row>
    <row r="1078" spans="1:18" x14ac:dyDescent="0.25">
      <c r="A1078" s="170">
        <v>43593</v>
      </c>
      <c r="B1078" s="116">
        <v>725.95</v>
      </c>
      <c r="C1078" s="116">
        <v>718.1</v>
      </c>
      <c r="D1078" s="116">
        <v>716</v>
      </c>
      <c r="E1078" s="116">
        <v>724</v>
      </c>
      <c r="F1078" s="116">
        <v>718.1</v>
      </c>
      <c r="G1078">
        <v>440522</v>
      </c>
      <c r="H1078" s="116"/>
      <c r="I1078" s="116"/>
      <c r="L1078" s="170">
        <v>43593</v>
      </c>
      <c r="M1078" s="116">
        <v>719.35</v>
      </c>
      <c r="N1078" s="116">
        <v>726</v>
      </c>
      <c r="O1078" s="116">
        <v>716.5</v>
      </c>
      <c r="P1078" s="116">
        <v>721</v>
      </c>
      <c r="Q1078" s="116">
        <v>719.35</v>
      </c>
      <c r="R1078">
        <v>6247642</v>
      </c>
    </row>
    <row r="1079" spans="1:18" x14ac:dyDescent="0.25">
      <c r="A1079" s="170">
        <v>43594</v>
      </c>
      <c r="B1079" s="116">
        <v>730.35</v>
      </c>
      <c r="C1079" s="116">
        <v>721.05</v>
      </c>
      <c r="D1079" s="116">
        <v>716</v>
      </c>
      <c r="E1079" s="116">
        <v>721.7</v>
      </c>
      <c r="F1079" s="116">
        <v>721.05</v>
      </c>
      <c r="G1079">
        <v>543215</v>
      </c>
      <c r="H1079" s="116"/>
      <c r="I1079" s="116"/>
      <c r="L1079" s="170">
        <v>43594</v>
      </c>
      <c r="M1079" s="116">
        <v>721.05</v>
      </c>
      <c r="N1079" s="116">
        <v>730.3</v>
      </c>
      <c r="O1079" s="116">
        <v>715.8</v>
      </c>
      <c r="P1079" s="116">
        <v>719.15</v>
      </c>
      <c r="Q1079" s="116">
        <v>721.05</v>
      </c>
      <c r="R1079">
        <v>7396525</v>
      </c>
    </row>
    <row r="1080" spans="1:18" x14ac:dyDescent="0.25">
      <c r="A1080" s="170">
        <v>43595</v>
      </c>
      <c r="B1080" s="116">
        <v>723</v>
      </c>
      <c r="C1080" s="116">
        <v>716.05</v>
      </c>
      <c r="D1080" s="116">
        <v>714.5</v>
      </c>
      <c r="E1080" s="116">
        <v>723</v>
      </c>
      <c r="F1080" s="116">
        <v>716.05</v>
      </c>
      <c r="G1080">
        <v>521637</v>
      </c>
      <c r="H1080" s="116"/>
      <c r="I1080" s="116"/>
      <c r="L1080" s="170">
        <v>43595</v>
      </c>
      <c r="M1080" s="116">
        <v>716.85</v>
      </c>
      <c r="N1080" s="116">
        <v>726</v>
      </c>
      <c r="O1080" s="116">
        <v>715</v>
      </c>
      <c r="P1080" s="116">
        <v>720.8</v>
      </c>
      <c r="Q1080" s="116">
        <v>716.85</v>
      </c>
      <c r="R1080">
        <v>8352335</v>
      </c>
    </row>
    <row r="1081" spans="1:18" x14ac:dyDescent="0.25">
      <c r="A1081" s="170">
        <v>43598</v>
      </c>
      <c r="B1081" s="116">
        <v>727.5</v>
      </c>
      <c r="C1081" s="116">
        <v>720.05</v>
      </c>
      <c r="D1081" s="116">
        <v>712.8</v>
      </c>
      <c r="E1081" s="116">
        <v>718</v>
      </c>
      <c r="F1081" s="116">
        <v>720.05</v>
      </c>
      <c r="G1081">
        <v>397812</v>
      </c>
      <c r="H1081" s="116"/>
      <c r="I1081" s="116"/>
      <c r="L1081" s="170">
        <v>43598</v>
      </c>
      <c r="M1081" s="116">
        <v>719.7</v>
      </c>
      <c r="N1081" s="116">
        <v>726.45</v>
      </c>
      <c r="O1081" s="116">
        <v>712.1</v>
      </c>
      <c r="P1081" s="116">
        <v>716.55</v>
      </c>
      <c r="Q1081" s="116">
        <v>719.7</v>
      </c>
      <c r="R1081">
        <v>6808993</v>
      </c>
    </row>
    <row r="1082" spans="1:18" x14ac:dyDescent="0.25">
      <c r="A1082" s="170">
        <v>43599</v>
      </c>
      <c r="B1082" s="116">
        <v>719.5</v>
      </c>
      <c r="C1082" s="116">
        <v>713.85</v>
      </c>
      <c r="D1082" s="116">
        <v>704</v>
      </c>
      <c r="E1082" s="116">
        <v>719.5</v>
      </c>
      <c r="F1082" s="116">
        <v>713.85</v>
      </c>
      <c r="G1082">
        <v>537632</v>
      </c>
      <c r="H1082" s="116"/>
      <c r="I1082" s="116"/>
      <c r="L1082" s="170">
        <v>43599</v>
      </c>
      <c r="M1082" s="116">
        <v>713.85</v>
      </c>
      <c r="N1082" s="116">
        <v>717.75</v>
      </c>
      <c r="O1082" s="116">
        <v>703.6</v>
      </c>
      <c r="P1082" s="116">
        <v>716.5</v>
      </c>
      <c r="Q1082" s="116">
        <v>713.85</v>
      </c>
      <c r="R1082">
        <v>10513001</v>
      </c>
    </row>
    <row r="1083" spans="1:18" x14ac:dyDescent="0.25">
      <c r="A1083" s="170">
        <v>43600</v>
      </c>
      <c r="B1083" s="116">
        <v>724.45</v>
      </c>
      <c r="C1083" s="116">
        <v>716.5</v>
      </c>
      <c r="D1083" s="116">
        <v>712.95</v>
      </c>
      <c r="E1083" s="116">
        <v>716.65</v>
      </c>
      <c r="F1083" s="116">
        <v>716.5</v>
      </c>
      <c r="G1083">
        <v>455637</v>
      </c>
      <c r="H1083" s="116"/>
      <c r="I1083" s="116"/>
      <c r="L1083" s="170">
        <v>43600</v>
      </c>
      <c r="M1083" s="116">
        <v>716.1</v>
      </c>
      <c r="N1083" s="116">
        <v>725.2</v>
      </c>
      <c r="O1083" s="116">
        <v>712.6</v>
      </c>
      <c r="P1083" s="116">
        <v>714.9</v>
      </c>
      <c r="Q1083" s="116">
        <v>716.1</v>
      </c>
      <c r="R1083">
        <v>6668929</v>
      </c>
    </row>
    <row r="1084" spans="1:18" x14ac:dyDescent="0.25">
      <c r="A1084" s="170">
        <v>43601</v>
      </c>
      <c r="B1084" s="116">
        <v>736.75</v>
      </c>
      <c r="C1084" s="116">
        <v>734.2</v>
      </c>
      <c r="D1084" s="116">
        <v>716.75</v>
      </c>
      <c r="E1084" s="116">
        <v>716.75</v>
      </c>
      <c r="F1084" s="116">
        <v>734.2</v>
      </c>
      <c r="G1084">
        <v>425995</v>
      </c>
      <c r="H1084" s="116"/>
      <c r="I1084" s="116"/>
      <c r="L1084" s="170">
        <v>43601</v>
      </c>
      <c r="M1084" s="116">
        <v>733.1</v>
      </c>
      <c r="N1084" s="116">
        <v>737</v>
      </c>
      <c r="O1084" s="116">
        <v>719.1</v>
      </c>
      <c r="P1084" s="116">
        <v>720</v>
      </c>
      <c r="Q1084" s="116">
        <v>733.1</v>
      </c>
      <c r="R1084">
        <v>6468556</v>
      </c>
    </row>
    <row r="1085" spans="1:18" x14ac:dyDescent="0.25">
      <c r="A1085" s="170">
        <v>43602</v>
      </c>
      <c r="B1085" s="116">
        <v>735.7</v>
      </c>
      <c r="C1085" s="116">
        <v>723.8</v>
      </c>
      <c r="D1085" s="116">
        <v>721</v>
      </c>
      <c r="E1085" s="116">
        <v>733.3</v>
      </c>
      <c r="F1085" s="116">
        <v>723.8</v>
      </c>
      <c r="G1085">
        <v>577782</v>
      </c>
      <c r="H1085" s="116"/>
      <c r="I1085" s="116"/>
      <c r="L1085" s="170">
        <v>43602</v>
      </c>
      <c r="M1085" s="116">
        <v>723.9</v>
      </c>
      <c r="N1085" s="116">
        <v>735.8</v>
      </c>
      <c r="O1085" s="116">
        <v>720.1</v>
      </c>
      <c r="P1085" s="116">
        <v>733.15</v>
      </c>
      <c r="Q1085" s="116">
        <v>723.9</v>
      </c>
      <c r="R1085">
        <v>8155948</v>
      </c>
    </row>
    <row r="1086" spans="1:18" x14ac:dyDescent="0.25">
      <c r="A1086" s="170">
        <v>43605</v>
      </c>
      <c r="B1086" s="116">
        <v>726.45</v>
      </c>
      <c r="C1086" s="116">
        <v>722.4</v>
      </c>
      <c r="D1086" s="116">
        <v>706.85</v>
      </c>
      <c r="E1086" s="116">
        <v>725.8</v>
      </c>
      <c r="F1086" s="116">
        <v>722.4</v>
      </c>
      <c r="G1086">
        <v>669439</v>
      </c>
      <c r="H1086" s="116"/>
      <c r="I1086" s="116"/>
      <c r="L1086" s="170">
        <v>43605</v>
      </c>
      <c r="M1086" s="116">
        <v>722.4</v>
      </c>
      <c r="N1086" s="116">
        <v>726.4</v>
      </c>
      <c r="O1086" s="116">
        <v>706</v>
      </c>
      <c r="P1086" s="116">
        <v>719.7</v>
      </c>
      <c r="Q1086" s="116">
        <v>722.4</v>
      </c>
      <c r="R1086">
        <v>11213708</v>
      </c>
    </row>
    <row r="1087" spans="1:18" x14ac:dyDescent="0.25">
      <c r="A1087" s="170">
        <v>43606</v>
      </c>
      <c r="B1087" s="116">
        <v>723.5</v>
      </c>
      <c r="C1087" s="116">
        <v>709.2</v>
      </c>
      <c r="D1087" s="116">
        <v>707</v>
      </c>
      <c r="E1087" s="116">
        <v>723.5</v>
      </c>
      <c r="F1087" s="116">
        <v>709.2</v>
      </c>
      <c r="G1087">
        <v>511790</v>
      </c>
      <c r="H1087" s="116"/>
      <c r="I1087" s="116"/>
      <c r="L1087" s="170">
        <v>43606</v>
      </c>
      <c r="M1087" s="116">
        <v>709.3</v>
      </c>
      <c r="N1087" s="116">
        <v>722.65</v>
      </c>
      <c r="O1087" s="116">
        <v>707.7</v>
      </c>
      <c r="P1087" s="116">
        <v>722.65</v>
      </c>
      <c r="Q1087" s="116">
        <v>709.3</v>
      </c>
      <c r="R1087">
        <v>8645535</v>
      </c>
    </row>
    <row r="1088" spans="1:18" x14ac:dyDescent="0.25">
      <c r="A1088" s="170">
        <v>43607</v>
      </c>
      <c r="B1088" s="116">
        <v>718.2</v>
      </c>
      <c r="C1088" s="116">
        <v>709.2</v>
      </c>
      <c r="D1088" s="116">
        <v>707</v>
      </c>
      <c r="E1088" s="116">
        <v>711.1</v>
      </c>
      <c r="F1088" s="116">
        <v>709.2</v>
      </c>
      <c r="G1088">
        <v>497340</v>
      </c>
      <c r="H1088" s="116"/>
      <c r="I1088" s="116"/>
      <c r="L1088" s="170">
        <v>43607</v>
      </c>
      <c r="M1088" s="116">
        <v>709.75</v>
      </c>
      <c r="N1088" s="116">
        <v>718.25</v>
      </c>
      <c r="O1088" s="116">
        <v>707</v>
      </c>
      <c r="P1088" s="116">
        <v>710</v>
      </c>
      <c r="Q1088" s="116">
        <v>709.75</v>
      </c>
      <c r="R1088">
        <v>5795713</v>
      </c>
    </row>
    <row r="1089" spans="1:18" x14ac:dyDescent="0.25">
      <c r="A1089" s="170">
        <v>43608</v>
      </c>
      <c r="B1089" s="116">
        <v>717.7</v>
      </c>
      <c r="C1089" s="116">
        <v>701.25</v>
      </c>
      <c r="D1089" s="116">
        <v>698.4</v>
      </c>
      <c r="E1089" s="116">
        <v>717.7</v>
      </c>
      <c r="F1089" s="116">
        <v>701.25</v>
      </c>
      <c r="G1089">
        <v>652528</v>
      </c>
      <c r="H1089" s="116"/>
      <c r="I1089" s="116"/>
      <c r="L1089" s="170">
        <v>43608</v>
      </c>
      <c r="M1089" s="116">
        <v>701.05</v>
      </c>
      <c r="N1089" s="116">
        <v>716.7</v>
      </c>
      <c r="O1089" s="116">
        <v>697.45</v>
      </c>
      <c r="P1089" s="116">
        <v>715</v>
      </c>
      <c r="Q1089" s="116">
        <v>701.05</v>
      </c>
      <c r="R1089">
        <v>7233736</v>
      </c>
    </row>
    <row r="1090" spans="1:18" x14ac:dyDescent="0.25">
      <c r="A1090" s="170">
        <v>43609</v>
      </c>
      <c r="B1090" s="116">
        <v>711.85</v>
      </c>
      <c r="C1090" s="116">
        <v>709.45</v>
      </c>
      <c r="D1090" s="116">
        <v>701.25</v>
      </c>
      <c r="E1090" s="116">
        <v>702.35</v>
      </c>
      <c r="F1090" s="116">
        <v>709.45</v>
      </c>
      <c r="G1090">
        <v>497574</v>
      </c>
      <c r="H1090" s="116"/>
      <c r="I1090" s="116"/>
      <c r="L1090" s="170">
        <v>43609</v>
      </c>
      <c r="M1090" s="116">
        <v>709.2</v>
      </c>
      <c r="N1090" s="116">
        <v>711.75</v>
      </c>
      <c r="O1090" s="116">
        <v>700.45</v>
      </c>
      <c r="P1090" s="116">
        <v>703.8</v>
      </c>
      <c r="Q1090" s="116">
        <v>709.2</v>
      </c>
      <c r="R1090">
        <v>7016424</v>
      </c>
    </row>
    <row r="1091" spans="1:18" x14ac:dyDescent="0.25">
      <c r="A1091" s="170">
        <v>43612</v>
      </c>
      <c r="B1091" s="116">
        <v>713.6</v>
      </c>
      <c r="C1091" s="116">
        <v>709.1</v>
      </c>
      <c r="D1091" s="116">
        <v>705.3</v>
      </c>
      <c r="E1091" s="116">
        <v>708.8</v>
      </c>
      <c r="F1091" s="116">
        <v>709.1</v>
      </c>
      <c r="G1091">
        <v>549476</v>
      </c>
      <c r="H1091" s="116"/>
      <c r="I1091" s="116"/>
      <c r="L1091" s="170">
        <v>43612</v>
      </c>
      <c r="M1091" s="116">
        <v>708.1</v>
      </c>
      <c r="N1091" s="116">
        <v>713.8</v>
      </c>
      <c r="O1091" s="116">
        <v>705.5</v>
      </c>
      <c r="P1091" s="116">
        <v>707.4</v>
      </c>
      <c r="Q1091" s="116">
        <v>708.1</v>
      </c>
      <c r="R1091">
        <v>10247544</v>
      </c>
    </row>
    <row r="1092" spans="1:18" x14ac:dyDescent="0.25">
      <c r="A1092" s="170">
        <v>43613</v>
      </c>
      <c r="B1092" s="116">
        <v>730.5</v>
      </c>
      <c r="C1092" s="116">
        <v>726.65</v>
      </c>
      <c r="D1092" s="116">
        <v>710</v>
      </c>
      <c r="E1092" s="116">
        <v>710</v>
      </c>
      <c r="F1092" s="116">
        <v>726.65</v>
      </c>
      <c r="G1092">
        <v>493319</v>
      </c>
      <c r="H1092" s="116"/>
      <c r="I1092" s="116"/>
      <c r="L1092" s="170">
        <v>43613</v>
      </c>
      <c r="M1092" s="116">
        <v>728.1</v>
      </c>
      <c r="N1092" s="116">
        <v>733.45</v>
      </c>
      <c r="O1092" s="116">
        <v>709.8</v>
      </c>
      <c r="P1092" s="116">
        <v>712</v>
      </c>
      <c r="Q1092" s="116">
        <v>728.1</v>
      </c>
      <c r="R1092">
        <v>23860490</v>
      </c>
    </row>
    <row r="1093" spans="1:18" x14ac:dyDescent="0.25">
      <c r="A1093" s="170">
        <v>43614</v>
      </c>
      <c r="B1093" s="116">
        <v>733.7</v>
      </c>
      <c r="C1093" s="116">
        <v>727.35</v>
      </c>
      <c r="D1093" s="116">
        <v>724.35</v>
      </c>
      <c r="E1093" s="116">
        <v>726.5</v>
      </c>
      <c r="F1093" s="116">
        <v>727.35</v>
      </c>
      <c r="G1093">
        <v>277383</v>
      </c>
      <c r="H1093" s="116"/>
      <c r="I1093" s="116"/>
      <c r="L1093" s="170">
        <v>43614</v>
      </c>
      <c r="M1093" s="116">
        <v>727.8</v>
      </c>
      <c r="N1093" s="116">
        <v>733.65</v>
      </c>
      <c r="O1093" s="116">
        <v>723.65</v>
      </c>
      <c r="P1093" s="116">
        <v>725.5</v>
      </c>
      <c r="Q1093" s="116">
        <v>727.8</v>
      </c>
      <c r="R1093">
        <v>10293077</v>
      </c>
    </row>
    <row r="1094" spans="1:18" x14ac:dyDescent="0.25">
      <c r="A1094" s="170">
        <v>43615</v>
      </c>
      <c r="B1094" s="116">
        <v>737.35</v>
      </c>
      <c r="C1094" s="116">
        <v>733.3</v>
      </c>
      <c r="D1094" s="116">
        <v>724</v>
      </c>
      <c r="E1094" s="116">
        <v>727.8</v>
      </c>
      <c r="F1094" s="116">
        <v>733.3</v>
      </c>
      <c r="G1094">
        <v>217850</v>
      </c>
      <c r="H1094" s="116"/>
      <c r="I1094" s="116"/>
      <c r="L1094" s="170">
        <v>43615</v>
      </c>
      <c r="M1094" s="116">
        <v>733.55</v>
      </c>
      <c r="N1094" s="116">
        <v>737.25</v>
      </c>
      <c r="O1094" s="116">
        <v>722.55</v>
      </c>
      <c r="P1094" s="116">
        <v>727</v>
      </c>
      <c r="Q1094" s="116">
        <v>733.55</v>
      </c>
      <c r="R1094">
        <v>15089296</v>
      </c>
    </row>
    <row r="1095" spans="1:18" x14ac:dyDescent="0.25">
      <c r="A1095" s="170">
        <v>43616</v>
      </c>
      <c r="B1095" s="116">
        <v>742</v>
      </c>
      <c r="C1095" s="116">
        <v>736.85</v>
      </c>
      <c r="D1095" s="116">
        <v>733.55</v>
      </c>
      <c r="E1095" s="116">
        <v>735</v>
      </c>
      <c r="F1095" s="116">
        <v>736.85</v>
      </c>
      <c r="G1095">
        <v>206651</v>
      </c>
      <c r="H1095" s="116"/>
      <c r="I1095" s="116"/>
      <c r="L1095" s="170">
        <v>43616</v>
      </c>
      <c r="M1095" s="116">
        <v>737.75</v>
      </c>
      <c r="N1095" s="116">
        <v>742.95</v>
      </c>
      <c r="O1095" s="116">
        <v>733.2</v>
      </c>
      <c r="P1095" s="116">
        <v>736.5</v>
      </c>
      <c r="Q1095" s="116">
        <v>737.75</v>
      </c>
      <c r="R1095">
        <v>8290306</v>
      </c>
    </row>
    <row r="1096" spans="1:18" x14ac:dyDescent="0.25">
      <c r="A1096" s="170">
        <v>43619</v>
      </c>
      <c r="B1096" s="116">
        <v>750.7</v>
      </c>
      <c r="C1096" s="116">
        <v>744.65</v>
      </c>
      <c r="D1096" s="116">
        <v>729.95</v>
      </c>
      <c r="E1096" s="116">
        <v>734</v>
      </c>
      <c r="F1096" s="116">
        <v>744.65</v>
      </c>
      <c r="G1096">
        <v>246396</v>
      </c>
      <c r="H1096" s="116"/>
      <c r="I1096" s="116"/>
      <c r="L1096" s="170">
        <v>43619</v>
      </c>
      <c r="M1096" s="116">
        <v>744.65</v>
      </c>
      <c r="N1096" s="116">
        <v>750.9</v>
      </c>
      <c r="O1096" s="116">
        <v>729</v>
      </c>
      <c r="P1096" s="116">
        <v>729.8</v>
      </c>
      <c r="Q1096" s="116">
        <v>744.65</v>
      </c>
      <c r="R1096">
        <v>7744761</v>
      </c>
    </row>
    <row r="1097" spans="1:18" x14ac:dyDescent="0.25">
      <c r="A1097" s="170">
        <v>43620</v>
      </c>
      <c r="B1097" s="116">
        <v>741.95</v>
      </c>
      <c r="C1097" s="116">
        <v>734.7</v>
      </c>
      <c r="D1097" s="116">
        <v>733.25</v>
      </c>
      <c r="E1097" s="116">
        <v>741.95</v>
      </c>
      <c r="F1097" s="116">
        <v>734.7</v>
      </c>
      <c r="G1097">
        <v>309295</v>
      </c>
      <c r="H1097" s="116"/>
      <c r="I1097" s="116"/>
      <c r="L1097" s="170">
        <v>43620</v>
      </c>
      <c r="M1097" s="116">
        <v>735.3</v>
      </c>
      <c r="N1097" s="116">
        <v>739.45</v>
      </c>
      <c r="O1097" s="116">
        <v>733.15</v>
      </c>
      <c r="P1097" s="116">
        <v>737.25</v>
      </c>
      <c r="Q1097" s="116">
        <v>735.3</v>
      </c>
      <c r="R1097">
        <v>11733702</v>
      </c>
    </row>
    <row r="1098" spans="1:18" x14ac:dyDescent="0.25">
      <c r="A1098" s="170">
        <v>43622</v>
      </c>
      <c r="B1098" s="116">
        <v>745</v>
      </c>
      <c r="C1098" s="116">
        <v>737.95</v>
      </c>
      <c r="D1098" s="116">
        <v>734.1</v>
      </c>
      <c r="E1098" s="116">
        <v>734.7</v>
      </c>
      <c r="F1098" s="116">
        <v>737.95</v>
      </c>
      <c r="G1098">
        <v>321239</v>
      </c>
      <c r="H1098" s="116"/>
      <c r="I1098" s="116"/>
      <c r="L1098" s="170">
        <v>43622</v>
      </c>
      <c r="M1098" s="116">
        <v>735.6</v>
      </c>
      <c r="N1098" s="116">
        <v>744.65</v>
      </c>
      <c r="O1098" s="116">
        <v>733.65</v>
      </c>
      <c r="P1098" s="116">
        <v>736.5</v>
      </c>
      <c r="Q1098" s="116">
        <v>735.6</v>
      </c>
      <c r="R1098">
        <v>7563925</v>
      </c>
    </row>
    <row r="1099" spans="1:18" x14ac:dyDescent="0.25">
      <c r="A1099" s="170">
        <v>43623</v>
      </c>
      <c r="B1099" s="116">
        <v>744</v>
      </c>
      <c r="C1099" s="116">
        <v>739.35</v>
      </c>
      <c r="D1099" s="116">
        <v>735.95</v>
      </c>
      <c r="E1099" s="116">
        <v>737.7</v>
      </c>
      <c r="F1099" s="116">
        <v>739.35</v>
      </c>
      <c r="G1099">
        <v>320333</v>
      </c>
      <c r="H1099" s="116"/>
      <c r="I1099" s="116"/>
      <c r="L1099" s="170">
        <v>43623</v>
      </c>
      <c r="M1099" s="116">
        <v>739.1</v>
      </c>
      <c r="N1099" s="116">
        <v>743.95</v>
      </c>
      <c r="O1099" s="116">
        <v>735.85</v>
      </c>
      <c r="P1099" s="116">
        <v>735.85</v>
      </c>
      <c r="Q1099" s="116">
        <v>739.1</v>
      </c>
      <c r="R1099">
        <v>3218358</v>
      </c>
    </row>
    <row r="1100" spans="1:18" x14ac:dyDescent="0.25">
      <c r="A1100" s="170">
        <v>43626</v>
      </c>
      <c r="B1100" s="116">
        <v>754.5</v>
      </c>
      <c r="C1100" s="116">
        <v>753.6</v>
      </c>
      <c r="D1100" s="116">
        <v>738</v>
      </c>
      <c r="E1100" s="116">
        <v>738</v>
      </c>
      <c r="F1100" s="116">
        <v>753.6</v>
      </c>
      <c r="G1100">
        <v>249632</v>
      </c>
      <c r="H1100" s="116"/>
      <c r="I1100" s="116"/>
      <c r="L1100" s="170">
        <v>43626</v>
      </c>
      <c r="M1100" s="116">
        <v>753.5</v>
      </c>
      <c r="N1100" s="116">
        <v>754.1</v>
      </c>
      <c r="O1100" s="116">
        <v>740.1</v>
      </c>
      <c r="P1100" s="116">
        <v>740.1</v>
      </c>
      <c r="Q1100" s="116">
        <v>753.5</v>
      </c>
      <c r="R1100">
        <v>4435148</v>
      </c>
    </row>
    <row r="1101" spans="1:18" x14ac:dyDescent="0.25">
      <c r="A1101" s="170">
        <v>43627</v>
      </c>
      <c r="B1101" s="116">
        <v>758.9</v>
      </c>
      <c r="C1101" s="116">
        <v>754.85</v>
      </c>
      <c r="D1101" s="116">
        <v>751.2</v>
      </c>
      <c r="E1101" s="116">
        <v>754</v>
      </c>
      <c r="F1101" s="116">
        <v>754.85</v>
      </c>
      <c r="G1101">
        <v>287202</v>
      </c>
      <c r="H1101" s="116"/>
      <c r="I1101" s="116"/>
      <c r="L1101" s="170">
        <v>43627</v>
      </c>
      <c r="M1101" s="116">
        <v>754.9</v>
      </c>
      <c r="N1101" s="116">
        <v>759</v>
      </c>
      <c r="O1101" s="116">
        <v>750.5</v>
      </c>
      <c r="P1101" s="116">
        <v>755</v>
      </c>
      <c r="Q1101" s="116">
        <v>754.9</v>
      </c>
      <c r="R1101">
        <v>5733127</v>
      </c>
    </row>
    <row r="1102" spans="1:18" x14ac:dyDescent="0.25">
      <c r="A1102" s="170">
        <v>43628</v>
      </c>
      <c r="B1102" s="116">
        <v>756</v>
      </c>
      <c r="C1102" s="116">
        <v>753.95</v>
      </c>
      <c r="D1102" s="116">
        <v>745</v>
      </c>
      <c r="E1102" s="116">
        <v>754.15</v>
      </c>
      <c r="F1102" s="116">
        <v>753.95</v>
      </c>
      <c r="G1102">
        <v>204706</v>
      </c>
      <c r="H1102" s="116"/>
      <c r="I1102" s="116"/>
      <c r="L1102" s="170">
        <v>43628</v>
      </c>
      <c r="M1102" s="116">
        <v>753.8</v>
      </c>
      <c r="N1102" s="116">
        <v>756.95</v>
      </c>
      <c r="O1102" s="116">
        <v>745</v>
      </c>
      <c r="P1102" s="116">
        <v>756.95</v>
      </c>
      <c r="Q1102" s="116">
        <v>753.8</v>
      </c>
      <c r="R1102">
        <v>8738342</v>
      </c>
    </row>
    <row r="1103" spans="1:18" x14ac:dyDescent="0.25">
      <c r="A1103" s="170">
        <v>43629</v>
      </c>
      <c r="B1103" s="116">
        <v>747.2</v>
      </c>
      <c r="C1103" s="116">
        <v>742.7</v>
      </c>
      <c r="D1103" s="116">
        <v>739.2</v>
      </c>
      <c r="E1103" s="116">
        <v>741.5</v>
      </c>
      <c r="F1103" s="116">
        <v>742.7</v>
      </c>
      <c r="G1103">
        <v>378457</v>
      </c>
      <c r="H1103" s="116"/>
      <c r="I1103" s="116"/>
      <c r="L1103" s="170">
        <v>43629</v>
      </c>
      <c r="M1103" s="116">
        <v>742.65</v>
      </c>
      <c r="N1103" s="116">
        <v>747.2</v>
      </c>
      <c r="O1103" s="116">
        <v>740</v>
      </c>
      <c r="P1103" s="116">
        <v>740</v>
      </c>
      <c r="Q1103" s="116">
        <v>742.65</v>
      </c>
      <c r="R1103">
        <v>4808577</v>
      </c>
    </row>
    <row r="1104" spans="1:18" x14ac:dyDescent="0.25">
      <c r="A1104" s="170">
        <v>43630</v>
      </c>
      <c r="B1104" s="116">
        <v>745.65</v>
      </c>
      <c r="C1104" s="116">
        <v>740.4</v>
      </c>
      <c r="D1104" s="116">
        <v>738.4</v>
      </c>
      <c r="E1104" s="116">
        <v>744.2</v>
      </c>
      <c r="F1104" s="116">
        <v>740.4</v>
      </c>
      <c r="G1104">
        <v>298249</v>
      </c>
      <c r="H1104" s="116"/>
      <c r="I1104" s="116"/>
      <c r="L1104" s="170">
        <v>43630</v>
      </c>
      <c r="M1104" s="116">
        <v>740.45</v>
      </c>
      <c r="N1104" s="116">
        <v>745.5</v>
      </c>
      <c r="O1104" s="116">
        <v>738.25</v>
      </c>
      <c r="P1104" s="116">
        <v>743.85</v>
      </c>
      <c r="Q1104" s="116">
        <v>740.45</v>
      </c>
      <c r="R1104">
        <v>5556353</v>
      </c>
    </row>
    <row r="1105" spans="1:18" x14ac:dyDescent="0.25">
      <c r="A1105" s="170">
        <v>43633</v>
      </c>
      <c r="B1105" s="116">
        <v>744.7</v>
      </c>
      <c r="C1105" s="116">
        <v>740.4</v>
      </c>
      <c r="D1105" s="116">
        <v>737.5</v>
      </c>
      <c r="E1105" s="116">
        <v>741.15</v>
      </c>
      <c r="F1105" s="116">
        <v>740.4</v>
      </c>
      <c r="G1105">
        <v>331734</v>
      </c>
      <c r="H1105" s="116"/>
      <c r="I1105" s="116"/>
      <c r="L1105" s="170">
        <v>43633</v>
      </c>
      <c r="M1105" s="116">
        <v>740.55</v>
      </c>
      <c r="N1105" s="116">
        <v>744.5</v>
      </c>
      <c r="O1105" s="116">
        <v>737.8</v>
      </c>
      <c r="P1105" s="116">
        <v>743</v>
      </c>
      <c r="Q1105" s="116">
        <v>740.55</v>
      </c>
      <c r="R1105">
        <v>3085588</v>
      </c>
    </row>
    <row r="1106" spans="1:18" x14ac:dyDescent="0.25">
      <c r="A1106" s="170">
        <v>43634</v>
      </c>
      <c r="B1106" s="116">
        <v>752.4</v>
      </c>
      <c r="C1106" s="116">
        <v>750.65</v>
      </c>
      <c r="D1106" s="116">
        <v>740</v>
      </c>
      <c r="E1106" s="116">
        <v>740</v>
      </c>
      <c r="F1106" s="116">
        <v>750.65</v>
      </c>
      <c r="G1106">
        <v>1001741</v>
      </c>
      <c r="H1106" s="116"/>
      <c r="I1106" s="116"/>
      <c r="L1106" s="170">
        <v>43634</v>
      </c>
      <c r="M1106" s="116">
        <v>750.15</v>
      </c>
      <c r="N1106" s="116">
        <v>752.45</v>
      </c>
      <c r="O1106" s="116">
        <v>740.2</v>
      </c>
      <c r="P1106" s="116">
        <v>740.2</v>
      </c>
      <c r="Q1106" s="116">
        <v>750.15</v>
      </c>
      <c r="R1106">
        <v>6202838</v>
      </c>
    </row>
    <row r="1107" spans="1:18" x14ac:dyDescent="0.25">
      <c r="A1107" s="170">
        <v>43635</v>
      </c>
      <c r="B1107" s="116">
        <v>755</v>
      </c>
      <c r="C1107" s="116">
        <v>751.85</v>
      </c>
      <c r="D1107" s="116">
        <v>748.75</v>
      </c>
      <c r="E1107" s="116">
        <v>751</v>
      </c>
      <c r="F1107" s="116">
        <v>751.85</v>
      </c>
      <c r="G1107">
        <v>299917</v>
      </c>
      <c r="H1107" s="116"/>
      <c r="I1107" s="116"/>
      <c r="L1107" s="170">
        <v>43635</v>
      </c>
      <c r="M1107" s="116">
        <v>751.9</v>
      </c>
      <c r="N1107" s="116">
        <v>755.4</v>
      </c>
      <c r="O1107" s="116">
        <v>748.6</v>
      </c>
      <c r="P1107" s="116">
        <v>752.5</v>
      </c>
      <c r="Q1107" s="116">
        <v>751.9</v>
      </c>
      <c r="R1107">
        <v>4596253</v>
      </c>
    </row>
    <row r="1108" spans="1:18" x14ac:dyDescent="0.25">
      <c r="A1108" s="170">
        <v>43636</v>
      </c>
      <c r="B1108" s="116">
        <v>756.45</v>
      </c>
      <c r="C1108" s="116">
        <v>754.55</v>
      </c>
      <c r="D1108" s="116">
        <v>735</v>
      </c>
      <c r="E1108" s="116">
        <v>735</v>
      </c>
      <c r="F1108" s="116">
        <v>754.55</v>
      </c>
      <c r="G1108">
        <v>636623</v>
      </c>
      <c r="H1108" s="116"/>
      <c r="I1108" s="116"/>
      <c r="L1108" s="170">
        <v>43636</v>
      </c>
      <c r="M1108" s="116">
        <v>754.9</v>
      </c>
      <c r="N1108" s="116">
        <v>756.9</v>
      </c>
      <c r="O1108" s="116">
        <v>735.9</v>
      </c>
      <c r="P1108" s="116">
        <v>737.8</v>
      </c>
      <c r="Q1108" s="116">
        <v>754.9</v>
      </c>
      <c r="R1108">
        <v>7148684</v>
      </c>
    </row>
    <row r="1109" spans="1:18" x14ac:dyDescent="0.25">
      <c r="A1109" s="170">
        <v>43637</v>
      </c>
      <c r="B1109" s="116">
        <v>755</v>
      </c>
      <c r="C1109" s="116">
        <v>750.7</v>
      </c>
      <c r="D1109" s="116">
        <v>747</v>
      </c>
      <c r="E1109" s="116">
        <v>754</v>
      </c>
      <c r="F1109" s="116">
        <v>750.7</v>
      </c>
      <c r="G1109">
        <v>328861</v>
      </c>
      <c r="H1109" s="116"/>
      <c r="I1109" s="116"/>
      <c r="L1109" s="170">
        <v>43637</v>
      </c>
      <c r="M1109" s="116">
        <v>750.2</v>
      </c>
      <c r="N1109" s="116">
        <v>755</v>
      </c>
      <c r="O1109" s="116">
        <v>747.15</v>
      </c>
      <c r="P1109" s="116">
        <v>755</v>
      </c>
      <c r="Q1109" s="116">
        <v>750.2</v>
      </c>
      <c r="R1109">
        <v>13200318</v>
      </c>
    </row>
    <row r="1110" spans="1:18" x14ac:dyDescent="0.25">
      <c r="A1110" s="170">
        <v>43640</v>
      </c>
      <c r="B1110" s="116">
        <v>752</v>
      </c>
      <c r="C1110" s="116">
        <v>745.6</v>
      </c>
      <c r="D1110" s="116">
        <v>742.65</v>
      </c>
      <c r="E1110" s="116">
        <v>752</v>
      </c>
      <c r="F1110" s="116">
        <v>745.6</v>
      </c>
      <c r="G1110">
        <v>255056</v>
      </c>
      <c r="H1110" s="116"/>
      <c r="I1110" s="116"/>
      <c r="L1110" s="170">
        <v>43640</v>
      </c>
      <c r="M1110" s="116">
        <v>745.5</v>
      </c>
      <c r="N1110" s="116">
        <v>751.9</v>
      </c>
      <c r="O1110" s="116">
        <v>742.65</v>
      </c>
      <c r="P1110" s="116">
        <v>751.9</v>
      </c>
      <c r="Q1110" s="116">
        <v>745.5</v>
      </c>
      <c r="R1110">
        <v>4758178</v>
      </c>
    </row>
    <row r="1111" spans="1:18" x14ac:dyDescent="0.25">
      <c r="A1111" s="170">
        <v>43641</v>
      </c>
      <c r="B1111" s="116">
        <v>750.85</v>
      </c>
      <c r="C1111" s="116">
        <v>748.05</v>
      </c>
      <c r="D1111" s="116">
        <v>737.25</v>
      </c>
      <c r="E1111" s="116">
        <v>742.5</v>
      </c>
      <c r="F1111" s="116">
        <v>748.05</v>
      </c>
      <c r="G1111">
        <v>281982</v>
      </c>
      <c r="H1111" s="116"/>
      <c r="I1111" s="116"/>
      <c r="L1111" s="170">
        <v>43641</v>
      </c>
      <c r="M1111" s="116">
        <v>748.1</v>
      </c>
      <c r="N1111" s="116">
        <v>750.9</v>
      </c>
      <c r="O1111" s="116">
        <v>737.3</v>
      </c>
      <c r="P1111" s="116">
        <v>744</v>
      </c>
      <c r="Q1111" s="116">
        <v>748.1</v>
      </c>
      <c r="R1111">
        <v>3677911</v>
      </c>
    </row>
    <row r="1112" spans="1:18" x14ac:dyDescent="0.25">
      <c r="A1112" s="170">
        <v>43642</v>
      </c>
      <c r="B1112" s="116">
        <v>751.5</v>
      </c>
      <c r="C1112" s="116">
        <v>739.65</v>
      </c>
      <c r="D1112" s="116">
        <v>738.1</v>
      </c>
      <c r="E1112" s="116">
        <v>744</v>
      </c>
      <c r="F1112" s="116">
        <v>739.65</v>
      </c>
      <c r="G1112">
        <v>283076</v>
      </c>
      <c r="H1112" s="116"/>
      <c r="I1112" s="116"/>
      <c r="L1112" s="170">
        <v>43642</v>
      </c>
      <c r="M1112" s="116">
        <v>739.2</v>
      </c>
      <c r="N1112" s="116">
        <v>751.45</v>
      </c>
      <c r="O1112" s="116">
        <v>738</v>
      </c>
      <c r="P1112" s="116">
        <v>743</v>
      </c>
      <c r="Q1112" s="116">
        <v>739.2</v>
      </c>
      <c r="R1112">
        <v>5447130</v>
      </c>
    </row>
    <row r="1113" spans="1:18" x14ac:dyDescent="0.25">
      <c r="A1113" s="170">
        <v>43643</v>
      </c>
      <c r="B1113" s="116">
        <v>744.95</v>
      </c>
      <c r="C1113" s="116">
        <v>730.85</v>
      </c>
      <c r="D1113" s="116">
        <v>728.2</v>
      </c>
      <c r="E1113" s="116">
        <v>741</v>
      </c>
      <c r="F1113" s="116">
        <v>730.85</v>
      </c>
      <c r="G1113">
        <v>282242</v>
      </c>
      <c r="H1113" s="116"/>
      <c r="I1113" s="116"/>
      <c r="L1113" s="170">
        <v>43643</v>
      </c>
      <c r="M1113" s="116">
        <v>730.55</v>
      </c>
      <c r="N1113" s="116">
        <v>744.7</v>
      </c>
      <c r="O1113" s="116">
        <v>728.15</v>
      </c>
      <c r="P1113" s="116">
        <v>742</v>
      </c>
      <c r="Q1113" s="116">
        <v>730.55</v>
      </c>
      <c r="R1113">
        <v>11122346</v>
      </c>
    </row>
    <row r="1114" spans="1:18" x14ac:dyDescent="0.25">
      <c r="A1114" s="170">
        <v>43644</v>
      </c>
      <c r="B1114" s="116">
        <v>739.45</v>
      </c>
      <c r="C1114" s="116">
        <v>731.95</v>
      </c>
      <c r="D1114" s="116">
        <v>728.35</v>
      </c>
      <c r="E1114" s="116">
        <v>733.9</v>
      </c>
      <c r="F1114" s="116">
        <v>731.95</v>
      </c>
      <c r="G1114">
        <v>329553</v>
      </c>
      <c r="H1114" s="116"/>
      <c r="I1114" s="116"/>
      <c r="L1114" s="170">
        <v>43644</v>
      </c>
      <c r="M1114" s="116">
        <v>732</v>
      </c>
      <c r="N1114" s="116">
        <v>739.5</v>
      </c>
      <c r="O1114" s="116">
        <v>728.5</v>
      </c>
      <c r="P1114" s="116">
        <v>735.5</v>
      </c>
      <c r="Q1114" s="116">
        <v>732</v>
      </c>
      <c r="R1114">
        <v>5919494</v>
      </c>
    </row>
    <row r="1115" spans="1:18" x14ac:dyDescent="0.25">
      <c r="A1115" s="170">
        <v>43647</v>
      </c>
      <c r="B1115" s="116">
        <v>737.8</v>
      </c>
      <c r="C1115" s="116">
        <v>731.15</v>
      </c>
      <c r="D1115" s="116">
        <v>729.65</v>
      </c>
      <c r="E1115" s="116">
        <v>734.1</v>
      </c>
      <c r="F1115" s="116">
        <v>731.15</v>
      </c>
      <c r="G1115">
        <v>310899</v>
      </c>
      <c r="H1115" s="116"/>
      <c r="I1115" s="116"/>
      <c r="L1115" s="170">
        <v>43647</v>
      </c>
      <c r="M1115" s="116">
        <v>731.3</v>
      </c>
      <c r="N1115" s="116">
        <v>737.5</v>
      </c>
      <c r="O1115" s="116">
        <v>729.85</v>
      </c>
      <c r="P1115" s="116">
        <v>735</v>
      </c>
      <c r="Q1115" s="116">
        <v>731.3</v>
      </c>
      <c r="R1115">
        <v>3224968</v>
      </c>
    </row>
    <row r="1116" spans="1:18" x14ac:dyDescent="0.25">
      <c r="A1116" s="170">
        <v>43648</v>
      </c>
      <c r="B1116" s="116">
        <v>741.15</v>
      </c>
      <c r="C1116" s="116">
        <v>739.9</v>
      </c>
      <c r="D1116" s="116">
        <v>730.9</v>
      </c>
      <c r="E1116" s="116">
        <v>734.4</v>
      </c>
      <c r="F1116" s="116">
        <v>739.9</v>
      </c>
      <c r="G1116">
        <v>238903</v>
      </c>
      <c r="H1116" s="116"/>
      <c r="I1116" s="116"/>
      <c r="L1116" s="170">
        <v>43648</v>
      </c>
      <c r="M1116" s="116">
        <v>740</v>
      </c>
      <c r="N1116" s="116">
        <v>741.65</v>
      </c>
      <c r="O1116" s="116">
        <v>730.1</v>
      </c>
      <c r="P1116" s="116">
        <v>734</v>
      </c>
      <c r="Q1116" s="116">
        <v>740</v>
      </c>
      <c r="R1116">
        <v>4837606</v>
      </c>
    </row>
    <row r="1117" spans="1:18" x14ac:dyDescent="0.25">
      <c r="A1117" s="170">
        <v>43649</v>
      </c>
      <c r="B1117" s="116">
        <v>742.7</v>
      </c>
      <c r="C1117" s="116">
        <v>731.5</v>
      </c>
      <c r="D1117" s="116">
        <v>730.3</v>
      </c>
      <c r="E1117" s="116">
        <v>742</v>
      </c>
      <c r="F1117" s="116">
        <v>731.5</v>
      </c>
      <c r="G1117">
        <v>338665</v>
      </c>
      <c r="H1117" s="116"/>
      <c r="I1117" s="116"/>
      <c r="L1117" s="170">
        <v>43649</v>
      </c>
      <c r="M1117" s="116">
        <v>731.3</v>
      </c>
      <c r="N1117" s="116">
        <v>743.2</v>
      </c>
      <c r="O1117" s="116">
        <v>730</v>
      </c>
      <c r="P1117" s="116">
        <v>741</v>
      </c>
      <c r="Q1117" s="116">
        <v>731.3</v>
      </c>
      <c r="R1117">
        <v>5958379</v>
      </c>
    </row>
    <row r="1118" spans="1:18" x14ac:dyDescent="0.25">
      <c r="A1118" s="170">
        <v>43650</v>
      </c>
      <c r="B1118" s="116">
        <v>736.35</v>
      </c>
      <c r="C1118" s="116">
        <v>733.9</v>
      </c>
      <c r="D1118" s="116">
        <v>729.25</v>
      </c>
      <c r="E1118" s="116">
        <v>734</v>
      </c>
      <c r="F1118" s="116">
        <v>733.9</v>
      </c>
      <c r="G1118">
        <v>266711</v>
      </c>
      <c r="H1118" s="116"/>
      <c r="I1118" s="116"/>
      <c r="L1118" s="170">
        <v>43650</v>
      </c>
      <c r="M1118" s="116">
        <v>733.8</v>
      </c>
      <c r="N1118" s="116">
        <v>736.4</v>
      </c>
      <c r="O1118" s="116">
        <v>728.6</v>
      </c>
      <c r="P1118" s="116">
        <v>729</v>
      </c>
      <c r="Q1118" s="116">
        <v>733.8</v>
      </c>
      <c r="R1118">
        <v>3274064</v>
      </c>
    </row>
    <row r="1119" spans="1:18" x14ac:dyDescent="0.25">
      <c r="A1119" s="170">
        <v>43651</v>
      </c>
      <c r="B1119" s="116">
        <v>736</v>
      </c>
      <c r="C1119" s="116">
        <v>718.25</v>
      </c>
      <c r="D1119" s="116">
        <v>713.2</v>
      </c>
      <c r="E1119" s="116">
        <v>736</v>
      </c>
      <c r="F1119" s="116">
        <v>718.25</v>
      </c>
      <c r="G1119">
        <v>351697</v>
      </c>
      <c r="H1119" s="116"/>
      <c r="I1119" s="116"/>
      <c r="L1119" s="170">
        <v>43651</v>
      </c>
      <c r="M1119" s="116">
        <v>718</v>
      </c>
      <c r="N1119" s="116">
        <v>736.4</v>
      </c>
      <c r="O1119" s="116">
        <v>713.5</v>
      </c>
      <c r="P1119" s="116">
        <v>735</v>
      </c>
      <c r="Q1119" s="116">
        <v>718</v>
      </c>
      <c r="R1119">
        <v>4926289</v>
      </c>
    </row>
    <row r="1120" spans="1:18" x14ac:dyDescent="0.25">
      <c r="A1120" s="170">
        <v>43654</v>
      </c>
      <c r="B1120" s="116">
        <v>724.1</v>
      </c>
      <c r="C1120" s="116">
        <v>717.45</v>
      </c>
      <c r="D1120" s="116">
        <v>712.6</v>
      </c>
      <c r="E1120" s="116">
        <v>717</v>
      </c>
      <c r="F1120" s="116">
        <v>717.45</v>
      </c>
      <c r="G1120">
        <v>301869</v>
      </c>
      <c r="H1120" s="116"/>
      <c r="I1120" s="116"/>
      <c r="L1120" s="170">
        <v>43654</v>
      </c>
      <c r="M1120" s="116">
        <v>717.6</v>
      </c>
      <c r="N1120" s="116">
        <v>724.95</v>
      </c>
      <c r="O1120" s="116">
        <v>712.3</v>
      </c>
      <c r="P1120" s="116">
        <v>716.45</v>
      </c>
      <c r="Q1120" s="116">
        <v>717.6</v>
      </c>
      <c r="R1120">
        <v>7177092</v>
      </c>
    </row>
    <row r="1121" spans="1:18" x14ac:dyDescent="0.25">
      <c r="A1121" s="170">
        <v>43655</v>
      </c>
      <c r="B1121" s="116">
        <v>719.7</v>
      </c>
      <c r="C1121" s="116">
        <v>715.4</v>
      </c>
      <c r="D1121" s="116">
        <v>708.9</v>
      </c>
      <c r="E1121" s="116">
        <v>717.9</v>
      </c>
      <c r="F1121" s="116">
        <v>715.4</v>
      </c>
      <c r="G1121">
        <v>184016</v>
      </c>
      <c r="H1121" s="116"/>
      <c r="I1121" s="116"/>
      <c r="L1121" s="170">
        <v>43655</v>
      </c>
      <c r="M1121" s="116">
        <v>715.5</v>
      </c>
      <c r="N1121" s="116">
        <v>719.85</v>
      </c>
      <c r="O1121" s="116">
        <v>709.05</v>
      </c>
      <c r="P1121" s="116">
        <v>718</v>
      </c>
      <c r="Q1121" s="116">
        <v>715.5</v>
      </c>
      <c r="R1121">
        <v>5022638</v>
      </c>
    </row>
    <row r="1122" spans="1:18" x14ac:dyDescent="0.25">
      <c r="A1122" s="170">
        <v>43656</v>
      </c>
      <c r="B1122" s="116">
        <v>722.6</v>
      </c>
      <c r="C1122" s="116">
        <v>716.9</v>
      </c>
      <c r="D1122" s="116">
        <v>706.7</v>
      </c>
      <c r="E1122" s="116">
        <v>710.15</v>
      </c>
      <c r="F1122" s="116">
        <v>716.9</v>
      </c>
      <c r="G1122">
        <v>230925</v>
      </c>
      <c r="H1122" s="116"/>
      <c r="I1122" s="116"/>
      <c r="L1122" s="170">
        <v>43656</v>
      </c>
      <c r="M1122" s="116">
        <v>717.25</v>
      </c>
      <c r="N1122" s="116">
        <v>722.7</v>
      </c>
      <c r="O1122" s="116">
        <v>706.5</v>
      </c>
      <c r="P1122" s="116">
        <v>709</v>
      </c>
      <c r="Q1122" s="116">
        <v>717.25</v>
      </c>
      <c r="R1122">
        <v>7573816</v>
      </c>
    </row>
    <row r="1123" spans="1:18" x14ac:dyDescent="0.25">
      <c r="A1123" s="170">
        <v>43657</v>
      </c>
      <c r="B1123" s="116">
        <v>723.65</v>
      </c>
      <c r="C1123" s="116">
        <v>720.85</v>
      </c>
      <c r="D1123" s="116">
        <v>710</v>
      </c>
      <c r="E1123" s="116">
        <v>721</v>
      </c>
      <c r="F1123" s="116">
        <v>720.85</v>
      </c>
      <c r="G1123">
        <v>220817</v>
      </c>
      <c r="H1123" s="116"/>
      <c r="I1123" s="116"/>
      <c r="L1123" s="170">
        <v>43657</v>
      </c>
      <c r="M1123" s="116">
        <v>721.5</v>
      </c>
      <c r="N1123" s="116">
        <v>723.5</v>
      </c>
      <c r="O1123" s="116">
        <v>709.6</v>
      </c>
      <c r="P1123" s="116">
        <v>719.45</v>
      </c>
      <c r="Q1123" s="116">
        <v>721.5</v>
      </c>
      <c r="R1123">
        <v>6252688</v>
      </c>
    </row>
    <row r="1124" spans="1:18" x14ac:dyDescent="0.25">
      <c r="A1124" s="170">
        <v>43658</v>
      </c>
      <c r="B1124" s="116">
        <v>730.85</v>
      </c>
      <c r="C1124" s="116">
        <v>727.1</v>
      </c>
      <c r="D1124" s="116">
        <v>719.35</v>
      </c>
      <c r="E1124" s="116">
        <v>723.3</v>
      </c>
      <c r="F1124" s="116">
        <v>727.1</v>
      </c>
      <c r="G1124">
        <v>179046</v>
      </c>
      <c r="H1124" s="116"/>
      <c r="I1124" s="116"/>
      <c r="L1124" s="170">
        <v>43658</v>
      </c>
      <c r="M1124" s="116">
        <v>726.75</v>
      </c>
      <c r="N1124" s="116">
        <v>730.6</v>
      </c>
      <c r="O1124" s="116">
        <v>719.6</v>
      </c>
      <c r="P1124" s="116">
        <v>722.5</v>
      </c>
      <c r="Q1124" s="116">
        <v>726.75</v>
      </c>
      <c r="R1124">
        <v>7874441</v>
      </c>
    </row>
    <row r="1125" spans="1:18" x14ac:dyDescent="0.25">
      <c r="A1125" s="170">
        <v>43661</v>
      </c>
      <c r="B1125" s="116">
        <v>781.4</v>
      </c>
      <c r="C1125" s="116">
        <v>779.45</v>
      </c>
      <c r="D1125" s="116">
        <v>754.5</v>
      </c>
      <c r="E1125" s="116">
        <v>762</v>
      </c>
      <c r="F1125" s="116">
        <v>779.45</v>
      </c>
      <c r="G1125">
        <v>1168501</v>
      </c>
      <c r="H1125" s="116"/>
      <c r="I1125" s="116"/>
      <c r="L1125" s="170">
        <v>43661</v>
      </c>
      <c r="M1125" s="116">
        <v>779.35</v>
      </c>
      <c r="N1125" s="116">
        <v>781.65</v>
      </c>
      <c r="O1125" s="116">
        <v>754.2</v>
      </c>
      <c r="P1125" s="116">
        <v>763</v>
      </c>
      <c r="Q1125" s="116">
        <v>779.35</v>
      </c>
      <c r="R1125">
        <v>31064152</v>
      </c>
    </row>
    <row r="1126" spans="1:18" x14ac:dyDescent="0.25">
      <c r="A1126" s="170">
        <v>43662</v>
      </c>
      <c r="B1126" s="116">
        <v>787.9</v>
      </c>
      <c r="C1126" s="116">
        <v>784.95</v>
      </c>
      <c r="D1126" s="116">
        <v>774.8</v>
      </c>
      <c r="E1126" s="116">
        <v>776.8</v>
      </c>
      <c r="F1126" s="116">
        <v>784.95</v>
      </c>
      <c r="G1126">
        <v>388399</v>
      </c>
      <c r="H1126" s="116"/>
      <c r="I1126" s="116"/>
      <c r="L1126" s="170">
        <v>43662</v>
      </c>
      <c r="M1126" s="116">
        <v>784.85</v>
      </c>
      <c r="N1126" s="116">
        <v>787.8</v>
      </c>
      <c r="O1126" s="116">
        <v>776</v>
      </c>
      <c r="P1126" s="116">
        <v>777</v>
      </c>
      <c r="Q1126" s="116">
        <v>784.85</v>
      </c>
      <c r="R1126">
        <v>9924322</v>
      </c>
    </row>
    <row r="1127" spans="1:18" x14ac:dyDescent="0.25">
      <c r="A1127" s="170">
        <v>43663</v>
      </c>
      <c r="B1127" s="116">
        <v>795</v>
      </c>
      <c r="C1127" s="116">
        <v>794.3</v>
      </c>
      <c r="D1127" s="116">
        <v>777</v>
      </c>
      <c r="E1127" s="116">
        <v>784.7</v>
      </c>
      <c r="F1127" s="116">
        <v>794.3</v>
      </c>
      <c r="G1127">
        <v>253810</v>
      </c>
      <c r="H1127" s="116"/>
      <c r="I1127" s="116"/>
      <c r="L1127" s="170">
        <v>43663</v>
      </c>
      <c r="M1127" s="116">
        <v>794.15</v>
      </c>
      <c r="N1127" s="116">
        <v>795</v>
      </c>
      <c r="O1127" s="116">
        <v>776.75</v>
      </c>
      <c r="P1127" s="116">
        <v>783.9</v>
      </c>
      <c r="Q1127" s="116">
        <v>794.15</v>
      </c>
      <c r="R1127">
        <v>6754348</v>
      </c>
    </row>
    <row r="1128" spans="1:18" x14ac:dyDescent="0.25">
      <c r="A1128" s="170">
        <v>43664</v>
      </c>
      <c r="B1128" s="116">
        <v>798.6</v>
      </c>
      <c r="C1128" s="116">
        <v>793.15</v>
      </c>
      <c r="D1128" s="116">
        <v>786.05</v>
      </c>
      <c r="E1128" s="116">
        <v>792.4</v>
      </c>
      <c r="F1128" s="116">
        <v>793.15</v>
      </c>
      <c r="G1128">
        <v>248113</v>
      </c>
      <c r="H1128" s="116"/>
      <c r="I1128" s="116"/>
      <c r="L1128" s="170">
        <v>43664</v>
      </c>
      <c r="M1128" s="116">
        <v>792.7</v>
      </c>
      <c r="N1128" s="116">
        <v>798.5</v>
      </c>
      <c r="O1128" s="116">
        <v>786.2</v>
      </c>
      <c r="P1128" s="116">
        <v>789.05</v>
      </c>
      <c r="Q1128" s="116">
        <v>792.7</v>
      </c>
      <c r="R1128">
        <v>6534471</v>
      </c>
    </row>
    <row r="1129" spans="1:18" x14ac:dyDescent="0.25">
      <c r="A1129" s="170">
        <v>43665</v>
      </c>
      <c r="B1129" s="116">
        <v>794.4</v>
      </c>
      <c r="C1129" s="116">
        <v>785.6</v>
      </c>
      <c r="D1129" s="116">
        <v>781.4</v>
      </c>
      <c r="E1129" s="116">
        <v>789.7</v>
      </c>
      <c r="F1129" s="116">
        <v>785.6</v>
      </c>
      <c r="G1129">
        <v>205113</v>
      </c>
      <c r="H1129" s="116"/>
      <c r="I1129" s="116"/>
      <c r="L1129" s="170">
        <v>43665</v>
      </c>
      <c r="M1129" s="116">
        <v>785.4</v>
      </c>
      <c r="N1129" s="116">
        <v>794.5</v>
      </c>
      <c r="O1129" s="116">
        <v>781.25</v>
      </c>
      <c r="P1129" s="116">
        <v>788.7</v>
      </c>
      <c r="Q1129" s="116">
        <v>785.4</v>
      </c>
      <c r="R1129">
        <v>6812754</v>
      </c>
    </row>
    <row r="1130" spans="1:18" x14ac:dyDescent="0.25">
      <c r="A1130" s="170">
        <v>43668</v>
      </c>
      <c r="B1130" s="116">
        <v>792</v>
      </c>
      <c r="C1130" s="116">
        <v>785.15</v>
      </c>
      <c r="D1130" s="116">
        <v>782.25</v>
      </c>
      <c r="E1130" s="116">
        <v>786.9</v>
      </c>
      <c r="F1130" s="116">
        <v>785.15</v>
      </c>
      <c r="G1130">
        <v>333145</v>
      </c>
      <c r="H1130" s="116"/>
      <c r="I1130" s="116"/>
      <c r="L1130" s="170">
        <v>43668</v>
      </c>
      <c r="M1130" s="116">
        <v>784.4</v>
      </c>
      <c r="N1130" s="116">
        <v>792</v>
      </c>
      <c r="O1130" s="116">
        <v>782.05</v>
      </c>
      <c r="P1130" s="116">
        <v>785.95</v>
      </c>
      <c r="Q1130" s="116">
        <v>784.4</v>
      </c>
      <c r="R1130">
        <v>7107151</v>
      </c>
    </row>
    <row r="1131" spans="1:18" x14ac:dyDescent="0.25">
      <c r="A1131" s="170">
        <v>43669</v>
      </c>
      <c r="B1131" s="116">
        <v>804.25</v>
      </c>
      <c r="C1131" s="116">
        <v>789.9</v>
      </c>
      <c r="D1131" s="116">
        <v>785.45</v>
      </c>
      <c r="E1131" s="116">
        <v>785.45</v>
      </c>
      <c r="F1131" s="116">
        <v>789.9</v>
      </c>
      <c r="G1131">
        <v>497688</v>
      </c>
      <c r="H1131" s="116"/>
      <c r="I1131" s="116"/>
      <c r="L1131" s="170">
        <v>43669</v>
      </c>
      <c r="M1131" s="116">
        <v>790.05</v>
      </c>
      <c r="N1131" s="116">
        <v>804</v>
      </c>
      <c r="O1131" s="116">
        <v>785.55</v>
      </c>
      <c r="P1131" s="116">
        <v>787</v>
      </c>
      <c r="Q1131" s="116">
        <v>790.05</v>
      </c>
      <c r="R1131">
        <v>10782564</v>
      </c>
    </row>
    <row r="1132" spans="1:18" x14ac:dyDescent="0.25">
      <c r="A1132" s="170">
        <v>43670</v>
      </c>
      <c r="B1132" s="116">
        <v>793.3</v>
      </c>
      <c r="C1132" s="116">
        <v>786.05</v>
      </c>
      <c r="D1132" s="116">
        <v>783.65</v>
      </c>
      <c r="E1132" s="116">
        <v>789.5</v>
      </c>
      <c r="F1132" s="116">
        <v>786.05</v>
      </c>
      <c r="G1132">
        <v>345353</v>
      </c>
      <c r="H1132" s="116"/>
      <c r="I1132" s="116"/>
      <c r="L1132" s="170">
        <v>43670</v>
      </c>
      <c r="M1132" s="116">
        <v>786.3</v>
      </c>
      <c r="N1132" s="116">
        <v>793.75</v>
      </c>
      <c r="O1132" s="116">
        <v>783.6</v>
      </c>
      <c r="P1132" s="116">
        <v>788</v>
      </c>
      <c r="Q1132" s="116">
        <v>786.3</v>
      </c>
      <c r="R1132">
        <v>5745146</v>
      </c>
    </row>
    <row r="1133" spans="1:18" x14ac:dyDescent="0.25">
      <c r="A1133" s="170">
        <v>43671</v>
      </c>
      <c r="B1133" s="116">
        <v>800.25</v>
      </c>
      <c r="C1133" s="116">
        <v>795.05</v>
      </c>
      <c r="D1133" s="116">
        <v>787</v>
      </c>
      <c r="E1133" s="116">
        <v>787</v>
      </c>
      <c r="F1133" s="116">
        <v>795.05</v>
      </c>
      <c r="G1133">
        <v>327591</v>
      </c>
      <c r="H1133" s="116"/>
      <c r="I1133" s="116"/>
      <c r="L1133" s="170">
        <v>43671</v>
      </c>
      <c r="M1133" s="116">
        <v>794.5</v>
      </c>
      <c r="N1133" s="116">
        <v>800.2</v>
      </c>
      <c r="O1133" s="116">
        <v>787.65</v>
      </c>
      <c r="P1133" s="116">
        <v>788.25</v>
      </c>
      <c r="Q1133" s="116">
        <v>794.5</v>
      </c>
      <c r="R1133">
        <v>9773568</v>
      </c>
    </row>
    <row r="1134" spans="1:18" x14ac:dyDescent="0.25">
      <c r="A1134" s="170">
        <v>43672</v>
      </c>
      <c r="B1134" s="116">
        <v>794.7</v>
      </c>
      <c r="C1134" s="116">
        <v>787.3</v>
      </c>
      <c r="D1134" s="116">
        <v>782.7</v>
      </c>
      <c r="E1134" s="116">
        <v>793</v>
      </c>
      <c r="F1134" s="116">
        <v>787.3</v>
      </c>
      <c r="G1134">
        <v>293235</v>
      </c>
      <c r="H1134" s="116"/>
      <c r="I1134" s="116"/>
      <c r="L1134" s="170">
        <v>43672</v>
      </c>
      <c r="M1134" s="116">
        <v>787</v>
      </c>
      <c r="N1134" s="116">
        <v>795</v>
      </c>
      <c r="O1134" s="116">
        <v>782.2</v>
      </c>
      <c r="P1134" s="116">
        <v>792.3</v>
      </c>
      <c r="Q1134" s="116">
        <v>787</v>
      </c>
      <c r="R1134">
        <v>4941763</v>
      </c>
    </row>
    <row r="1135" spans="1:18" x14ac:dyDescent="0.25">
      <c r="A1135" s="170">
        <v>43675</v>
      </c>
      <c r="B1135" s="116">
        <v>796.85</v>
      </c>
      <c r="C1135" s="116">
        <v>791.55</v>
      </c>
      <c r="D1135" s="116">
        <v>786.4</v>
      </c>
      <c r="E1135" s="116">
        <v>787.55</v>
      </c>
      <c r="F1135" s="116">
        <v>791.55</v>
      </c>
      <c r="G1135">
        <v>272313</v>
      </c>
      <c r="H1135" s="116"/>
      <c r="I1135" s="116"/>
      <c r="L1135" s="170">
        <v>43675</v>
      </c>
      <c r="M1135" s="116">
        <v>791.45</v>
      </c>
      <c r="N1135" s="116">
        <v>796.95</v>
      </c>
      <c r="O1135" s="116">
        <v>786.2</v>
      </c>
      <c r="P1135" s="116">
        <v>789.5</v>
      </c>
      <c r="Q1135" s="116">
        <v>791.45</v>
      </c>
      <c r="R1135">
        <v>6244316</v>
      </c>
    </row>
    <row r="1136" spans="1:18" x14ac:dyDescent="0.25">
      <c r="A1136" s="170">
        <v>43676</v>
      </c>
      <c r="B1136" s="116">
        <v>798</v>
      </c>
      <c r="C1136" s="116">
        <v>792.8</v>
      </c>
      <c r="D1136" s="116">
        <v>788.25</v>
      </c>
      <c r="E1136" s="116">
        <v>792</v>
      </c>
      <c r="F1136" s="116">
        <v>792.8</v>
      </c>
      <c r="G1136">
        <v>267946</v>
      </c>
      <c r="H1136" s="116"/>
      <c r="I1136" s="116"/>
      <c r="L1136" s="170">
        <v>43676</v>
      </c>
      <c r="M1136" s="116">
        <v>792.7</v>
      </c>
      <c r="N1136" s="116">
        <v>797.8</v>
      </c>
      <c r="O1136" s="116">
        <v>788.55</v>
      </c>
      <c r="P1136" s="116">
        <v>791.9</v>
      </c>
      <c r="Q1136" s="116">
        <v>792.7</v>
      </c>
      <c r="R1136">
        <v>8673253</v>
      </c>
    </row>
    <row r="1137" spans="1:18" x14ac:dyDescent="0.25">
      <c r="A1137" s="170">
        <v>43677</v>
      </c>
      <c r="B1137" s="116">
        <v>799.45</v>
      </c>
      <c r="C1137" s="116">
        <v>794</v>
      </c>
      <c r="D1137" s="116">
        <v>781.75</v>
      </c>
      <c r="E1137" s="116">
        <v>792</v>
      </c>
      <c r="F1137" s="116">
        <v>794</v>
      </c>
      <c r="G1137">
        <v>302444</v>
      </c>
      <c r="H1137" s="116"/>
      <c r="I1137" s="116"/>
      <c r="L1137" s="170">
        <v>43677</v>
      </c>
      <c r="M1137" s="116">
        <v>793.65</v>
      </c>
      <c r="N1137" s="116">
        <v>799.8</v>
      </c>
      <c r="O1137" s="116">
        <v>781.6</v>
      </c>
      <c r="P1137" s="116">
        <v>790.85</v>
      </c>
      <c r="Q1137" s="116">
        <v>793.65</v>
      </c>
      <c r="R1137">
        <v>7350584</v>
      </c>
    </row>
    <row r="1138" spans="1:18" x14ac:dyDescent="0.25">
      <c r="A1138" s="170">
        <v>43678</v>
      </c>
      <c r="B1138" s="116">
        <v>790.8</v>
      </c>
      <c r="C1138" s="116">
        <v>769.05</v>
      </c>
      <c r="D1138" s="116">
        <v>764.8</v>
      </c>
      <c r="E1138" s="116">
        <v>790.8</v>
      </c>
      <c r="F1138" s="116">
        <v>769.05</v>
      </c>
      <c r="G1138">
        <v>365299</v>
      </c>
      <c r="H1138" s="116"/>
      <c r="I1138" s="116"/>
      <c r="L1138" s="170">
        <v>43678</v>
      </c>
      <c r="M1138" s="116">
        <v>768.85</v>
      </c>
      <c r="N1138" s="116">
        <v>788.4</v>
      </c>
      <c r="O1138" s="116">
        <v>764.4</v>
      </c>
      <c r="P1138" s="116">
        <v>786.45</v>
      </c>
      <c r="Q1138" s="116">
        <v>768.85</v>
      </c>
      <c r="R1138">
        <v>10066407</v>
      </c>
    </row>
    <row r="1139" spans="1:18" x14ac:dyDescent="0.25">
      <c r="A1139" s="170">
        <v>43679</v>
      </c>
      <c r="B1139" s="116">
        <v>780</v>
      </c>
      <c r="C1139" s="116">
        <v>775.4</v>
      </c>
      <c r="D1139" s="116">
        <v>762.4</v>
      </c>
      <c r="E1139" s="116">
        <v>769</v>
      </c>
      <c r="F1139" s="116">
        <v>775.4</v>
      </c>
      <c r="G1139">
        <v>390658</v>
      </c>
      <c r="H1139" s="116"/>
      <c r="I1139" s="116"/>
      <c r="L1139" s="170">
        <v>43679</v>
      </c>
      <c r="M1139" s="116">
        <v>775.6</v>
      </c>
      <c r="N1139" s="116">
        <v>779.9</v>
      </c>
      <c r="O1139" s="116">
        <v>762.25</v>
      </c>
      <c r="P1139" s="116">
        <v>765.05</v>
      </c>
      <c r="Q1139" s="116">
        <v>775.6</v>
      </c>
      <c r="R1139">
        <v>10838336</v>
      </c>
    </row>
    <row r="1140" spans="1:18" x14ac:dyDescent="0.25">
      <c r="A1140" s="170">
        <v>43682</v>
      </c>
      <c r="B1140" s="116">
        <v>785.75</v>
      </c>
      <c r="C1140" s="116">
        <v>776.75</v>
      </c>
      <c r="D1140" s="116">
        <v>768.25</v>
      </c>
      <c r="E1140" s="116">
        <v>773</v>
      </c>
      <c r="F1140" s="116">
        <v>776.75</v>
      </c>
      <c r="G1140">
        <v>471827</v>
      </c>
      <c r="H1140" s="116"/>
      <c r="I1140" s="116"/>
      <c r="L1140" s="170">
        <v>43682</v>
      </c>
      <c r="M1140" s="116">
        <v>776.7</v>
      </c>
      <c r="N1140" s="116">
        <v>785.9</v>
      </c>
      <c r="O1140" s="116">
        <v>768.65</v>
      </c>
      <c r="P1140" s="116">
        <v>772.6</v>
      </c>
      <c r="Q1140" s="116">
        <v>776.7</v>
      </c>
      <c r="R1140">
        <v>9976238</v>
      </c>
    </row>
    <row r="1141" spans="1:18" x14ac:dyDescent="0.25">
      <c r="A1141" s="170">
        <v>43683</v>
      </c>
      <c r="B1141" s="116">
        <v>783.9</v>
      </c>
      <c r="C1141" s="116">
        <v>774.65</v>
      </c>
      <c r="D1141" s="116">
        <v>770</v>
      </c>
      <c r="E1141" s="116">
        <v>778</v>
      </c>
      <c r="F1141" s="116">
        <v>774.65</v>
      </c>
      <c r="G1141">
        <v>852181</v>
      </c>
      <c r="H1141" s="116"/>
      <c r="I1141" s="116"/>
      <c r="L1141" s="170">
        <v>43683</v>
      </c>
      <c r="M1141" s="116">
        <v>774.45</v>
      </c>
      <c r="N1141" s="116">
        <v>783.7</v>
      </c>
      <c r="O1141" s="116">
        <v>769.8</v>
      </c>
      <c r="P1141" s="116">
        <v>778.8</v>
      </c>
      <c r="Q1141" s="116">
        <v>774.45</v>
      </c>
      <c r="R1141">
        <v>9331718</v>
      </c>
    </row>
    <row r="1142" spans="1:18" x14ac:dyDescent="0.25">
      <c r="A1142" s="170">
        <v>43684</v>
      </c>
      <c r="B1142" s="116">
        <v>783.6</v>
      </c>
      <c r="C1142" s="116">
        <v>776.15</v>
      </c>
      <c r="D1142" s="116">
        <v>772.35</v>
      </c>
      <c r="E1142" s="116">
        <v>779</v>
      </c>
      <c r="F1142" s="116">
        <v>776.15</v>
      </c>
      <c r="G1142">
        <v>462609</v>
      </c>
      <c r="H1142" s="116"/>
      <c r="I1142" s="116"/>
      <c r="L1142" s="170">
        <v>43684</v>
      </c>
      <c r="M1142" s="116">
        <v>776.1</v>
      </c>
      <c r="N1142" s="116">
        <v>783.45</v>
      </c>
      <c r="O1142" s="116">
        <v>772.35</v>
      </c>
      <c r="P1142" s="116">
        <v>778.9</v>
      </c>
      <c r="Q1142" s="116">
        <v>776.1</v>
      </c>
      <c r="R1142">
        <v>5130457</v>
      </c>
    </row>
    <row r="1143" spans="1:18" x14ac:dyDescent="0.25">
      <c r="A1143" s="170">
        <v>43685</v>
      </c>
      <c r="B1143" s="116">
        <v>792.9</v>
      </c>
      <c r="C1143" s="116">
        <v>789.1</v>
      </c>
      <c r="D1143" s="116">
        <v>778</v>
      </c>
      <c r="E1143" s="116">
        <v>778</v>
      </c>
      <c r="F1143" s="116">
        <v>789.1</v>
      </c>
      <c r="G1143">
        <v>539576</v>
      </c>
      <c r="H1143" s="116"/>
      <c r="I1143" s="116"/>
      <c r="L1143" s="170">
        <v>43685</v>
      </c>
      <c r="M1143" s="116">
        <v>788.75</v>
      </c>
      <c r="N1143" s="116">
        <v>792.75</v>
      </c>
      <c r="O1143" s="116">
        <v>781.25</v>
      </c>
      <c r="P1143" s="116">
        <v>782.7</v>
      </c>
      <c r="Q1143" s="116">
        <v>788.75</v>
      </c>
      <c r="R1143">
        <v>8009009</v>
      </c>
    </row>
    <row r="1144" spans="1:18" x14ac:dyDescent="0.25">
      <c r="A1144" s="170">
        <v>43686</v>
      </c>
      <c r="B1144" s="116">
        <v>796.4</v>
      </c>
      <c r="C1144" s="116">
        <v>790.15</v>
      </c>
      <c r="D1144" s="116">
        <v>785.5</v>
      </c>
      <c r="E1144" s="116">
        <v>791.5</v>
      </c>
      <c r="F1144" s="116">
        <v>790.15</v>
      </c>
      <c r="G1144">
        <v>483333</v>
      </c>
      <c r="H1144" s="116"/>
      <c r="I1144" s="116"/>
      <c r="L1144" s="170">
        <v>43686</v>
      </c>
      <c r="M1144" s="116">
        <v>789.85</v>
      </c>
      <c r="N1144" s="116">
        <v>796.75</v>
      </c>
      <c r="O1144" s="116">
        <v>784.8</v>
      </c>
      <c r="P1144" s="116">
        <v>792</v>
      </c>
      <c r="Q1144" s="116">
        <v>789.85</v>
      </c>
      <c r="R1144">
        <v>4362520</v>
      </c>
    </row>
    <row r="1145" spans="1:18" x14ac:dyDescent="0.25">
      <c r="A1145" s="170">
        <v>43690</v>
      </c>
      <c r="B1145" s="116">
        <v>788.35</v>
      </c>
      <c r="C1145" s="116">
        <v>764.1</v>
      </c>
      <c r="D1145" s="116">
        <v>760.5</v>
      </c>
      <c r="E1145" s="116">
        <v>788.35</v>
      </c>
      <c r="F1145" s="116">
        <v>764.1</v>
      </c>
      <c r="G1145">
        <v>600910</v>
      </c>
      <c r="H1145" s="116"/>
      <c r="I1145" s="116"/>
      <c r="L1145" s="170">
        <v>43690</v>
      </c>
      <c r="M1145" s="116">
        <v>764.75</v>
      </c>
      <c r="N1145" s="116">
        <v>786</v>
      </c>
      <c r="O1145" s="116">
        <v>760.15</v>
      </c>
      <c r="P1145" s="116">
        <v>784.15</v>
      </c>
      <c r="Q1145" s="116">
        <v>764.75</v>
      </c>
      <c r="R1145">
        <v>7517099</v>
      </c>
    </row>
    <row r="1146" spans="1:18" x14ac:dyDescent="0.25">
      <c r="A1146" s="170">
        <v>43691</v>
      </c>
      <c r="B1146" s="116">
        <v>778.5</v>
      </c>
      <c r="C1146" s="116">
        <v>774.9</v>
      </c>
      <c r="D1146" s="116">
        <v>768.45</v>
      </c>
      <c r="E1146" s="116">
        <v>774</v>
      </c>
      <c r="F1146" s="116">
        <v>774.9</v>
      </c>
      <c r="G1146">
        <v>341438</v>
      </c>
      <c r="H1146" s="116"/>
      <c r="I1146" s="116"/>
      <c r="L1146" s="170">
        <v>43691</v>
      </c>
      <c r="M1146" s="116">
        <v>774.8</v>
      </c>
      <c r="N1146" s="116">
        <v>778.25</v>
      </c>
      <c r="O1146" s="116">
        <v>768</v>
      </c>
      <c r="P1146" s="116">
        <v>775.1</v>
      </c>
      <c r="Q1146" s="116">
        <v>774.8</v>
      </c>
      <c r="R1146">
        <v>5940968</v>
      </c>
    </row>
    <row r="1147" spans="1:18" x14ac:dyDescent="0.25">
      <c r="A1147" s="170">
        <v>43693</v>
      </c>
      <c r="B1147" s="116">
        <v>779.8</v>
      </c>
      <c r="C1147" s="116">
        <v>774.55</v>
      </c>
      <c r="D1147" s="116">
        <v>762.25</v>
      </c>
      <c r="E1147" s="116">
        <v>779</v>
      </c>
      <c r="F1147" s="116">
        <v>774.55</v>
      </c>
      <c r="G1147">
        <v>226017</v>
      </c>
      <c r="H1147" s="116"/>
      <c r="I1147" s="116"/>
      <c r="L1147" s="170">
        <v>43693</v>
      </c>
      <c r="M1147" s="116">
        <v>774.55</v>
      </c>
      <c r="N1147" s="116">
        <v>780.05</v>
      </c>
      <c r="O1147" s="116">
        <v>762.5</v>
      </c>
      <c r="P1147" s="116">
        <v>780</v>
      </c>
      <c r="Q1147" s="116">
        <v>774.55</v>
      </c>
      <c r="R1147">
        <v>5128088</v>
      </c>
    </row>
    <row r="1148" spans="1:18" x14ac:dyDescent="0.25">
      <c r="A1148" s="170">
        <v>43696</v>
      </c>
      <c r="B1148" s="116">
        <v>783.3</v>
      </c>
      <c r="C1148" s="116">
        <v>777.8</v>
      </c>
      <c r="D1148" s="116">
        <v>773.8</v>
      </c>
      <c r="E1148" s="116">
        <v>777</v>
      </c>
      <c r="F1148" s="116">
        <v>777.8</v>
      </c>
      <c r="G1148">
        <v>262801</v>
      </c>
      <c r="H1148" s="116"/>
      <c r="I1148" s="116"/>
      <c r="L1148" s="170">
        <v>43696</v>
      </c>
      <c r="M1148" s="116">
        <v>777.65</v>
      </c>
      <c r="N1148" s="116">
        <v>783</v>
      </c>
      <c r="O1148" s="116">
        <v>773.35</v>
      </c>
      <c r="P1148" s="116">
        <v>775.6</v>
      </c>
      <c r="Q1148" s="116">
        <v>777.65</v>
      </c>
      <c r="R1148">
        <v>3881451</v>
      </c>
    </row>
    <row r="1149" spans="1:18" x14ac:dyDescent="0.25">
      <c r="A1149" s="170">
        <v>43697</v>
      </c>
      <c r="B1149" s="116">
        <v>797.9</v>
      </c>
      <c r="C1149" s="116">
        <v>792.9</v>
      </c>
      <c r="D1149" s="116">
        <v>781.05</v>
      </c>
      <c r="E1149" s="116">
        <v>781.05</v>
      </c>
      <c r="F1149" s="116">
        <v>792.9</v>
      </c>
      <c r="G1149">
        <v>513651</v>
      </c>
      <c r="H1149" s="116"/>
      <c r="I1149" s="116"/>
      <c r="L1149" s="170">
        <v>43697</v>
      </c>
      <c r="M1149" s="116">
        <v>792.75</v>
      </c>
      <c r="N1149" s="116">
        <v>798</v>
      </c>
      <c r="O1149" s="116">
        <v>783.85</v>
      </c>
      <c r="P1149" s="116">
        <v>785.2</v>
      </c>
      <c r="Q1149" s="116">
        <v>792.75</v>
      </c>
      <c r="R1149">
        <v>8435344</v>
      </c>
    </row>
    <row r="1150" spans="1:18" x14ac:dyDescent="0.25">
      <c r="A1150" s="170">
        <v>43698</v>
      </c>
      <c r="B1150" s="116">
        <v>803</v>
      </c>
      <c r="C1150" s="116">
        <v>799.55</v>
      </c>
      <c r="D1150" s="116">
        <v>792.75</v>
      </c>
      <c r="E1150" s="116">
        <v>792.8</v>
      </c>
      <c r="F1150" s="116">
        <v>799.55</v>
      </c>
      <c r="G1150">
        <v>339416</v>
      </c>
      <c r="H1150" s="116"/>
      <c r="I1150" s="116"/>
      <c r="L1150" s="170">
        <v>43698</v>
      </c>
      <c r="M1150" s="116">
        <v>799.45</v>
      </c>
      <c r="N1150" s="116">
        <v>803.75</v>
      </c>
      <c r="O1150" s="116">
        <v>793</v>
      </c>
      <c r="P1150" s="116">
        <v>793</v>
      </c>
      <c r="Q1150" s="116">
        <v>799.45</v>
      </c>
      <c r="R1150">
        <v>5926896</v>
      </c>
    </row>
    <row r="1151" spans="1:18" x14ac:dyDescent="0.25">
      <c r="A1151" s="170">
        <v>43699</v>
      </c>
      <c r="B1151" s="116">
        <v>800.8</v>
      </c>
      <c r="C1151" s="116">
        <v>795.9</v>
      </c>
      <c r="D1151" s="116">
        <v>792.5</v>
      </c>
      <c r="E1151" s="116">
        <v>800.8</v>
      </c>
      <c r="F1151" s="116">
        <v>795.9</v>
      </c>
      <c r="G1151">
        <v>199130</v>
      </c>
      <c r="H1151" s="116"/>
      <c r="I1151" s="116"/>
      <c r="L1151" s="170">
        <v>43699</v>
      </c>
      <c r="M1151" s="116">
        <v>795.7</v>
      </c>
      <c r="N1151" s="116">
        <v>801.3</v>
      </c>
      <c r="O1151" s="116">
        <v>792.35</v>
      </c>
      <c r="P1151" s="116">
        <v>799.9</v>
      </c>
      <c r="Q1151" s="116">
        <v>795.7</v>
      </c>
      <c r="R1151">
        <v>5222488</v>
      </c>
    </row>
    <row r="1152" spans="1:18" x14ac:dyDescent="0.25">
      <c r="A1152" s="170">
        <v>43700</v>
      </c>
      <c r="B1152" s="116">
        <v>809.95</v>
      </c>
      <c r="C1152" s="116">
        <v>801.9</v>
      </c>
      <c r="D1152" s="116">
        <v>796</v>
      </c>
      <c r="E1152" s="116">
        <v>798</v>
      </c>
      <c r="F1152" s="116">
        <v>801.9</v>
      </c>
      <c r="G1152">
        <v>355792</v>
      </c>
      <c r="H1152" s="116"/>
      <c r="I1152" s="116"/>
      <c r="L1152" s="170">
        <v>43700</v>
      </c>
      <c r="M1152" s="116">
        <v>802.2</v>
      </c>
      <c r="N1152" s="116">
        <v>809.95</v>
      </c>
      <c r="O1152" s="116">
        <v>795.8</v>
      </c>
      <c r="P1152" s="116">
        <v>796.45</v>
      </c>
      <c r="Q1152" s="116">
        <v>802.2</v>
      </c>
      <c r="R1152">
        <v>6895015</v>
      </c>
    </row>
    <row r="1153" spans="1:18" x14ac:dyDescent="0.25">
      <c r="A1153" s="170">
        <v>43703</v>
      </c>
      <c r="B1153" s="116">
        <v>806.75</v>
      </c>
      <c r="C1153" s="116">
        <v>802.9</v>
      </c>
      <c r="D1153" s="116">
        <v>787.5</v>
      </c>
      <c r="E1153" s="116">
        <v>800</v>
      </c>
      <c r="F1153" s="116">
        <v>802.9</v>
      </c>
      <c r="G1153">
        <v>174352</v>
      </c>
      <c r="H1153" s="116"/>
      <c r="I1153" s="116"/>
      <c r="L1153" s="170">
        <v>43703</v>
      </c>
      <c r="M1153" s="116">
        <v>802.55</v>
      </c>
      <c r="N1153" s="116">
        <v>806.8</v>
      </c>
      <c r="O1153" s="116">
        <v>786.9</v>
      </c>
      <c r="P1153" s="116">
        <v>795.9</v>
      </c>
      <c r="Q1153" s="116">
        <v>802.55</v>
      </c>
      <c r="R1153">
        <v>5412074</v>
      </c>
    </row>
    <row r="1154" spans="1:18" x14ac:dyDescent="0.25">
      <c r="A1154" s="170">
        <v>43704</v>
      </c>
      <c r="B1154" s="116">
        <v>795</v>
      </c>
      <c r="C1154" s="116">
        <v>785</v>
      </c>
      <c r="D1154" s="116">
        <v>781.2</v>
      </c>
      <c r="E1154" s="116">
        <v>791</v>
      </c>
      <c r="F1154" s="116">
        <v>785</v>
      </c>
      <c r="G1154">
        <v>248061</v>
      </c>
      <c r="H1154" s="116"/>
      <c r="I1154" s="116"/>
      <c r="L1154" s="170">
        <v>43704</v>
      </c>
      <c r="M1154" s="116">
        <v>784.65</v>
      </c>
      <c r="N1154" s="116">
        <v>794.95</v>
      </c>
      <c r="O1154" s="116">
        <v>781.1</v>
      </c>
      <c r="P1154" s="116">
        <v>791</v>
      </c>
      <c r="Q1154" s="116">
        <v>784.65</v>
      </c>
      <c r="R1154">
        <v>16061642</v>
      </c>
    </row>
    <row r="1155" spans="1:18" x14ac:dyDescent="0.25">
      <c r="A1155" s="170">
        <v>43705</v>
      </c>
      <c r="B1155" s="116">
        <v>804.9</v>
      </c>
      <c r="C1155" s="116">
        <v>802.1</v>
      </c>
      <c r="D1155" s="116">
        <v>785.1</v>
      </c>
      <c r="E1155" s="116">
        <v>785.1</v>
      </c>
      <c r="F1155" s="116">
        <v>802.1</v>
      </c>
      <c r="G1155">
        <v>164188</v>
      </c>
      <c r="H1155" s="116"/>
      <c r="I1155" s="116"/>
      <c r="L1155" s="170">
        <v>43705</v>
      </c>
      <c r="M1155" s="116">
        <v>802.5</v>
      </c>
      <c r="N1155" s="116">
        <v>805</v>
      </c>
      <c r="O1155" s="116">
        <v>786.3</v>
      </c>
      <c r="P1155" s="116">
        <v>787.4</v>
      </c>
      <c r="Q1155" s="116">
        <v>802.5</v>
      </c>
      <c r="R1155">
        <v>5881134</v>
      </c>
    </row>
    <row r="1156" spans="1:18" x14ac:dyDescent="0.25">
      <c r="A1156" s="170">
        <v>43706</v>
      </c>
      <c r="B1156" s="116">
        <v>809.65</v>
      </c>
      <c r="C1156" s="116">
        <v>806.85</v>
      </c>
      <c r="D1156" s="116">
        <v>796</v>
      </c>
      <c r="E1156" s="116">
        <v>798.9</v>
      </c>
      <c r="F1156" s="116">
        <v>806.85</v>
      </c>
      <c r="G1156">
        <v>177460</v>
      </c>
      <c r="H1156" s="116"/>
      <c r="I1156" s="116"/>
      <c r="L1156" s="170">
        <v>43706</v>
      </c>
      <c r="M1156" s="116">
        <v>806.95</v>
      </c>
      <c r="N1156" s="116">
        <v>809.7</v>
      </c>
      <c r="O1156" s="116">
        <v>795.5</v>
      </c>
      <c r="P1156" s="116">
        <v>795.5</v>
      </c>
      <c r="Q1156" s="116">
        <v>806.95</v>
      </c>
      <c r="R1156">
        <v>7830413</v>
      </c>
    </row>
    <row r="1157" spans="1:18" x14ac:dyDescent="0.25">
      <c r="A1157" s="170">
        <v>43707</v>
      </c>
      <c r="B1157" s="116">
        <v>817.5</v>
      </c>
      <c r="C1157" s="116">
        <v>814.6</v>
      </c>
      <c r="D1157" s="116">
        <v>802</v>
      </c>
      <c r="E1157" s="116">
        <v>808</v>
      </c>
      <c r="F1157" s="116">
        <v>814.6</v>
      </c>
      <c r="G1157">
        <v>156965</v>
      </c>
      <c r="H1157" s="116"/>
      <c r="I1157" s="116"/>
      <c r="L1157" s="170">
        <v>43707</v>
      </c>
      <c r="M1157" s="116">
        <v>814.9</v>
      </c>
      <c r="N1157" s="116">
        <v>817.35</v>
      </c>
      <c r="O1157" s="116">
        <v>802</v>
      </c>
      <c r="P1157" s="116">
        <v>810</v>
      </c>
      <c r="Q1157" s="116">
        <v>814.9</v>
      </c>
      <c r="R1157">
        <v>8174186</v>
      </c>
    </row>
    <row r="1158" spans="1:18" x14ac:dyDescent="0.25">
      <c r="A1158" s="170">
        <v>43711</v>
      </c>
      <c r="B1158" s="116">
        <v>822.3</v>
      </c>
      <c r="C1158" s="116">
        <v>814.3</v>
      </c>
      <c r="D1158" s="116">
        <v>812.05</v>
      </c>
      <c r="E1158" s="116">
        <v>815</v>
      </c>
      <c r="F1158" s="116">
        <v>814.3</v>
      </c>
      <c r="G1158">
        <v>132158</v>
      </c>
      <c r="H1158" s="116"/>
      <c r="I1158" s="116"/>
      <c r="L1158" s="170">
        <v>43711</v>
      </c>
      <c r="M1158" s="116">
        <v>814.25</v>
      </c>
      <c r="N1158" s="116">
        <v>822.4</v>
      </c>
      <c r="O1158" s="116">
        <v>812.05</v>
      </c>
      <c r="P1158" s="116">
        <v>815</v>
      </c>
      <c r="Q1158" s="116">
        <v>814.25</v>
      </c>
      <c r="R1158">
        <v>5647088</v>
      </c>
    </row>
    <row r="1159" spans="1:18" x14ac:dyDescent="0.25">
      <c r="A1159" s="170">
        <v>43712</v>
      </c>
      <c r="B1159" s="116">
        <v>822.7</v>
      </c>
      <c r="C1159" s="116">
        <v>821.05</v>
      </c>
      <c r="D1159" s="116">
        <v>810.25</v>
      </c>
      <c r="E1159" s="116">
        <v>813.7</v>
      </c>
      <c r="F1159" s="116">
        <v>821.05</v>
      </c>
      <c r="G1159">
        <v>138123</v>
      </c>
      <c r="H1159" s="116"/>
      <c r="I1159" s="116"/>
      <c r="L1159" s="170">
        <v>43712</v>
      </c>
      <c r="M1159" s="116">
        <v>821.3</v>
      </c>
      <c r="N1159" s="116">
        <v>822.45</v>
      </c>
      <c r="O1159" s="116">
        <v>810.25</v>
      </c>
      <c r="P1159" s="116">
        <v>810.75</v>
      </c>
      <c r="Q1159" s="116">
        <v>821.3</v>
      </c>
      <c r="R1159">
        <v>6199015</v>
      </c>
    </row>
    <row r="1160" spans="1:18" x14ac:dyDescent="0.25">
      <c r="A1160" s="170">
        <v>43713</v>
      </c>
      <c r="B1160" s="116">
        <v>837</v>
      </c>
      <c r="C1160" s="116">
        <v>834.2</v>
      </c>
      <c r="D1160" s="116">
        <v>826.4</v>
      </c>
      <c r="E1160" s="116">
        <v>827.1</v>
      </c>
      <c r="F1160" s="116">
        <v>834.2</v>
      </c>
      <c r="G1160">
        <v>252694</v>
      </c>
      <c r="H1160" s="116"/>
      <c r="I1160" s="116"/>
      <c r="L1160" s="170">
        <v>43713</v>
      </c>
      <c r="M1160" s="116">
        <v>834.05</v>
      </c>
      <c r="N1160" s="116">
        <v>837.5</v>
      </c>
      <c r="O1160" s="116">
        <v>826.65</v>
      </c>
      <c r="P1160" s="116">
        <v>830.1</v>
      </c>
      <c r="Q1160" s="116">
        <v>834.05</v>
      </c>
      <c r="R1160">
        <v>7926895</v>
      </c>
    </row>
    <row r="1161" spans="1:18" x14ac:dyDescent="0.25">
      <c r="A1161" s="170">
        <v>43714</v>
      </c>
      <c r="B1161" s="116">
        <v>847.4</v>
      </c>
      <c r="C1161" s="116">
        <v>840.15</v>
      </c>
      <c r="D1161" s="116">
        <v>835.15</v>
      </c>
      <c r="E1161" s="116">
        <v>838</v>
      </c>
      <c r="F1161" s="116">
        <v>840.15</v>
      </c>
      <c r="G1161">
        <v>145166</v>
      </c>
      <c r="H1161" s="116"/>
      <c r="I1161" s="116"/>
      <c r="L1161" s="170">
        <v>43714</v>
      </c>
      <c r="M1161" s="116">
        <v>840.15</v>
      </c>
      <c r="N1161" s="116">
        <v>847</v>
      </c>
      <c r="O1161" s="116">
        <v>835.05</v>
      </c>
      <c r="P1161" s="116">
        <v>843.3</v>
      </c>
      <c r="Q1161" s="116">
        <v>840.15</v>
      </c>
      <c r="R1161">
        <v>6106841</v>
      </c>
    </row>
    <row r="1162" spans="1:18" x14ac:dyDescent="0.25">
      <c r="A1162" s="170">
        <v>43717</v>
      </c>
      <c r="B1162" s="116">
        <v>840</v>
      </c>
      <c r="C1162" s="116">
        <v>829.2</v>
      </c>
      <c r="D1162" s="116">
        <v>827.3</v>
      </c>
      <c r="E1162" s="116">
        <v>838.05</v>
      </c>
      <c r="F1162" s="116">
        <v>829.2</v>
      </c>
      <c r="G1162">
        <v>118172</v>
      </c>
      <c r="H1162" s="116"/>
      <c r="I1162" s="116"/>
      <c r="L1162" s="170">
        <v>43717</v>
      </c>
      <c r="M1162" s="116">
        <v>829.1</v>
      </c>
      <c r="N1162" s="116">
        <v>840.3</v>
      </c>
      <c r="O1162" s="116">
        <v>827.55</v>
      </c>
      <c r="P1162" s="116">
        <v>836.8</v>
      </c>
      <c r="Q1162" s="116">
        <v>829.1</v>
      </c>
      <c r="R1162">
        <v>4377870</v>
      </c>
    </row>
    <row r="1163" spans="1:18" x14ac:dyDescent="0.25">
      <c r="A1163" s="170">
        <v>43719</v>
      </c>
      <c r="B1163" s="116">
        <v>827.95</v>
      </c>
      <c r="C1163" s="116">
        <v>820.1</v>
      </c>
      <c r="D1163" s="116">
        <v>814.7</v>
      </c>
      <c r="E1163" s="116">
        <v>821.65</v>
      </c>
      <c r="F1163" s="116">
        <v>820.1</v>
      </c>
      <c r="G1163">
        <v>265029</v>
      </c>
      <c r="H1163" s="116"/>
      <c r="I1163" s="116"/>
      <c r="L1163" s="170">
        <v>43719</v>
      </c>
      <c r="M1163" s="116">
        <v>820.1</v>
      </c>
      <c r="N1163" s="116">
        <v>828.55</v>
      </c>
      <c r="O1163" s="116">
        <v>814.15</v>
      </c>
      <c r="P1163" s="116">
        <v>822.3</v>
      </c>
      <c r="Q1163" s="116">
        <v>820.1</v>
      </c>
      <c r="R1163">
        <v>7981036</v>
      </c>
    </row>
    <row r="1164" spans="1:18" x14ac:dyDescent="0.25">
      <c r="A1164" s="170">
        <v>43720</v>
      </c>
      <c r="B1164" s="116">
        <v>819.8</v>
      </c>
      <c r="C1164" s="116">
        <v>816.35</v>
      </c>
      <c r="D1164" s="116">
        <v>811.2</v>
      </c>
      <c r="E1164" s="116">
        <v>818</v>
      </c>
      <c r="F1164" s="116">
        <v>816.35</v>
      </c>
      <c r="G1164">
        <v>90350</v>
      </c>
      <c r="H1164" s="116"/>
      <c r="I1164" s="116"/>
      <c r="L1164" s="170">
        <v>43720</v>
      </c>
      <c r="M1164" s="116">
        <v>816.4</v>
      </c>
      <c r="N1164" s="116">
        <v>819.85</v>
      </c>
      <c r="O1164" s="116">
        <v>810.85</v>
      </c>
      <c r="P1164" s="116">
        <v>816.4</v>
      </c>
      <c r="Q1164" s="116">
        <v>816.4</v>
      </c>
      <c r="R1164">
        <v>4400017</v>
      </c>
    </row>
    <row r="1165" spans="1:18" x14ac:dyDescent="0.25">
      <c r="A1165" s="170">
        <v>43721</v>
      </c>
      <c r="B1165" s="116">
        <v>830.85</v>
      </c>
      <c r="C1165" s="116">
        <v>829.15</v>
      </c>
      <c r="D1165" s="116">
        <v>816</v>
      </c>
      <c r="E1165" s="116">
        <v>816</v>
      </c>
      <c r="F1165" s="116">
        <v>829.15</v>
      </c>
      <c r="G1165">
        <v>138896</v>
      </c>
      <c r="H1165" s="116"/>
      <c r="I1165" s="116"/>
      <c r="L1165" s="170">
        <v>43721</v>
      </c>
      <c r="M1165" s="116">
        <v>829.3</v>
      </c>
      <c r="N1165" s="116">
        <v>831.05</v>
      </c>
      <c r="O1165" s="116">
        <v>817.5</v>
      </c>
      <c r="P1165" s="116">
        <v>818.1</v>
      </c>
      <c r="Q1165" s="116">
        <v>829.3</v>
      </c>
      <c r="R1165">
        <v>4832021</v>
      </c>
    </row>
    <row r="1166" spans="1:18" x14ac:dyDescent="0.25">
      <c r="A1166" s="170">
        <v>43724</v>
      </c>
      <c r="B1166" s="116">
        <v>838</v>
      </c>
      <c r="C1166" s="116">
        <v>827.45</v>
      </c>
      <c r="D1166" s="116">
        <v>821</v>
      </c>
      <c r="E1166" s="116">
        <v>831.55</v>
      </c>
      <c r="F1166" s="116">
        <v>827.45</v>
      </c>
      <c r="G1166">
        <v>114142</v>
      </c>
      <c r="H1166" s="116"/>
      <c r="I1166" s="116"/>
      <c r="L1166" s="170">
        <v>43724</v>
      </c>
      <c r="M1166" s="116">
        <v>827.7</v>
      </c>
      <c r="N1166" s="116">
        <v>837.95</v>
      </c>
      <c r="O1166" s="116">
        <v>820.55</v>
      </c>
      <c r="P1166" s="116">
        <v>832.05</v>
      </c>
      <c r="Q1166" s="116">
        <v>827.7</v>
      </c>
      <c r="R1166">
        <v>4846496</v>
      </c>
    </row>
    <row r="1167" spans="1:18" x14ac:dyDescent="0.25">
      <c r="A1167" s="170">
        <v>43725</v>
      </c>
      <c r="B1167" s="116">
        <v>834</v>
      </c>
      <c r="C1167" s="116">
        <v>831.05</v>
      </c>
      <c r="D1167" s="116">
        <v>821</v>
      </c>
      <c r="E1167" s="116">
        <v>830</v>
      </c>
      <c r="F1167" s="116">
        <v>831.05</v>
      </c>
      <c r="G1167">
        <v>99229</v>
      </c>
      <c r="H1167" s="116"/>
      <c r="I1167" s="116"/>
      <c r="L1167" s="170">
        <v>43725</v>
      </c>
      <c r="M1167" s="116">
        <v>831.25</v>
      </c>
      <c r="N1167" s="116">
        <v>835</v>
      </c>
      <c r="O1167" s="116">
        <v>820.55</v>
      </c>
      <c r="P1167" s="116">
        <v>831.5</v>
      </c>
      <c r="Q1167" s="116">
        <v>831.25</v>
      </c>
      <c r="R1167">
        <v>5540901</v>
      </c>
    </row>
    <row r="1168" spans="1:18" x14ac:dyDescent="0.25">
      <c r="A1168" s="170">
        <v>43726</v>
      </c>
      <c r="B1168" s="116">
        <v>832.9</v>
      </c>
      <c r="C1168" s="116">
        <v>829.85</v>
      </c>
      <c r="D1168" s="116">
        <v>824.35</v>
      </c>
      <c r="E1168" s="116">
        <v>831.05</v>
      </c>
      <c r="F1168" s="116">
        <v>829.85</v>
      </c>
      <c r="G1168">
        <v>82724</v>
      </c>
      <c r="H1168" s="116"/>
      <c r="I1168" s="116"/>
      <c r="L1168" s="170">
        <v>43726</v>
      </c>
      <c r="M1168" s="116">
        <v>829.85</v>
      </c>
      <c r="N1168" s="116">
        <v>832.95</v>
      </c>
      <c r="O1168" s="116">
        <v>824</v>
      </c>
      <c r="P1168" s="116">
        <v>829.9</v>
      </c>
      <c r="Q1168" s="116">
        <v>829.85</v>
      </c>
      <c r="R1168">
        <v>3199389</v>
      </c>
    </row>
    <row r="1169" spans="1:18" x14ac:dyDescent="0.25">
      <c r="A1169" s="170">
        <v>43727</v>
      </c>
      <c r="B1169" s="116">
        <v>826.65</v>
      </c>
      <c r="C1169" s="116">
        <v>821</v>
      </c>
      <c r="D1169" s="116">
        <v>815.1</v>
      </c>
      <c r="E1169" s="116">
        <v>825</v>
      </c>
      <c r="F1169" s="116">
        <v>821</v>
      </c>
      <c r="G1169">
        <v>116759</v>
      </c>
      <c r="H1169" s="116"/>
      <c r="I1169" s="116"/>
      <c r="L1169" s="170">
        <v>43727</v>
      </c>
      <c r="M1169" s="116">
        <v>820.7</v>
      </c>
      <c r="N1169" s="116">
        <v>827</v>
      </c>
      <c r="O1169" s="116">
        <v>815.2</v>
      </c>
      <c r="P1169" s="116">
        <v>824.85</v>
      </c>
      <c r="Q1169" s="116">
        <v>820.7</v>
      </c>
      <c r="R1169">
        <v>6601607</v>
      </c>
    </row>
    <row r="1170" spans="1:18" x14ac:dyDescent="0.25">
      <c r="A1170" s="170">
        <v>43728</v>
      </c>
      <c r="B1170" s="116">
        <v>834.75</v>
      </c>
      <c r="C1170" s="116">
        <v>805.1</v>
      </c>
      <c r="D1170" s="116">
        <v>802</v>
      </c>
      <c r="E1170" s="116">
        <v>822.35</v>
      </c>
      <c r="F1170" s="116">
        <v>805.1</v>
      </c>
      <c r="G1170">
        <v>354899</v>
      </c>
      <c r="H1170" s="116"/>
      <c r="I1170" s="116"/>
      <c r="L1170" s="170">
        <v>43728</v>
      </c>
      <c r="M1170" s="116">
        <v>805</v>
      </c>
      <c r="N1170" s="116">
        <v>835</v>
      </c>
      <c r="O1170" s="116">
        <v>802</v>
      </c>
      <c r="P1170" s="116">
        <v>822.9</v>
      </c>
      <c r="Q1170" s="116">
        <v>805</v>
      </c>
      <c r="R1170">
        <v>22462366</v>
      </c>
    </row>
    <row r="1171" spans="1:18" x14ac:dyDescent="0.25">
      <c r="A1171" s="170">
        <v>43731</v>
      </c>
      <c r="B1171" s="116">
        <v>810</v>
      </c>
      <c r="C1171" s="116">
        <v>765.1</v>
      </c>
      <c r="D1171" s="116">
        <v>742.1</v>
      </c>
      <c r="E1171" s="116">
        <v>810</v>
      </c>
      <c r="F1171" s="116">
        <v>765.1</v>
      </c>
      <c r="G1171">
        <v>1147448</v>
      </c>
      <c r="H1171" s="116"/>
      <c r="I1171" s="116"/>
      <c r="L1171" s="170">
        <v>43731</v>
      </c>
      <c r="M1171" s="116">
        <v>764.35</v>
      </c>
      <c r="N1171" s="116">
        <v>806.9</v>
      </c>
      <c r="O1171" s="116">
        <v>741.9</v>
      </c>
      <c r="P1171" s="116">
        <v>806.9</v>
      </c>
      <c r="Q1171" s="116">
        <v>764.35</v>
      </c>
      <c r="R1171">
        <v>17279260</v>
      </c>
    </row>
    <row r="1172" spans="1:18" x14ac:dyDescent="0.25">
      <c r="A1172" s="170">
        <v>43732</v>
      </c>
      <c r="B1172" s="116">
        <v>798.7</v>
      </c>
      <c r="C1172" s="116">
        <v>794.05</v>
      </c>
      <c r="D1172" s="116">
        <v>766</v>
      </c>
      <c r="E1172" s="116">
        <v>767.7</v>
      </c>
      <c r="F1172" s="116">
        <v>794.05</v>
      </c>
      <c r="G1172">
        <v>958044</v>
      </c>
      <c r="H1172" s="116"/>
      <c r="I1172" s="116"/>
      <c r="L1172" s="170">
        <v>43732</v>
      </c>
      <c r="M1172" s="116">
        <v>794.05</v>
      </c>
      <c r="N1172" s="116">
        <v>798.65</v>
      </c>
      <c r="O1172" s="116">
        <v>765</v>
      </c>
      <c r="P1172" s="116">
        <v>765</v>
      </c>
      <c r="Q1172" s="116">
        <v>794.05</v>
      </c>
      <c r="R1172">
        <v>13717998</v>
      </c>
    </row>
    <row r="1173" spans="1:18" x14ac:dyDescent="0.25">
      <c r="A1173" s="170">
        <v>43733</v>
      </c>
      <c r="B1173" s="116">
        <v>801.55</v>
      </c>
      <c r="C1173" s="116">
        <v>792.2</v>
      </c>
      <c r="D1173" s="116">
        <v>782.2</v>
      </c>
      <c r="E1173" s="116">
        <v>791</v>
      </c>
      <c r="F1173" s="116">
        <v>792.2</v>
      </c>
      <c r="G1173">
        <v>461452</v>
      </c>
      <c r="H1173" s="116"/>
      <c r="I1173" s="116"/>
      <c r="L1173" s="170">
        <v>43733</v>
      </c>
      <c r="M1173" s="116">
        <v>792.65</v>
      </c>
      <c r="N1173" s="116">
        <v>801</v>
      </c>
      <c r="O1173" s="116">
        <v>781.65</v>
      </c>
      <c r="P1173" s="116">
        <v>787.7</v>
      </c>
      <c r="Q1173" s="116">
        <v>792.65</v>
      </c>
      <c r="R1173">
        <v>9313576</v>
      </c>
    </row>
    <row r="1174" spans="1:18" x14ac:dyDescent="0.25">
      <c r="A1174" s="170">
        <v>43734</v>
      </c>
      <c r="B1174" s="116">
        <v>796.85</v>
      </c>
      <c r="C1174" s="116">
        <v>782.05</v>
      </c>
      <c r="D1174" s="116">
        <v>778.5</v>
      </c>
      <c r="E1174" s="116">
        <v>792</v>
      </c>
      <c r="F1174" s="116">
        <v>782.05</v>
      </c>
      <c r="G1174">
        <v>337839</v>
      </c>
      <c r="H1174" s="116"/>
      <c r="I1174" s="116"/>
      <c r="L1174" s="170">
        <v>43734</v>
      </c>
      <c r="M1174" s="116">
        <v>782.55</v>
      </c>
      <c r="N1174" s="116">
        <v>797</v>
      </c>
      <c r="O1174" s="116">
        <v>778.1</v>
      </c>
      <c r="P1174" s="116">
        <v>787.75</v>
      </c>
      <c r="Q1174" s="116">
        <v>782.55</v>
      </c>
      <c r="R1174">
        <v>18442824</v>
      </c>
    </row>
    <row r="1175" spans="1:18" x14ac:dyDescent="0.25">
      <c r="A1175" s="170">
        <v>43735</v>
      </c>
      <c r="B1175" s="116">
        <v>794.25</v>
      </c>
      <c r="C1175" s="116">
        <v>782.35</v>
      </c>
      <c r="D1175" s="116">
        <v>780.05</v>
      </c>
      <c r="E1175" s="116">
        <v>788</v>
      </c>
      <c r="F1175" s="116">
        <v>782.35</v>
      </c>
      <c r="G1175">
        <v>624420</v>
      </c>
      <c r="H1175" s="116"/>
      <c r="I1175" s="116"/>
      <c r="L1175" s="170">
        <v>43735</v>
      </c>
      <c r="M1175" s="116">
        <v>782.2</v>
      </c>
      <c r="N1175" s="116">
        <v>794.25</v>
      </c>
      <c r="O1175" s="116">
        <v>780.1</v>
      </c>
      <c r="P1175" s="116">
        <v>787.05</v>
      </c>
      <c r="Q1175" s="116">
        <v>782.2</v>
      </c>
      <c r="R1175">
        <v>5087642</v>
      </c>
    </row>
    <row r="1176" spans="1:18" x14ac:dyDescent="0.25">
      <c r="A1176" s="170">
        <v>43738</v>
      </c>
      <c r="B1176" s="116">
        <v>807.95</v>
      </c>
      <c r="C1176" s="116">
        <v>805.3</v>
      </c>
      <c r="D1176" s="116">
        <v>782.35</v>
      </c>
      <c r="E1176" s="116">
        <v>782.35</v>
      </c>
      <c r="F1176" s="116">
        <v>805.3</v>
      </c>
      <c r="G1176">
        <v>350883</v>
      </c>
      <c r="H1176" s="116"/>
      <c r="I1176" s="116"/>
      <c r="L1176" s="170">
        <v>43738</v>
      </c>
      <c r="M1176" s="116">
        <v>805.65</v>
      </c>
      <c r="N1176" s="116">
        <v>808</v>
      </c>
      <c r="O1176" s="116">
        <v>784.15</v>
      </c>
      <c r="P1176" s="116">
        <v>785.1</v>
      </c>
      <c r="Q1176" s="116">
        <v>805.65</v>
      </c>
      <c r="R1176">
        <v>8178091</v>
      </c>
    </row>
    <row r="1177" spans="1:18" x14ac:dyDescent="0.25">
      <c r="A1177" s="170">
        <v>43739</v>
      </c>
      <c r="B1177" s="116">
        <v>809.8</v>
      </c>
      <c r="C1177" s="116">
        <v>793.55</v>
      </c>
      <c r="D1177" s="116">
        <v>791.75</v>
      </c>
      <c r="E1177" s="116">
        <v>809.8</v>
      </c>
      <c r="F1177" s="116">
        <v>793.55</v>
      </c>
      <c r="G1177">
        <v>225039</v>
      </c>
      <c r="H1177" s="116"/>
      <c r="I1177" s="116"/>
      <c r="L1177" s="170">
        <v>43739</v>
      </c>
      <c r="M1177" s="116">
        <v>793.55</v>
      </c>
      <c r="N1177" s="116">
        <v>807.55</v>
      </c>
      <c r="O1177" s="116">
        <v>791.55</v>
      </c>
      <c r="P1177" s="116">
        <v>807</v>
      </c>
      <c r="Q1177" s="116">
        <v>793.55</v>
      </c>
      <c r="R1177">
        <v>5881438</v>
      </c>
    </row>
    <row r="1178" spans="1:18" x14ac:dyDescent="0.25">
      <c r="A1178" s="170">
        <v>43741</v>
      </c>
      <c r="B1178" s="116">
        <v>797.75</v>
      </c>
      <c r="C1178" s="116">
        <v>785.5</v>
      </c>
      <c r="D1178" s="116">
        <v>784.3</v>
      </c>
      <c r="E1178" s="116">
        <v>793</v>
      </c>
      <c r="F1178" s="116">
        <v>785.5</v>
      </c>
      <c r="G1178">
        <v>126115</v>
      </c>
      <c r="H1178" s="116"/>
      <c r="I1178" s="116"/>
      <c r="L1178" s="170">
        <v>43741</v>
      </c>
      <c r="M1178" s="116">
        <v>785.6</v>
      </c>
      <c r="N1178" s="116">
        <v>797.85</v>
      </c>
      <c r="O1178" s="116">
        <v>784.15</v>
      </c>
      <c r="P1178" s="116">
        <v>792.55</v>
      </c>
      <c r="Q1178" s="116">
        <v>785.6</v>
      </c>
      <c r="R1178">
        <v>5497672</v>
      </c>
    </row>
    <row r="1179" spans="1:18" x14ac:dyDescent="0.25">
      <c r="A1179" s="170">
        <v>43742</v>
      </c>
      <c r="B1179" s="116">
        <v>797.55</v>
      </c>
      <c r="C1179" s="116">
        <v>793.25</v>
      </c>
      <c r="D1179" s="116">
        <v>788.1</v>
      </c>
      <c r="E1179" s="116">
        <v>795</v>
      </c>
      <c r="F1179" s="116">
        <v>793.25</v>
      </c>
      <c r="G1179">
        <v>215977</v>
      </c>
      <c r="H1179" s="116"/>
      <c r="I1179" s="116"/>
      <c r="L1179" s="170">
        <v>43742</v>
      </c>
      <c r="M1179" s="116">
        <v>793.45</v>
      </c>
      <c r="N1179" s="116">
        <v>797.6</v>
      </c>
      <c r="O1179" s="116">
        <v>787.05</v>
      </c>
      <c r="P1179" s="116">
        <v>790</v>
      </c>
      <c r="Q1179" s="116">
        <v>793.45</v>
      </c>
      <c r="R1179">
        <v>8201713</v>
      </c>
    </row>
    <row r="1180" spans="1:18" x14ac:dyDescent="0.25">
      <c r="A1180" s="170">
        <v>43745</v>
      </c>
      <c r="B1180" s="116">
        <v>802.2</v>
      </c>
      <c r="C1180" s="116">
        <v>789.55</v>
      </c>
      <c r="D1180" s="116">
        <v>786.5</v>
      </c>
      <c r="E1180" s="116">
        <v>795</v>
      </c>
      <c r="F1180" s="116">
        <v>789.55</v>
      </c>
      <c r="G1180">
        <v>179647</v>
      </c>
      <c r="H1180" s="116"/>
      <c r="I1180" s="116"/>
      <c r="L1180" s="170">
        <v>43745</v>
      </c>
      <c r="M1180" s="116">
        <v>789.55</v>
      </c>
      <c r="N1180" s="116">
        <v>802</v>
      </c>
      <c r="O1180" s="116">
        <v>786.1</v>
      </c>
      <c r="P1180" s="116">
        <v>794.85</v>
      </c>
      <c r="Q1180" s="116">
        <v>789.55</v>
      </c>
      <c r="R1180">
        <v>3679845</v>
      </c>
    </row>
    <row r="1181" spans="1:18" x14ac:dyDescent="0.25">
      <c r="A1181" s="170">
        <v>43747</v>
      </c>
      <c r="B1181" s="116">
        <v>796</v>
      </c>
      <c r="C1181" s="116">
        <v>784</v>
      </c>
      <c r="D1181" s="116">
        <v>779</v>
      </c>
      <c r="E1181" s="116">
        <v>793.5</v>
      </c>
      <c r="F1181" s="116">
        <v>784</v>
      </c>
      <c r="G1181">
        <v>132315</v>
      </c>
      <c r="H1181" s="116"/>
      <c r="I1181" s="116"/>
      <c r="L1181" s="170">
        <v>43747</v>
      </c>
      <c r="M1181" s="116">
        <v>783.65</v>
      </c>
      <c r="N1181" s="116">
        <v>795.9</v>
      </c>
      <c r="O1181" s="116">
        <v>778.8</v>
      </c>
      <c r="P1181" s="116">
        <v>795.45</v>
      </c>
      <c r="Q1181" s="116">
        <v>783.65</v>
      </c>
      <c r="R1181">
        <v>6335025</v>
      </c>
    </row>
    <row r="1182" spans="1:18" x14ac:dyDescent="0.25">
      <c r="A1182" s="170">
        <v>43748</v>
      </c>
      <c r="B1182" s="116">
        <v>794.5</v>
      </c>
      <c r="C1182" s="116">
        <v>782.9</v>
      </c>
      <c r="D1182" s="116">
        <v>777.1</v>
      </c>
      <c r="E1182" s="116">
        <v>783.5</v>
      </c>
      <c r="F1182" s="116">
        <v>782.9</v>
      </c>
      <c r="G1182">
        <v>166108</v>
      </c>
      <c r="H1182" s="116"/>
      <c r="I1182" s="116"/>
      <c r="L1182" s="170">
        <v>43748</v>
      </c>
      <c r="M1182" s="116">
        <v>783.05</v>
      </c>
      <c r="N1182" s="116">
        <v>794.7</v>
      </c>
      <c r="O1182" s="116">
        <v>776.6</v>
      </c>
      <c r="P1182" s="116">
        <v>785.4</v>
      </c>
      <c r="Q1182" s="116">
        <v>783.05</v>
      </c>
      <c r="R1182">
        <v>10402917</v>
      </c>
    </row>
    <row r="1183" spans="1:18" x14ac:dyDescent="0.25">
      <c r="A1183" s="170">
        <v>43749</v>
      </c>
      <c r="B1183" s="116">
        <v>823.35</v>
      </c>
      <c r="C1183" s="116">
        <v>815.7</v>
      </c>
      <c r="D1183" s="116">
        <v>777</v>
      </c>
      <c r="E1183" s="116">
        <v>785.95</v>
      </c>
      <c r="F1183" s="116">
        <v>815.7</v>
      </c>
      <c r="G1183">
        <v>532657</v>
      </c>
      <c r="H1183" s="116"/>
      <c r="I1183" s="116"/>
      <c r="L1183" s="170">
        <v>43749</v>
      </c>
      <c r="M1183" s="116">
        <v>814.8</v>
      </c>
      <c r="N1183" s="116">
        <v>823.8</v>
      </c>
      <c r="O1183" s="116">
        <v>776.6</v>
      </c>
      <c r="P1183" s="116">
        <v>781.5</v>
      </c>
      <c r="Q1183" s="116">
        <v>814.8</v>
      </c>
      <c r="R1183">
        <v>20636344</v>
      </c>
    </row>
    <row r="1184" spans="1:18" x14ac:dyDescent="0.25">
      <c r="A1184" s="170">
        <v>43752</v>
      </c>
      <c r="B1184" s="116">
        <v>796.9</v>
      </c>
      <c r="C1184" s="116">
        <v>785.65</v>
      </c>
      <c r="D1184" s="116">
        <v>781</v>
      </c>
      <c r="E1184" s="116">
        <v>789</v>
      </c>
      <c r="F1184" s="116">
        <v>785.65</v>
      </c>
      <c r="G1184">
        <v>454942</v>
      </c>
      <c r="H1184" s="116"/>
      <c r="I1184" s="116"/>
      <c r="L1184" s="170">
        <v>43752</v>
      </c>
      <c r="M1184" s="116">
        <v>786.1</v>
      </c>
      <c r="N1184" s="116">
        <v>797</v>
      </c>
      <c r="O1184" s="116">
        <v>780</v>
      </c>
      <c r="P1184" s="116">
        <v>786.75</v>
      </c>
      <c r="Q1184" s="116">
        <v>786.1</v>
      </c>
      <c r="R1184">
        <v>15150858</v>
      </c>
    </row>
    <row r="1185" spans="1:18" x14ac:dyDescent="0.25">
      <c r="A1185" s="170">
        <v>43753</v>
      </c>
      <c r="B1185" s="116">
        <v>774.75</v>
      </c>
      <c r="C1185" s="116">
        <v>767.8</v>
      </c>
      <c r="D1185" s="116">
        <v>765</v>
      </c>
      <c r="E1185" s="116">
        <v>773.8</v>
      </c>
      <c r="F1185" s="116">
        <v>767.8</v>
      </c>
      <c r="G1185">
        <v>342205</v>
      </c>
      <c r="H1185" s="116"/>
      <c r="I1185" s="116"/>
      <c r="L1185" s="170">
        <v>43753</v>
      </c>
      <c r="M1185" s="116">
        <v>768.3</v>
      </c>
      <c r="N1185" s="116">
        <v>775.95</v>
      </c>
      <c r="O1185" s="116">
        <v>765</v>
      </c>
      <c r="P1185" s="116">
        <v>773.1</v>
      </c>
      <c r="Q1185" s="116">
        <v>768.3</v>
      </c>
      <c r="R1185">
        <v>13762133</v>
      </c>
    </row>
    <row r="1186" spans="1:18" x14ac:dyDescent="0.25">
      <c r="A1186" s="170">
        <v>43754</v>
      </c>
      <c r="B1186" s="116">
        <v>776</v>
      </c>
      <c r="C1186" s="116">
        <v>771.45</v>
      </c>
      <c r="D1186" s="116">
        <v>762</v>
      </c>
      <c r="E1186" s="116">
        <v>768</v>
      </c>
      <c r="F1186" s="116">
        <v>771.45</v>
      </c>
      <c r="G1186">
        <v>322436</v>
      </c>
      <c r="H1186" s="116"/>
      <c r="I1186" s="116"/>
      <c r="L1186" s="170">
        <v>43754</v>
      </c>
      <c r="M1186" s="116">
        <v>771.45</v>
      </c>
      <c r="N1186" s="116">
        <v>775.95</v>
      </c>
      <c r="O1186" s="116">
        <v>761.55</v>
      </c>
      <c r="P1186" s="116">
        <v>765.25</v>
      </c>
      <c r="Q1186" s="116">
        <v>771.45</v>
      </c>
      <c r="R1186">
        <v>10767032</v>
      </c>
    </row>
    <row r="1187" spans="1:18" x14ac:dyDescent="0.25">
      <c r="A1187" s="170">
        <v>43755</v>
      </c>
      <c r="B1187" s="116">
        <v>770.55</v>
      </c>
      <c r="C1187" s="116">
        <v>769.1</v>
      </c>
      <c r="D1187" s="116">
        <v>765.2</v>
      </c>
      <c r="E1187" s="116">
        <v>768.9</v>
      </c>
      <c r="F1187" s="116">
        <v>769.1</v>
      </c>
      <c r="G1187">
        <v>180800</v>
      </c>
      <c r="H1187" s="116"/>
      <c r="I1187" s="116"/>
      <c r="L1187" s="170">
        <v>43755</v>
      </c>
      <c r="M1187" s="116">
        <v>769.5</v>
      </c>
      <c r="N1187" s="116">
        <v>770.55</v>
      </c>
      <c r="O1187" s="116">
        <v>765.1</v>
      </c>
      <c r="P1187" s="116">
        <v>767</v>
      </c>
      <c r="Q1187" s="116">
        <v>769.5</v>
      </c>
      <c r="R1187">
        <v>9860495</v>
      </c>
    </row>
    <row r="1188" spans="1:18" x14ac:dyDescent="0.25">
      <c r="A1188" s="170">
        <v>43756</v>
      </c>
      <c r="B1188" s="116">
        <v>773.6</v>
      </c>
      <c r="C1188" s="116">
        <v>767.75</v>
      </c>
      <c r="D1188" s="116">
        <v>760.1</v>
      </c>
      <c r="E1188" s="116">
        <v>766.65</v>
      </c>
      <c r="F1188" s="116">
        <v>767.75</v>
      </c>
      <c r="G1188">
        <v>279245</v>
      </c>
      <c r="H1188" s="116"/>
      <c r="I1188" s="116"/>
      <c r="L1188" s="170">
        <v>43756</v>
      </c>
      <c r="M1188" s="116">
        <v>767.85</v>
      </c>
      <c r="N1188" s="116">
        <v>773.8</v>
      </c>
      <c r="O1188" s="116">
        <v>760</v>
      </c>
      <c r="P1188" s="116">
        <v>763.8</v>
      </c>
      <c r="Q1188" s="116">
        <v>767.85</v>
      </c>
      <c r="R1188">
        <v>10037200</v>
      </c>
    </row>
    <row r="1189" spans="1:18" x14ac:dyDescent="0.25">
      <c r="A1189" s="170">
        <v>43760</v>
      </c>
      <c r="B1189" s="116">
        <v>691</v>
      </c>
      <c r="C1189" s="116">
        <v>643.29999999999995</v>
      </c>
      <c r="D1189" s="116">
        <v>638.29999999999995</v>
      </c>
      <c r="E1189" s="116">
        <v>691</v>
      </c>
      <c r="F1189" s="116">
        <v>643.29999999999995</v>
      </c>
      <c r="G1189">
        <v>11771789</v>
      </c>
      <c r="H1189" s="116"/>
      <c r="I1189" s="116"/>
      <c r="L1189" s="170">
        <v>43760</v>
      </c>
      <c r="M1189" s="116">
        <v>643.54999999999995</v>
      </c>
      <c r="N1189" s="116">
        <v>691.1</v>
      </c>
      <c r="O1189" s="116">
        <v>638.35</v>
      </c>
      <c r="P1189" s="116">
        <v>691.1</v>
      </c>
      <c r="Q1189" s="116">
        <v>643.54999999999995</v>
      </c>
      <c r="R1189">
        <v>90152532</v>
      </c>
    </row>
    <row r="1190" spans="1:18" x14ac:dyDescent="0.25">
      <c r="A1190" s="170">
        <v>43761</v>
      </c>
      <c r="B1190" s="116">
        <v>656.4</v>
      </c>
      <c r="C1190" s="116">
        <v>650.75</v>
      </c>
      <c r="D1190" s="116">
        <v>615</v>
      </c>
      <c r="E1190" s="116">
        <v>637.29999999999995</v>
      </c>
      <c r="F1190" s="116">
        <v>650.75</v>
      </c>
      <c r="G1190">
        <v>5055545</v>
      </c>
      <c r="H1190" s="116"/>
      <c r="I1190" s="116"/>
      <c r="L1190" s="170">
        <v>43761</v>
      </c>
      <c r="M1190" s="116">
        <v>650.6</v>
      </c>
      <c r="N1190" s="116">
        <v>656.65</v>
      </c>
      <c r="O1190" s="116">
        <v>615.1</v>
      </c>
      <c r="P1190" s="116">
        <v>630</v>
      </c>
      <c r="Q1190" s="116">
        <v>650.6</v>
      </c>
      <c r="R1190">
        <v>60516887</v>
      </c>
    </row>
    <row r="1191" spans="1:18" x14ac:dyDescent="0.25">
      <c r="A1191" s="170">
        <v>43762</v>
      </c>
      <c r="B1191" s="116">
        <v>653.1</v>
      </c>
      <c r="C1191" s="116">
        <v>635.4</v>
      </c>
      <c r="D1191" s="116">
        <v>632.04999999999995</v>
      </c>
      <c r="E1191" s="116">
        <v>650.70000000000005</v>
      </c>
      <c r="F1191" s="116">
        <v>635.4</v>
      </c>
      <c r="G1191">
        <v>1726291</v>
      </c>
      <c r="H1191" s="116"/>
      <c r="I1191" s="116"/>
      <c r="L1191" s="170">
        <v>43762</v>
      </c>
      <c r="M1191" s="116">
        <v>635.35</v>
      </c>
      <c r="N1191" s="116">
        <v>653.20000000000005</v>
      </c>
      <c r="O1191" s="116">
        <v>632</v>
      </c>
      <c r="P1191" s="116">
        <v>650</v>
      </c>
      <c r="Q1191" s="116">
        <v>635.35</v>
      </c>
      <c r="R1191">
        <v>25666433</v>
      </c>
    </row>
    <row r="1192" spans="1:18" x14ac:dyDescent="0.25">
      <c r="A1192" s="170">
        <v>43763</v>
      </c>
      <c r="B1192" s="116">
        <v>652.5</v>
      </c>
      <c r="C1192" s="116">
        <v>637.54999999999995</v>
      </c>
      <c r="D1192" s="116">
        <v>636</v>
      </c>
      <c r="E1192" s="116">
        <v>644.29999999999995</v>
      </c>
      <c r="F1192" s="116">
        <v>637.54999999999995</v>
      </c>
      <c r="G1192">
        <v>834375</v>
      </c>
      <c r="H1192" s="116"/>
      <c r="I1192" s="116"/>
      <c r="L1192" s="170">
        <v>43763</v>
      </c>
      <c r="M1192" s="116">
        <v>637.45000000000005</v>
      </c>
      <c r="N1192" s="116">
        <v>652.5</v>
      </c>
      <c r="O1192" s="116">
        <v>636</v>
      </c>
      <c r="P1192" s="116">
        <v>647</v>
      </c>
      <c r="Q1192" s="116">
        <v>637.45000000000005</v>
      </c>
      <c r="R1192">
        <v>16549337</v>
      </c>
    </row>
    <row r="1193" spans="1:18" x14ac:dyDescent="0.25">
      <c r="A1193" s="170">
        <v>43765</v>
      </c>
      <c r="B1193" s="116">
        <v>652</v>
      </c>
      <c r="C1193" s="116">
        <v>648.95000000000005</v>
      </c>
      <c r="D1193" s="116">
        <v>645.6</v>
      </c>
      <c r="E1193" s="116">
        <v>651</v>
      </c>
      <c r="F1193" s="116">
        <v>648.95000000000005</v>
      </c>
      <c r="G1193">
        <v>248244</v>
      </c>
      <c r="H1193" s="116"/>
      <c r="I1193" s="116"/>
      <c r="L1193" s="170">
        <v>43765</v>
      </c>
      <c r="M1193" s="116">
        <v>648.85</v>
      </c>
      <c r="N1193" s="116">
        <v>652.5</v>
      </c>
      <c r="O1193" s="116">
        <v>645.54999999999995</v>
      </c>
      <c r="P1193" s="116">
        <v>651.1</v>
      </c>
      <c r="Q1193" s="116">
        <v>648.85</v>
      </c>
      <c r="R1193">
        <v>2945433</v>
      </c>
    </row>
    <row r="1194" spans="1:18" x14ac:dyDescent="0.25">
      <c r="A1194" s="170">
        <v>43767</v>
      </c>
      <c r="B1194" s="116">
        <v>654</v>
      </c>
      <c r="C1194" s="116">
        <v>650.6</v>
      </c>
      <c r="D1194" s="116">
        <v>647</v>
      </c>
      <c r="E1194" s="116">
        <v>654</v>
      </c>
      <c r="F1194" s="116">
        <v>650.6</v>
      </c>
      <c r="G1194">
        <v>1048701</v>
      </c>
      <c r="H1194" s="116"/>
      <c r="I1194" s="116"/>
      <c r="L1194" s="170">
        <v>43767</v>
      </c>
      <c r="M1194" s="116">
        <v>650.65</v>
      </c>
      <c r="N1194" s="116">
        <v>653.75</v>
      </c>
      <c r="O1194" s="116">
        <v>647</v>
      </c>
      <c r="P1194" s="116">
        <v>651</v>
      </c>
      <c r="Q1194" s="116">
        <v>650.65</v>
      </c>
      <c r="R1194">
        <v>16709764</v>
      </c>
    </row>
    <row r="1195" spans="1:18" x14ac:dyDescent="0.25">
      <c r="A1195" s="170">
        <v>43768</v>
      </c>
      <c r="B1195" s="116">
        <v>671</v>
      </c>
      <c r="C1195" s="116">
        <v>660.45</v>
      </c>
      <c r="D1195" s="116">
        <v>656.25</v>
      </c>
      <c r="E1195" s="116">
        <v>659</v>
      </c>
      <c r="F1195" s="116">
        <v>660.45</v>
      </c>
      <c r="G1195">
        <v>914388</v>
      </c>
      <c r="H1195" s="116"/>
      <c r="I1195" s="116"/>
      <c r="L1195" s="170">
        <v>43768</v>
      </c>
      <c r="M1195" s="116">
        <v>660.6</v>
      </c>
      <c r="N1195" s="116">
        <v>671.4</v>
      </c>
      <c r="O1195" s="116">
        <v>656.2</v>
      </c>
      <c r="P1195" s="116">
        <v>660.4</v>
      </c>
      <c r="Q1195" s="116">
        <v>660.6</v>
      </c>
      <c r="R1195">
        <v>22879467</v>
      </c>
    </row>
    <row r="1196" spans="1:18" x14ac:dyDescent="0.25">
      <c r="A1196" s="170">
        <v>43769</v>
      </c>
      <c r="B1196" s="116">
        <v>695.25</v>
      </c>
      <c r="C1196" s="116">
        <v>685.5</v>
      </c>
      <c r="D1196" s="116">
        <v>666.45</v>
      </c>
      <c r="E1196" s="116">
        <v>669</v>
      </c>
      <c r="F1196" s="116">
        <v>685.5</v>
      </c>
      <c r="G1196">
        <v>1215604</v>
      </c>
      <c r="H1196" s="116"/>
      <c r="I1196" s="116"/>
      <c r="L1196" s="170">
        <v>43769</v>
      </c>
      <c r="M1196" s="116">
        <v>685.6</v>
      </c>
      <c r="N1196" s="116">
        <v>695.45</v>
      </c>
      <c r="O1196" s="116">
        <v>666.1</v>
      </c>
      <c r="P1196" s="116">
        <v>668.4</v>
      </c>
      <c r="Q1196" s="116">
        <v>685.6</v>
      </c>
      <c r="R1196">
        <v>27405901</v>
      </c>
    </row>
    <row r="1197" spans="1:18" x14ac:dyDescent="0.25">
      <c r="A1197" s="170">
        <v>43770</v>
      </c>
      <c r="B1197" s="116">
        <v>694</v>
      </c>
      <c r="C1197" s="116">
        <v>688</v>
      </c>
      <c r="D1197" s="116">
        <v>682.75</v>
      </c>
      <c r="E1197" s="116">
        <v>689.9</v>
      </c>
      <c r="F1197" s="116">
        <v>688</v>
      </c>
      <c r="G1197">
        <v>600344</v>
      </c>
      <c r="H1197" s="116"/>
      <c r="I1197" s="116"/>
      <c r="L1197" s="170">
        <v>43770</v>
      </c>
      <c r="M1197" s="116">
        <v>687.9</v>
      </c>
      <c r="N1197" s="116">
        <v>694</v>
      </c>
      <c r="O1197" s="116">
        <v>682.6</v>
      </c>
      <c r="P1197" s="116">
        <v>690</v>
      </c>
      <c r="Q1197" s="116">
        <v>687.9</v>
      </c>
      <c r="R1197">
        <v>9713519</v>
      </c>
    </row>
    <row r="1198" spans="1:18" x14ac:dyDescent="0.25">
      <c r="A1198" s="170">
        <v>43773</v>
      </c>
      <c r="B1198" s="116">
        <v>732.5</v>
      </c>
      <c r="C1198" s="116">
        <v>709</v>
      </c>
      <c r="D1198" s="116">
        <v>678.3</v>
      </c>
      <c r="E1198" s="116">
        <v>684.4</v>
      </c>
      <c r="F1198" s="116">
        <v>709</v>
      </c>
      <c r="G1198">
        <v>1849592</v>
      </c>
      <c r="H1198" s="116"/>
      <c r="I1198" s="116"/>
      <c r="L1198" s="170">
        <v>43773</v>
      </c>
      <c r="M1198" s="116">
        <v>709</v>
      </c>
      <c r="N1198" s="116">
        <v>732.5</v>
      </c>
      <c r="O1198" s="116">
        <v>678.15</v>
      </c>
      <c r="P1198" s="116">
        <v>681.8</v>
      </c>
      <c r="Q1198" s="116">
        <v>709</v>
      </c>
      <c r="R1198">
        <v>29381982</v>
      </c>
    </row>
    <row r="1199" spans="1:18" x14ac:dyDescent="0.25">
      <c r="A1199" s="170">
        <v>43774</v>
      </c>
      <c r="B1199" s="116">
        <v>709</v>
      </c>
      <c r="C1199" s="116">
        <v>695.8</v>
      </c>
      <c r="D1199" s="116">
        <v>691.75</v>
      </c>
      <c r="E1199" s="116">
        <v>709</v>
      </c>
      <c r="F1199" s="116">
        <v>695.8</v>
      </c>
      <c r="G1199">
        <v>852025</v>
      </c>
      <c r="H1199" s="116"/>
      <c r="I1199" s="116"/>
      <c r="L1199" s="170">
        <v>43774</v>
      </c>
      <c r="M1199" s="116">
        <v>696.1</v>
      </c>
      <c r="N1199" s="116">
        <v>708.75</v>
      </c>
      <c r="O1199" s="116">
        <v>691.5</v>
      </c>
      <c r="P1199" s="116">
        <v>708.75</v>
      </c>
      <c r="Q1199" s="116">
        <v>696.1</v>
      </c>
      <c r="R1199">
        <v>12897805</v>
      </c>
    </row>
    <row r="1200" spans="1:18" x14ac:dyDescent="0.25">
      <c r="A1200" s="170">
        <v>43775</v>
      </c>
      <c r="B1200" s="116">
        <v>721.5</v>
      </c>
      <c r="C1200" s="116">
        <v>712.3</v>
      </c>
      <c r="D1200" s="116">
        <v>691.7</v>
      </c>
      <c r="E1200" s="116">
        <v>697.6</v>
      </c>
      <c r="F1200" s="116">
        <v>712.3</v>
      </c>
      <c r="G1200">
        <v>914354</v>
      </c>
      <c r="H1200" s="116"/>
      <c r="I1200" s="116"/>
      <c r="L1200" s="170">
        <v>43775</v>
      </c>
      <c r="M1200" s="116">
        <v>712.3</v>
      </c>
      <c r="N1200" s="116">
        <v>721.5</v>
      </c>
      <c r="O1200" s="116">
        <v>692</v>
      </c>
      <c r="P1200" s="116">
        <v>695.8</v>
      </c>
      <c r="Q1200" s="116">
        <v>712.3</v>
      </c>
      <c r="R1200">
        <v>21372589</v>
      </c>
    </row>
    <row r="1201" spans="1:18" x14ac:dyDescent="0.25">
      <c r="A1201" s="170">
        <v>43776</v>
      </c>
      <c r="B1201" s="116">
        <v>724</v>
      </c>
      <c r="C1201" s="116">
        <v>719.95</v>
      </c>
      <c r="D1201" s="116">
        <v>712.4</v>
      </c>
      <c r="E1201" s="116">
        <v>716</v>
      </c>
      <c r="F1201" s="116">
        <v>719.95</v>
      </c>
      <c r="G1201">
        <v>511202</v>
      </c>
      <c r="H1201" s="116"/>
      <c r="I1201" s="116"/>
      <c r="L1201" s="170">
        <v>43776</v>
      </c>
      <c r="M1201" s="116">
        <v>720.1</v>
      </c>
      <c r="N1201" s="116">
        <v>724.35</v>
      </c>
      <c r="O1201" s="116">
        <v>712.1</v>
      </c>
      <c r="P1201" s="116">
        <v>717</v>
      </c>
      <c r="Q1201" s="116">
        <v>720.1</v>
      </c>
      <c r="R1201">
        <v>13733737</v>
      </c>
    </row>
    <row r="1202" spans="1:18" x14ac:dyDescent="0.25">
      <c r="A1202" s="170">
        <v>43777</v>
      </c>
      <c r="B1202" s="116">
        <v>724.45</v>
      </c>
      <c r="C1202" s="116">
        <v>708.45</v>
      </c>
      <c r="D1202" s="116">
        <v>705.6</v>
      </c>
      <c r="E1202" s="116">
        <v>722.5</v>
      </c>
      <c r="F1202" s="116">
        <v>708.45</v>
      </c>
      <c r="G1202">
        <v>531345</v>
      </c>
      <c r="H1202" s="116"/>
      <c r="I1202" s="116"/>
      <c r="L1202" s="170">
        <v>43777</v>
      </c>
      <c r="M1202" s="116">
        <v>708.15</v>
      </c>
      <c r="N1202" s="116">
        <v>724.25</v>
      </c>
      <c r="O1202" s="116">
        <v>705.5</v>
      </c>
      <c r="P1202" s="116">
        <v>722</v>
      </c>
      <c r="Q1202" s="116">
        <v>708.15</v>
      </c>
      <c r="R1202">
        <v>8585630</v>
      </c>
    </row>
    <row r="1203" spans="1:18" x14ac:dyDescent="0.25">
      <c r="A1203" s="170">
        <v>43780</v>
      </c>
      <c r="B1203" s="116">
        <v>707.1</v>
      </c>
      <c r="C1203" s="116">
        <v>704.5</v>
      </c>
      <c r="D1203" s="116">
        <v>698.1</v>
      </c>
      <c r="E1203" s="116">
        <v>707</v>
      </c>
      <c r="F1203" s="116">
        <v>704.5</v>
      </c>
      <c r="G1203">
        <v>289378</v>
      </c>
      <c r="H1203" s="116"/>
      <c r="I1203" s="116"/>
      <c r="L1203" s="170">
        <v>43780</v>
      </c>
      <c r="M1203" s="116">
        <v>704.4</v>
      </c>
      <c r="N1203" s="116">
        <v>707.2</v>
      </c>
      <c r="O1203" s="116">
        <v>698</v>
      </c>
      <c r="P1203" s="116">
        <v>698.9</v>
      </c>
      <c r="Q1203" s="116">
        <v>704.4</v>
      </c>
      <c r="R1203">
        <v>6951494</v>
      </c>
    </row>
    <row r="1204" spans="1:18" x14ac:dyDescent="0.25">
      <c r="A1204" s="170">
        <v>43782</v>
      </c>
      <c r="B1204" s="116">
        <v>699.95</v>
      </c>
      <c r="C1204" s="116">
        <v>691.25</v>
      </c>
      <c r="D1204" s="116">
        <v>688</v>
      </c>
      <c r="E1204" s="116">
        <v>695.5</v>
      </c>
      <c r="F1204" s="116">
        <v>691.25</v>
      </c>
      <c r="G1204">
        <v>627414</v>
      </c>
      <c r="H1204" s="116"/>
      <c r="I1204" s="116"/>
      <c r="L1204" s="170">
        <v>43782</v>
      </c>
      <c r="M1204" s="116">
        <v>691.35</v>
      </c>
      <c r="N1204" s="116">
        <v>700</v>
      </c>
      <c r="O1204" s="116">
        <v>687.75</v>
      </c>
      <c r="P1204" s="116">
        <v>696.5</v>
      </c>
      <c r="Q1204" s="116">
        <v>691.35</v>
      </c>
      <c r="R1204">
        <v>9973690</v>
      </c>
    </row>
    <row r="1205" spans="1:18" x14ac:dyDescent="0.25">
      <c r="A1205" s="170">
        <v>43783</v>
      </c>
      <c r="B1205" s="116">
        <v>709.75</v>
      </c>
      <c r="C1205" s="116">
        <v>705.35</v>
      </c>
      <c r="D1205" s="116">
        <v>695</v>
      </c>
      <c r="E1205" s="116">
        <v>695</v>
      </c>
      <c r="F1205" s="116">
        <v>705.35</v>
      </c>
      <c r="G1205">
        <v>603556</v>
      </c>
      <c r="H1205" s="116"/>
      <c r="I1205" s="116"/>
      <c r="L1205" s="170">
        <v>43783</v>
      </c>
      <c r="M1205" s="116">
        <v>705.3</v>
      </c>
      <c r="N1205" s="116">
        <v>709.8</v>
      </c>
      <c r="O1205" s="116">
        <v>696.35</v>
      </c>
      <c r="P1205" s="116">
        <v>696.35</v>
      </c>
      <c r="Q1205" s="116">
        <v>705.3</v>
      </c>
      <c r="R1205">
        <v>10539902</v>
      </c>
    </row>
    <row r="1206" spans="1:18" x14ac:dyDescent="0.25">
      <c r="A1206" s="170">
        <v>43784</v>
      </c>
      <c r="B1206" s="116">
        <v>712.65</v>
      </c>
      <c r="C1206" s="116">
        <v>703.95</v>
      </c>
      <c r="D1206" s="116">
        <v>702.15</v>
      </c>
      <c r="E1206" s="116">
        <v>707.3</v>
      </c>
      <c r="F1206" s="116">
        <v>703.95</v>
      </c>
      <c r="G1206">
        <v>346966</v>
      </c>
      <c r="H1206" s="116"/>
      <c r="I1206" s="116"/>
      <c r="L1206" s="170">
        <v>43784</v>
      </c>
      <c r="M1206" s="116">
        <v>703.9</v>
      </c>
      <c r="N1206" s="116">
        <v>712.95</v>
      </c>
      <c r="O1206" s="116">
        <v>702.3</v>
      </c>
      <c r="P1206" s="116">
        <v>709.05</v>
      </c>
      <c r="Q1206" s="116">
        <v>703.9</v>
      </c>
      <c r="R1206">
        <v>7362623</v>
      </c>
    </row>
    <row r="1207" spans="1:18" x14ac:dyDescent="0.25">
      <c r="A1207" s="170">
        <v>43787</v>
      </c>
      <c r="B1207" s="116">
        <v>709.9</v>
      </c>
      <c r="C1207" s="116">
        <v>705.55</v>
      </c>
      <c r="D1207" s="116">
        <v>699.75</v>
      </c>
      <c r="E1207" s="116">
        <v>704.5</v>
      </c>
      <c r="F1207" s="116">
        <v>705.55</v>
      </c>
      <c r="G1207">
        <v>237120</v>
      </c>
      <c r="H1207" s="116"/>
      <c r="I1207" s="116"/>
      <c r="L1207" s="170">
        <v>43787</v>
      </c>
      <c r="M1207" s="116">
        <v>705.2</v>
      </c>
      <c r="N1207" s="116">
        <v>710</v>
      </c>
      <c r="O1207" s="116">
        <v>699.3</v>
      </c>
      <c r="P1207" s="116">
        <v>705</v>
      </c>
      <c r="Q1207" s="116">
        <v>705.2</v>
      </c>
      <c r="R1207">
        <v>7490916</v>
      </c>
    </row>
    <row r="1208" spans="1:18" x14ac:dyDescent="0.25">
      <c r="A1208" s="170">
        <v>43788</v>
      </c>
      <c r="B1208" s="116">
        <v>714.4</v>
      </c>
      <c r="C1208" s="116">
        <v>712.8</v>
      </c>
      <c r="D1208" s="116">
        <v>706</v>
      </c>
      <c r="E1208" s="116">
        <v>710.9</v>
      </c>
      <c r="F1208" s="116">
        <v>712.8</v>
      </c>
      <c r="G1208">
        <v>378657</v>
      </c>
      <c r="H1208" s="116"/>
      <c r="I1208" s="116"/>
      <c r="L1208" s="170">
        <v>43788</v>
      </c>
      <c r="M1208" s="116">
        <v>712.85</v>
      </c>
      <c r="N1208" s="116">
        <v>714</v>
      </c>
      <c r="O1208" s="116">
        <v>705</v>
      </c>
      <c r="P1208" s="116">
        <v>709.9</v>
      </c>
      <c r="Q1208" s="116">
        <v>712.85</v>
      </c>
      <c r="R1208">
        <v>6495885</v>
      </c>
    </row>
    <row r="1209" spans="1:18" x14ac:dyDescent="0.25">
      <c r="A1209" s="170">
        <v>43789</v>
      </c>
      <c r="B1209" s="116">
        <v>715</v>
      </c>
      <c r="C1209" s="116">
        <v>712.8</v>
      </c>
      <c r="D1209" s="116">
        <v>706.2</v>
      </c>
      <c r="E1209" s="116">
        <v>712.65</v>
      </c>
      <c r="F1209" s="116">
        <v>712.8</v>
      </c>
      <c r="G1209">
        <v>294235</v>
      </c>
      <c r="H1209" s="116"/>
      <c r="I1209" s="116"/>
      <c r="L1209" s="170">
        <v>43789</v>
      </c>
      <c r="M1209" s="116">
        <v>713</v>
      </c>
      <c r="N1209" s="116">
        <v>715</v>
      </c>
      <c r="O1209" s="116">
        <v>705</v>
      </c>
      <c r="P1209" s="116">
        <v>712.8</v>
      </c>
      <c r="Q1209" s="116">
        <v>713</v>
      </c>
      <c r="R1209">
        <v>6142171</v>
      </c>
    </row>
    <row r="1210" spans="1:18" x14ac:dyDescent="0.25">
      <c r="A1210" s="170">
        <v>43790</v>
      </c>
      <c r="B1210" s="116">
        <v>721.4</v>
      </c>
      <c r="C1210" s="116">
        <v>713.75</v>
      </c>
      <c r="D1210" s="116">
        <v>710.8</v>
      </c>
      <c r="E1210" s="116">
        <v>714.05</v>
      </c>
      <c r="F1210" s="116">
        <v>713.75</v>
      </c>
      <c r="G1210">
        <v>320743</v>
      </c>
      <c r="H1210" s="116"/>
      <c r="I1210" s="116"/>
      <c r="L1210" s="170">
        <v>43790</v>
      </c>
      <c r="M1210" s="116">
        <v>713.25</v>
      </c>
      <c r="N1210" s="116">
        <v>721.45</v>
      </c>
      <c r="O1210" s="116">
        <v>710.5</v>
      </c>
      <c r="P1210" s="116">
        <v>715.5</v>
      </c>
      <c r="Q1210" s="116">
        <v>713.25</v>
      </c>
      <c r="R1210">
        <v>9692973</v>
      </c>
    </row>
    <row r="1211" spans="1:18" x14ac:dyDescent="0.25">
      <c r="A1211" s="170">
        <v>43791</v>
      </c>
      <c r="B1211" s="116">
        <v>713</v>
      </c>
      <c r="C1211" s="116">
        <v>693.15</v>
      </c>
      <c r="D1211" s="116">
        <v>685.1</v>
      </c>
      <c r="E1211" s="116">
        <v>713</v>
      </c>
      <c r="F1211" s="116">
        <v>693.15</v>
      </c>
      <c r="G1211">
        <v>711451</v>
      </c>
      <c r="H1211" s="116"/>
      <c r="I1211" s="116"/>
      <c r="L1211" s="170">
        <v>43791</v>
      </c>
      <c r="M1211" s="116">
        <v>693.2</v>
      </c>
      <c r="N1211" s="116">
        <v>712</v>
      </c>
      <c r="O1211" s="116">
        <v>685.1</v>
      </c>
      <c r="P1211" s="116">
        <v>711.75</v>
      </c>
      <c r="Q1211" s="116">
        <v>693.2</v>
      </c>
      <c r="R1211">
        <v>14415826</v>
      </c>
    </row>
    <row r="1212" spans="1:18" x14ac:dyDescent="0.25">
      <c r="A1212" s="170">
        <v>43794</v>
      </c>
      <c r="B1212" s="116">
        <v>705</v>
      </c>
      <c r="C1212" s="116">
        <v>698</v>
      </c>
      <c r="D1212" s="116">
        <v>694</v>
      </c>
      <c r="E1212" s="116">
        <v>694.4</v>
      </c>
      <c r="F1212" s="116">
        <v>698</v>
      </c>
      <c r="G1212">
        <v>233214</v>
      </c>
      <c r="H1212" s="116"/>
      <c r="I1212" s="116"/>
      <c r="L1212" s="170">
        <v>43794</v>
      </c>
      <c r="M1212" s="116">
        <v>698.1</v>
      </c>
      <c r="N1212" s="116">
        <v>705.15</v>
      </c>
      <c r="O1212" s="116">
        <v>693.2</v>
      </c>
      <c r="P1212" s="116">
        <v>693.35</v>
      </c>
      <c r="Q1212" s="116">
        <v>698.1</v>
      </c>
      <c r="R1212">
        <v>7334511</v>
      </c>
    </row>
    <row r="1213" spans="1:18" x14ac:dyDescent="0.25">
      <c r="A1213" s="170">
        <v>43795</v>
      </c>
      <c r="B1213" s="116">
        <v>707.2</v>
      </c>
      <c r="C1213" s="116">
        <v>690.7</v>
      </c>
      <c r="D1213" s="116">
        <v>686</v>
      </c>
      <c r="E1213" s="116">
        <v>701.2</v>
      </c>
      <c r="F1213" s="116">
        <v>690.7</v>
      </c>
      <c r="G1213">
        <v>213471</v>
      </c>
      <c r="H1213" s="116"/>
      <c r="I1213" s="116"/>
      <c r="L1213" s="170">
        <v>43795</v>
      </c>
      <c r="M1213" s="116">
        <v>690.6</v>
      </c>
      <c r="N1213" s="116">
        <v>707.25</v>
      </c>
      <c r="O1213" s="116">
        <v>686</v>
      </c>
      <c r="P1213" s="116">
        <v>705</v>
      </c>
      <c r="Q1213" s="116">
        <v>690.6</v>
      </c>
      <c r="R1213">
        <v>27253106</v>
      </c>
    </row>
    <row r="1214" spans="1:18" x14ac:dyDescent="0.25">
      <c r="A1214" s="170">
        <v>43796</v>
      </c>
      <c r="B1214" s="116">
        <v>697.6</v>
      </c>
      <c r="C1214" s="116">
        <v>696.05</v>
      </c>
      <c r="D1214" s="116">
        <v>690.2</v>
      </c>
      <c r="E1214" s="116">
        <v>695.7</v>
      </c>
      <c r="F1214" s="116">
        <v>696.05</v>
      </c>
      <c r="G1214">
        <v>147999</v>
      </c>
      <c r="H1214" s="116"/>
      <c r="I1214" s="116"/>
      <c r="L1214" s="170">
        <v>43796</v>
      </c>
      <c r="M1214" s="116">
        <v>695.75</v>
      </c>
      <c r="N1214" s="116">
        <v>697.65</v>
      </c>
      <c r="O1214" s="116">
        <v>690.1</v>
      </c>
      <c r="P1214" s="116">
        <v>694.25</v>
      </c>
      <c r="Q1214" s="116">
        <v>695.75</v>
      </c>
      <c r="R1214">
        <v>3861635</v>
      </c>
    </row>
    <row r="1215" spans="1:18" x14ac:dyDescent="0.25">
      <c r="A1215" s="170">
        <v>43797</v>
      </c>
      <c r="B1215" s="116">
        <v>703</v>
      </c>
      <c r="C1215" s="116">
        <v>701.65</v>
      </c>
      <c r="D1215" s="116">
        <v>694.4</v>
      </c>
      <c r="E1215" s="116">
        <v>698.5</v>
      </c>
      <c r="F1215" s="116">
        <v>701.65</v>
      </c>
      <c r="G1215">
        <v>239978</v>
      </c>
      <c r="H1215" s="116"/>
      <c r="I1215" s="116"/>
      <c r="L1215" s="170">
        <v>43797</v>
      </c>
      <c r="M1215" s="116">
        <v>701.85</v>
      </c>
      <c r="N1215" s="116">
        <v>703.35</v>
      </c>
      <c r="O1215" s="116">
        <v>694.05</v>
      </c>
      <c r="P1215" s="116">
        <v>699.1</v>
      </c>
      <c r="Q1215" s="116">
        <v>701.85</v>
      </c>
      <c r="R1215">
        <v>4837683</v>
      </c>
    </row>
    <row r="1216" spans="1:18" x14ac:dyDescent="0.25">
      <c r="A1216" s="170">
        <v>43798</v>
      </c>
      <c r="B1216" s="116">
        <v>703.2</v>
      </c>
      <c r="C1216" s="116">
        <v>695.95</v>
      </c>
      <c r="D1216" s="116">
        <v>691.8</v>
      </c>
      <c r="E1216" s="116">
        <v>703</v>
      </c>
      <c r="F1216" s="116">
        <v>695.95</v>
      </c>
      <c r="G1216">
        <v>166618</v>
      </c>
      <c r="H1216" s="116"/>
      <c r="I1216" s="116"/>
      <c r="L1216" s="170">
        <v>43798</v>
      </c>
      <c r="M1216" s="116">
        <v>696.35</v>
      </c>
      <c r="N1216" s="116">
        <v>702.3</v>
      </c>
      <c r="O1216" s="116">
        <v>691.55</v>
      </c>
      <c r="P1216" s="116">
        <v>700.9</v>
      </c>
      <c r="Q1216" s="116">
        <v>696.35</v>
      </c>
      <c r="R1216">
        <v>4262379</v>
      </c>
    </row>
    <row r="1217" spans="1:18" x14ac:dyDescent="0.25">
      <c r="A1217" s="170">
        <v>43801</v>
      </c>
      <c r="B1217" s="116">
        <v>704.35</v>
      </c>
      <c r="C1217" s="116">
        <v>692.9</v>
      </c>
      <c r="D1217" s="116">
        <v>690.35</v>
      </c>
      <c r="E1217" s="116">
        <v>702.35</v>
      </c>
      <c r="F1217" s="116">
        <v>692.9</v>
      </c>
      <c r="G1217">
        <v>1921228</v>
      </c>
      <c r="H1217" s="116"/>
      <c r="I1217" s="116"/>
      <c r="L1217" s="170">
        <v>43801</v>
      </c>
      <c r="M1217" s="116">
        <v>692.7</v>
      </c>
      <c r="N1217" s="116">
        <v>704</v>
      </c>
      <c r="O1217" s="116">
        <v>690.3</v>
      </c>
      <c r="P1217" s="116">
        <v>703.1</v>
      </c>
      <c r="Q1217" s="116">
        <v>692.7</v>
      </c>
      <c r="R1217">
        <v>9383736</v>
      </c>
    </row>
    <row r="1218" spans="1:18" x14ac:dyDescent="0.25">
      <c r="A1218" s="170">
        <v>43802</v>
      </c>
      <c r="B1218" s="116">
        <v>699.4</v>
      </c>
      <c r="C1218" s="116">
        <v>698.35</v>
      </c>
      <c r="D1218" s="116">
        <v>689</v>
      </c>
      <c r="E1218" s="116">
        <v>695.8</v>
      </c>
      <c r="F1218" s="116">
        <v>698.35</v>
      </c>
      <c r="G1218">
        <v>384709</v>
      </c>
      <c r="H1218" s="116"/>
      <c r="I1218" s="116"/>
      <c r="L1218" s="170">
        <v>43802</v>
      </c>
      <c r="M1218" s="116">
        <v>698.35</v>
      </c>
      <c r="N1218" s="116">
        <v>699.7</v>
      </c>
      <c r="O1218" s="116">
        <v>688.55</v>
      </c>
      <c r="P1218" s="116">
        <v>692.7</v>
      </c>
      <c r="Q1218" s="116">
        <v>698.35</v>
      </c>
      <c r="R1218">
        <v>5239013</v>
      </c>
    </row>
    <row r="1219" spans="1:18" x14ac:dyDescent="0.25">
      <c r="A1219" s="170">
        <v>43803</v>
      </c>
      <c r="B1219" s="116">
        <v>710.4</v>
      </c>
      <c r="C1219" s="116">
        <v>708.2</v>
      </c>
      <c r="D1219" s="116">
        <v>694.35</v>
      </c>
      <c r="E1219" s="116">
        <v>695</v>
      </c>
      <c r="F1219" s="116">
        <v>708.2</v>
      </c>
      <c r="G1219">
        <v>377545</v>
      </c>
      <c r="H1219" s="116"/>
      <c r="I1219" s="116"/>
      <c r="L1219" s="170">
        <v>43803</v>
      </c>
      <c r="M1219" s="116">
        <v>708.85</v>
      </c>
      <c r="N1219" s="116">
        <v>710.5</v>
      </c>
      <c r="O1219" s="116">
        <v>693.35</v>
      </c>
      <c r="P1219" s="116">
        <v>697</v>
      </c>
      <c r="Q1219" s="116">
        <v>708.85</v>
      </c>
      <c r="R1219">
        <v>7427886</v>
      </c>
    </row>
    <row r="1220" spans="1:18" x14ac:dyDescent="0.25">
      <c r="A1220" s="170">
        <v>43804</v>
      </c>
      <c r="B1220" s="116">
        <v>716.1</v>
      </c>
      <c r="C1220" s="116">
        <v>714.65</v>
      </c>
      <c r="D1220" s="116">
        <v>704.3</v>
      </c>
      <c r="E1220" s="116">
        <v>707.1</v>
      </c>
      <c r="F1220" s="116">
        <v>714.65</v>
      </c>
      <c r="G1220">
        <v>860862</v>
      </c>
      <c r="H1220" s="116"/>
      <c r="I1220" s="116"/>
      <c r="L1220" s="170">
        <v>43804</v>
      </c>
      <c r="M1220" s="116">
        <v>714.85</v>
      </c>
      <c r="N1220" s="116">
        <v>715.9</v>
      </c>
      <c r="O1220" s="116">
        <v>703.8</v>
      </c>
      <c r="P1220" s="116">
        <v>706.45</v>
      </c>
      <c r="Q1220" s="116">
        <v>714.85</v>
      </c>
      <c r="R1220">
        <v>4814422</v>
      </c>
    </row>
    <row r="1221" spans="1:18" x14ac:dyDescent="0.25">
      <c r="A1221" s="170">
        <v>43805</v>
      </c>
      <c r="B1221" s="116">
        <v>720</v>
      </c>
      <c r="C1221" s="116">
        <v>715.15</v>
      </c>
      <c r="D1221" s="116">
        <v>709.65</v>
      </c>
      <c r="E1221" s="116">
        <v>717.9</v>
      </c>
      <c r="F1221" s="116">
        <v>715.15</v>
      </c>
      <c r="G1221">
        <v>294722</v>
      </c>
      <c r="H1221" s="116"/>
      <c r="I1221" s="116"/>
      <c r="L1221" s="170">
        <v>43805</v>
      </c>
      <c r="M1221" s="116">
        <v>715.1</v>
      </c>
      <c r="N1221" s="116">
        <v>720</v>
      </c>
      <c r="O1221" s="116">
        <v>709.6</v>
      </c>
      <c r="P1221" s="116">
        <v>715.95</v>
      </c>
      <c r="Q1221" s="116">
        <v>715.1</v>
      </c>
      <c r="R1221">
        <v>5226096</v>
      </c>
    </row>
    <row r="1222" spans="1:18" x14ac:dyDescent="0.25">
      <c r="A1222" s="170">
        <v>43808</v>
      </c>
      <c r="B1222" s="116">
        <v>722.2</v>
      </c>
      <c r="C1222" s="116">
        <v>716.9</v>
      </c>
      <c r="D1222" s="116">
        <v>715.1</v>
      </c>
      <c r="E1222" s="116">
        <v>716.8</v>
      </c>
      <c r="F1222" s="116">
        <v>716.9</v>
      </c>
      <c r="G1222">
        <v>448298</v>
      </c>
      <c r="H1222" s="116"/>
      <c r="I1222" s="116"/>
      <c r="L1222" s="170">
        <v>43808</v>
      </c>
      <c r="M1222" s="116">
        <v>717.25</v>
      </c>
      <c r="N1222" s="116">
        <v>722.35</v>
      </c>
      <c r="O1222" s="116">
        <v>714.25</v>
      </c>
      <c r="P1222" s="116">
        <v>716</v>
      </c>
      <c r="Q1222" s="116">
        <v>717.25</v>
      </c>
      <c r="R1222">
        <v>6435865</v>
      </c>
    </row>
    <row r="1223" spans="1:18" x14ac:dyDescent="0.25">
      <c r="A1223" s="170">
        <v>43809</v>
      </c>
      <c r="B1223" s="116">
        <v>718.65</v>
      </c>
      <c r="C1223" s="116">
        <v>714.25</v>
      </c>
      <c r="D1223" s="116">
        <v>710.2</v>
      </c>
      <c r="E1223" s="116">
        <v>715.55</v>
      </c>
      <c r="F1223" s="116">
        <v>714.25</v>
      </c>
      <c r="G1223">
        <v>260536</v>
      </c>
      <c r="H1223" s="116"/>
      <c r="I1223" s="116"/>
      <c r="L1223" s="170">
        <v>43809</v>
      </c>
      <c r="M1223" s="116">
        <v>714.55</v>
      </c>
      <c r="N1223" s="116">
        <v>718.5</v>
      </c>
      <c r="O1223" s="116">
        <v>710</v>
      </c>
      <c r="P1223" s="116">
        <v>713</v>
      </c>
      <c r="Q1223" s="116">
        <v>714.55</v>
      </c>
      <c r="R1223">
        <v>4457939</v>
      </c>
    </row>
    <row r="1224" spans="1:18" x14ac:dyDescent="0.25">
      <c r="A1224" s="170">
        <v>43810</v>
      </c>
      <c r="B1224" s="116">
        <v>722.75</v>
      </c>
      <c r="C1224" s="116">
        <v>720.8</v>
      </c>
      <c r="D1224" s="116">
        <v>713.4</v>
      </c>
      <c r="E1224" s="116">
        <v>715.5</v>
      </c>
      <c r="F1224" s="116">
        <v>720.8</v>
      </c>
      <c r="G1224">
        <v>227873</v>
      </c>
      <c r="H1224" s="116"/>
      <c r="I1224" s="116"/>
      <c r="L1224" s="170">
        <v>43810</v>
      </c>
      <c r="M1224" s="116">
        <v>721.05</v>
      </c>
      <c r="N1224" s="116">
        <v>722.7</v>
      </c>
      <c r="O1224" s="116">
        <v>713</v>
      </c>
      <c r="P1224" s="116">
        <v>716.6</v>
      </c>
      <c r="Q1224" s="116">
        <v>721.05</v>
      </c>
      <c r="R1224">
        <v>6043554</v>
      </c>
    </row>
    <row r="1225" spans="1:18" x14ac:dyDescent="0.25">
      <c r="A1225" s="170">
        <v>43811</v>
      </c>
      <c r="B1225" s="116">
        <v>720.8</v>
      </c>
      <c r="C1225" s="116">
        <v>701.85</v>
      </c>
      <c r="D1225" s="116">
        <v>695</v>
      </c>
      <c r="E1225" s="116">
        <v>720.8</v>
      </c>
      <c r="F1225" s="116">
        <v>701.85</v>
      </c>
      <c r="G1225">
        <v>1731787</v>
      </c>
      <c r="H1225" s="116"/>
      <c r="I1225" s="116"/>
      <c r="L1225" s="170">
        <v>43811</v>
      </c>
      <c r="M1225" s="116">
        <v>702.1</v>
      </c>
      <c r="N1225" s="116">
        <v>720.7</v>
      </c>
      <c r="O1225" s="116">
        <v>699.55</v>
      </c>
      <c r="P1225" s="116">
        <v>718.5</v>
      </c>
      <c r="Q1225" s="116">
        <v>702.1</v>
      </c>
      <c r="R1225">
        <v>11112042</v>
      </c>
    </row>
    <row r="1226" spans="1:18" x14ac:dyDescent="0.25">
      <c r="A1226" s="170">
        <v>43812</v>
      </c>
      <c r="B1226" s="116">
        <v>712.7</v>
      </c>
      <c r="C1226" s="116">
        <v>711.25</v>
      </c>
      <c r="D1226" s="116">
        <v>700.1</v>
      </c>
      <c r="E1226" s="116">
        <v>706.9</v>
      </c>
      <c r="F1226" s="116">
        <v>711.25</v>
      </c>
      <c r="G1226">
        <v>694603</v>
      </c>
      <c r="H1226" s="116"/>
      <c r="I1226" s="116"/>
      <c r="L1226" s="170">
        <v>43812</v>
      </c>
      <c r="M1226" s="116">
        <v>711.3</v>
      </c>
      <c r="N1226" s="116">
        <v>712.9</v>
      </c>
      <c r="O1226" s="116">
        <v>700.35</v>
      </c>
      <c r="P1226" s="116">
        <v>700.35</v>
      </c>
      <c r="Q1226" s="116">
        <v>711.3</v>
      </c>
      <c r="R1226">
        <v>10302412</v>
      </c>
    </row>
    <row r="1227" spans="1:18" x14ac:dyDescent="0.25">
      <c r="A1227" s="170">
        <v>43815</v>
      </c>
      <c r="B1227" s="116">
        <v>720</v>
      </c>
      <c r="C1227" s="116">
        <v>714</v>
      </c>
      <c r="D1227" s="116">
        <v>710.35</v>
      </c>
      <c r="E1227" s="116">
        <v>711.25</v>
      </c>
      <c r="F1227" s="116">
        <v>714</v>
      </c>
      <c r="G1227">
        <v>253695</v>
      </c>
      <c r="H1227" s="116"/>
      <c r="I1227" s="116"/>
      <c r="L1227" s="170">
        <v>43815</v>
      </c>
      <c r="M1227" s="116">
        <v>714</v>
      </c>
      <c r="N1227" s="116">
        <v>720.2</v>
      </c>
      <c r="O1227" s="116">
        <v>710.2</v>
      </c>
      <c r="P1227" s="116">
        <v>712.3</v>
      </c>
      <c r="Q1227" s="116">
        <v>714</v>
      </c>
      <c r="R1227">
        <v>5616324</v>
      </c>
    </row>
    <row r="1228" spans="1:18" x14ac:dyDescent="0.25">
      <c r="A1228" s="170">
        <v>43816</v>
      </c>
      <c r="B1228" s="116">
        <v>731.5</v>
      </c>
      <c r="C1228" s="116">
        <v>729.3</v>
      </c>
      <c r="D1228" s="116">
        <v>715.3</v>
      </c>
      <c r="E1228" s="116">
        <v>717.55</v>
      </c>
      <c r="F1228" s="116">
        <v>729.3</v>
      </c>
      <c r="G1228">
        <v>509857</v>
      </c>
      <c r="H1228" s="116"/>
      <c r="I1228" s="116"/>
      <c r="L1228" s="170">
        <v>43816</v>
      </c>
      <c r="M1228" s="116">
        <v>729.7</v>
      </c>
      <c r="N1228" s="116">
        <v>731.25</v>
      </c>
      <c r="O1228" s="116">
        <v>715</v>
      </c>
      <c r="P1228" s="116">
        <v>719.7</v>
      </c>
      <c r="Q1228" s="116">
        <v>729.7</v>
      </c>
      <c r="R1228">
        <v>10525565</v>
      </c>
    </row>
    <row r="1229" spans="1:18" x14ac:dyDescent="0.25">
      <c r="A1229" s="170">
        <v>43817</v>
      </c>
      <c r="B1229" s="116">
        <v>737.25</v>
      </c>
      <c r="C1229" s="116">
        <v>732.5</v>
      </c>
      <c r="D1229" s="116">
        <v>723.1</v>
      </c>
      <c r="E1229" s="116">
        <v>729.5</v>
      </c>
      <c r="F1229" s="116">
        <v>732.5</v>
      </c>
      <c r="G1229">
        <v>352727</v>
      </c>
      <c r="H1229" s="116"/>
      <c r="I1229" s="116"/>
      <c r="L1229" s="170">
        <v>43817</v>
      </c>
      <c r="M1229" s="116">
        <v>732.45</v>
      </c>
      <c r="N1229" s="116">
        <v>737.3</v>
      </c>
      <c r="O1229" s="116">
        <v>722.75</v>
      </c>
      <c r="P1229" s="116">
        <v>731</v>
      </c>
      <c r="Q1229" s="116">
        <v>732.45</v>
      </c>
      <c r="R1229">
        <v>12215295</v>
      </c>
    </row>
    <row r="1230" spans="1:18" x14ac:dyDescent="0.25">
      <c r="A1230" s="170">
        <v>43818</v>
      </c>
      <c r="B1230" s="116">
        <v>736</v>
      </c>
      <c r="C1230" s="116">
        <v>731.2</v>
      </c>
      <c r="D1230" s="116">
        <v>724.8</v>
      </c>
      <c r="E1230" s="116">
        <v>732</v>
      </c>
      <c r="F1230" s="116">
        <v>731.2</v>
      </c>
      <c r="G1230">
        <v>370840</v>
      </c>
      <c r="H1230" s="116"/>
      <c r="I1230" s="116"/>
      <c r="L1230" s="170">
        <v>43818</v>
      </c>
      <c r="M1230" s="116">
        <v>730.85</v>
      </c>
      <c r="N1230" s="116">
        <v>735.95</v>
      </c>
      <c r="O1230" s="116">
        <v>724.6</v>
      </c>
      <c r="P1230" s="116">
        <v>733.5</v>
      </c>
      <c r="Q1230" s="116">
        <v>730.85</v>
      </c>
      <c r="R1230">
        <v>7199210</v>
      </c>
    </row>
    <row r="1231" spans="1:18" x14ac:dyDescent="0.25">
      <c r="A1231" s="170">
        <v>43819</v>
      </c>
      <c r="B1231" s="116">
        <v>735</v>
      </c>
      <c r="C1231" s="116">
        <v>732</v>
      </c>
      <c r="D1231" s="116">
        <v>728.35</v>
      </c>
      <c r="E1231" s="116">
        <v>732.1</v>
      </c>
      <c r="F1231" s="116">
        <v>732</v>
      </c>
      <c r="G1231">
        <v>187057</v>
      </c>
      <c r="H1231" s="116"/>
      <c r="I1231" s="116"/>
      <c r="L1231" s="170">
        <v>43819</v>
      </c>
      <c r="M1231" s="116">
        <v>731.55</v>
      </c>
      <c r="N1231" s="116">
        <v>735</v>
      </c>
      <c r="O1231" s="116">
        <v>728.25</v>
      </c>
      <c r="P1231" s="116">
        <v>731</v>
      </c>
      <c r="Q1231" s="116">
        <v>731.55</v>
      </c>
      <c r="R1231">
        <v>7794167</v>
      </c>
    </row>
    <row r="1232" spans="1:18" x14ac:dyDescent="0.25">
      <c r="A1232" s="170">
        <v>43822</v>
      </c>
      <c r="B1232" s="116">
        <v>737.25</v>
      </c>
      <c r="C1232" s="116">
        <v>735.85</v>
      </c>
      <c r="D1232" s="116">
        <v>731.4</v>
      </c>
      <c r="E1232" s="116">
        <v>732</v>
      </c>
      <c r="F1232" s="116">
        <v>735.85</v>
      </c>
      <c r="G1232">
        <v>105902</v>
      </c>
      <c r="H1232" s="116"/>
      <c r="I1232" s="116"/>
      <c r="L1232" s="170">
        <v>43822</v>
      </c>
      <c r="M1232" s="116">
        <v>736</v>
      </c>
      <c r="N1232" s="116">
        <v>737.3</v>
      </c>
      <c r="O1232" s="116">
        <v>731.65</v>
      </c>
      <c r="P1232" s="116">
        <v>732.15</v>
      </c>
      <c r="Q1232" s="116">
        <v>736</v>
      </c>
      <c r="R1232">
        <v>4975608</v>
      </c>
    </row>
    <row r="1233" spans="1:18" x14ac:dyDescent="0.25">
      <c r="A1233" s="170">
        <v>43823</v>
      </c>
      <c r="B1233" s="116">
        <v>736.8</v>
      </c>
      <c r="C1233" s="116">
        <v>733.25</v>
      </c>
      <c r="D1233" s="116">
        <v>728.5</v>
      </c>
      <c r="E1233" s="116">
        <v>736.15</v>
      </c>
      <c r="F1233" s="116">
        <v>733.25</v>
      </c>
      <c r="G1233">
        <v>92997</v>
      </c>
      <c r="H1233" s="116"/>
      <c r="I1233" s="116"/>
      <c r="L1233" s="170">
        <v>43823</v>
      </c>
      <c r="M1233" s="116">
        <v>733.4</v>
      </c>
      <c r="N1233" s="116">
        <v>736.95</v>
      </c>
      <c r="O1233" s="116">
        <v>728.3</v>
      </c>
      <c r="P1233" s="116">
        <v>736.95</v>
      </c>
      <c r="Q1233" s="116">
        <v>733.4</v>
      </c>
      <c r="R1233">
        <v>2890759</v>
      </c>
    </row>
    <row r="1234" spans="1:18" x14ac:dyDescent="0.25">
      <c r="A1234" s="170">
        <v>43825</v>
      </c>
      <c r="B1234" s="116">
        <v>734.7</v>
      </c>
      <c r="C1234" s="116">
        <v>729.25</v>
      </c>
      <c r="D1234" s="116">
        <v>727</v>
      </c>
      <c r="E1234" s="116">
        <v>734</v>
      </c>
      <c r="F1234" s="116">
        <v>729.25</v>
      </c>
      <c r="G1234">
        <v>139762</v>
      </c>
      <c r="H1234" s="116"/>
      <c r="I1234" s="116"/>
      <c r="L1234" s="170">
        <v>43825</v>
      </c>
      <c r="M1234" s="116">
        <v>728.95</v>
      </c>
      <c r="N1234" s="116">
        <v>734.55</v>
      </c>
      <c r="O1234" s="116">
        <v>726.55</v>
      </c>
      <c r="P1234" s="116">
        <v>732</v>
      </c>
      <c r="Q1234" s="116">
        <v>728.95</v>
      </c>
      <c r="R1234">
        <v>3821806</v>
      </c>
    </row>
    <row r="1235" spans="1:18" x14ac:dyDescent="0.25">
      <c r="A1235" s="170">
        <v>43826</v>
      </c>
      <c r="B1235" s="116">
        <v>737.65</v>
      </c>
      <c r="C1235" s="116">
        <v>736.8</v>
      </c>
      <c r="D1235" s="116">
        <v>728.75</v>
      </c>
      <c r="E1235" s="116">
        <v>729.25</v>
      </c>
      <c r="F1235" s="116">
        <v>736.8</v>
      </c>
      <c r="G1235">
        <v>105409</v>
      </c>
      <c r="H1235" s="116"/>
      <c r="I1235" s="116"/>
      <c r="L1235" s="170">
        <v>43826</v>
      </c>
      <c r="M1235" s="116">
        <v>736.95</v>
      </c>
      <c r="N1235" s="116">
        <v>737.5</v>
      </c>
      <c r="O1235" s="116">
        <v>728.85</v>
      </c>
      <c r="P1235" s="116">
        <v>729.75</v>
      </c>
      <c r="Q1235" s="116">
        <v>736.95</v>
      </c>
      <c r="R1235">
        <v>3399094</v>
      </c>
    </row>
    <row r="1236" spans="1:18" x14ac:dyDescent="0.25">
      <c r="A1236" s="170">
        <v>43829</v>
      </c>
      <c r="B1236" s="116">
        <v>737.7</v>
      </c>
      <c r="C1236" s="116">
        <v>732.8</v>
      </c>
      <c r="D1236" s="116">
        <v>727.45</v>
      </c>
      <c r="E1236" s="116">
        <v>736</v>
      </c>
      <c r="F1236" s="116">
        <v>732.8</v>
      </c>
      <c r="G1236">
        <v>669807</v>
      </c>
      <c r="H1236" s="116"/>
      <c r="I1236" s="116"/>
      <c r="L1236" s="170">
        <v>43829</v>
      </c>
      <c r="M1236" s="116">
        <v>732.9</v>
      </c>
      <c r="N1236" s="116">
        <v>737.95</v>
      </c>
      <c r="O1236" s="116">
        <v>727.25</v>
      </c>
      <c r="P1236" s="116">
        <v>736.1</v>
      </c>
      <c r="Q1236" s="116">
        <v>732.9</v>
      </c>
      <c r="R1236">
        <v>5368416</v>
      </c>
    </row>
    <row r="1237" spans="1:18" x14ac:dyDescent="0.25">
      <c r="A1237" s="170">
        <v>43830</v>
      </c>
      <c r="B1237" s="116">
        <v>737.5</v>
      </c>
      <c r="C1237" s="116">
        <v>731.75</v>
      </c>
      <c r="D1237" s="116">
        <v>725.5</v>
      </c>
      <c r="E1237" s="116">
        <v>732.1</v>
      </c>
      <c r="F1237" s="116">
        <v>731.75</v>
      </c>
      <c r="G1237">
        <v>254993</v>
      </c>
      <c r="H1237" s="116"/>
      <c r="I1237" s="116"/>
      <c r="L1237" s="170">
        <v>43830</v>
      </c>
      <c r="M1237" s="116">
        <v>731.15</v>
      </c>
      <c r="N1237" s="116">
        <v>737.75</v>
      </c>
      <c r="O1237" s="116">
        <v>725.45</v>
      </c>
      <c r="P1237" s="116">
        <v>729.7</v>
      </c>
      <c r="Q1237" s="116">
        <v>731.15</v>
      </c>
      <c r="R1237">
        <v>6927885</v>
      </c>
    </row>
    <row r="1238" spans="1:18" x14ac:dyDescent="0.25">
      <c r="A1238" s="170">
        <v>43831</v>
      </c>
      <c r="B1238" s="116">
        <v>739.9</v>
      </c>
      <c r="C1238" s="116">
        <v>736.9</v>
      </c>
      <c r="D1238" s="116">
        <v>732.65</v>
      </c>
      <c r="E1238" s="116">
        <v>733.6</v>
      </c>
      <c r="F1238" s="116">
        <v>736.9</v>
      </c>
      <c r="G1238">
        <v>86151</v>
      </c>
      <c r="H1238" s="116"/>
      <c r="I1238" s="116"/>
      <c r="L1238" s="170">
        <v>43831</v>
      </c>
      <c r="M1238" s="116">
        <v>736.85</v>
      </c>
      <c r="N1238" s="116">
        <v>740</v>
      </c>
      <c r="O1238" s="116">
        <v>732.55</v>
      </c>
      <c r="P1238" s="116">
        <v>735</v>
      </c>
      <c r="Q1238" s="116">
        <v>736.85</v>
      </c>
      <c r="R1238">
        <v>2112415</v>
      </c>
    </row>
    <row r="1239" spans="1:18" x14ac:dyDescent="0.25">
      <c r="A1239" s="170">
        <v>43832</v>
      </c>
      <c r="B1239" s="116">
        <v>740.2</v>
      </c>
      <c r="C1239" s="116">
        <v>734.7</v>
      </c>
      <c r="D1239" s="116">
        <v>731.35</v>
      </c>
      <c r="E1239" s="116">
        <v>738.05</v>
      </c>
      <c r="F1239" s="116">
        <v>734.7</v>
      </c>
      <c r="G1239">
        <v>131129</v>
      </c>
      <c r="H1239" s="116"/>
      <c r="I1239" s="116"/>
      <c r="L1239" s="170">
        <v>43832</v>
      </c>
      <c r="M1239" s="116">
        <v>734.7</v>
      </c>
      <c r="N1239" s="116">
        <v>740.8</v>
      </c>
      <c r="O1239" s="116">
        <v>730.9</v>
      </c>
      <c r="P1239" s="116">
        <v>738.9</v>
      </c>
      <c r="Q1239" s="116">
        <v>734.7</v>
      </c>
      <c r="R1239">
        <v>5658200</v>
      </c>
    </row>
    <row r="1240" spans="1:18" x14ac:dyDescent="0.25">
      <c r="A1240" s="170">
        <v>43833</v>
      </c>
      <c r="B1240" s="116">
        <v>747.75</v>
      </c>
      <c r="C1240" s="116">
        <v>746.1</v>
      </c>
      <c r="D1240" s="116">
        <v>734.25</v>
      </c>
      <c r="E1240" s="116">
        <v>734.5</v>
      </c>
      <c r="F1240" s="116">
        <v>746.1</v>
      </c>
      <c r="G1240">
        <v>288087</v>
      </c>
      <c r="H1240" s="116"/>
      <c r="I1240" s="116"/>
      <c r="L1240" s="170">
        <v>43833</v>
      </c>
      <c r="M1240" s="116">
        <v>746</v>
      </c>
      <c r="N1240" s="116">
        <v>748</v>
      </c>
      <c r="O1240" s="116">
        <v>733.9</v>
      </c>
      <c r="P1240" s="116">
        <v>733.9</v>
      </c>
      <c r="Q1240" s="116">
        <v>746</v>
      </c>
      <c r="R1240">
        <v>7882938</v>
      </c>
    </row>
    <row r="1241" spans="1:18" x14ac:dyDescent="0.25">
      <c r="A1241" s="170">
        <v>43836</v>
      </c>
      <c r="B1241" s="116">
        <v>753.95</v>
      </c>
      <c r="C1241" s="116">
        <v>738.65</v>
      </c>
      <c r="D1241" s="116">
        <v>736.7</v>
      </c>
      <c r="E1241" s="116">
        <v>745.1</v>
      </c>
      <c r="F1241" s="116">
        <v>738.65</v>
      </c>
      <c r="G1241">
        <v>191481</v>
      </c>
      <c r="H1241" s="116"/>
      <c r="I1241" s="116"/>
      <c r="L1241" s="170">
        <v>43836</v>
      </c>
      <c r="M1241" s="116">
        <v>738.85</v>
      </c>
      <c r="N1241" s="116">
        <v>753.8</v>
      </c>
      <c r="O1241" s="116">
        <v>736.5</v>
      </c>
      <c r="P1241" s="116">
        <v>746.1</v>
      </c>
      <c r="Q1241" s="116">
        <v>738.85</v>
      </c>
      <c r="R1241">
        <v>6519403</v>
      </c>
    </row>
    <row r="1242" spans="1:18" x14ac:dyDescent="0.25">
      <c r="A1242" s="170">
        <v>43837</v>
      </c>
      <c r="B1242" s="116">
        <v>742.35</v>
      </c>
      <c r="C1242" s="116">
        <v>727.75</v>
      </c>
      <c r="D1242" s="116">
        <v>725.15</v>
      </c>
      <c r="E1242" s="116">
        <v>739.05</v>
      </c>
      <c r="F1242" s="116">
        <v>727.75</v>
      </c>
      <c r="G1242">
        <v>211980</v>
      </c>
      <c r="H1242" s="116"/>
      <c r="I1242" s="116"/>
      <c r="L1242" s="170">
        <v>43837</v>
      </c>
      <c r="M1242" s="116">
        <v>727.9</v>
      </c>
      <c r="N1242" s="116">
        <v>742.6</v>
      </c>
      <c r="O1242" s="116">
        <v>725.1</v>
      </c>
      <c r="P1242" s="116">
        <v>738</v>
      </c>
      <c r="Q1242" s="116">
        <v>727.9</v>
      </c>
      <c r="R1242">
        <v>7899363</v>
      </c>
    </row>
    <row r="1243" spans="1:18" x14ac:dyDescent="0.25">
      <c r="A1243" s="170">
        <v>43838</v>
      </c>
      <c r="B1243" s="116">
        <v>728.7</v>
      </c>
      <c r="C1243" s="116">
        <v>718.15</v>
      </c>
      <c r="D1243" s="116">
        <v>708.4</v>
      </c>
      <c r="E1243" s="116">
        <v>725</v>
      </c>
      <c r="F1243" s="116">
        <v>718.15</v>
      </c>
      <c r="G1243">
        <v>280761</v>
      </c>
      <c r="H1243" s="116"/>
      <c r="I1243" s="116"/>
      <c r="L1243" s="170">
        <v>43838</v>
      </c>
      <c r="M1243" s="116">
        <v>718.2</v>
      </c>
      <c r="N1243" s="116">
        <v>729</v>
      </c>
      <c r="O1243" s="116">
        <v>708.3</v>
      </c>
      <c r="P1243" s="116">
        <v>724.95</v>
      </c>
      <c r="Q1243" s="116">
        <v>718.2</v>
      </c>
      <c r="R1243">
        <v>8639443</v>
      </c>
    </row>
    <row r="1244" spans="1:18" x14ac:dyDescent="0.25">
      <c r="A1244" s="170">
        <v>43839</v>
      </c>
      <c r="B1244" s="116">
        <v>731.25</v>
      </c>
      <c r="C1244" s="116">
        <v>727.55</v>
      </c>
      <c r="D1244" s="116">
        <v>714.5</v>
      </c>
      <c r="E1244" s="116">
        <v>722.9</v>
      </c>
      <c r="F1244" s="116">
        <v>727.55</v>
      </c>
      <c r="G1244">
        <v>321670</v>
      </c>
      <c r="H1244" s="116"/>
      <c r="I1244" s="116"/>
      <c r="L1244" s="170">
        <v>43839</v>
      </c>
      <c r="M1244" s="116">
        <v>727.55</v>
      </c>
      <c r="N1244" s="116">
        <v>731.5</v>
      </c>
      <c r="O1244" s="116">
        <v>714.3</v>
      </c>
      <c r="P1244" s="116">
        <v>721.7</v>
      </c>
      <c r="Q1244" s="116">
        <v>727.55</v>
      </c>
      <c r="R1244">
        <v>13521186</v>
      </c>
    </row>
    <row r="1245" spans="1:18" x14ac:dyDescent="0.25">
      <c r="A1245" s="170">
        <v>43840</v>
      </c>
      <c r="B1245" s="116">
        <v>742.8</v>
      </c>
      <c r="C1245" s="116">
        <v>738.25</v>
      </c>
      <c r="D1245" s="116">
        <v>730.8</v>
      </c>
      <c r="E1245" s="116">
        <v>732</v>
      </c>
      <c r="F1245" s="116">
        <v>738.25</v>
      </c>
      <c r="G1245">
        <v>359749</v>
      </c>
      <c r="H1245" s="116"/>
      <c r="I1245" s="116"/>
      <c r="L1245" s="170">
        <v>43840</v>
      </c>
      <c r="M1245" s="116">
        <v>738.15</v>
      </c>
      <c r="N1245" s="116">
        <v>742.9</v>
      </c>
      <c r="O1245" s="116">
        <v>730.5</v>
      </c>
      <c r="P1245" s="116">
        <v>740.45</v>
      </c>
      <c r="Q1245" s="116">
        <v>738.15</v>
      </c>
      <c r="R1245">
        <v>9341405</v>
      </c>
    </row>
    <row r="1246" spans="1:18" x14ac:dyDescent="0.25">
      <c r="A1246" s="170">
        <v>43843</v>
      </c>
      <c r="B1246" s="116">
        <v>777.55</v>
      </c>
      <c r="C1246" s="116">
        <v>773.4</v>
      </c>
      <c r="D1246" s="116">
        <v>755.55</v>
      </c>
      <c r="E1246" s="116">
        <v>763</v>
      </c>
      <c r="F1246" s="116">
        <v>773.4</v>
      </c>
      <c r="G1246">
        <v>968764</v>
      </c>
      <c r="H1246" s="116"/>
      <c r="I1246" s="116"/>
      <c r="L1246" s="170">
        <v>43843</v>
      </c>
      <c r="M1246" s="116">
        <v>773.55</v>
      </c>
      <c r="N1246" s="116">
        <v>777.5</v>
      </c>
      <c r="O1246" s="116">
        <v>755</v>
      </c>
      <c r="P1246" s="116">
        <v>760</v>
      </c>
      <c r="Q1246" s="116">
        <v>773.55</v>
      </c>
      <c r="R1246">
        <v>36952038</v>
      </c>
    </row>
    <row r="1247" spans="1:18" x14ac:dyDescent="0.25">
      <c r="A1247" s="170">
        <v>43844</v>
      </c>
      <c r="B1247" s="116">
        <v>776.8</v>
      </c>
      <c r="C1247" s="116">
        <v>775.35</v>
      </c>
      <c r="D1247" s="116">
        <v>767.3</v>
      </c>
      <c r="E1247" s="116">
        <v>770.6</v>
      </c>
      <c r="F1247" s="116">
        <v>775.35</v>
      </c>
      <c r="G1247">
        <v>239821</v>
      </c>
      <c r="H1247" s="116"/>
      <c r="I1247" s="116"/>
      <c r="L1247" s="170">
        <v>43844</v>
      </c>
      <c r="M1247" s="116">
        <v>775.65</v>
      </c>
      <c r="N1247" s="116">
        <v>776.95</v>
      </c>
      <c r="O1247" s="116">
        <v>767.2</v>
      </c>
      <c r="P1247" s="116">
        <v>769.95</v>
      </c>
      <c r="Q1247" s="116">
        <v>775.65</v>
      </c>
      <c r="R1247">
        <v>11414418</v>
      </c>
    </row>
    <row r="1248" spans="1:18" x14ac:dyDescent="0.25">
      <c r="A1248" s="170">
        <v>43845</v>
      </c>
      <c r="B1248" s="116">
        <v>775</v>
      </c>
      <c r="C1248" s="116">
        <v>767.7</v>
      </c>
      <c r="D1248" s="116">
        <v>762.8</v>
      </c>
      <c r="E1248" s="116">
        <v>775</v>
      </c>
      <c r="F1248" s="116">
        <v>767.7</v>
      </c>
      <c r="G1248">
        <v>185699</v>
      </c>
      <c r="H1248" s="116"/>
      <c r="I1248" s="116"/>
      <c r="L1248" s="170">
        <v>43845</v>
      </c>
      <c r="M1248" s="116">
        <v>767.55</v>
      </c>
      <c r="N1248" s="116">
        <v>773.85</v>
      </c>
      <c r="O1248" s="116">
        <v>762.15</v>
      </c>
      <c r="P1248" s="116">
        <v>773.85</v>
      </c>
      <c r="Q1248" s="116">
        <v>767.55</v>
      </c>
      <c r="R1248">
        <v>6047430</v>
      </c>
    </row>
    <row r="1249" spans="1:18" x14ac:dyDescent="0.25">
      <c r="A1249" s="170">
        <v>43846</v>
      </c>
      <c r="B1249" s="116">
        <v>772.2</v>
      </c>
      <c r="C1249" s="116">
        <v>766.85</v>
      </c>
      <c r="D1249" s="116">
        <v>760.4</v>
      </c>
      <c r="E1249" s="116">
        <v>772</v>
      </c>
      <c r="F1249" s="116">
        <v>766.85</v>
      </c>
      <c r="G1249">
        <v>153766</v>
      </c>
      <c r="H1249" s="116"/>
      <c r="I1249" s="116"/>
      <c r="L1249" s="170">
        <v>43846</v>
      </c>
      <c r="M1249" s="116">
        <v>767</v>
      </c>
      <c r="N1249" s="116">
        <v>772.5</v>
      </c>
      <c r="O1249" s="116">
        <v>760.25</v>
      </c>
      <c r="P1249" s="116">
        <v>770.7</v>
      </c>
      <c r="Q1249" s="116">
        <v>767</v>
      </c>
      <c r="R1249">
        <v>5740586</v>
      </c>
    </row>
    <row r="1250" spans="1:18" x14ac:dyDescent="0.25">
      <c r="A1250" s="170">
        <v>43847</v>
      </c>
      <c r="B1250" s="116">
        <v>772</v>
      </c>
      <c r="C1250" s="116">
        <v>767.85</v>
      </c>
      <c r="D1250" s="116">
        <v>762.7</v>
      </c>
      <c r="E1250" s="116">
        <v>771</v>
      </c>
      <c r="F1250" s="116">
        <v>767.85</v>
      </c>
      <c r="G1250">
        <v>88333</v>
      </c>
      <c r="H1250" s="116"/>
      <c r="I1250" s="116"/>
      <c r="L1250" s="170">
        <v>43847</v>
      </c>
      <c r="M1250" s="116">
        <v>767.85</v>
      </c>
      <c r="N1250" s="116">
        <v>772.9</v>
      </c>
      <c r="O1250" s="116">
        <v>762.25</v>
      </c>
      <c r="P1250" s="116">
        <v>770.7</v>
      </c>
      <c r="Q1250" s="116">
        <v>767.85</v>
      </c>
      <c r="R1250">
        <v>3762957</v>
      </c>
    </row>
    <row r="1251" spans="1:18" x14ac:dyDescent="0.25">
      <c r="A1251" s="170">
        <v>43850</v>
      </c>
      <c r="B1251" s="116">
        <v>774.45</v>
      </c>
      <c r="C1251" s="116">
        <v>768.35</v>
      </c>
      <c r="D1251" s="116">
        <v>763.35</v>
      </c>
      <c r="E1251" s="116">
        <v>770</v>
      </c>
      <c r="F1251" s="116">
        <v>768.35</v>
      </c>
      <c r="G1251">
        <v>105542</v>
      </c>
      <c r="H1251" s="116"/>
      <c r="I1251" s="116"/>
      <c r="L1251" s="170">
        <v>43850</v>
      </c>
      <c r="M1251" s="116">
        <v>768.45</v>
      </c>
      <c r="N1251" s="116">
        <v>774.4</v>
      </c>
      <c r="O1251" s="116">
        <v>762.95</v>
      </c>
      <c r="P1251" s="116">
        <v>771.6</v>
      </c>
      <c r="Q1251" s="116">
        <v>768.45</v>
      </c>
      <c r="R1251">
        <v>3887680</v>
      </c>
    </row>
    <row r="1252" spans="1:18" x14ac:dyDescent="0.25">
      <c r="A1252" s="170">
        <v>43851</v>
      </c>
      <c r="B1252" s="116">
        <v>770.7</v>
      </c>
      <c r="C1252" s="116">
        <v>761.9</v>
      </c>
      <c r="D1252" s="116">
        <v>760.55</v>
      </c>
      <c r="E1252" s="116">
        <v>768.35</v>
      </c>
      <c r="F1252" s="116">
        <v>761.9</v>
      </c>
      <c r="G1252">
        <v>61778</v>
      </c>
      <c r="H1252" s="116"/>
      <c r="I1252" s="116"/>
      <c r="L1252" s="170">
        <v>43851</v>
      </c>
      <c r="M1252" s="116">
        <v>762.5</v>
      </c>
      <c r="N1252" s="116">
        <v>770.5</v>
      </c>
      <c r="O1252" s="116">
        <v>760.75</v>
      </c>
      <c r="P1252" s="116">
        <v>768.45</v>
      </c>
      <c r="Q1252" s="116">
        <v>762.5</v>
      </c>
      <c r="R1252">
        <v>4448374</v>
      </c>
    </row>
    <row r="1253" spans="1:18" x14ac:dyDescent="0.25">
      <c r="A1253" s="170">
        <v>43852</v>
      </c>
      <c r="B1253" s="116">
        <v>778</v>
      </c>
      <c r="C1253" s="116">
        <v>769.95</v>
      </c>
      <c r="D1253" s="116">
        <v>765.1</v>
      </c>
      <c r="E1253" s="116">
        <v>765.1</v>
      </c>
      <c r="F1253" s="116">
        <v>769.95</v>
      </c>
      <c r="G1253">
        <v>276071</v>
      </c>
      <c r="H1253" s="116"/>
      <c r="I1253" s="116"/>
      <c r="L1253" s="170">
        <v>43852</v>
      </c>
      <c r="M1253" s="116">
        <v>770.2</v>
      </c>
      <c r="N1253" s="116">
        <v>778</v>
      </c>
      <c r="O1253" s="116">
        <v>766</v>
      </c>
      <c r="P1253" s="116">
        <v>768.45</v>
      </c>
      <c r="Q1253" s="116">
        <v>770.2</v>
      </c>
      <c r="R1253">
        <v>9733935</v>
      </c>
    </row>
    <row r="1254" spans="1:18" x14ac:dyDescent="0.25">
      <c r="A1254" s="170">
        <v>43853</v>
      </c>
      <c r="B1254" s="116">
        <v>785.2</v>
      </c>
      <c r="C1254" s="116">
        <v>784.55</v>
      </c>
      <c r="D1254" s="116">
        <v>774</v>
      </c>
      <c r="E1254" s="116">
        <v>774</v>
      </c>
      <c r="F1254" s="116">
        <v>784.55</v>
      </c>
      <c r="G1254">
        <v>266667</v>
      </c>
      <c r="H1254" s="116"/>
      <c r="I1254" s="116"/>
      <c r="L1254" s="170">
        <v>43853</v>
      </c>
      <c r="M1254" s="116">
        <v>784.35</v>
      </c>
      <c r="N1254" s="116">
        <v>785.5</v>
      </c>
      <c r="O1254" s="116">
        <v>776.7</v>
      </c>
      <c r="P1254" s="116">
        <v>777.1</v>
      </c>
      <c r="Q1254" s="116">
        <v>784.35</v>
      </c>
      <c r="R1254">
        <v>12528017</v>
      </c>
    </row>
    <row r="1255" spans="1:18" x14ac:dyDescent="0.25">
      <c r="A1255" s="170">
        <v>43854</v>
      </c>
      <c r="B1255" s="116">
        <v>786.2</v>
      </c>
      <c r="C1255" s="116">
        <v>782.95</v>
      </c>
      <c r="D1255" s="116">
        <v>773.8</v>
      </c>
      <c r="E1255" s="116">
        <v>776</v>
      </c>
      <c r="F1255" s="116">
        <v>782.95</v>
      </c>
      <c r="G1255">
        <v>713930</v>
      </c>
      <c r="H1255" s="116"/>
      <c r="I1255" s="116"/>
      <c r="L1255" s="170">
        <v>43854</v>
      </c>
      <c r="M1255" s="116">
        <v>782.75</v>
      </c>
      <c r="N1255" s="116">
        <v>786.5</v>
      </c>
      <c r="O1255" s="116">
        <v>773.6</v>
      </c>
      <c r="P1255" s="116">
        <v>775.75</v>
      </c>
      <c r="Q1255" s="116">
        <v>782.75</v>
      </c>
      <c r="R1255">
        <v>7540490</v>
      </c>
    </row>
    <row r="1256" spans="1:18" x14ac:dyDescent="0.25">
      <c r="A1256" s="170">
        <v>43857</v>
      </c>
      <c r="B1256" s="116">
        <v>784.5</v>
      </c>
      <c r="C1256" s="116">
        <v>777.9</v>
      </c>
      <c r="D1256" s="116">
        <v>774.8</v>
      </c>
      <c r="E1256" s="116">
        <v>779.7</v>
      </c>
      <c r="F1256" s="116">
        <v>777.9</v>
      </c>
      <c r="G1256">
        <v>111853</v>
      </c>
      <c r="H1256" s="116"/>
      <c r="I1256" s="116"/>
      <c r="L1256" s="170">
        <v>43857</v>
      </c>
      <c r="M1256" s="116">
        <v>778.1</v>
      </c>
      <c r="N1256" s="116">
        <v>784.8</v>
      </c>
      <c r="O1256" s="116">
        <v>774.4</v>
      </c>
      <c r="P1256" s="116">
        <v>779.05</v>
      </c>
      <c r="Q1256" s="116">
        <v>778.1</v>
      </c>
      <c r="R1256">
        <v>3741610</v>
      </c>
    </row>
    <row r="1257" spans="1:18" x14ac:dyDescent="0.25">
      <c r="A1257" s="170">
        <v>43858</v>
      </c>
      <c r="B1257" s="116">
        <v>780.8</v>
      </c>
      <c r="C1257" s="116">
        <v>777.9</v>
      </c>
      <c r="D1257" s="116">
        <v>772.1</v>
      </c>
      <c r="E1257" s="116">
        <v>779.8</v>
      </c>
      <c r="F1257" s="116">
        <v>777.9</v>
      </c>
      <c r="G1257">
        <v>543368</v>
      </c>
      <c r="H1257" s="116"/>
      <c r="I1257" s="116"/>
      <c r="L1257" s="170">
        <v>43858</v>
      </c>
      <c r="M1257" s="116">
        <v>778</v>
      </c>
      <c r="N1257" s="116">
        <v>781.8</v>
      </c>
      <c r="O1257" s="116">
        <v>772</v>
      </c>
      <c r="P1257" s="116">
        <v>781</v>
      </c>
      <c r="Q1257" s="116">
        <v>778</v>
      </c>
      <c r="R1257">
        <v>5121009</v>
      </c>
    </row>
    <row r="1258" spans="1:18" x14ac:dyDescent="0.25">
      <c r="A1258" s="170">
        <v>43859</v>
      </c>
      <c r="B1258" s="116">
        <v>792.55</v>
      </c>
      <c r="C1258" s="116">
        <v>789.45</v>
      </c>
      <c r="D1258" s="116">
        <v>783</v>
      </c>
      <c r="E1258" s="116">
        <v>783</v>
      </c>
      <c r="F1258" s="116">
        <v>789.45</v>
      </c>
      <c r="G1258">
        <v>434306</v>
      </c>
      <c r="H1258" s="116"/>
      <c r="I1258" s="116"/>
      <c r="L1258" s="170">
        <v>43859</v>
      </c>
      <c r="M1258" s="116">
        <v>789.7</v>
      </c>
      <c r="N1258" s="116">
        <v>792.8</v>
      </c>
      <c r="O1258" s="116">
        <v>784.25</v>
      </c>
      <c r="P1258" s="116">
        <v>786.6</v>
      </c>
      <c r="Q1258" s="116">
        <v>789.7</v>
      </c>
      <c r="R1258">
        <v>6832757</v>
      </c>
    </row>
    <row r="1259" spans="1:18" x14ac:dyDescent="0.25">
      <c r="A1259" s="170">
        <v>43860</v>
      </c>
      <c r="B1259" s="116">
        <v>792</v>
      </c>
      <c r="C1259" s="116">
        <v>780.2</v>
      </c>
      <c r="D1259" s="116">
        <v>778.05</v>
      </c>
      <c r="E1259" s="116">
        <v>792</v>
      </c>
      <c r="F1259" s="116">
        <v>780.2</v>
      </c>
      <c r="G1259">
        <v>80734</v>
      </c>
      <c r="H1259" s="116"/>
      <c r="I1259" s="116"/>
      <c r="L1259" s="170">
        <v>43860</v>
      </c>
      <c r="M1259" s="116">
        <v>780.7</v>
      </c>
      <c r="N1259" s="116">
        <v>789.7</v>
      </c>
      <c r="O1259" s="116">
        <v>778</v>
      </c>
      <c r="P1259" s="116">
        <v>789.7</v>
      </c>
      <c r="Q1259" s="116">
        <v>780.7</v>
      </c>
      <c r="R1259">
        <v>3859680</v>
      </c>
    </row>
    <row r="1260" spans="1:18" x14ac:dyDescent="0.25">
      <c r="A1260" s="170">
        <v>43861</v>
      </c>
      <c r="B1260" s="116">
        <v>784.25</v>
      </c>
      <c r="C1260" s="116">
        <v>776.35</v>
      </c>
      <c r="D1260" s="116">
        <v>771.75</v>
      </c>
      <c r="E1260" s="116">
        <v>781.75</v>
      </c>
      <c r="F1260" s="116">
        <v>776.35</v>
      </c>
      <c r="G1260">
        <v>70808</v>
      </c>
      <c r="H1260" s="116"/>
      <c r="I1260" s="116"/>
      <c r="L1260" s="170">
        <v>43861</v>
      </c>
      <c r="M1260" s="116">
        <v>775.95</v>
      </c>
      <c r="N1260" s="116">
        <v>784.95</v>
      </c>
      <c r="O1260" s="116">
        <v>771.6</v>
      </c>
      <c r="P1260" s="116">
        <v>780.55</v>
      </c>
      <c r="Q1260" s="116">
        <v>775.95</v>
      </c>
      <c r="R1260">
        <v>6092028</v>
      </c>
    </row>
    <row r="1261" spans="1:18" x14ac:dyDescent="0.25">
      <c r="A1261" s="170">
        <v>43862</v>
      </c>
      <c r="B1261" s="116">
        <v>791</v>
      </c>
      <c r="C1261" s="116">
        <v>780.25</v>
      </c>
      <c r="D1261" s="116">
        <v>769.8</v>
      </c>
      <c r="E1261" s="116">
        <v>775.95</v>
      </c>
      <c r="F1261" s="116">
        <v>780.25</v>
      </c>
      <c r="G1261">
        <v>133582</v>
      </c>
      <c r="H1261" s="116"/>
      <c r="I1261" s="116"/>
      <c r="L1261" s="170">
        <v>43862</v>
      </c>
      <c r="M1261" s="116">
        <v>779.5</v>
      </c>
      <c r="N1261" s="116">
        <v>791.25</v>
      </c>
      <c r="O1261" s="116">
        <v>769.25</v>
      </c>
      <c r="P1261" s="116">
        <v>775.1</v>
      </c>
      <c r="Q1261" s="116">
        <v>779.5</v>
      </c>
      <c r="R1261">
        <v>5104062</v>
      </c>
    </row>
    <row r="1262" spans="1:18" x14ac:dyDescent="0.25">
      <c r="A1262" s="170">
        <v>43864</v>
      </c>
      <c r="B1262" s="116">
        <v>790</v>
      </c>
      <c r="C1262" s="116">
        <v>767.2</v>
      </c>
      <c r="D1262" s="116">
        <v>764.5</v>
      </c>
      <c r="E1262" s="116">
        <v>780.55</v>
      </c>
      <c r="F1262" s="116">
        <v>767.2</v>
      </c>
      <c r="G1262">
        <v>119026</v>
      </c>
      <c r="H1262" s="116"/>
      <c r="I1262" s="116"/>
      <c r="L1262" s="170">
        <v>43864</v>
      </c>
      <c r="M1262" s="116">
        <v>767.4</v>
      </c>
      <c r="N1262" s="116">
        <v>790.95</v>
      </c>
      <c r="O1262" s="116">
        <v>764.5</v>
      </c>
      <c r="P1262" s="116">
        <v>782</v>
      </c>
      <c r="Q1262" s="116">
        <v>767.4</v>
      </c>
      <c r="R1262">
        <v>6416745</v>
      </c>
    </row>
    <row r="1263" spans="1:18" x14ac:dyDescent="0.25">
      <c r="A1263" s="170">
        <v>43865</v>
      </c>
      <c r="B1263" s="116">
        <v>789.35</v>
      </c>
      <c r="C1263" s="116">
        <v>787.85</v>
      </c>
      <c r="D1263" s="116">
        <v>769.5</v>
      </c>
      <c r="E1263" s="116">
        <v>769.5</v>
      </c>
      <c r="F1263" s="116">
        <v>787.85</v>
      </c>
      <c r="G1263">
        <v>105746</v>
      </c>
      <c r="H1263" s="116"/>
      <c r="I1263" s="116"/>
      <c r="L1263" s="170">
        <v>43865</v>
      </c>
      <c r="M1263" s="116">
        <v>787.85</v>
      </c>
      <c r="N1263" s="116">
        <v>789.9</v>
      </c>
      <c r="O1263" s="116">
        <v>770.1</v>
      </c>
      <c r="P1263" s="116">
        <v>770.1</v>
      </c>
      <c r="Q1263" s="116">
        <v>787.85</v>
      </c>
      <c r="R1263">
        <v>5771311</v>
      </c>
    </row>
    <row r="1264" spans="1:18" x14ac:dyDescent="0.25">
      <c r="A1264" s="170">
        <v>43866</v>
      </c>
      <c r="B1264" s="116">
        <v>787</v>
      </c>
      <c r="C1264" s="116">
        <v>784.5</v>
      </c>
      <c r="D1264" s="116">
        <v>774.25</v>
      </c>
      <c r="E1264" s="116">
        <v>787</v>
      </c>
      <c r="F1264" s="116">
        <v>784.5</v>
      </c>
      <c r="G1264">
        <v>350877</v>
      </c>
      <c r="H1264" s="116"/>
      <c r="I1264" s="116"/>
      <c r="L1264" s="170">
        <v>43866</v>
      </c>
      <c r="M1264" s="116">
        <v>784.55</v>
      </c>
      <c r="N1264" s="116">
        <v>786</v>
      </c>
      <c r="O1264" s="116">
        <v>774.4</v>
      </c>
      <c r="P1264" s="116">
        <v>781</v>
      </c>
      <c r="Q1264" s="116">
        <v>784.55</v>
      </c>
      <c r="R1264">
        <v>6310409</v>
      </c>
    </row>
    <row r="1265" spans="1:18" x14ac:dyDescent="0.25">
      <c r="A1265" s="170">
        <v>43867</v>
      </c>
      <c r="B1265" s="116">
        <v>786.55</v>
      </c>
      <c r="C1265" s="116">
        <v>770.95</v>
      </c>
      <c r="D1265" s="116">
        <v>770</v>
      </c>
      <c r="E1265" s="116">
        <v>784.5</v>
      </c>
      <c r="F1265" s="116">
        <v>770.95</v>
      </c>
      <c r="G1265">
        <v>936087</v>
      </c>
      <c r="H1265" s="116"/>
      <c r="I1265" s="116"/>
      <c r="L1265" s="170">
        <v>43867</v>
      </c>
      <c r="M1265" s="116">
        <v>771.35</v>
      </c>
      <c r="N1265" s="116">
        <v>786.8</v>
      </c>
      <c r="O1265" s="116">
        <v>770</v>
      </c>
      <c r="P1265" s="116">
        <v>784.35</v>
      </c>
      <c r="Q1265" s="116">
        <v>771.35</v>
      </c>
      <c r="R1265">
        <v>7341622</v>
      </c>
    </row>
    <row r="1266" spans="1:18" x14ac:dyDescent="0.25">
      <c r="A1266" s="170">
        <v>43868</v>
      </c>
      <c r="B1266" s="116">
        <v>778.85</v>
      </c>
      <c r="C1266" s="116">
        <v>777.2</v>
      </c>
      <c r="D1266" s="116">
        <v>771.05</v>
      </c>
      <c r="E1266" s="116">
        <v>772</v>
      </c>
      <c r="F1266" s="116">
        <v>777.2</v>
      </c>
      <c r="G1266">
        <v>99982</v>
      </c>
      <c r="H1266" s="116"/>
      <c r="I1266" s="116"/>
      <c r="L1266" s="170">
        <v>43868</v>
      </c>
      <c r="M1266" s="116">
        <v>777.3</v>
      </c>
      <c r="N1266" s="116">
        <v>778.85</v>
      </c>
      <c r="O1266" s="116">
        <v>771</v>
      </c>
      <c r="P1266" s="116">
        <v>775.95</v>
      </c>
      <c r="Q1266" s="116">
        <v>777.3</v>
      </c>
      <c r="R1266">
        <v>2853344</v>
      </c>
    </row>
    <row r="1267" spans="1:18" x14ac:dyDescent="0.25">
      <c r="A1267" s="170">
        <v>43871</v>
      </c>
      <c r="B1267" s="116">
        <v>778.05</v>
      </c>
      <c r="C1267" s="116">
        <v>773.25</v>
      </c>
      <c r="D1267" s="116">
        <v>769.8</v>
      </c>
      <c r="E1267" s="116">
        <v>776</v>
      </c>
      <c r="F1267" s="116">
        <v>773.25</v>
      </c>
      <c r="G1267">
        <v>75767</v>
      </c>
      <c r="H1267" s="116"/>
      <c r="I1267" s="116"/>
      <c r="L1267" s="170">
        <v>43871</v>
      </c>
      <c r="M1267" s="116">
        <v>773.2</v>
      </c>
      <c r="N1267" s="116">
        <v>778</v>
      </c>
      <c r="O1267" s="116">
        <v>769.75</v>
      </c>
      <c r="P1267" s="116">
        <v>774</v>
      </c>
      <c r="Q1267" s="116">
        <v>773.2</v>
      </c>
      <c r="R1267">
        <v>3827682</v>
      </c>
    </row>
    <row r="1268" spans="1:18" x14ac:dyDescent="0.25">
      <c r="A1268" s="170">
        <v>43872</v>
      </c>
      <c r="B1268" s="116">
        <v>779.25</v>
      </c>
      <c r="C1268" s="116">
        <v>773.8</v>
      </c>
      <c r="D1268" s="116">
        <v>769.75</v>
      </c>
      <c r="E1268" s="116">
        <v>776.2</v>
      </c>
      <c r="F1268" s="116">
        <v>773.8</v>
      </c>
      <c r="G1268">
        <v>99312</v>
      </c>
      <c r="H1268" s="116"/>
      <c r="I1268" s="116"/>
      <c r="L1268" s="170">
        <v>43872</v>
      </c>
      <c r="M1268" s="116">
        <v>773.55</v>
      </c>
      <c r="N1268" s="116">
        <v>779.1</v>
      </c>
      <c r="O1268" s="116">
        <v>769.2</v>
      </c>
      <c r="P1268" s="116">
        <v>779</v>
      </c>
      <c r="Q1268" s="116">
        <v>773.55</v>
      </c>
      <c r="R1268">
        <v>4312817</v>
      </c>
    </row>
    <row r="1269" spans="1:18" x14ac:dyDescent="0.25">
      <c r="A1269" s="170">
        <v>43873</v>
      </c>
      <c r="B1269" s="116">
        <v>783</v>
      </c>
      <c r="C1269" s="116">
        <v>781.05</v>
      </c>
      <c r="D1269" s="116">
        <v>775</v>
      </c>
      <c r="E1269" s="116">
        <v>775</v>
      </c>
      <c r="F1269" s="116">
        <v>781.05</v>
      </c>
      <c r="G1269">
        <v>92870</v>
      </c>
      <c r="H1269" s="116"/>
      <c r="I1269" s="116"/>
      <c r="L1269" s="170">
        <v>43873</v>
      </c>
      <c r="M1269" s="116">
        <v>781.05</v>
      </c>
      <c r="N1269" s="116">
        <v>783.25</v>
      </c>
      <c r="O1269" s="116">
        <v>775.1</v>
      </c>
      <c r="P1269" s="116">
        <v>775.8</v>
      </c>
      <c r="Q1269" s="116">
        <v>781.05</v>
      </c>
      <c r="R1269">
        <v>2948825</v>
      </c>
    </row>
    <row r="1270" spans="1:18" x14ac:dyDescent="0.25">
      <c r="A1270" s="170">
        <v>43874</v>
      </c>
      <c r="B1270" s="116">
        <v>794.3</v>
      </c>
      <c r="C1270" s="116">
        <v>792.35</v>
      </c>
      <c r="D1270" s="116">
        <v>782.4</v>
      </c>
      <c r="E1270" s="116">
        <v>787</v>
      </c>
      <c r="F1270" s="116">
        <v>792.35</v>
      </c>
      <c r="G1270">
        <v>132909</v>
      </c>
      <c r="H1270" s="116"/>
      <c r="I1270" s="116"/>
      <c r="L1270" s="170">
        <v>43874</v>
      </c>
      <c r="M1270" s="116">
        <v>792.25</v>
      </c>
      <c r="N1270" s="116">
        <v>794</v>
      </c>
      <c r="O1270" s="116">
        <v>782.2</v>
      </c>
      <c r="P1270" s="116">
        <v>785</v>
      </c>
      <c r="Q1270" s="116">
        <v>792.25</v>
      </c>
      <c r="R1270">
        <v>4387430</v>
      </c>
    </row>
    <row r="1271" spans="1:18" x14ac:dyDescent="0.25">
      <c r="A1271" s="170">
        <v>43875</v>
      </c>
      <c r="B1271" s="116">
        <v>799</v>
      </c>
      <c r="C1271" s="116">
        <v>786.2</v>
      </c>
      <c r="D1271" s="116">
        <v>785</v>
      </c>
      <c r="E1271" s="116">
        <v>794.9</v>
      </c>
      <c r="F1271" s="116">
        <v>786.2</v>
      </c>
      <c r="G1271">
        <v>418263</v>
      </c>
      <c r="H1271" s="116"/>
      <c r="I1271" s="116"/>
      <c r="L1271" s="170">
        <v>43875</v>
      </c>
      <c r="M1271" s="116">
        <v>786.45</v>
      </c>
      <c r="N1271" s="116">
        <v>799.2</v>
      </c>
      <c r="O1271" s="116">
        <v>784.6</v>
      </c>
      <c r="P1271" s="116">
        <v>794.5</v>
      </c>
      <c r="Q1271" s="116">
        <v>786.45</v>
      </c>
      <c r="R1271">
        <v>5321680</v>
      </c>
    </row>
    <row r="1272" spans="1:18" x14ac:dyDescent="0.25">
      <c r="A1272" s="170">
        <v>43878</v>
      </c>
      <c r="B1272" s="116">
        <v>793.4</v>
      </c>
      <c r="C1272" s="116">
        <v>789.4</v>
      </c>
      <c r="D1272" s="116">
        <v>783.4</v>
      </c>
      <c r="E1272" s="116">
        <v>787</v>
      </c>
      <c r="F1272" s="116">
        <v>789.4</v>
      </c>
      <c r="G1272">
        <v>90639</v>
      </c>
      <c r="H1272" s="116"/>
      <c r="I1272" s="116"/>
      <c r="L1272" s="170">
        <v>43878</v>
      </c>
      <c r="M1272" s="116">
        <v>789.45</v>
      </c>
      <c r="N1272" s="116">
        <v>793.45</v>
      </c>
      <c r="O1272" s="116">
        <v>783.3</v>
      </c>
      <c r="P1272" s="116">
        <v>790.3</v>
      </c>
      <c r="Q1272" s="116">
        <v>789.45</v>
      </c>
      <c r="R1272">
        <v>2929629</v>
      </c>
    </row>
    <row r="1273" spans="1:18" x14ac:dyDescent="0.25">
      <c r="A1273" s="170">
        <v>43879</v>
      </c>
      <c r="B1273" s="116">
        <v>798.9</v>
      </c>
      <c r="C1273" s="116">
        <v>797.45</v>
      </c>
      <c r="D1273" s="116">
        <v>783.3</v>
      </c>
      <c r="E1273" s="116">
        <v>787</v>
      </c>
      <c r="F1273" s="116">
        <v>797.45</v>
      </c>
      <c r="G1273">
        <v>107455</v>
      </c>
      <c r="H1273" s="116"/>
      <c r="I1273" s="116"/>
      <c r="L1273" s="170">
        <v>43879</v>
      </c>
      <c r="M1273" s="116">
        <v>797.65</v>
      </c>
      <c r="N1273" s="116">
        <v>799.05</v>
      </c>
      <c r="O1273" s="116">
        <v>783.65</v>
      </c>
      <c r="P1273" s="116">
        <v>785</v>
      </c>
      <c r="Q1273" s="116">
        <v>797.65</v>
      </c>
      <c r="R1273">
        <v>5083346</v>
      </c>
    </row>
    <row r="1274" spans="1:18" x14ac:dyDescent="0.25">
      <c r="A1274" s="170">
        <v>43880</v>
      </c>
      <c r="B1274" s="116">
        <v>804.7</v>
      </c>
      <c r="C1274" s="116">
        <v>800.7</v>
      </c>
      <c r="D1274" s="116">
        <v>796</v>
      </c>
      <c r="E1274" s="116">
        <v>800</v>
      </c>
      <c r="F1274" s="116">
        <v>800.7</v>
      </c>
      <c r="G1274">
        <v>100572</v>
      </c>
      <c r="H1274" s="116"/>
      <c r="I1274" s="116"/>
      <c r="L1274" s="170">
        <v>43880</v>
      </c>
      <c r="M1274" s="116">
        <v>800.45</v>
      </c>
      <c r="N1274" s="116">
        <v>804.85</v>
      </c>
      <c r="O1274" s="116">
        <v>796.15</v>
      </c>
      <c r="P1274" s="116">
        <v>800</v>
      </c>
      <c r="Q1274" s="116">
        <v>800.45</v>
      </c>
      <c r="R1274">
        <v>3985192</v>
      </c>
    </row>
    <row r="1275" spans="1:18" x14ac:dyDescent="0.25">
      <c r="A1275" s="170">
        <v>43881</v>
      </c>
      <c r="B1275" s="116">
        <v>805.9</v>
      </c>
      <c r="C1275" s="116">
        <v>796.7</v>
      </c>
      <c r="D1275" s="116">
        <v>794.05</v>
      </c>
      <c r="E1275" s="116">
        <v>800.45</v>
      </c>
      <c r="F1275" s="116">
        <v>796.7</v>
      </c>
      <c r="G1275">
        <v>432363</v>
      </c>
      <c r="H1275" s="116"/>
      <c r="I1275" s="116"/>
      <c r="L1275" s="170">
        <v>43881</v>
      </c>
      <c r="M1275" s="116">
        <v>797</v>
      </c>
      <c r="N1275" s="116">
        <v>806.1</v>
      </c>
      <c r="O1275" s="116">
        <v>793.85</v>
      </c>
      <c r="P1275" s="116">
        <v>803.25</v>
      </c>
      <c r="Q1275" s="116">
        <v>797</v>
      </c>
      <c r="R1275">
        <v>4564569</v>
      </c>
    </row>
    <row r="1276" spans="1:18" x14ac:dyDescent="0.25">
      <c r="A1276" s="170">
        <v>43885</v>
      </c>
      <c r="B1276" s="116">
        <v>811.2</v>
      </c>
      <c r="C1276" s="116">
        <v>795.25</v>
      </c>
      <c r="D1276" s="116">
        <v>792.3</v>
      </c>
      <c r="E1276" s="116">
        <v>798</v>
      </c>
      <c r="F1276" s="116">
        <v>795.25</v>
      </c>
      <c r="G1276">
        <v>311918</v>
      </c>
      <c r="H1276" s="116"/>
      <c r="I1276" s="116"/>
      <c r="L1276" s="170">
        <v>43885</v>
      </c>
      <c r="M1276" s="116">
        <v>795.85</v>
      </c>
      <c r="N1276" s="116">
        <v>811.6</v>
      </c>
      <c r="O1276" s="116">
        <v>792.15</v>
      </c>
      <c r="P1276" s="116">
        <v>800.1</v>
      </c>
      <c r="Q1276" s="116">
        <v>795.85</v>
      </c>
      <c r="R1276">
        <v>6627536</v>
      </c>
    </row>
    <row r="1277" spans="1:18" x14ac:dyDescent="0.25">
      <c r="A1277" s="170">
        <v>43886</v>
      </c>
      <c r="B1277" s="116">
        <v>805.5</v>
      </c>
      <c r="C1277" s="116">
        <v>798.35</v>
      </c>
      <c r="D1277" s="116">
        <v>795.4</v>
      </c>
      <c r="E1277" s="116">
        <v>800</v>
      </c>
      <c r="F1277" s="116">
        <v>798.35</v>
      </c>
      <c r="G1277">
        <v>382740</v>
      </c>
      <c r="H1277" s="116"/>
      <c r="I1277" s="116"/>
      <c r="L1277" s="170">
        <v>43886</v>
      </c>
      <c r="M1277" s="116">
        <v>798.4</v>
      </c>
      <c r="N1277" s="116">
        <v>806</v>
      </c>
      <c r="O1277" s="116">
        <v>795.4</v>
      </c>
      <c r="P1277" s="116">
        <v>799</v>
      </c>
      <c r="Q1277" s="116">
        <v>798.4</v>
      </c>
      <c r="R1277">
        <v>6996695</v>
      </c>
    </row>
    <row r="1278" spans="1:18" x14ac:dyDescent="0.25">
      <c r="A1278" s="170">
        <v>43887</v>
      </c>
      <c r="B1278" s="116">
        <v>801.5</v>
      </c>
      <c r="C1278" s="116">
        <v>782.7</v>
      </c>
      <c r="D1278" s="116">
        <v>780.8</v>
      </c>
      <c r="E1278" s="116">
        <v>798</v>
      </c>
      <c r="F1278" s="116">
        <v>782.7</v>
      </c>
      <c r="G1278">
        <v>210802</v>
      </c>
      <c r="H1278" s="116"/>
      <c r="I1278" s="116"/>
      <c r="L1278" s="170">
        <v>43887</v>
      </c>
      <c r="M1278" s="116">
        <v>782.75</v>
      </c>
      <c r="N1278" s="116">
        <v>801.45</v>
      </c>
      <c r="O1278" s="116">
        <v>780.5</v>
      </c>
      <c r="P1278" s="116">
        <v>793.95</v>
      </c>
      <c r="Q1278" s="116">
        <v>782.75</v>
      </c>
      <c r="R1278">
        <v>8760569</v>
      </c>
    </row>
    <row r="1279" spans="1:18" x14ac:dyDescent="0.25">
      <c r="A1279" s="170">
        <v>43888</v>
      </c>
      <c r="B1279" s="116">
        <v>780.55</v>
      </c>
      <c r="C1279" s="116">
        <v>777.6</v>
      </c>
      <c r="D1279" s="116">
        <v>772.4</v>
      </c>
      <c r="E1279" s="116">
        <v>780</v>
      </c>
      <c r="F1279" s="116">
        <v>777.6</v>
      </c>
      <c r="G1279">
        <v>137900</v>
      </c>
      <c r="H1279" s="116"/>
      <c r="I1279" s="116"/>
      <c r="L1279" s="170">
        <v>43888</v>
      </c>
      <c r="M1279" s="116">
        <v>777.85</v>
      </c>
      <c r="N1279" s="116">
        <v>780.75</v>
      </c>
      <c r="O1279" s="116">
        <v>772.2</v>
      </c>
      <c r="P1279" s="116">
        <v>778</v>
      </c>
      <c r="Q1279" s="116">
        <v>777.85</v>
      </c>
      <c r="R1279">
        <v>5223386</v>
      </c>
    </row>
    <row r="1280" spans="1:18" x14ac:dyDescent="0.25">
      <c r="A1280" s="170">
        <v>43889</v>
      </c>
      <c r="B1280" s="116">
        <v>756</v>
      </c>
      <c r="C1280" s="116">
        <v>731.35</v>
      </c>
      <c r="D1280" s="116">
        <v>723.3</v>
      </c>
      <c r="E1280" s="116">
        <v>755</v>
      </c>
      <c r="F1280" s="116">
        <v>731.35</v>
      </c>
      <c r="G1280">
        <v>719556</v>
      </c>
      <c r="H1280" s="116"/>
      <c r="I1280" s="116"/>
      <c r="L1280" s="170">
        <v>43889</v>
      </c>
      <c r="M1280" s="116">
        <v>731.7</v>
      </c>
      <c r="N1280" s="116">
        <v>756.8</v>
      </c>
      <c r="O1280" s="116">
        <v>722.05</v>
      </c>
      <c r="P1280" s="116">
        <v>750</v>
      </c>
      <c r="Q1280" s="116">
        <v>731.7</v>
      </c>
      <c r="R1280">
        <v>14123957</v>
      </c>
    </row>
    <row r="1281" spans="1:18" x14ac:dyDescent="0.25">
      <c r="A1281" s="170">
        <v>43892</v>
      </c>
      <c r="B1281" s="116">
        <v>765.85</v>
      </c>
      <c r="C1281" s="116">
        <v>744.35</v>
      </c>
      <c r="D1281" s="116">
        <v>733</v>
      </c>
      <c r="E1281" s="116">
        <v>733</v>
      </c>
      <c r="F1281" s="116">
        <v>744.35</v>
      </c>
      <c r="G1281">
        <v>521793</v>
      </c>
      <c r="H1281" s="116"/>
      <c r="I1281" s="116"/>
      <c r="L1281" s="170">
        <v>43892</v>
      </c>
      <c r="M1281" s="116">
        <v>741.05</v>
      </c>
      <c r="N1281" s="116">
        <v>765.9</v>
      </c>
      <c r="O1281" s="116">
        <v>733.75</v>
      </c>
      <c r="P1281" s="116">
        <v>737</v>
      </c>
      <c r="Q1281" s="116">
        <v>741.05</v>
      </c>
      <c r="R1281">
        <v>9821523</v>
      </c>
    </row>
    <row r="1282" spans="1:18" x14ac:dyDescent="0.25">
      <c r="A1282" s="170">
        <v>43893</v>
      </c>
      <c r="B1282" s="116">
        <v>758.15</v>
      </c>
      <c r="C1282" s="116">
        <v>746.3</v>
      </c>
      <c r="D1282" s="116">
        <v>741.65</v>
      </c>
      <c r="E1282" s="116">
        <v>755.8</v>
      </c>
      <c r="F1282" s="116">
        <v>746.3</v>
      </c>
      <c r="G1282">
        <v>525353</v>
      </c>
      <c r="H1282" s="116"/>
      <c r="I1282" s="116"/>
      <c r="L1282" s="170">
        <v>43893</v>
      </c>
      <c r="M1282" s="116">
        <v>747</v>
      </c>
      <c r="N1282" s="116">
        <v>759</v>
      </c>
      <c r="O1282" s="116">
        <v>741.25</v>
      </c>
      <c r="P1282" s="116">
        <v>755</v>
      </c>
      <c r="Q1282" s="116">
        <v>747</v>
      </c>
      <c r="R1282">
        <v>7826587</v>
      </c>
    </row>
    <row r="1283" spans="1:18" x14ac:dyDescent="0.25">
      <c r="A1283" s="170">
        <v>43894</v>
      </c>
      <c r="B1283" s="116">
        <v>761.3</v>
      </c>
      <c r="C1283" s="116">
        <v>758.6</v>
      </c>
      <c r="D1283" s="116">
        <v>745.6</v>
      </c>
      <c r="E1283" s="116">
        <v>754.7</v>
      </c>
      <c r="F1283" s="116">
        <v>758.6</v>
      </c>
      <c r="G1283">
        <v>623340</v>
      </c>
      <c r="H1283" s="116"/>
      <c r="I1283" s="116"/>
      <c r="L1283" s="170">
        <v>43894</v>
      </c>
      <c r="M1283" s="116">
        <v>758.75</v>
      </c>
      <c r="N1283" s="116">
        <v>761.5</v>
      </c>
      <c r="O1283" s="116">
        <v>745.55</v>
      </c>
      <c r="P1283" s="116">
        <v>753.9</v>
      </c>
      <c r="Q1283" s="116">
        <v>758.75</v>
      </c>
      <c r="R1283">
        <v>11013444</v>
      </c>
    </row>
    <row r="1284" spans="1:18" x14ac:dyDescent="0.25">
      <c r="A1284" s="170">
        <v>43895</v>
      </c>
      <c r="B1284" s="116">
        <v>773.35</v>
      </c>
      <c r="C1284" s="116">
        <v>754.65</v>
      </c>
      <c r="D1284" s="116">
        <v>752</v>
      </c>
      <c r="E1284" s="116">
        <v>762</v>
      </c>
      <c r="F1284" s="116">
        <v>754.65</v>
      </c>
      <c r="G1284">
        <v>370877</v>
      </c>
      <c r="H1284" s="116"/>
      <c r="I1284" s="116"/>
      <c r="L1284" s="170">
        <v>43895</v>
      </c>
      <c r="M1284" s="116">
        <v>754.6</v>
      </c>
      <c r="N1284" s="116">
        <v>773.55</v>
      </c>
      <c r="O1284" s="116">
        <v>751.75</v>
      </c>
      <c r="P1284" s="116">
        <v>763.75</v>
      </c>
      <c r="Q1284" s="116">
        <v>754.6</v>
      </c>
      <c r="R1284">
        <v>7755293</v>
      </c>
    </row>
    <row r="1285" spans="1:18" x14ac:dyDescent="0.25">
      <c r="A1285" s="170">
        <v>43896</v>
      </c>
      <c r="B1285" s="116">
        <v>744</v>
      </c>
      <c r="C1285" s="116">
        <v>739.25</v>
      </c>
      <c r="D1285" s="116">
        <v>729.45</v>
      </c>
      <c r="E1285" s="116">
        <v>744</v>
      </c>
      <c r="F1285" s="116">
        <v>739.25</v>
      </c>
      <c r="G1285">
        <v>2788077</v>
      </c>
      <c r="H1285" s="116"/>
      <c r="I1285" s="116"/>
      <c r="L1285" s="170">
        <v>43896</v>
      </c>
      <c r="M1285" s="116">
        <v>738.95</v>
      </c>
      <c r="N1285" s="116">
        <v>744</v>
      </c>
      <c r="O1285" s="116">
        <v>729.1</v>
      </c>
      <c r="P1285" s="116">
        <v>741</v>
      </c>
      <c r="Q1285" s="116">
        <v>738.95</v>
      </c>
      <c r="R1285">
        <v>9216022</v>
      </c>
    </row>
    <row r="1286" spans="1:18" x14ac:dyDescent="0.25">
      <c r="A1286" s="170">
        <v>43899</v>
      </c>
      <c r="B1286" s="116">
        <v>725</v>
      </c>
      <c r="C1286" s="116">
        <v>703.9</v>
      </c>
      <c r="D1286" s="116">
        <v>697.4</v>
      </c>
      <c r="E1286" s="116">
        <v>725</v>
      </c>
      <c r="F1286" s="116">
        <v>703.9</v>
      </c>
      <c r="G1286">
        <v>835861</v>
      </c>
      <c r="H1286" s="116"/>
      <c r="I1286" s="116"/>
      <c r="L1286" s="170">
        <v>43899</v>
      </c>
      <c r="M1286" s="116">
        <v>704.45</v>
      </c>
      <c r="N1286" s="116">
        <v>725.85</v>
      </c>
      <c r="O1286" s="116">
        <v>697</v>
      </c>
      <c r="P1286" s="116">
        <v>724.5</v>
      </c>
      <c r="Q1286" s="116">
        <v>704.45</v>
      </c>
      <c r="R1286">
        <v>10308697</v>
      </c>
    </row>
    <row r="1287" spans="1:18" x14ac:dyDescent="0.25">
      <c r="A1287" s="170">
        <v>43901</v>
      </c>
      <c r="B1287" s="116">
        <v>696.25</v>
      </c>
      <c r="C1287" s="116">
        <v>685.15</v>
      </c>
      <c r="D1287" s="116">
        <v>669.6</v>
      </c>
      <c r="E1287" s="116">
        <v>693</v>
      </c>
      <c r="F1287" s="116">
        <v>685.15</v>
      </c>
      <c r="G1287">
        <v>498427</v>
      </c>
      <c r="H1287" s="116"/>
      <c r="I1287" s="116"/>
      <c r="L1287" s="170">
        <v>43901</v>
      </c>
      <c r="M1287" s="116">
        <v>686</v>
      </c>
      <c r="N1287" s="116">
        <v>695.95</v>
      </c>
      <c r="O1287" s="116">
        <v>669.05</v>
      </c>
      <c r="P1287" s="116">
        <v>690.65</v>
      </c>
      <c r="Q1287" s="116">
        <v>686</v>
      </c>
      <c r="R1287">
        <v>16165054</v>
      </c>
    </row>
    <row r="1288" spans="1:18" x14ac:dyDescent="0.25">
      <c r="A1288" s="170">
        <v>43902</v>
      </c>
      <c r="B1288" s="116">
        <v>670</v>
      </c>
      <c r="C1288" s="116">
        <v>631.54999999999995</v>
      </c>
      <c r="D1288" s="116">
        <v>627.70000000000005</v>
      </c>
      <c r="E1288" s="116">
        <v>670</v>
      </c>
      <c r="F1288" s="116">
        <v>631.54999999999995</v>
      </c>
      <c r="G1288">
        <v>1236804</v>
      </c>
      <c r="H1288" s="116"/>
      <c r="I1288" s="116"/>
      <c r="L1288" s="170">
        <v>43902</v>
      </c>
      <c r="M1288" s="116">
        <v>631.20000000000005</v>
      </c>
      <c r="N1288" s="116">
        <v>670</v>
      </c>
      <c r="O1288" s="116">
        <v>627.5</v>
      </c>
      <c r="P1288" s="116">
        <v>668</v>
      </c>
      <c r="Q1288" s="116">
        <v>631.20000000000005</v>
      </c>
      <c r="R1288">
        <v>13965689</v>
      </c>
    </row>
    <row r="1289" spans="1:18" x14ac:dyDescent="0.25">
      <c r="A1289" s="170">
        <v>43903</v>
      </c>
      <c r="B1289" s="116">
        <v>667.6</v>
      </c>
      <c r="C1289" s="116">
        <v>642.20000000000005</v>
      </c>
      <c r="D1289" s="116">
        <v>568.79999999999995</v>
      </c>
      <c r="E1289" s="116">
        <v>586</v>
      </c>
      <c r="F1289" s="116">
        <v>642.20000000000005</v>
      </c>
      <c r="G1289">
        <v>932945</v>
      </c>
      <c r="H1289" s="116"/>
      <c r="I1289" s="116"/>
      <c r="L1289" s="170">
        <v>43903</v>
      </c>
      <c r="M1289" s="116">
        <v>642.35</v>
      </c>
      <c r="N1289" s="116">
        <v>667</v>
      </c>
      <c r="O1289" s="116">
        <v>570</v>
      </c>
      <c r="P1289" s="116">
        <v>592</v>
      </c>
      <c r="Q1289" s="116">
        <v>642.35</v>
      </c>
      <c r="R1289">
        <v>16903140</v>
      </c>
    </row>
    <row r="1290" spans="1:18" x14ac:dyDescent="0.25">
      <c r="A1290" s="170">
        <v>43906</v>
      </c>
      <c r="B1290" s="116">
        <v>640</v>
      </c>
      <c r="C1290" s="116">
        <v>582.85</v>
      </c>
      <c r="D1290" s="116">
        <v>580</v>
      </c>
      <c r="E1290" s="116">
        <v>640</v>
      </c>
      <c r="F1290" s="116">
        <v>582.85</v>
      </c>
      <c r="G1290">
        <v>927681</v>
      </c>
      <c r="H1290" s="116"/>
      <c r="I1290" s="116"/>
      <c r="L1290" s="170">
        <v>43906</v>
      </c>
      <c r="M1290" s="116">
        <v>583.15</v>
      </c>
      <c r="N1290" s="116">
        <v>622.15</v>
      </c>
      <c r="O1290" s="116">
        <v>580</v>
      </c>
      <c r="P1290" s="116">
        <v>622</v>
      </c>
      <c r="Q1290" s="116">
        <v>583.15</v>
      </c>
      <c r="R1290">
        <v>19140854</v>
      </c>
    </row>
    <row r="1291" spans="1:18" x14ac:dyDescent="0.25">
      <c r="A1291" s="170">
        <v>43907</v>
      </c>
      <c r="B1291" s="116">
        <v>592.04999999999995</v>
      </c>
      <c r="C1291" s="116">
        <v>555.6</v>
      </c>
      <c r="D1291" s="116">
        <v>550.1</v>
      </c>
      <c r="E1291" s="116">
        <v>585.20000000000005</v>
      </c>
      <c r="F1291" s="116">
        <v>555.6</v>
      </c>
      <c r="G1291">
        <v>967841</v>
      </c>
      <c r="H1291" s="116"/>
      <c r="I1291" s="116"/>
      <c r="L1291" s="170">
        <v>43907</v>
      </c>
      <c r="M1291" s="116">
        <v>554.95000000000005</v>
      </c>
      <c r="N1291" s="116">
        <v>592</v>
      </c>
      <c r="O1291" s="116">
        <v>550</v>
      </c>
      <c r="P1291" s="116">
        <v>588.1</v>
      </c>
      <c r="Q1291" s="116">
        <v>554.95000000000005</v>
      </c>
      <c r="R1291">
        <v>16060126</v>
      </c>
    </row>
    <row r="1292" spans="1:18" x14ac:dyDescent="0.25">
      <c r="A1292" s="170">
        <v>43908</v>
      </c>
      <c r="B1292" s="116">
        <v>578</v>
      </c>
      <c r="C1292" s="116">
        <v>535.04999999999995</v>
      </c>
      <c r="D1292" s="116">
        <v>528.15</v>
      </c>
      <c r="E1292" s="116">
        <v>565.20000000000005</v>
      </c>
      <c r="F1292" s="116">
        <v>535.04999999999995</v>
      </c>
      <c r="G1292">
        <v>673598</v>
      </c>
      <c r="H1292" s="116"/>
      <c r="I1292" s="116"/>
      <c r="L1292" s="170">
        <v>43908</v>
      </c>
      <c r="M1292" s="116">
        <v>534.29999999999995</v>
      </c>
      <c r="N1292" s="116">
        <v>578</v>
      </c>
      <c r="O1292" s="116">
        <v>528</v>
      </c>
      <c r="P1292" s="116">
        <v>568</v>
      </c>
      <c r="Q1292" s="116">
        <v>534.29999999999995</v>
      </c>
      <c r="R1292">
        <v>15391568</v>
      </c>
    </row>
    <row r="1293" spans="1:18" x14ac:dyDescent="0.25">
      <c r="A1293" s="170">
        <v>43909</v>
      </c>
      <c r="B1293" s="116">
        <v>557.70000000000005</v>
      </c>
      <c r="C1293" s="116">
        <v>545.4</v>
      </c>
      <c r="D1293" s="116">
        <v>511.1</v>
      </c>
      <c r="E1293" s="116">
        <v>530</v>
      </c>
      <c r="F1293" s="116">
        <v>545.4</v>
      </c>
      <c r="G1293">
        <v>2113081</v>
      </c>
      <c r="H1293" s="116"/>
      <c r="I1293" s="116"/>
      <c r="L1293" s="170">
        <v>43909</v>
      </c>
      <c r="M1293" s="116">
        <v>545.54999999999995</v>
      </c>
      <c r="N1293" s="116">
        <v>558</v>
      </c>
      <c r="O1293" s="116">
        <v>509.25</v>
      </c>
      <c r="P1293" s="116">
        <v>509.25</v>
      </c>
      <c r="Q1293" s="116">
        <v>545.54999999999995</v>
      </c>
      <c r="R1293">
        <v>16584106</v>
      </c>
    </row>
    <row r="1294" spans="1:18" x14ac:dyDescent="0.25">
      <c r="A1294" s="170">
        <v>43910</v>
      </c>
      <c r="B1294" s="116">
        <v>617</v>
      </c>
      <c r="C1294" s="116">
        <v>584.95000000000005</v>
      </c>
      <c r="D1294" s="116">
        <v>549.65</v>
      </c>
      <c r="E1294" s="116">
        <v>554</v>
      </c>
      <c r="F1294" s="116">
        <v>584.95000000000005</v>
      </c>
      <c r="G1294">
        <v>1824428</v>
      </c>
      <c r="H1294" s="116"/>
      <c r="I1294" s="116"/>
      <c r="L1294" s="170">
        <v>43910</v>
      </c>
      <c r="M1294" s="116">
        <v>585.20000000000005</v>
      </c>
      <c r="N1294" s="116">
        <v>617.45000000000005</v>
      </c>
      <c r="O1294" s="116">
        <v>548</v>
      </c>
      <c r="P1294" s="116">
        <v>549.5</v>
      </c>
      <c r="Q1294" s="116">
        <v>585.20000000000005</v>
      </c>
      <c r="R1294">
        <v>21356183</v>
      </c>
    </row>
    <row r="1295" spans="1:18" x14ac:dyDescent="0.25">
      <c r="A1295" s="170">
        <v>43913</v>
      </c>
      <c r="B1295" s="116">
        <v>560</v>
      </c>
      <c r="C1295" s="116">
        <v>526.70000000000005</v>
      </c>
      <c r="D1295" s="116">
        <v>514.79999999999995</v>
      </c>
      <c r="E1295" s="116">
        <v>548</v>
      </c>
      <c r="F1295" s="116">
        <v>526.70000000000005</v>
      </c>
      <c r="G1295">
        <v>724224</v>
      </c>
      <c r="H1295" s="116"/>
      <c r="I1295" s="116"/>
      <c r="L1295" s="170">
        <v>43913</v>
      </c>
      <c r="M1295" s="116">
        <v>526.45000000000005</v>
      </c>
      <c r="N1295" s="116">
        <v>560.95000000000005</v>
      </c>
      <c r="O1295" s="116">
        <v>515.9</v>
      </c>
      <c r="P1295" s="116">
        <v>540</v>
      </c>
      <c r="Q1295" s="116">
        <v>526.45000000000005</v>
      </c>
      <c r="R1295">
        <v>17146303</v>
      </c>
    </row>
    <row r="1296" spans="1:18" x14ac:dyDescent="0.25">
      <c r="A1296" s="170">
        <v>43914</v>
      </c>
      <c r="B1296" s="116">
        <v>605.70000000000005</v>
      </c>
      <c r="C1296" s="116">
        <v>593.54999999999995</v>
      </c>
      <c r="D1296" s="116">
        <v>525.54999999999995</v>
      </c>
      <c r="E1296" s="116">
        <v>535</v>
      </c>
      <c r="F1296" s="116">
        <v>593.54999999999995</v>
      </c>
      <c r="G1296">
        <v>629411</v>
      </c>
      <c r="H1296" s="116"/>
      <c r="I1296" s="116"/>
      <c r="L1296" s="170">
        <v>43914</v>
      </c>
      <c r="M1296" s="116">
        <v>589.79999999999995</v>
      </c>
      <c r="N1296" s="116">
        <v>601.15</v>
      </c>
      <c r="O1296" s="116">
        <v>522</v>
      </c>
      <c r="P1296" s="116">
        <v>522</v>
      </c>
      <c r="Q1296" s="116">
        <v>589.79999999999995</v>
      </c>
      <c r="R1296">
        <v>20029537</v>
      </c>
    </row>
    <row r="1297" spans="1:18" x14ac:dyDescent="0.25">
      <c r="A1297" s="170">
        <v>43915</v>
      </c>
      <c r="B1297" s="116">
        <v>634.79999999999995</v>
      </c>
      <c r="C1297" s="116">
        <v>605.95000000000005</v>
      </c>
      <c r="D1297" s="116">
        <v>566</v>
      </c>
      <c r="E1297" s="116">
        <v>593</v>
      </c>
      <c r="F1297" s="116">
        <v>605.95000000000005</v>
      </c>
      <c r="G1297">
        <v>553061</v>
      </c>
      <c r="H1297" s="116"/>
      <c r="I1297" s="116"/>
      <c r="L1297" s="170">
        <v>43915</v>
      </c>
      <c r="M1297" s="116">
        <v>606.20000000000005</v>
      </c>
      <c r="N1297" s="116">
        <v>635</v>
      </c>
      <c r="O1297" s="116">
        <v>565.70000000000005</v>
      </c>
      <c r="P1297" s="116">
        <v>597</v>
      </c>
      <c r="Q1297" s="116">
        <v>606.20000000000005</v>
      </c>
      <c r="R1297">
        <v>18339650</v>
      </c>
    </row>
    <row r="1298" spans="1:18" x14ac:dyDescent="0.25">
      <c r="A1298" s="170">
        <v>43916</v>
      </c>
      <c r="B1298" s="116">
        <v>650.5</v>
      </c>
      <c r="C1298" s="116">
        <v>646.29999999999995</v>
      </c>
      <c r="D1298" s="116">
        <v>614</v>
      </c>
      <c r="E1298" s="116">
        <v>615.95000000000005</v>
      </c>
      <c r="F1298" s="116">
        <v>646.29999999999995</v>
      </c>
      <c r="G1298">
        <v>497057</v>
      </c>
      <c r="H1298" s="116"/>
      <c r="I1298" s="116"/>
      <c r="L1298" s="170">
        <v>43916</v>
      </c>
      <c r="M1298" s="116">
        <v>643</v>
      </c>
      <c r="N1298" s="116">
        <v>650.85</v>
      </c>
      <c r="O1298" s="116">
        <v>612.1</v>
      </c>
      <c r="P1298" s="116">
        <v>615</v>
      </c>
      <c r="Q1298" s="116">
        <v>643</v>
      </c>
      <c r="R1298">
        <v>14868843</v>
      </c>
    </row>
    <row r="1299" spans="1:18" x14ac:dyDescent="0.25">
      <c r="A1299" s="170">
        <v>43917</v>
      </c>
      <c r="B1299" s="116">
        <v>675</v>
      </c>
      <c r="C1299" s="116">
        <v>653.54999999999995</v>
      </c>
      <c r="D1299" s="116">
        <v>642.79999999999995</v>
      </c>
      <c r="E1299" s="116">
        <v>655</v>
      </c>
      <c r="F1299" s="116">
        <v>653.54999999999995</v>
      </c>
      <c r="G1299">
        <v>745637</v>
      </c>
      <c r="H1299" s="116"/>
      <c r="I1299" s="116"/>
      <c r="L1299" s="170">
        <v>43917</v>
      </c>
      <c r="M1299" s="116">
        <v>652.70000000000005</v>
      </c>
      <c r="N1299" s="116">
        <v>674.9</v>
      </c>
      <c r="O1299" s="116">
        <v>642.25</v>
      </c>
      <c r="P1299" s="116">
        <v>665.05</v>
      </c>
      <c r="Q1299" s="116">
        <v>652.70000000000005</v>
      </c>
      <c r="R1299">
        <v>13495469</v>
      </c>
    </row>
    <row r="1300" spans="1:18" x14ac:dyDescent="0.25">
      <c r="A1300" s="170">
        <v>43920</v>
      </c>
      <c r="B1300" s="116">
        <v>664</v>
      </c>
      <c r="C1300" s="116">
        <v>627.20000000000005</v>
      </c>
      <c r="D1300" s="116">
        <v>621.95000000000005</v>
      </c>
      <c r="E1300" s="116">
        <v>634</v>
      </c>
      <c r="F1300" s="116">
        <v>627.20000000000005</v>
      </c>
      <c r="G1300">
        <v>1128539</v>
      </c>
      <c r="H1300" s="116"/>
      <c r="I1300" s="116"/>
      <c r="L1300" s="170">
        <v>43920</v>
      </c>
      <c r="M1300" s="116">
        <v>626.70000000000005</v>
      </c>
      <c r="N1300" s="116">
        <v>663.5</v>
      </c>
      <c r="O1300" s="116">
        <v>621.1</v>
      </c>
      <c r="P1300" s="116">
        <v>625.1</v>
      </c>
      <c r="Q1300" s="116">
        <v>626.70000000000005</v>
      </c>
      <c r="R1300">
        <v>14625720</v>
      </c>
    </row>
    <row r="1301" spans="1:18" x14ac:dyDescent="0.25">
      <c r="A1301" s="170">
        <v>43921</v>
      </c>
      <c r="B1301" s="116">
        <v>661.95</v>
      </c>
      <c r="C1301" s="116">
        <v>640.29999999999995</v>
      </c>
      <c r="D1301" s="116">
        <v>634.75</v>
      </c>
      <c r="E1301" s="116">
        <v>645.5</v>
      </c>
      <c r="F1301" s="116">
        <v>640.29999999999995</v>
      </c>
      <c r="G1301">
        <v>1706196</v>
      </c>
      <c r="H1301" s="116"/>
      <c r="I1301" s="116"/>
      <c r="L1301" s="170">
        <v>43921</v>
      </c>
      <c r="M1301" s="116">
        <v>641.5</v>
      </c>
      <c r="N1301" s="116">
        <v>662</v>
      </c>
      <c r="O1301" s="116">
        <v>633.70000000000005</v>
      </c>
      <c r="P1301" s="116">
        <v>650</v>
      </c>
      <c r="Q1301" s="116">
        <v>641.5</v>
      </c>
      <c r="R1301">
        <v>15175528</v>
      </c>
    </row>
    <row r="1302" spans="1:18" x14ac:dyDescent="0.25">
      <c r="A1302" s="170">
        <v>43922</v>
      </c>
      <c r="B1302" s="116">
        <v>640</v>
      </c>
      <c r="C1302" s="116">
        <v>604.1</v>
      </c>
      <c r="D1302" s="116">
        <v>594.25</v>
      </c>
      <c r="E1302" s="116">
        <v>640</v>
      </c>
      <c r="F1302" s="116">
        <v>604.1</v>
      </c>
      <c r="G1302">
        <v>825328</v>
      </c>
      <c r="H1302" s="116"/>
      <c r="I1302" s="116"/>
      <c r="L1302" s="170">
        <v>43922</v>
      </c>
      <c r="M1302" s="116">
        <v>602.79999999999995</v>
      </c>
      <c r="N1302" s="116">
        <v>637.5</v>
      </c>
      <c r="O1302" s="116">
        <v>594</v>
      </c>
      <c r="P1302" s="116">
        <v>634.35</v>
      </c>
      <c r="Q1302" s="116">
        <v>602.79999999999995</v>
      </c>
      <c r="R1302">
        <v>13083865</v>
      </c>
    </row>
    <row r="1303" spans="1:18" x14ac:dyDescent="0.25">
      <c r="A1303" s="170">
        <v>43924</v>
      </c>
      <c r="B1303" s="116">
        <v>606.65</v>
      </c>
      <c r="C1303" s="116">
        <v>585.45000000000005</v>
      </c>
      <c r="D1303" s="116">
        <v>582.35</v>
      </c>
      <c r="E1303" s="116">
        <v>604.1</v>
      </c>
      <c r="F1303" s="116">
        <v>585.45000000000005</v>
      </c>
      <c r="G1303">
        <v>327035</v>
      </c>
      <c r="H1303" s="116"/>
      <c r="I1303" s="116"/>
      <c r="L1303" s="170">
        <v>43924</v>
      </c>
      <c r="M1303" s="116">
        <v>585.70000000000005</v>
      </c>
      <c r="N1303" s="116">
        <v>606</v>
      </c>
      <c r="O1303" s="116">
        <v>582.15</v>
      </c>
      <c r="P1303" s="116">
        <v>603.5</v>
      </c>
      <c r="Q1303" s="116">
        <v>585.70000000000005</v>
      </c>
      <c r="R1303">
        <v>10221890</v>
      </c>
    </row>
    <row r="1304" spans="1:18" x14ac:dyDescent="0.25">
      <c r="A1304" s="170">
        <v>43928</v>
      </c>
      <c r="B1304" s="116">
        <v>643.95000000000005</v>
      </c>
      <c r="C1304" s="116">
        <v>641.1</v>
      </c>
      <c r="D1304" s="116">
        <v>611.9</v>
      </c>
      <c r="E1304" s="116">
        <v>611.9</v>
      </c>
      <c r="F1304" s="116">
        <v>641.1</v>
      </c>
      <c r="G1304">
        <v>418888</v>
      </c>
      <c r="H1304" s="116"/>
      <c r="I1304" s="116"/>
      <c r="L1304" s="170">
        <v>43928</v>
      </c>
      <c r="M1304" s="116">
        <v>639</v>
      </c>
      <c r="N1304" s="116">
        <v>644.25</v>
      </c>
      <c r="O1304" s="116">
        <v>612.9</v>
      </c>
      <c r="P1304" s="116">
        <v>615</v>
      </c>
      <c r="Q1304" s="116">
        <v>639</v>
      </c>
      <c r="R1304">
        <v>15146526</v>
      </c>
    </row>
    <row r="1305" spans="1:18" x14ac:dyDescent="0.25">
      <c r="A1305" s="170">
        <v>43929</v>
      </c>
      <c r="B1305" s="116">
        <v>655.20000000000005</v>
      </c>
      <c r="C1305" s="116">
        <v>631.70000000000005</v>
      </c>
      <c r="D1305" s="116">
        <v>626.75</v>
      </c>
      <c r="E1305" s="116">
        <v>628.20000000000005</v>
      </c>
      <c r="F1305" s="116">
        <v>631.70000000000005</v>
      </c>
      <c r="G1305">
        <v>588592</v>
      </c>
      <c r="H1305" s="116"/>
      <c r="I1305" s="116"/>
      <c r="L1305" s="170">
        <v>43929</v>
      </c>
      <c r="M1305" s="116">
        <v>631.6</v>
      </c>
      <c r="N1305" s="116">
        <v>655.65</v>
      </c>
      <c r="O1305" s="116">
        <v>626.35</v>
      </c>
      <c r="P1305" s="116">
        <v>630</v>
      </c>
      <c r="Q1305" s="116">
        <v>631.6</v>
      </c>
      <c r="R1305">
        <v>11806901</v>
      </c>
    </row>
    <row r="1306" spans="1:18" x14ac:dyDescent="0.25">
      <c r="A1306" s="170">
        <v>43930</v>
      </c>
      <c r="B1306" s="116">
        <v>652.75</v>
      </c>
      <c r="C1306" s="116">
        <v>637.6</v>
      </c>
      <c r="D1306" s="116">
        <v>632.70000000000005</v>
      </c>
      <c r="E1306" s="116">
        <v>648.9</v>
      </c>
      <c r="F1306" s="116">
        <v>637.6</v>
      </c>
      <c r="G1306">
        <v>547723</v>
      </c>
      <c r="H1306" s="116"/>
      <c r="I1306" s="116"/>
      <c r="L1306" s="170">
        <v>43930</v>
      </c>
      <c r="M1306" s="116">
        <v>636.25</v>
      </c>
      <c r="N1306" s="116">
        <v>652.79999999999995</v>
      </c>
      <c r="O1306" s="116">
        <v>632.1</v>
      </c>
      <c r="P1306" s="116">
        <v>646.79999999999995</v>
      </c>
      <c r="Q1306" s="116">
        <v>636.25</v>
      </c>
      <c r="R1306">
        <v>11931287</v>
      </c>
    </row>
    <row r="1307" spans="1:18" x14ac:dyDescent="0.25">
      <c r="A1307" s="170">
        <v>43934</v>
      </c>
      <c r="B1307" s="116">
        <v>651.6</v>
      </c>
      <c r="C1307" s="116">
        <v>637.1</v>
      </c>
      <c r="D1307" s="116">
        <v>627</v>
      </c>
      <c r="E1307" s="116">
        <v>630</v>
      </c>
      <c r="F1307" s="116">
        <v>637.1</v>
      </c>
      <c r="G1307">
        <v>274101</v>
      </c>
      <c r="H1307" s="116"/>
      <c r="I1307" s="116"/>
      <c r="L1307" s="170">
        <v>43934</v>
      </c>
      <c r="M1307" s="116">
        <v>637.4</v>
      </c>
      <c r="N1307" s="116">
        <v>651.70000000000005</v>
      </c>
      <c r="O1307" s="116">
        <v>626.04999999999995</v>
      </c>
      <c r="P1307" s="116">
        <v>629</v>
      </c>
      <c r="Q1307" s="116">
        <v>637.4</v>
      </c>
      <c r="R1307">
        <v>8330291</v>
      </c>
    </row>
    <row r="1308" spans="1:18" x14ac:dyDescent="0.25">
      <c r="A1308" s="170">
        <v>43936</v>
      </c>
      <c r="B1308" s="116">
        <v>652.79999999999995</v>
      </c>
      <c r="C1308" s="116">
        <v>639.15</v>
      </c>
      <c r="D1308" s="116">
        <v>635.70000000000005</v>
      </c>
      <c r="E1308" s="116">
        <v>645</v>
      </c>
      <c r="F1308" s="116">
        <v>639.15</v>
      </c>
      <c r="G1308">
        <v>794120</v>
      </c>
      <c r="H1308" s="116"/>
      <c r="I1308" s="116"/>
      <c r="L1308" s="170">
        <v>43936</v>
      </c>
      <c r="M1308" s="116">
        <v>639.04999999999995</v>
      </c>
      <c r="N1308" s="116">
        <v>653.29999999999995</v>
      </c>
      <c r="O1308" s="116">
        <v>635.6</v>
      </c>
      <c r="P1308" s="116">
        <v>651.4</v>
      </c>
      <c r="Q1308" s="116">
        <v>639.04999999999995</v>
      </c>
      <c r="R1308">
        <v>11963493</v>
      </c>
    </row>
    <row r="1309" spans="1:18" x14ac:dyDescent="0.25">
      <c r="A1309" s="170">
        <v>43937</v>
      </c>
      <c r="B1309" s="116">
        <v>634.29999999999995</v>
      </c>
      <c r="C1309" s="116">
        <v>624.20000000000005</v>
      </c>
      <c r="D1309" s="116">
        <v>604</v>
      </c>
      <c r="E1309" s="116">
        <v>622.85</v>
      </c>
      <c r="F1309" s="116">
        <v>624.20000000000005</v>
      </c>
      <c r="G1309">
        <v>402658</v>
      </c>
      <c r="H1309" s="116"/>
      <c r="I1309" s="116"/>
      <c r="L1309" s="170">
        <v>43937</v>
      </c>
      <c r="M1309" s="116">
        <v>623.85</v>
      </c>
      <c r="N1309" s="116">
        <v>634.9</v>
      </c>
      <c r="O1309" s="116">
        <v>603.5</v>
      </c>
      <c r="P1309" s="116">
        <v>619.95000000000005</v>
      </c>
      <c r="Q1309" s="116">
        <v>623.85</v>
      </c>
      <c r="R1309">
        <v>17783310</v>
      </c>
    </row>
    <row r="1310" spans="1:18" x14ac:dyDescent="0.25">
      <c r="A1310" s="170">
        <v>43938</v>
      </c>
      <c r="B1310" s="116">
        <v>646</v>
      </c>
      <c r="C1310" s="116">
        <v>629.29999999999995</v>
      </c>
      <c r="D1310" s="116">
        <v>626.04999999999995</v>
      </c>
      <c r="E1310" s="116">
        <v>640</v>
      </c>
      <c r="F1310" s="116">
        <v>629.29999999999995</v>
      </c>
      <c r="G1310">
        <v>221622</v>
      </c>
      <c r="H1310" s="116"/>
      <c r="I1310" s="116"/>
      <c r="L1310" s="170">
        <v>43938</v>
      </c>
      <c r="M1310" s="116">
        <v>628.75</v>
      </c>
      <c r="N1310" s="116">
        <v>646</v>
      </c>
      <c r="O1310" s="116">
        <v>626</v>
      </c>
      <c r="P1310" s="116">
        <v>644</v>
      </c>
      <c r="Q1310" s="116">
        <v>628.75</v>
      </c>
      <c r="R1310">
        <v>8878372</v>
      </c>
    </row>
    <row r="1311" spans="1:18" x14ac:dyDescent="0.25">
      <c r="A1311" s="170">
        <v>43941</v>
      </c>
      <c r="B1311" s="116">
        <v>660.7</v>
      </c>
      <c r="C1311" s="116">
        <v>652.9</v>
      </c>
      <c r="D1311" s="116">
        <v>639.29999999999995</v>
      </c>
      <c r="E1311" s="116">
        <v>640</v>
      </c>
      <c r="F1311" s="116">
        <v>652.9</v>
      </c>
      <c r="G1311">
        <v>455876</v>
      </c>
      <c r="H1311" s="116"/>
      <c r="I1311" s="116"/>
      <c r="L1311" s="170">
        <v>43941</v>
      </c>
      <c r="M1311" s="116">
        <v>653.29999999999995</v>
      </c>
      <c r="N1311" s="116">
        <v>661</v>
      </c>
      <c r="O1311" s="116">
        <v>639</v>
      </c>
      <c r="P1311" s="116">
        <v>640</v>
      </c>
      <c r="Q1311" s="116">
        <v>653.29999999999995</v>
      </c>
      <c r="R1311">
        <v>13322995</v>
      </c>
    </row>
    <row r="1312" spans="1:18" x14ac:dyDescent="0.25">
      <c r="A1312" s="170">
        <v>43942</v>
      </c>
      <c r="B1312" s="116">
        <v>646.5</v>
      </c>
      <c r="C1312" s="116">
        <v>633.04999999999995</v>
      </c>
      <c r="D1312" s="116">
        <v>627.70000000000005</v>
      </c>
      <c r="E1312" s="116">
        <v>632</v>
      </c>
      <c r="F1312" s="116">
        <v>633.04999999999995</v>
      </c>
      <c r="G1312">
        <v>265764</v>
      </c>
      <c r="H1312" s="116"/>
      <c r="I1312" s="116"/>
      <c r="L1312" s="170">
        <v>43942</v>
      </c>
      <c r="M1312" s="116">
        <v>633.20000000000005</v>
      </c>
      <c r="N1312" s="116">
        <v>646.5</v>
      </c>
      <c r="O1312" s="116">
        <v>627.79999999999995</v>
      </c>
      <c r="P1312" s="116">
        <v>627.79999999999995</v>
      </c>
      <c r="Q1312" s="116">
        <v>633.20000000000005</v>
      </c>
      <c r="R1312">
        <v>11660678</v>
      </c>
    </row>
    <row r="1313" spans="1:18" x14ac:dyDescent="0.25">
      <c r="A1313" s="170">
        <v>43943</v>
      </c>
      <c r="B1313" s="116">
        <v>645.29999999999995</v>
      </c>
      <c r="C1313" s="116">
        <v>642.04999999999995</v>
      </c>
      <c r="D1313" s="116">
        <v>628.1</v>
      </c>
      <c r="E1313" s="116">
        <v>633.20000000000005</v>
      </c>
      <c r="F1313" s="116">
        <v>642.04999999999995</v>
      </c>
      <c r="G1313">
        <v>166193</v>
      </c>
      <c r="H1313" s="116"/>
      <c r="I1313" s="116"/>
      <c r="L1313" s="170">
        <v>43943</v>
      </c>
      <c r="M1313" s="116">
        <v>641.85</v>
      </c>
      <c r="N1313" s="116">
        <v>645</v>
      </c>
      <c r="O1313" s="116">
        <v>628.04999999999995</v>
      </c>
      <c r="P1313" s="116">
        <v>633.20000000000005</v>
      </c>
      <c r="Q1313" s="116">
        <v>641.85</v>
      </c>
      <c r="R1313">
        <v>8267159</v>
      </c>
    </row>
    <row r="1314" spans="1:18" x14ac:dyDescent="0.25">
      <c r="A1314" s="170">
        <v>43944</v>
      </c>
      <c r="B1314" s="116">
        <v>683</v>
      </c>
      <c r="C1314" s="116">
        <v>678.45</v>
      </c>
      <c r="D1314" s="116">
        <v>638.5</v>
      </c>
      <c r="E1314" s="116">
        <v>649</v>
      </c>
      <c r="F1314" s="116">
        <v>678.45</v>
      </c>
      <c r="G1314">
        <v>1541355</v>
      </c>
      <c r="H1314" s="116"/>
      <c r="I1314" s="116"/>
      <c r="L1314" s="170">
        <v>43944</v>
      </c>
      <c r="M1314" s="116">
        <v>679.3</v>
      </c>
      <c r="N1314" s="116">
        <v>683.65</v>
      </c>
      <c r="O1314" s="116">
        <v>638.1</v>
      </c>
      <c r="P1314" s="116">
        <v>647.04999999999995</v>
      </c>
      <c r="Q1314" s="116">
        <v>679.3</v>
      </c>
      <c r="R1314">
        <v>14451294</v>
      </c>
    </row>
    <row r="1315" spans="1:18" x14ac:dyDescent="0.25">
      <c r="A1315" s="170">
        <v>43945</v>
      </c>
      <c r="B1315" s="116">
        <v>674.9</v>
      </c>
      <c r="C1315" s="116">
        <v>658.3</v>
      </c>
      <c r="D1315" s="116">
        <v>655.65</v>
      </c>
      <c r="E1315" s="116">
        <v>674.4</v>
      </c>
      <c r="F1315" s="116">
        <v>658.3</v>
      </c>
      <c r="G1315">
        <v>263300</v>
      </c>
      <c r="H1315" s="116"/>
      <c r="I1315" s="116"/>
      <c r="L1315" s="170">
        <v>43945</v>
      </c>
      <c r="M1315" s="116">
        <v>658</v>
      </c>
      <c r="N1315" s="116">
        <v>675</v>
      </c>
      <c r="O1315" s="116">
        <v>654.79999999999995</v>
      </c>
      <c r="P1315" s="116">
        <v>668.55</v>
      </c>
      <c r="Q1315" s="116">
        <v>658</v>
      </c>
      <c r="R1315">
        <v>7319950</v>
      </c>
    </row>
    <row r="1316" spans="1:18" x14ac:dyDescent="0.25">
      <c r="A1316" s="170">
        <v>43948</v>
      </c>
      <c r="B1316" s="116">
        <v>680.85</v>
      </c>
      <c r="C1316" s="116">
        <v>664.25</v>
      </c>
      <c r="D1316" s="116">
        <v>660</v>
      </c>
      <c r="E1316" s="116">
        <v>660</v>
      </c>
      <c r="F1316" s="116">
        <v>664.25</v>
      </c>
      <c r="G1316">
        <v>134910</v>
      </c>
      <c r="H1316" s="116"/>
      <c r="I1316" s="116"/>
      <c r="L1316" s="170">
        <v>43948</v>
      </c>
      <c r="M1316" s="116">
        <v>664.6</v>
      </c>
      <c r="N1316" s="116">
        <v>681</v>
      </c>
      <c r="O1316" s="116">
        <v>661.05</v>
      </c>
      <c r="P1316" s="116">
        <v>661.05</v>
      </c>
      <c r="Q1316" s="116">
        <v>664.6</v>
      </c>
      <c r="R1316">
        <v>7183316</v>
      </c>
    </row>
    <row r="1317" spans="1:18" x14ac:dyDescent="0.25">
      <c r="A1317" s="170">
        <v>43949</v>
      </c>
      <c r="B1317" s="116">
        <v>676.65</v>
      </c>
      <c r="C1317" s="116">
        <v>661.05</v>
      </c>
      <c r="D1317" s="116">
        <v>653.65</v>
      </c>
      <c r="E1317" s="116">
        <v>673</v>
      </c>
      <c r="F1317" s="116">
        <v>661.05</v>
      </c>
      <c r="G1317">
        <v>201758</v>
      </c>
      <c r="H1317" s="116"/>
      <c r="I1317" s="116"/>
      <c r="L1317" s="170">
        <v>43949</v>
      </c>
      <c r="M1317" s="116">
        <v>660.7</v>
      </c>
      <c r="N1317" s="116">
        <v>677</v>
      </c>
      <c r="O1317" s="116">
        <v>653.04999999999995</v>
      </c>
      <c r="P1317" s="116">
        <v>673</v>
      </c>
      <c r="Q1317" s="116">
        <v>660.7</v>
      </c>
      <c r="R1317">
        <v>7296594</v>
      </c>
    </row>
    <row r="1318" spans="1:18" x14ac:dyDescent="0.25">
      <c r="A1318" s="170">
        <v>43950</v>
      </c>
      <c r="B1318" s="116">
        <v>681.7</v>
      </c>
      <c r="C1318" s="116">
        <v>677.7</v>
      </c>
      <c r="D1318" s="116">
        <v>658.1</v>
      </c>
      <c r="E1318" s="116">
        <v>667.8</v>
      </c>
      <c r="F1318" s="116">
        <v>677.7</v>
      </c>
      <c r="G1318">
        <v>199318</v>
      </c>
      <c r="H1318" s="116"/>
      <c r="I1318" s="116"/>
      <c r="L1318" s="170">
        <v>43950</v>
      </c>
      <c r="M1318" s="116">
        <v>676.55</v>
      </c>
      <c r="N1318" s="116">
        <v>682</v>
      </c>
      <c r="O1318" s="116">
        <v>658</v>
      </c>
      <c r="P1318" s="116">
        <v>666</v>
      </c>
      <c r="Q1318" s="116">
        <v>676.55</v>
      </c>
      <c r="R1318">
        <v>8639246</v>
      </c>
    </row>
    <row r="1319" spans="1:18" x14ac:dyDescent="0.25">
      <c r="A1319" s="170">
        <v>43951</v>
      </c>
      <c r="B1319" s="116">
        <v>719.8</v>
      </c>
      <c r="C1319" s="116">
        <v>716.2</v>
      </c>
      <c r="D1319" s="116">
        <v>696</v>
      </c>
      <c r="E1319" s="116">
        <v>696</v>
      </c>
      <c r="F1319" s="116">
        <v>716.2</v>
      </c>
      <c r="G1319">
        <v>430782</v>
      </c>
      <c r="H1319" s="116"/>
      <c r="I1319" s="116"/>
      <c r="L1319" s="170">
        <v>43951</v>
      </c>
      <c r="M1319" s="116">
        <v>715.5</v>
      </c>
      <c r="N1319" s="116">
        <v>720</v>
      </c>
      <c r="O1319" s="116">
        <v>698.1</v>
      </c>
      <c r="P1319" s="116">
        <v>700</v>
      </c>
      <c r="Q1319" s="116">
        <v>715.5</v>
      </c>
      <c r="R1319">
        <v>16254036</v>
      </c>
    </row>
    <row r="1320" spans="1:18" x14ac:dyDescent="0.25">
      <c r="A1320" s="170">
        <v>43955</v>
      </c>
      <c r="B1320" s="116">
        <v>700.95</v>
      </c>
      <c r="C1320" s="116">
        <v>673.75</v>
      </c>
      <c r="D1320" s="116">
        <v>670.45</v>
      </c>
      <c r="E1320" s="116">
        <v>694.55</v>
      </c>
      <c r="F1320" s="116">
        <v>673.75</v>
      </c>
      <c r="G1320">
        <v>202813</v>
      </c>
      <c r="H1320" s="116"/>
      <c r="I1320" s="116"/>
      <c r="L1320" s="170">
        <v>43955</v>
      </c>
      <c r="M1320" s="116">
        <v>673.7</v>
      </c>
      <c r="N1320" s="116">
        <v>701.2</v>
      </c>
      <c r="O1320" s="116">
        <v>670.35</v>
      </c>
      <c r="P1320" s="116">
        <v>689.8</v>
      </c>
      <c r="Q1320" s="116">
        <v>673.7</v>
      </c>
      <c r="R1320">
        <v>9122803</v>
      </c>
    </row>
    <row r="1321" spans="1:18" x14ac:dyDescent="0.25">
      <c r="A1321" s="170">
        <v>43956</v>
      </c>
      <c r="B1321" s="116">
        <v>685.5</v>
      </c>
      <c r="C1321" s="116">
        <v>674.25</v>
      </c>
      <c r="D1321" s="116">
        <v>670.1</v>
      </c>
      <c r="E1321" s="116">
        <v>681.15</v>
      </c>
      <c r="F1321" s="116">
        <v>674.25</v>
      </c>
      <c r="G1321">
        <v>120580</v>
      </c>
      <c r="H1321" s="116"/>
      <c r="I1321" s="116"/>
      <c r="L1321" s="170">
        <v>43956</v>
      </c>
      <c r="M1321" s="116">
        <v>673.7</v>
      </c>
      <c r="N1321" s="116">
        <v>685.6</v>
      </c>
      <c r="O1321" s="116">
        <v>670</v>
      </c>
      <c r="P1321" s="116">
        <v>681.75</v>
      </c>
      <c r="Q1321" s="116">
        <v>673.7</v>
      </c>
      <c r="R1321">
        <v>6393108</v>
      </c>
    </row>
    <row r="1322" spans="1:18" x14ac:dyDescent="0.25">
      <c r="A1322" s="170">
        <v>43957</v>
      </c>
      <c r="B1322" s="116">
        <v>681.3</v>
      </c>
      <c r="C1322" s="116">
        <v>666.2</v>
      </c>
      <c r="D1322" s="116">
        <v>664.25</v>
      </c>
      <c r="E1322" s="116">
        <v>679.7</v>
      </c>
      <c r="F1322" s="116">
        <v>666.2</v>
      </c>
      <c r="G1322">
        <v>162251</v>
      </c>
      <c r="H1322" s="116"/>
      <c r="I1322" s="116"/>
      <c r="L1322" s="170">
        <v>43957</v>
      </c>
      <c r="M1322" s="116">
        <v>665.9</v>
      </c>
      <c r="N1322" s="116">
        <v>681.45</v>
      </c>
      <c r="O1322" s="116">
        <v>664.05</v>
      </c>
      <c r="P1322" s="116">
        <v>676.9</v>
      </c>
      <c r="Q1322" s="116">
        <v>665.9</v>
      </c>
      <c r="R1322">
        <v>7934457</v>
      </c>
    </row>
    <row r="1323" spans="1:18" x14ac:dyDescent="0.25">
      <c r="A1323" s="170">
        <v>43958</v>
      </c>
      <c r="B1323" s="116">
        <v>674.1</v>
      </c>
      <c r="C1323" s="116">
        <v>665.05</v>
      </c>
      <c r="D1323" s="116">
        <v>663.05</v>
      </c>
      <c r="E1323" s="116">
        <v>666.1</v>
      </c>
      <c r="F1323" s="116">
        <v>665.05</v>
      </c>
      <c r="G1323">
        <v>93599</v>
      </c>
      <c r="H1323" s="116"/>
      <c r="I1323" s="116"/>
      <c r="L1323" s="170">
        <v>43958</v>
      </c>
      <c r="M1323" s="116">
        <v>664.95</v>
      </c>
      <c r="N1323" s="116">
        <v>674.35</v>
      </c>
      <c r="O1323" s="116">
        <v>662.45</v>
      </c>
      <c r="P1323" s="116">
        <v>665.55</v>
      </c>
      <c r="Q1323" s="116">
        <v>664.95</v>
      </c>
      <c r="R1323">
        <v>4779550</v>
      </c>
    </row>
    <row r="1324" spans="1:18" x14ac:dyDescent="0.25">
      <c r="A1324" s="170">
        <v>43959</v>
      </c>
      <c r="B1324" s="116">
        <v>680.95</v>
      </c>
      <c r="C1324" s="116">
        <v>674.65</v>
      </c>
      <c r="D1324" s="116">
        <v>668.6</v>
      </c>
      <c r="E1324" s="116">
        <v>672.9</v>
      </c>
      <c r="F1324" s="116">
        <v>674.65</v>
      </c>
      <c r="G1324">
        <v>158605</v>
      </c>
      <c r="H1324" s="116"/>
      <c r="I1324" s="116"/>
      <c r="L1324" s="170">
        <v>43959</v>
      </c>
      <c r="M1324" s="116">
        <v>674.2</v>
      </c>
      <c r="N1324" s="116">
        <v>680.9</v>
      </c>
      <c r="O1324" s="116">
        <v>668.5</v>
      </c>
      <c r="P1324" s="116">
        <v>672.25</v>
      </c>
      <c r="Q1324" s="116">
        <v>674.2</v>
      </c>
      <c r="R1324">
        <v>8400376</v>
      </c>
    </row>
    <row r="1325" spans="1:18" x14ac:dyDescent="0.25">
      <c r="A1325" s="170">
        <v>43962</v>
      </c>
      <c r="B1325" s="116">
        <v>698.4</v>
      </c>
      <c r="C1325" s="116">
        <v>682.75</v>
      </c>
      <c r="D1325" s="116">
        <v>677.7</v>
      </c>
      <c r="E1325" s="116">
        <v>680</v>
      </c>
      <c r="F1325" s="116">
        <v>682.75</v>
      </c>
      <c r="G1325">
        <v>147260</v>
      </c>
      <c r="H1325" s="116"/>
      <c r="I1325" s="116"/>
      <c r="L1325" s="170">
        <v>43962</v>
      </c>
      <c r="M1325" s="116">
        <v>682.9</v>
      </c>
      <c r="N1325" s="116">
        <v>698.55</v>
      </c>
      <c r="O1325" s="116">
        <v>678</v>
      </c>
      <c r="P1325" s="116">
        <v>682.5</v>
      </c>
      <c r="Q1325" s="116">
        <v>682.9</v>
      </c>
      <c r="R1325">
        <v>7370192</v>
      </c>
    </row>
    <row r="1326" spans="1:18" x14ac:dyDescent="0.25">
      <c r="A1326" s="170">
        <v>43963</v>
      </c>
      <c r="B1326" s="116">
        <v>691</v>
      </c>
      <c r="C1326" s="116">
        <v>687.75</v>
      </c>
      <c r="D1326" s="116">
        <v>675.5</v>
      </c>
      <c r="E1326" s="116">
        <v>678</v>
      </c>
      <c r="F1326" s="116">
        <v>687.75</v>
      </c>
      <c r="G1326">
        <v>156715</v>
      </c>
      <c r="H1326" s="116"/>
      <c r="I1326" s="116"/>
      <c r="L1326" s="170">
        <v>43963</v>
      </c>
      <c r="M1326" s="116">
        <v>687.65</v>
      </c>
      <c r="N1326" s="116">
        <v>691</v>
      </c>
      <c r="O1326" s="116">
        <v>675.5</v>
      </c>
      <c r="P1326" s="116">
        <v>678.5</v>
      </c>
      <c r="Q1326" s="116">
        <v>687.65</v>
      </c>
      <c r="R1326">
        <v>7356063</v>
      </c>
    </row>
    <row r="1327" spans="1:18" x14ac:dyDescent="0.25">
      <c r="A1327" s="170">
        <v>43964</v>
      </c>
      <c r="B1327" s="116">
        <v>700</v>
      </c>
      <c r="C1327" s="116">
        <v>693.9</v>
      </c>
      <c r="D1327" s="116">
        <v>684.6</v>
      </c>
      <c r="E1327" s="116">
        <v>700</v>
      </c>
      <c r="F1327" s="116">
        <v>693.9</v>
      </c>
      <c r="G1327">
        <v>192736</v>
      </c>
      <c r="H1327" s="116"/>
      <c r="I1327" s="116"/>
      <c r="L1327" s="170">
        <v>43964</v>
      </c>
      <c r="M1327" s="116">
        <v>694.15</v>
      </c>
      <c r="N1327" s="116">
        <v>699.9</v>
      </c>
      <c r="O1327" s="116">
        <v>683.75</v>
      </c>
      <c r="P1327" s="116">
        <v>694.8</v>
      </c>
      <c r="Q1327" s="116">
        <v>694.15</v>
      </c>
      <c r="R1327">
        <v>8287106</v>
      </c>
    </row>
    <row r="1328" spans="1:18" x14ac:dyDescent="0.25">
      <c r="A1328" s="170">
        <v>43965</v>
      </c>
      <c r="B1328" s="116">
        <v>671.65</v>
      </c>
      <c r="C1328" s="116">
        <v>658.1</v>
      </c>
      <c r="D1328" s="116">
        <v>654.04999999999995</v>
      </c>
      <c r="E1328" s="116">
        <v>664</v>
      </c>
      <c r="F1328" s="116">
        <v>658.1</v>
      </c>
      <c r="G1328">
        <v>472186</v>
      </c>
      <c r="H1328" s="116"/>
      <c r="I1328" s="116"/>
      <c r="L1328" s="170">
        <v>43965</v>
      </c>
      <c r="M1328" s="116">
        <v>658.15</v>
      </c>
      <c r="N1328" s="116">
        <v>671.75</v>
      </c>
      <c r="O1328" s="116">
        <v>652.6</v>
      </c>
      <c r="P1328" s="116">
        <v>659</v>
      </c>
      <c r="Q1328" s="116">
        <v>658.15</v>
      </c>
      <c r="R1328">
        <v>16888356</v>
      </c>
    </row>
    <row r="1329" spans="1:18" x14ac:dyDescent="0.25">
      <c r="A1329" s="170">
        <v>43966</v>
      </c>
      <c r="B1329" s="116">
        <v>665.5</v>
      </c>
      <c r="C1329" s="116">
        <v>652.29999999999995</v>
      </c>
      <c r="D1329" s="116">
        <v>647</v>
      </c>
      <c r="E1329" s="116">
        <v>665.5</v>
      </c>
      <c r="F1329" s="116">
        <v>652.29999999999995</v>
      </c>
      <c r="G1329">
        <v>310061</v>
      </c>
      <c r="H1329" s="116"/>
      <c r="I1329" s="116"/>
      <c r="L1329" s="170">
        <v>43966</v>
      </c>
      <c r="M1329" s="116">
        <v>652.29999999999995</v>
      </c>
      <c r="N1329" s="116">
        <v>664.8</v>
      </c>
      <c r="O1329" s="116">
        <v>646.70000000000005</v>
      </c>
      <c r="P1329" s="116">
        <v>664.8</v>
      </c>
      <c r="Q1329" s="116">
        <v>652.29999999999995</v>
      </c>
      <c r="R1329">
        <v>9255353</v>
      </c>
    </row>
    <row r="1330" spans="1:18" x14ac:dyDescent="0.25">
      <c r="A1330" s="170">
        <v>43969</v>
      </c>
      <c r="B1330" s="116">
        <v>670.45</v>
      </c>
      <c r="C1330" s="116">
        <v>663.6</v>
      </c>
      <c r="D1330" s="116">
        <v>653.9</v>
      </c>
      <c r="E1330" s="116">
        <v>664</v>
      </c>
      <c r="F1330" s="116">
        <v>663.6</v>
      </c>
      <c r="G1330">
        <v>251322</v>
      </c>
      <c r="H1330" s="116"/>
      <c r="I1330" s="116"/>
      <c r="L1330" s="170">
        <v>43969</v>
      </c>
      <c r="M1330" s="116">
        <v>663.9</v>
      </c>
      <c r="N1330" s="116">
        <v>670.55</v>
      </c>
      <c r="O1330" s="116">
        <v>653</v>
      </c>
      <c r="P1330" s="116">
        <v>659.85</v>
      </c>
      <c r="Q1330" s="116">
        <v>663.9</v>
      </c>
      <c r="R1330">
        <v>10435495</v>
      </c>
    </row>
    <row r="1331" spans="1:18" x14ac:dyDescent="0.25">
      <c r="A1331" s="170">
        <v>43970</v>
      </c>
      <c r="B1331" s="116">
        <v>674.7</v>
      </c>
      <c r="C1331" s="116">
        <v>668.95</v>
      </c>
      <c r="D1331" s="116">
        <v>655.9</v>
      </c>
      <c r="E1331" s="116">
        <v>665.9</v>
      </c>
      <c r="F1331" s="116">
        <v>668.95</v>
      </c>
      <c r="G1331">
        <v>254650</v>
      </c>
      <c r="H1331" s="116"/>
      <c r="I1331" s="116"/>
      <c r="L1331" s="170">
        <v>43970</v>
      </c>
      <c r="M1331" s="116">
        <v>668.6</v>
      </c>
      <c r="N1331" s="116">
        <v>674.8</v>
      </c>
      <c r="O1331" s="116">
        <v>655</v>
      </c>
      <c r="P1331" s="116">
        <v>664</v>
      </c>
      <c r="Q1331" s="116">
        <v>668.6</v>
      </c>
      <c r="R1331">
        <v>5902238</v>
      </c>
    </row>
    <row r="1332" spans="1:18" x14ac:dyDescent="0.25">
      <c r="A1332" s="170">
        <v>43971</v>
      </c>
      <c r="B1332" s="116">
        <v>673.2</v>
      </c>
      <c r="C1332" s="116">
        <v>670.2</v>
      </c>
      <c r="D1332" s="116">
        <v>659.8</v>
      </c>
      <c r="E1332" s="116">
        <v>666.55</v>
      </c>
      <c r="F1332" s="116">
        <v>670.2</v>
      </c>
      <c r="G1332">
        <v>230449</v>
      </c>
      <c r="H1332" s="116"/>
      <c r="I1332" s="116"/>
      <c r="L1332" s="170">
        <v>43971</v>
      </c>
      <c r="M1332" s="116">
        <v>669.55</v>
      </c>
      <c r="N1332" s="116">
        <v>673</v>
      </c>
      <c r="O1332" s="116">
        <v>659.65</v>
      </c>
      <c r="P1332" s="116">
        <v>668.5</v>
      </c>
      <c r="Q1332" s="116">
        <v>669.55</v>
      </c>
      <c r="R1332">
        <v>5795193</v>
      </c>
    </row>
    <row r="1333" spans="1:18" x14ac:dyDescent="0.25">
      <c r="A1333" s="170">
        <v>43972</v>
      </c>
      <c r="B1333" s="116">
        <v>679.7</v>
      </c>
      <c r="C1333" s="116">
        <v>672</v>
      </c>
      <c r="D1333" s="116">
        <v>665.3</v>
      </c>
      <c r="E1333" s="116">
        <v>668.4</v>
      </c>
      <c r="F1333" s="116">
        <v>672</v>
      </c>
      <c r="G1333">
        <v>217317</v>
      </c>
      <c r="H1333" s="116"/>
      <c r="I1333" s="116"/>
      <c r="L1333" s="170">
        <v>43972</v>
      </c>
      <c r="M1333" s="116">
        <v>672.2</v>
      </c>
      <c r="N1333" s="116">
        <v>679.45</v>
      </c>
      <c r="O1333" s="116">
        <v>665.4</v>
      </c>
      <c r="P1333" s="116">
        <v>666.5</v>
      </c>
      <c r="Q1333" s="116">
        <v>672.2</v>
      </c>
      <c r="R1333">
        <v>7214401</v>
      </c>
    </row>
    <row r="1334" spans="1:18" x14ac:dyDescent="0.25">
      <c r="A1334" s="170">
        <v>43973</v>
      </c>
      <c r="B1334" s="116">
        <v>695.25</v>
      </c>
      <c r="C1334" s="116">
        <v>692.25</v>
      </c>
      <c r="D1334" s="116">
        <v>672.15</v>
      </c>
      <c r="E1334" s="116">
        <v>672.15</v>
      </c>
      <c r="F1334" s="116">
        <v>692.25</v>
      </c>
      <c r="G1334">
        <v>300974</v>
      </c>
      <c r="H1334" s="116"/>
      <c r="I1334" s="116"/>
      <c r="L1334" s="170">
        <v>43973</v>
      </c>
      <c r="M1334" s="116">
        <v>692.35</v>
      </c>
      <c r="N1334" s="116">
        <v>695.85</v>
      </c>
      <c r="O1334" s="116">
        <v>673.5</v>
      </c>
      <c r="P1334" s="116">
        <v>675</v>
      </c>
      <c r="Q1334" s="116">
        <v>692.35</v>
      </c>
      <c r="R1334">
        <v>11867864</v>
      </c>
    </row>
    <row r="1335" spans="1:18" x14ac:dyDescent="0.25">
      <c r="A1335" s="170">
        <v>43977</v>
      </c>
      <c r="B1335" s="116">
        <v>699.6</v>
      </c>
      <c r="C1335" s="116">
        <v>680.15</v>
      </c>
      <c r="D1335" s="116">
        <v>678.95</v>
      </c>
      <c r="E1335" s="116">
        <v>695</v>
      </c>
      <c r="F1335" s="116">
        <v>680.15</v>
      </c>
      <c r="G1335">
        <v>208176</v>
      </c>
      <c r="H1335" s="116"/>
      <c r="I1335" s="116"/>
      <c r="L1335" s="170">
        <v>43977</v>
      </c>
      <c r="M1335" s="116">
        <v>680.55</v>
      </c>
      <c r="N1335" s="116">
        <v>699.45</v>
      </c>
      <c r="O1335" s="116">
        <v>679</v>
      </c>
      <c r="P1335" s="116">
        <v>693</v>
      </c>
      <c r="Q1335" s="116">
        <v>680.55</v>
      </c>
      <c r="R1335">
        <v>7099719</v>
      </c>
    </row>
    <row r="1336" spans="1:18" x14ac:dyDescent="0.25">
      <c r="A1336" s="170">
        <v>43978</v>
      </c>
      <c r="B1336" s="116">
        <v>708.9</v>
      </c>
      <c r="C1336" s="116">
        <v>705.3</v>
      </c>
      <c r="D1336" s="116">
        <v>675.1</v>
      </c>
      <c r="E1336" s="116">
        <v>682.75</v>
      </c>
      <c r="F1336" s="116">
        <v>705.3</v>
      </c>
      <c r="G1336">
        <v>1274033</v>
      </c>
      <c r="H1336" s="116"/>
      <c r="I1336" s="116"/>
      <c r="L1336" s="170">
        <v>43978</v>
      </c>
      <c r="M1336" s="116">
        <v>705.45</v>
      </c>
      <c r="N1336" s="116">
        <v>709.2</v>
      </c>
      <c r="O1336" s="116">
        <v>675</v>
      </c>
      <c r="P1336" s="116">
        <v>686.05</v>
      </c>
      <c r="Q1336" s="116">
        <v>705.45</v>
      </c>
      <c r="R1336">
        <v>8774694</v>
      </c>
    </row>
    <row r="1337" spans="1:18" x14ac:dyDescent="0.25">
      <c r="A1337" s="170">
        <v>43979</v>
      </c>
      <c r="B1337" s="116">
        <v>709.9</v>
      </c>
      <c r="C1337" s="116">
        <v>707.25</v>
      </c>
      <c r="D1337" s="116">
        <v>690</v>
      </c>
      <c r="E1337" s="116">
        <v>706.1</v>
      </c>
      <c r="F1337" s="116">
        <v>707.25</v>
      </c>
      <c r="G1337">
        <v>543370</v>
      </c>
      <c r="H1337" s="116"/>
      <c r="I1337" s="116"/>
      <c r="L1337" s="170">
        <v>43979</v>
      </c>
      <c r="M1337" s="116">
        <v>707.4</v>
      </c>
      <c r="N1337" s="116">
        <v>710</v>
      </c>
      <c r="O1337" s="116">
        <v>690</v>
      </c>
      <c r="P1337" s="116">
        <v>707</v>
      </c>
      <c r="Q1337" s="116">
        <v>707.4</v>
      </c>
      <c r="R1337">
        <v>9440121</v>
      </c>
    </row>
    <row r="1338" spans="1:18" x14ac:dyDescent="0.25">
      <c r="A1338" s="170">
        <v>43980</v>
      </c>
      <c r="B1338" s="116">
        <v>700.7</v>
      </c>
      <c r="C1338" s="116">
        <v>691.35</v>
      </c>
      <c r="D1338" s="116">
        <v>680.4</v>
      </c>
      <c r="E1338" s="116">
        <v>697</v>
      </c>
      <c r="F1338" s="116">
        <v>691.35</v>
      </c>
      <c r="G1338">
        <v>582952</v>
      </c>
      <c r="H1338" s="116"/>
      <c r="I1338" s="116"/>
      <c r="L1338" s="170">
        <v>43980</v>
      </c>
      <c r="M1338" s="116">
        <v>691</v>
      </c>
      <c r="N1338" s="116">
        <v>700.8</v>
      </c>
      <c r="O1338" s="116">
        <v>674.95</v>
      </c>
      <c r="P1338" s="116">
        <v>692.5</v>
      </c>
      <c r="Q1338" s="116">
        <v>691</v>
      </c>
      <c r="R1338">
        <v>28291172</v>
      </c>
    </row>
    <row r="1339" spans="1:18" x14ac:dyDescent="0.25">
      <c r="A1339" s="170">
        <v>43983</v>
      </c>
      <c r="B1339" s="116">
        <v>706.65</v>
      </c>
      <c r="C1339" s="116">
        <v>699.5</v>
      </c>
      <c r="D1339" s="116">
        <v>692</v>
      </c>
      <c r="E1339" s="116">
        <v>696.55</v>
      </c>
      <c r="F1339" s="116">
        <v>699.5</v>
      </c>
      <c r="G1339">
        <v>352265</v>
      </c>
      <c r="H1339" s="116"/>
      <c r="I1339" s="116"/>
      <c r="L1339" s="170">
        <v>43983</v>
      </c>
      <c r="M1339" s="116">
        <v>699.55</v>
      </c>
      <c r="N1339" s="116">
        <v>706.65</v>
      </c>
      <c r="O1339" s="116">
        <v>691.5</v>
      </c>
      <c r="P1339" s="116">
        <v>698.75</v>
      </c>
      <c r="Q1339" s="116">
        <v>699.55</v>
      </c>
      <c r="R1339">
        <v>12276649</v>
      </c>
    </row>
    <row r="1340" spans="1:18" x14ac:dyDescent="0.25">
      <c r="A1340" s="170">
        <v>43984</v>
      </c>
      <c r="B1340" s="116">
        <v>711.65</v>
      </c>
      <c r="C1340" s="116">
        <v>708.05</v>
      </c>
      <c r="D1340" s="116">
        <v>698.3</v>
      </c>
      <c r="E1340" s="116">
        <v>699.9</v>
      </c>
      <c r="F1340" s="116">
        <v>708.05</v>
      </c>
      <c r="G1340">
        <v>288345</v>
      </c>
      <c r="H1340" s="116"/>
      <c r="I1340" s="116"/>
      <c r="L1340" s="170">
        <v>43984</v>
      </c>
      <c r="M1340" s="116">
        <v>708.1</v>
      </c>
      <c r="N1340" s="116">
        <v>711.65</v>
      </c>
      <c r="O1340" s="116">
        <v>697.55</v>
      </c>
      <c r="P1340" s="116">
        <v>700.5</v>
      </c>
      <c r="Q1340" s="116">
        <v>708.1</v>
      </c>
      <c r="R1340">
        <v>7059409</v>
      </c>
    </row>
    <row r="1341" spans="1:18" x14ac:dyDescent="0.25">
      <c r="A1341" s="170">
        <v>43985</v>
      </c>
      <c r="B1341" s="116">
        <v>713</v>
      </c>
      <c r="C1341" s="116">
        <v>701.35</v>
      </c>
      <c r="D1341" s="116">
        <v>696.5</v>
      </c>
      <c r="E1341" s="116">
        <v>713</v>
      </c>
      <c r="F1341" s="116">
        <v>701.35</v>
      </c>
      <c r="G1341">
        <v>251762</v>
      </c>
      <c r="H1341" s="116"/>
      <c r="I1341" s="116"/>
      <c r="L1341" s="170">
        <v>43985</v>
      </c>
      <c r="M1341" s="116">
        <v>701.55</v>
      </c>
      <c r="N1341" s="116">
        <v>711.9</v>
      </c>
      <c r="O1341" s="116">
        <v>696</v>
      </c>
      <c r="P1341" s="116">
        <v>710.7</v>
      </c>
      <c r="Q1341" s="116">
        <v>701.55</v>
      </c>
      <c r="R1341">
        <v>11378568</v>
      </c>
    </row>
    <row r="1342" spans="1:18" x14ac:dyDescent="0.25">
      <c r="A1342" s="170">
        <v>43986</v>
      </c>
      <c r="B1342" s="116">
        <v>709.75</v>
      </c>
      <c r="C1342" s="116">
        <v>707.8</v>
      </c>
      <c r="D1342" s="116">
        <v>697.65</v>
      </c>
      <c r="E1342" s="116">
        <v>702</v>
      </c>
      <c r="F1342" s="116">
        <v>707.8</v>
      </c>
      <c r="G1342">
        <v>538192</v>
      </c>
      <c r="H1342" s="116"/>
      <c r="I1342" s="116"/>
      <c r="L1342" s="170">
        <v>43986</v>
      </c>
      <c r="M1342" s="116">
        <v>707.75</v>
      </c>
      <c r="N1342" s="116">
        <v>709.45</v>
      </c>
      <c r="O1342" s="116">
        <v>697.5</v>
      </c>
      <c r="P1342" s="116">
        <v>702</v>
      </c>
      <c r="Q1342" s="116">
        <v>707.75</v>
      </c>
      <c r="R1342">
        <v>10783594</v>
      </c>
    </row>
    <row r="1343" spans="1:18" x14ac:dyDescent="0.25">
      <c r="A1343" s="170">
        <v>43987</v>
      </c>
      <c r="B1343" s="116">
        <v>711.85</v>
      </c>
      <c r="C1343" s="116">
        <v>703.75</v>
      </c>
      <c r="D1343" s="116">
        <v>700.65</v>
      </c>
      <c r="E1343" s="116">
        <v>708</v>
      </c>
      <c r="F1343" s="116">
        <v>703.75</v>
      </c>
      <c r="G1343">
        <v>268996</v>
      </c>
      <c r="H1343" s="116"/>
      <c r="I1343" s="116"/>
      <c r="L1343" s="170">
        <v>43987</v>
      </c>
      <c r="M1343" s="116">
        <v>703.55</v>
      </c>
      <c r="N1343" s="116">
        <v>711.7</v>
      </c>
      <c r="O1343" s="116">
        <v>700.6</v>
      </c>
      <c r="P1343" s="116">
        <v>707</v>
      </c>
      <c r="Q1343" s="116">
        <v>703.55</v>
      </c>
      <c r="R1343">
        <v>7718943</v>
      </c>
    </row>
    <row r="1344" spans="1:18" x14ac:dyDescent="0.25">
      <c r="A1344" s="170">
        <v>43990</v>
      </c>
      <c r="B1344" s="116">
        <v>725.65</v>
      </c>
      <c r="C1344" s="116">
        <v>720.55</v>
      </c>
      <c r="D1344" s="116">
        <v>704.4</v>
      </c>
      <c r="E1344" s="116">
        <v>708.95</v>
      </c>
      <c r="F1344" s="116">
        <v>720.55</v>
      </c>
      <c r="G1344">
        <v>922283</v>
      </c>
      <c r="H1344" s="116"/>
      <c r="I1344" s="116"/>
      <c r="L1344" s="170">
        <v>43990</v>
      </c>
      <c r="M1344" s="116">
        <v>720.85</v>
      </c>
      <c r="N1344" s="116">
        <v>725.8</v>
      </c>
      <c r="O1344" s="116">
        <v>704</v>
      </c>
      <c r="P1344" s="116">
        <v>707.65</v>
      </c>
      <c r="Q1344" s="116">
        <v>720.85</v>
      </c>
      <c r="R1344">
        <v>10719124</v>
      </c>
    </row>
    <row r="1345" spans="1:18" x14ac:dyDescent="0.25">
      <c r="A1345" s="170">
        <v>43991</v>
      </c>
      <c r="B1345" s="116">
        <v>729.4</v>
      </c>
      <c r="C1345" s="116">
        <v>717.75</v>
      </c>
      <c r="D1345" s="116">
        <v>715.3</v>
      </c>
      <c r="E1345" s="116">
        <v>721.9</v>
      </c>
      <c r="F1345" s="116">
        <v>717.75</v>
      </c>
      <c r="G1345">
        <v>520552</v>
      </c>
      <c r="H1345" s="116"/>
      <c r="I1345" s="116"/>
      <c r="L1345" s="170">
        <v>43991</v>
      </c>
      <c r="M1345" s="116">
        <v>717.6</v>
      </c>
      <c r="N1345" s="116">
        <v>729.6</v>
      </c>
      <c r="O1345" s="116">
        <v>715.05</v>
      </c>
      <c r="P1345" s="116">
        <v>720</v>
      </c>
      <c r="Q1345" s="116">
        <v>717.6</v>
      </c>
      <c r="R1345">
        <v>10078863</v>
      </c>
    </row>
    <row r="1346" spans="1:18" x14ac:dyDescent="0.25">
      <c r="A1346" s="170">
        <v>43992</v>
      </c>
      <c r="B1346" s="116">
        <v>719.4</v>
      </c>
      <c r="C1346" s="116">
        <v>715.85</v>
      </c>
      <c r="D1346" s="116">
        <v>709.6</v>
      </c>
      <c r="E1346" s="116">
        <v>715</v>
      </c>
      <c r="F1346" s="116">
        <v>715.85</v>
      </c>
      <c r="G1346">
        <v>214885</v>
      </c>
      <c r="H1346" s="116"/>
      <c r="I1346" s="116"/>
      <c r="L1346" s="170">
        <v>43992</v>
      </c>
      <c r="M1346" s="116">
        <v>715.85</v>
      </c>
      <c r="N1346" s="116">
        <v>719.45</v>
      </c>
      <c r="O1346" s="116">
        <v>709.2</v>
      </c>
      <c r="P1346" s="116">
        <v>715</v>
      </c>
      <c r="Q1346" s="116">
        <v>715.85</v>
      </c>
      <c r="R1346">
        <v>7263272</v>
      </c>
    </row>
    <row r="1347" spans="1:18" x14ac:dyDescent="0.25">
      <c r="A1347" s="170">
        <v>43993</v>
      </c>
      <c r="B1347" s="116">
        <v>716.2</v>
      </c>
      <c r="C1347" s="116">
        <v>703.6</v>
      </c>
      <c r="D1347" s="116">
        <v>700.45</v>
      </c>
      <c r="E1347" s="116">
        <v>713.85</v>
      </c>
      <c r="F1347" s="116">
        <v>703.6</v>
      </c>
      <c r="G1347">
        <v>467025</v>
      </c>
      <c r="H1347" s="116"/>
      <c r="I1347" s="116"/>
      <c r="L1347" s="170">
        <v>43993</v>
      </c>
      <c r="M1347" s="116">
        <v>703.95</v>
      </c>
      <c r="N1347" s="116">
        <v>713.4</v>
      </c>
      <c r="O1347" s="116">
        <v>700.25</v>
      </c>
      <c r="P1347" s="116">
        <v>712</v>
      </c>
      <c r="Q1347" s="116">
        <v>703.95</v>
      </c>
      <c r="R1347">
        <v>8825914</v>
      </c>
    </row>
    <row r="1348" spans="1:18" x14ac:dyDescent="0.25">
      <c r="A1348" s="170">
        <v>43994</v>
      </c>
      <c r="B1348" s="116">
        <v>694.8</v>
      </c>
      <c r="C1348" s="116">
        <v>692.1</v>
      </c>
      <c r="D1348" s="116">
        <v>675.05</v>
      </c>
      <c r="E1348" s="116">
        <v>680</v>
      </c>
      <c r="F1348" s="116">
        <v>692.1</v>
      </c>
      <c r="G1348">
        <v>513795</v>
      </c>
      <c r="H1348" s="116"/>
      <c r="I1348" s="116"/>
      <c r="L1348" s="170">
        <v>43994</v>
      </c>
      <c r="M1348" s="116">
        <v>692.05</v>
      </c>
      <c r="N1348" s="116">
        <v>695.15</v>
      </c>
      <c r="O1348" s="116">
        <v>675.5</v>
      </c>
      <c r="P1348" s="116">
        <v>675.8</v>
      </c>
      <c r="Q1348" s="116">
        <v>692.05</v>
      </c>
      <c r="R1348">
        <v>9796064</v>
      </c>
    </row>
    <row r="1349" spans="1:18" x14ac:dyDescent="0.25">
      <c r="A1349" s="170">
        <v>43997</v>
      </c>
      <c r="B1349" s="116">
        <v>704.15</v>
      </c>
      <c r="C1349" s="116">
        <v>687.25</v>
      </c>
      <c r="D1349" s="116">
        <v>685.45</v>
      </c>
      <c r="E1349" s="116">
        <v>695</v>
      </c>
      <c r="F1349" s="116">
        <v>687.25</v>
      </c>
      <c r="G1349">
        <v>288823</v>
      </c>
      <c r="H1349" s="116"/>
      <c r="I1349" s="116"/>
      <c r="L1349" s="170">
        <v>43997</v>
      </c>
      <c r="M1349" s="116">
        <v>687.55</v>
      </c>
      <c r="N1349" s="116">
        <v>704.4</v>
      </c>
      <c r="O1349" s="116">
        <v>685.25</v>
      </c>
      <c r="P1349" s="116">
        <v>693</v>
      </c>
      <c r="Q1349" s="116">
        <v>687.55</v>
      </c>
      <c r="R1349">
        <v>7857344</v>
      </c>
    </row>
    <row r="1350" spans="1:18" x14ac:dyDescent="0.25">
      <c r="A1350" s="170">
        <v>43998</v>
      </c>
      <c r="B1350" s="116">
        <v>711.8</v>
      </c>
      <c r="C1350" s="116">
        <v>700.95</v>
      </c>
      <c r="D1350" s="116">
        <v>699.15</v>
      </c>
      <c r="E1350" s="116">
        <v>701</v>
      </c>
      <c r="F1350" s="116">
        <v>700.95</v>
      </c>
      <c r="G1350">
        <v>720249</v>
      </c>
      <c r="H1350" s="116"/>
      <c r="I1350" s="116"/>
      <c r="L1350" s="170">
        <v>43998</v>
      </c>
      <c r="M1350" s="116">
        <v>701.2</v>
      </c>
      <c r="N1350" s="116">
        <v>712</v>
      </c>
      <c r="O1350" s="116">
        <v>699.15</v>
      </c>
      <c r="P1350" s="116">
        <v>702</v>
      </c>
      <c r="Q1350" s="116">
        <v>701.2</v>
      </c>
      <c r="R1350">
        <v>10132423</v>
      </c>
    </row>
    <row r="1351" spans="1:18" x14ac:dyDescent="0.25">
      <c r="A1351" s="170">
        <v>43999</v>
      </c>
      <c r="B1351" s="116">
        <v>710.2</v>
      </c>
      <c r="C1351" s="116">
        <v>703.6</v>
      </c>
      <c r="D1351" s="116">
        <v>698.5</v>
      </c>
      <c r="E1351" s="116">
        <v>700.7</v>
      </c>
      <c r="F1351" s="116">
        <v>703.6</v>
      </c>
      <c r="G1351">
        <v>160592</v>
      </c>
      <c r="H1351" s="116"/>
      <c r="I1351" s="116"/>
      <c r="L1351" s="170">
        <v>43999</v>
      </c>
      <c r="M1351" s="116">
        <v>703.65</v>
      </c>
      <c r="N1351" s="116">
        <v>710.3</v>
      </c>
      <c r="O1351" s="116">
        <v>698</v>
      </c>
      <c r="P1351" s="116">
        <v>699.9</v>
      </c>
      <c r="Q1351" s="116">
        <v>703.65</v>
      </c>
      <c r="R1351">
        <v>7291919</v>
      </c>
    </row>
    <row r="1352" spans="1:18" x14ac:dyDescent="0.25">
      <c r="A1352" s="170">
        <v>44000</v>
      </c>
      <c r="B1352" s="116">
        <v>716.7</v>
      </c>
      <c r="C1352" s="116">
        <v>713.85</v>
      </c>
      <c r="D1352" s="116">
        <v>704</v>
      </c>
      <c r="E1352" s="116">
        <v>704</v>
      </c>
      <c r="F1352" s="116">
        <v>713.85</v>
      </c>
      <c r="G1352">
        <v>375820</v>
      </c>
      <c r="H1352" s="116"/>
      <c r="I1352" s="116"/>
      <c r="L1352" s="170">
        <v>44000</v>
      </c>
      <c r="M1352" s="116">
        <v>713.9</v>
      </c>
      <c r="N1352" s="116">
        <v>716.6</v>
      </c>
      <c r="O1352" s="116">
        <v>706</v>
      </c>
      <c r="P1352" s="116">
        <v>708.2</v>
      </c>
      <c r="Q1352" s="116">
        <v>713.9</v>
      </c>
      <c r="R1352">
        <v>6670206</v>
      </c>
    </row>
    <row r="1353" spans="1:18" x14ac:dyDescent="0.25">
      <c r="A1353" s="170">
        <v>44001</v>
      </c>
      <c r="B1353" s="116">
        <v>713</v>
      </c>
      <c r="C1353" s="116">
        <v>705.65</v>
      </c>
      <c r="D1353" s="116">
        <v>701.1</v>
      </c>
      <c r="E1353" s="116">
        <v>713</v>
      </c>
      <c r="F1353" s="116">
        <v>705.65</v>
      </c>
      <c r="G1353">
        <v>633929</v>
      </c>
      <c r="H1353" s="116"/>
      <c r="I1353" s="116"/>
      <c r="L1353" s="170">
        <v>44001</v>
      </c>
      <c r="M1353" s="116">
        <v>705.55</v>
      </c>
      <c r="N1353" s="116">
        <v>711.9</v>
      </c>
      <c r="O1353" s="116">
        <v>701</v>
      </c>
      <c r="P1353" s="116">
        <v>709</v>
      </c>
      <c r="Q1353" s="116">
        <v>705.55</v>
      </c>
      <c r="R1353">
        <v>22438873</v>
      </c>
    </row>
    <row r="1354" spans="1:18" x14ac:dyDescent="0.25">
      <c r="A1354" s="170">
        <v>44004</v>
      </c>
      <c r="B1354" s="116">
        <v>708.5</v>
      </c>
      <c r="C1354" s="116">
        <v>703.65</v>
      </c>
      <c r="D1354" s="116">
        <v>700</v>
      </c>
      <c r="E1354" s="116">
        <v>704.5</v>
      </c>
      <c r="F1354" s="116">
        <v>703.65</v>
      </c>
      <c r="G1354">
        <v>345887</v>
      </c>
      <c r="H1354" s="116"/>
      <c r="I1354" s="116"/>
      <c r="L1354" s="170">
        <v>44004</v>
      </c>
      <c r="M1354" s="116">
        <v>703.7</v>
      </c>
      <c r="N1354" s="116">
        <v>708.7</v>
      </c>
      <c r="O1354" s="116">
        <v>700</v>
      </c>
      <c r="P1354" s="116">
        <v>707.1</v>
      </c>
      <c r="Q1354" s="116">
        <v>703.7</v>
      </c>
      <c r="R1354">
        <v>7804139</v>
      </c>
    </row>
    <row r="1355" spans="1:18" x14ac:dyDescent="0.25">
      <c r="A1355" s="170">
        <v>44005</v>
      </c>
      <c r="B1355" s="116">
        <v>724.3</v>
      </c>
      <c r="C1355" s="116">
        <v>720.45</v>
      </c>
      <c r="D1355" s="116">
        <v>692.3</v>
      </c>
      <c r="E1355" s="116">
        <v>696.8</v>
      </c>
      <c r="F1355" s="116">
        <v>720.45</v>
      </c>
      <c r="G1355">
        <v>388008</v>
      </c>
      <c r="H1355" s="116"/>
      <c r="I1355" s="116"/>
      <c r="L1355" s="170">
        <v>44005</v>
      </c>
      <c r="M1355" s="116">
        <v>720.65</v>
      </c>
      <c r="N1355" s="116">
        <v>724.5</v>
      </c>
      <c r="O1355" s="116">
        <v>692.1</v>
      </c>
      <c r="P1355" s="116">
        <v>695.7</v>
      </c>
      <c r="Q1355" s="116">
        <v>720.65</v>
      </c>
      <c r="R1355">
        <v>12157486</v>
      </c>
    </row>
    <row r="1356" spans="1:18" x14ac:dyDescent="0.25">
      <c r="A1356" s="170">
        <v>44006</v>
      </c>
      <c r="B1356" s="116">
        <v>726.75</v>
      </c>
      <c r="C1356" s="116">
        <v>714.2</v>
      </c>
      <c r="D1356" s="116">
        <v>709.55</v>
      </c>
      <c r="E1356" s="116">
        <v>719.95</v>
      </c>
      <c r="F1356" s="116">
        <v>714.2</v>
      </c>
      <c r="G1356">
        <v>837006</v>
      </c>
      <c r="H1356" s="116"/>
      <c r="I1356" s="116"/>
      <c r="L1356" s="170">
        <v>44006</v>
      </c>
      <c r="M1356" s="116">
        <v>714.15</v>
      </c>
      <c r="N1356" s="116">
        <v>726.8</v>
      </c>
      <c r="O1356" s="116">
        <v>709.4</v>
      </c>
      <c r="P1356" s="116">
        <v>716.9</v>
      </c>
      <c r="Q1356" s="116">
        <v>714.15</v>
      </c>
      <c r="R1356">
        <v>10220908</v>
      </c>
    </row>
    <row r="1357" spans="1:18" x14ac:dyDescent="0.25">
      <c r="A1357" s="170">
        <v>44007</v>
      </c>
      <c r="B1357" s="116">
        <v>705.4</v>
      </c>
      <c r="C1357" s="116">
        <v>699.6</v>
      </c>
      <c r="D1357" s="116">
        <v>693.05</v>
      </c>
      <c r="E1357" s="116">
        <v>705</v>
      </c>
      <c r="F1357" s="116">
        <v>699.6</v>
      </c>
      <c r="G1357">
        <v>633979</v>
      </c>
      <c r="H1357" s="116"/>
      <c r="I1357" s="116"/>
      <c r="L1357" s="170">
        <v>44007</v>
      </c>
      <c r="M1357" s="116">
        <v>700.5</v>
      </c>
      <c r="N1357" s="116">
        <v>705.6</v>
      </c>
      <c r="O1357" s="116">
        <v>693.5</v>
      </c>
      <c r="P1357" s="116">
        <v>704.85</v>
      </c>
      <c r="Q1357" s="116">
        <v>700.5</v>
      </c>
      <c r="R1357">
        <v>14945304</v>
      </c>
    </row>
    <row r="1358" spans="1:18" x14ac:dyDescent="0.25">
      <c r="A1358" s="170">
        <v>44008</v>
      </c>
      <c r="B1358" s="116">
        <v>750.9</v>
      </c>
      <c r="C1358" s="116">
        <v>748.15</v>
      </c>
      <c r="D1358" s="116">
        <v>706.9</v>
      </c>
      <c r="E1358" s="116">
        <v>706.9</v>
      </c>
      <c r="F1358" s="116">
        <v>748.15</v>
      </c>
      <c r="G1358">
        <v>821530</v>
      </c>
      <c r="H1358" s="116"/>
      <c r="I1358" s="116"/>
      <c r="L1358" s="170">
        <v>44008</v>
      </c>
      <c r="M1358" s="116">
        <v>748.2</v>
      </c>
      <c r="N1358" s="116">
        <v>751.6</v>
      </c>
      <c r="O1358" s="116">
        <v>710</v>
      </c>
      <c r="P1358" s="116">
        <v>710.2</v>
      </c>
      <c r="Q1358" s="116">
        <v>748.2</v>
      </c>
      <c r="R1358">
        <v>26030535</v>
      </c>
    </row>
    <row r="1359" spans="1:18" x14ac:dyDescent="0.25">
      <c r="A1359" s="170">
        <v>44011</v>
      </c>
      <c r="B1359" s="116">
        <v>744.55</v>
      </c>
      <c r="C1359" s="116">
        <v>731.45</v>
      </c>
      <c r="D1359" s="116">
        <v>730</v>
      </c>
      <c r="E1359" s="116">
        <v>738.75</v>
      </c>
      <c r="F1359" s="116">
        <v>731.45</v>
      </c>
      <c r="G1359">
        <v>327676</v>
      </c>
      <c r="H1359" s="116"/>
      <c r="I1359" s="116"/>
      <c r="L1359" s="170">
        <v>44011</v>
      </c>
      <c r="M1359" s="116">
        <v>731.75</v>
      </c>
      <c r="N1359" s="116">
        <v>744.7</v>
      </c>
      <c r="O1359" s="116">
        <v>730.1</v>
      </c>
      <c r="P1359" s="116">
        <v>735.4</v>
      </c>
      <c r="Q1359" s="116">
        <v>731.75</v>
      </c>
      <c r="R1359">
        <v>8954490</v>
      </c>
    </row>
    <row r="1360" spans="1:18" x14ac:dyDescent="0.25">
      <c r="A1360" s="170">
        <v>44012</v>
      </c>
      <c r="B1360" s="116">
        <v>739</v>
      </c>
      <c r="C1360" s="116">
        <v>735.9</v>
      </c>
      <c r="D1360" s="116">
        <v>724.5</v>
      </c>
      <c r="E1360" s="116">
        <v>734.4</v>
      </c>
      <c r="F1360" s="116">
        <v>735.9</v>
      </c>
      <c r="G1360">
        <v>203743</v>
      </c>
      <c r="H1360" s="116"/>
      <c r="I1360" s="116"/>
      <c r="L1360" s="170">
        <v>44012</v>
      </c>
      <c r="M1360" s="116">
        <v>735.95</v>
      </c>
      <c r="N1360" s="116">
        <v>738.95</v>
      </c>
      <c r="O1360" s="116">
        <v>724.25</v>
      </c>
      <c r="P1360" s="116">
        <v>732.8</v>
      </c>
      <c r="Q1360" s="116">
        <v>735.95</v>
      </c>
      <c r="R1360">
        <v>10411347</v>
      </c>
    </row>
    <row r="1361" spans="1:18" x14ac:dyDescent="0.25">
      <c r="A1361" s="170">
        <v>44013</v>
      </c>
      <c r="B1361" s="116">
        <v>742.05</v>
      </c>
      <c r="C1361" s="116">
        <v>732.5</v>
      </c>
      <c r="D1361" s="116">
        <v>730</v>
      </c>
      <c r="E1361" s="116">
        <v>736</v>
      </c>
      <c r="F1361" s="116">
        <v>732.5</v>
      </c>
      <c r="G1361">
        <v>363835</v>
      </c>
      <c r="H1361" s="116"/>
      <c r="I1361" s="116"/>
      <c r="L1361" s="170">
        <v>44013</v>
      </c>
      <c r="M1361" s="116">
        <v>731.9</v>
      </c>
      <c r="N1361" s="116">
        <v>742.3</v>
      </c>
      <c r="O1361" s="116">
        <v>729.75</v>
      </c>
      <c r="P1361" s="116">
        <v>737.25</v>
      </c>
      <c r="Q1361" s="116">
        <v>731.9</v>
      </c>
      <c r="R1361">
        <v>5477687</v>
      </c>
    </row>
    <row r="1362" spans="1:18" x14ac:dyDescent="0.25">
      <c r="A1362" s="170">
        <v>44014</v>
      </c>
      <c r="B1362" s="116">
        <v>765.05</v>
      </c>
      <c r="C1362" s="116">
        <v>756.3</v>
      </c>
      <c r="D1362" s="116">
        <v>735.8</v>
      </c>
      <c r="E1362" s="116">
        <v>735.8</v>
      </c>
      <c r="F1362" s="116">
        <v>756.3</v>
      </c>
      <c r="G1362">
        <v>534984</v>
      </c>
      <c r="H1362" s="116"/>
      <c r="I1362" s="116"/>
      <c r="L1362" s="170">
        <v>44014</v>
      </c>
      <c r="M1362" s="116">
        <v>756.6</v>
      </c>
      <c r="N1362" s="116">
        <v>765.45</v>
      </c>
      <c r="O1362" s="116">
        <v>735.4</v>
      </c>
      <c r="P1362" s="116">
        <v>737.35</v>
      </c>
      <c r="Q1362" s="116">
        <v>756.6</v>
      </c>
      <c r="R1362">
        <v>17263764</v>
      </c>
    </row>
    <row r="1363" spans="1:18" x14ac:dyDescent="0.25">
      <c r="A1363" s="170">
        <v>44015</v>
      </c>
      <c r="B1363" s="116">
        <v>763.85</v>
      </c>
      <c r="C1363" s="116">
        <v>762.6</v>
      </c>
      <c r="D1363" s="116">
        <v>752.55</v>
      </c>
      <c r="E1363" s="116">
        <v>756.6</v>
      </c>
      <c r="F1363" s="116">
        <v>762.6</v>
      </c>
      <c r="G1363">
        <v>151985</v>
      </c>
      <c r="H1363" s="116"/>
      <c r="I1363" s="116"/>
      <c r="L1363" s="170">
        <v>44015</v>
      </c>
      <c r="M1363" s="116">
        <v>762.7</v>
      </c>
      <c r="N1363" s="116">
        <v>764</v>
      </c>
      <c r="O1363" s="116">
        <v>752.5</v>
      </c>
      <c r="P1363" s="116">
        <v>755</v>
      </c>
      <c r="Q1363" s="116">
        <v>762.7</v>
      </c>
      <c r="R1363">
        <v>7796573</v>
      </c>
    </row>
    <row r="1364" spans="1:18" x14ac:dyDescent="0.25">
      <c r="A1364" s="170">
        <v>44018</v>
      </c>
      <c r="B1364" s="116">
        <v>774.9</v>
      </c>
      <c r="C1364" s="116">
        <v>763.75</v>
      </c>
      <c r="D1364" s="116">
        <v>762</v>
      </c>
      <c r="E1364" s="116">
        <v>765</v>
      </c>
      <c r="F1364" s="116">
        <v>763.75</v>
      </c>
      <c r="G1364">
        <v>441476</v>
      </c>
      <c r="H1364" s="116"/>
      <c r="I1364" s="116"/>
      <c r="L1364" s="170">
        <v>44018</v>
      </c>
      <c r="M1364" s="116">
        <v>764</v>
      </c>
      <c r="N1364" s="116">
        <v>775</v>
      </c>
      <c r="O1364" s="116">
        <v>761.5</v>
      </c>
      <c r="P1364" s="116">
        <v>765.2</v>
      </c>
      <c r="Q1364" s="116">
        <v>764</v>
      </c>
      <c r="R1364">
        <v>8811009</v>
      </c>
    </row>
    <row r="1365" spans="1:18" x14ac:dyDescent="0.25">
      <c r="A1365" s="170">
        <v>44019</v>
      </c>
      <c r="B1365" s="116">
        <v>796.65</v>
      </c>
      <c r="C1365" s="116">
        <v>794.4</v>
      </c>
      <c r="D1365" s="116">
        <v>766.3</v>
      </c>
      <c r="E1365" s="116">
        <v>774</v>
      </c>
      <c r="F1365" s="116">
        <v>794.4</v>
      </c>
      <c r="G1365">
        <v>564766</v>
      </c>
      <c r="H1365" s="116"/>
      <c r="I1365" s="116"/>
      <c r="L1365" s="170">
        <v>44019</v>
      </c>
      <c r="M1365" s="116">
        <v>794.15</v>
      </c>
      <c r="N1365" s="116">
        <v>796.95</v>
      </c>
      <c r="O1365" s="116">
        <v>765.55</v>
      </c>
      <c r="P1365" s="116">
        <v>769.4</v>
      </c>
      <c r="Q1365" s="116">
        <v>794.15</v>
      </c>
      <c r="R1365">
        <v>19362666</v>
      </c>
    </row>
    <row r="1366" spans="1:18" x14ac:dyDescent="0.25">
      <c r="A1366" s="170">
        <v>44020</v>
      </c>
      <c r="B1366" s="116">
        <v>786.5</v>
      </c>
      <c r="C1366" s="116">
        <v>774.6</v>
      </c>
      <c r="D1366" s="116">
        <v>772.75</v>
      </c>
      <c r="E1366" s="116">
        <v>786.5</v>
      </c>
      <c r="F1366" s="116">
        <v>774.6</v>
      </c>
      <c r="G1366">
        <v>212793</v>
      </c>
      <c r="H1366" s="116"/>
      <c r="I1366" s="116"/>
      <c r="L1366" s="170">
        <v>44020</v>
      </c>
      <c r="M1366" s="116">
        <v>774.7</v>
      </c>
      <c r="N1366" s="116">
        <v>784.9</v>
      </c>
      <c r="O1366" s="116">
        <v>772.2</v>
      </c>
      <c r="P1366" s="116">
        <v>784.9</v>
      </c>
      <c r="Q1366" s="116">
        <v>774.7</v>
      </c>
      <c r="R1366">
        <v>8476675</v>
      </c>
    </row>
    <row r="1367" spans="1:18" x14ac:dyDescent="0.25">
      <c r="A1367" s="170">
        <v>44021</v>
      </c>
      <c r="B1367" s="116">
        <v>789.85</v>
      </c>
      <c r="C1367" s="116">
        <v>781.55</v>
      </c>
      <c r="D1367" s="116">
        <v>775.1</v>
      </c>
      <c r="E1367" s="116">
        <v>778</v>
      </c>
      <c r="F1367" s="116">
        <v>781.55</v>
      </c>
      <c r="G1367">
        <v>186954</v>
      </c>
      <c r="H1367" s="116"/>
      <c r="I1367" s="116"/>
      <c r="L1367" s="170">
        <v>44021</v>
      </c>
      <c r="M1367" s="116">
        <v>781.7</v>
      </c>
      <c r="N1367" s="116">
        <v>790</v>
      </c>
      <c r="O1367" s="116">
        <v>775</v>
      </c>
      <c r="P1367" s="116">
        <v>780</v>
      </c>
      <c r="Q1367" s="116">
        <v>781.7</v>
      </c>
      <c r="R1367">
        <v>6854196</v>
      </c>
    </row>
    <row r="1368" spans="1:18" x14ac:dyDescent="0.25">
      <c r="A1368" s="170">
        <v>44022</v>
      </c>
      <c r="B1368" s="116">
        <v>789.35</v>
      </c>
      <c r="C1368" s="116">
        <v>781.8</v>
      </c>
      <c r="D1368" s="116">
        <v>772</v>
      </c>
      <c r="E1368" s="116">
        <v>772</v>
      </c>
      <c r="F1368" s="116">
        <v>781.8</v>
      </c>
      <c r="G1368">
        <v>220696</v>
      </c>
      <c r="H1368" s="116"/>
      <c r="I1368" s="116"/>
      <c r="L1368" s="170">
        <v>44022</v>
      </c>
      <c r="M1368" s="116">
        <v>781.85</v>
      </c>
      <c r="N1368" s="116">
        <v>789.9</v>
      </c>
      <c r="O1368" s="116">
        <v>773.5</v>
      </c>
      <c r="P1368" s="116">
        <v>773.5</v>
      </c>
      <c r="Q1368" s="116">
        <v>781.85</v>
      </c>
      <c r="R1368">
        <v>5206452</v>
      </c>
    </row>
    <row r="1369" spans="1:18" x14ac:dyDescent="0.25">
      <c r="A1369" s="170">
        <v>44025</v>
      </c>
      <c r="B1369" s="116">
        <v>804.9</v>
      </c>
      <c r="C1369" s="116">
        <v>796.7</v>
      </c>
      <c r="D1369" s="116">
        <v>787.55</v>
      </c>
      <c r="E1369" s="116">
        <v>790</v>
      </c>
      <c r="F1369" s="116">
        <v>796.7</v>
      </c>
      <c r="G1369">
        <v>275987</v>
      </c>
      <c r="H1369" s="116"/>
      <c r="I1369" s="116"/>
      <c r="L1369" s="170">
        <v>44025</v>
      </c>
      <c r="M1369" s="116">
        <v>797.05</v>
      </c>
      <c r="N1369" s="116">
        <v>805.35</v>
      </c>
      <c r="O1369" s="116">
        <v>786.05</v>
      </c>
      <c r="P1369" s="116">
        <v>788</v>
      </c>
      <c r="Q1369" s="116">
        <v>797.05</v>
      </c>
      <c r="R1369">
        <v>10804911</v>
      </c>
    </row>
    <row r="1370" spans="1:18" x14ac:dyDescent="0.25">
      <c r="A1370" s="170">
        <v>44026</v>
      </c>
      <c r="B1370" s="116">
        <v>806.3</v>
      </c>
      <c r="C1370" s="116">
        <v>783.2</v>
      </c>
      <c r="D1370" s="116">
        <v>781.45</v>
      </c>
      <c r="E1370" s="116">
        <v>795.65</v>
      </c>
      <c r="F1370" s="116">
        <v>783.2</v>
      </c>
      <c r="G1370">
        <v>367334</v>
      </c>
      <c r="H1370" s="116"/>
      <c r="I1370" s="116"/>
      <c r="L1370" s="170">
        <v>44026</v>
      </c>
      <c r="M1370" s="116">
        <v>783.25</v>
      </c>
      <c r="N1370" s="116">
        <v>806.4</v>
      </c>
      <c r="O1370" s="116">
        <v>781.35</v>
      </c>
      <c r="P1370" s="116">
        <v>792.95</v>
      </c>
      <c r="Q1370" s="116">
        <v>783.25</v>
      </c>
      <c r="R1370">
        <v>8961822</v>
      </c>
    </row>
    <row r="1371" spans="1:18" x14ac:dyDescent="0.25">
      <c r="A1371" s="170">
        <v>44027</v>
      </c>
      <c r="B1371" s="116">
        <v>848</v>
      </c>
      <c r="C1371" s="116">
        <v>831.45</v>
      </c>
      <c r="D1371" s="116">
        <v>795.35</v>
      </c>
      <c r="E1371" s="116">
        <v>796.9</v>
      </c>
      <c r="F1371" s="116">
        <v>831.45</v>
      </c>
      <c r="G1371">
        <v>1272970</v>
      </c>
      <c r="H1371" s="116"/>
      <c r="I1371" s="116"/>
      <c r="L1371" s="170">
        <v>44027</v>
      </c>
      <c r="M1371" s="116">
        <v>830.95</v>
      </c>
      <c r="N1371" s="116">
        <v>848.45</v>
      </c>
      <c r="O1371" s="116">
        <v>794.8</v>
      </c>
      <c r="P1371" s="116">
        <v>799</v>
      </c>
      <c r="Q1371" s="116">
        <v>830.95</v>
      </c>
      <c r="R1371">
        <v>30060998</v>
      </c>
    </row>
    <row r="1372" spans="1:18" x14ac:dyDescent="0.25">
      <c r="A1372" s="170">
        <v>44028</v>
      </c>
      <c r="B1372" s="116">
        <v>952</v>
      </c>
      <c r="C1372" s="116">
        <v>910.9</v>
      </c>
      <c r="D1372" s="116">
        <v>890</v>
      </c>
      <c r="E1372" s="116">
        <v>900</v>
      </c>
      <c r="F1372" s="116">
        <v>910.9</v>
      </c>
      <c r="G1372">
        <v>3327650</v>
      </c>
      <c r="H1372" s="116"/>
      <c r="I1372" s="116"/>
      <c r="L1372" s="170">
        <v>44028</v>
      </c>
      <c r="M1372" s="116">
        <v>911</v>
      </c>
      <c r="N1372" s="116">
        <v>955.5</v>
      </c>
      <c r="O1372" s="116">
        <v>894.25</v>
      </c>
      <c r="P1372" s="116">
        <v>900.1</v>
      </c>
      <c r="Q1372" s="116">
        <v>911</v>
      </c>
      <c r="R1372">
        <v>90433393</v>
      </c>
    </row>
    <row r="1373" spans="1:18" x14ac:dyDescent="0.25">
      <c r="A1373" s="170">
        <v>44029</v>
      </c>
      <c r="B1373" s="116">
        <v>920</v>
      </c>
      <c r="C1373" s="116">
        <v>904</v>
      </c>
      <c r="D1373" s="116">
        <v>892.2</v>
      </c>
      <c r="E1373" s="116">
        <v>911</v>
      </c>
      <c r="F1373" s="116">
        <v>904</v>
      </c>
      <c r="G1373">
        <v>1728207</v>
      </c>
      <c r="H1373" s="116"/>
      <c r="I1373" s="116"/>
      <c r="L1373" s="170">
        <v>44029</v>
      </c>
      <c r="M1373" s="116">
        <v>903.15</v>
      </c>
      <c r="N1373" s="116">
        <v>919.9</v>
      </c>
      <c r="O1373" s="116">
        <v>892.15</v>
      </c>
      <c r="P1373" s="116">
        <v>911</v>
      </c>
      <c r="Q1373" s="116">
        <v>903.15</v>
      </c>
      <c r="R1373">
        <v>31682904</v>
      </c>
    </row>
    <row r="1374" spans="1:18" x14ac:dyDescent="0.25">
      <c r="A1374" s="170">
        <v>44032</v>
      </c>
      <c r="B1374" s="116">
        <v>945</v>
      </c>
      <c r="C1374" s="116">
        <v>933.55</v>
      </c>
      <c r="D1374" s="116">
        <v>904</v>
      </c>
      <c r="E1374" s="116">
        <v>904</v>
      </c>
      <c r="F1374" s="116">
        <v>933.55</v>
      </c>
      <c r="G1374">
        <v>797602</v>
      </c>
      <c r="H1374" s="116"/>
      <c r="I1374" s="116"/>
      <c r="L1374" s="170">
        <v>44032</v>
      </c>
      <c r="M1374" s="116">
        <v>934.3</v>
      </c>
      <c r="N1374" s="116">
        <v>945</v>
      </c>
      <c r="O1374" s="116">
        <v>906.75</v>
      </c>
      <c r="P1374" s="116">
        <v>908.5</v>
      </c>
      <c r="Q1374" s="116">
        <v>934.3</v>
      </c>
      <c r="R1374">
        <v>18421083</v>
      </c>
    </row>
    <row r="1375" spans="1:18" x14ac:dyDescent="0.25">
      <c r="A1375" s="170">
        <v>44033</v>
      </c>
      <c r="B1375" s="116">
        <v>949.4</v>
      </c>
      <c r="C1375" s="116">
        <v>936.7</v>
      </c>
      <c r="D1375" s="116">
        <v>929.35</v>
      </c>
      <c r="E1375" s="116">
        <v>945.9</v>
      </c>
      <c r="F1375" s="116">
        <v>936.7</v>
      </c>
      <c r="G1375">
        <v>858147</v>
      </c>
      <c r="H1375" s="116"/>
      <c r="I1375" s="116"/>
      <c r="L1375" s="170">
        <v>44033</v>
      </c>
      <c r="M1375" s="116">
        <v>936.75</v>
      </c>
      <c r="N1375" s="116">
        <v>949.7</v>
      </c>
      <c r="O1375" s="116">
        <v>929.2</v>
      </c>
      <c r="P1375" s="116">
        <v>945</v>
      </c>
      <c r="Q1375" s="116">
        <v>936.75</v>
      </c>
      <c r="R1375">
        <v>12877814</v>
      </c>
    </row>
    <row r="1376" spans="1:18" x14ac:dyDescent="0.25">
      <c r="A1376" s="170">
        <v>44034</v>
      </c>
      <c r="B1376" s="116">
        <v>940</v>
      </c>
      <c r="C1376" s="116">
        <v>919.4</v>
      </c>
      <c r="D1376" s="116">
        <v>911.55</v>
      </c>
      <c r="E1376" s="116">
        <v>940</v>
      </c>
      <c r="F1376" s="116">
        <v>919.4</v>
      </c>
      <c r="G1376">
        <v>481341</v>
      </c>
      <c r="H1376" s="116"/>
      <c r="I1376" s="116"/>
      <c r="L1376" s="170">
        <v>44034</v>
      </c>
      <c r="M1376" s="116">
        <v>917.9</v>
      </c>
      <c r="N1376" s="116">
        <v>939</v>
      </c>
      <c r="O1376" s="116">
        <v>910</v>
      </c>
      <c r="P1376" s="116">
        <v>938.95</v>
      </c>
      <c r="Q1376" s="116">
        <v>917.9</v>
      </c>
      <c r="R1376">
        <v>14354421</v>
      </c>
    </row>
    <row r="1377" spans="1:18" x14ac:dyDescent="0.25">
      <c r="A1377" s="170">
        <v>44035</v>
      </c>
      <c r="B1377" s="116">
        <v>916.55</v>
      </c>
      <c r="C1377" s="116">
        <v>908.85</v>
      </c>
      <c r="D1377" s="116">
        <v>900.65</v>
      </c>
      <c r="E1377" s="116">
        <v>916</v>
      </c>
      <c r="F1377" s="116">
        <v>908.85</v>
      </c>
      <c r="G1377">
        <v>790412</v>
      </c>
      <c r="H1377" s="116"/>
      <c r="I1377" s="116"/>
      <c r="L1377" s="170">
        <v>44035</v>
      </c>
      <c r="M1377" s="116">
        <v>907.95</v>
      </c>
      <c r="N1377" s="116">
        <v>915.8</v>
      </c>
      <c r="O1377" s="116">
        <v>900.65</v>
      </c>
      <c r="P1377" s="116">
        <v>915.65</v>
      </c>
      <c r="Q1377" s="116">
        <v>907.95</v>
      </c>
      <c r="R1377">
        <v>13052804</v>
      </c>
    </row>
    <row r="1378" spans="1:18" x14ac:dyDescent="0.25">
      <c r="A1378" s="170">
        <v>44036</v>
      </c>
      <c r="B1378" s="116">
        <v>925.35</v>
      </c>
      <c r="C1378" s="116">
        <v>922.6</v>
      </c>
      <c r="D1378" s="116">
        <v>903.95</v>
      </c>
      <c r="E1378" s="116">
        <v>904.7</v>
      </c>
      <c r="F1378" s="116">
        <v>922.6</v>
      </c>
      <c r="G1378">
        <v>845525</v>
      </c>
      <c r="H1378" s="116"/>
      <c r="I1378" s="116"/>
      <c r="L1378" s="170">
        <v>44036</v>
      </c>
      <c r="M1378" s="116">
        <v>922.85</v>
      </c>
      <c r="N1378" s="116">
        <v>925.75</v>
      </c>
      <c r="O1378" s="116">
        <v>903.25</v>
      </c>
      <c r="P1378" s="116">
        <v>903.25</v>
      </c>
      <c r="Q1378" s="116">
        <v>922.85</v>
      </c>
      <c r="R1378">
        <v>18209670</v>
      </c>
    </row>
    <row r="1379" spans="1:18" x14ac:dyDescent="0.25">
      <c r="A1379" s="170">
        <v>44039</v>
      </c>
      <c r="B1379" s="116">
        <v>952.45</v>
      </c>
      <c r="C1379" s="116">
        <v>947.95</v>
      </c>
      <c r="D1379" s="116">
        <v>918.6</v>
      </c>
      <c r="E1379" s="116">
        <v>922.45</v>
      </c>
      <c r="F1379" s="116">
        <v>947.95</v>
      </c>
      <c r="G1379">
        <v>548113</v>
      </c>
      <c r="H1379" s="116"/>
      <c r="I1379" s="116"/>
      <c r="L1379" s="170">
        <v>44039</v>
      </c>
      <c r="M1379" s="116">
        <v>948.45</v>
      </c>
      <c r="N1379" s="116">
        <v>952.8</v>
      </c>
      <c r="O1379" s="116">
        <v>918.65</v>
      </c>
      <c r="P1379" s="116">
        <v>921.55</v>
      </c>
      <c r="Q1379" s="116">
        <v>948.45</v>
      </c>
      <c r="R1379">
        <v>16828218</v>
      </c>
    </row>
    <row r="1380" spans="1:18" x14ac:dyDescent="0.25">
      <c r="A1380" s="170">
        <v>44040</v>
      </c>
      <c r="B1380" s="116">
        <v>967.2</v>
      </c>
      <c r="C1380" s="116">
        <v>962.75</v>
      </c>
      <c r="D1380" s="116">
        <v>941.9</v>
      </c>
      <c r="E1380" s="116">
        <v>947.95</v>
      </c>
      <c r="F1380" s="116">
        <v>962.75</v>
      </c>
      <c r="G1380">
        <v>652792</v>
      </c>
      <c r="H1380" s="116"/>
      <c r="I1380" s="116"/>
      <c r="L1380" s="170">
        <v>44040</v>
      </c>
      <c r="M1380" s="116">
        <v>962.85</v>
      </c>
      <c r="N1380" s="116">
        <v>967.55</v>
      </c>
      <c r="O1380" s="116">
        <v>941.2</v>
      </c>
      <c r="P1380" s="116">
        <v>946</v>
      </c>
      <c r="Q1380" s="116">
        <v>962.85</v>
      </c>
      <c r="R1380">
        <v>15819466</v>
      </c>
    </row>
    <row r="1381" spans="1:18" x14ac:dyDescent="0.25">
      <c r="A1381" s="170">
        <v>44041</v>
      </c>
      <c r="B1381" s="116">
        <v>959.6</v>
      </c>
      <c r="C1381" s="116">
        <v>953.85</v>
      </c>
      <c r="D1381" s="116">
        <v>943.75</v>
      </c>
      <c r="E1381" s="116">
        <v>953.45</v>
      </c>
      <c r="F1381" s="116">
        <v>953.85</v>
      </c>
      <c r="G1381">
        <v>519229</v>
      </c>
      <c r="H1381" s="116"/>
      <c r="I1381" s="116"/>
      <c r="L1381" s="170">
        <v>44041</v>
      </c>
      <c r="M1381" s="116">
        <v>954.15</v>
      </c>
      <c r="N1381" s="116">
        <v>960</v>
      </c>
      <c r="O1381" s="116">
        <v>943.6</v>
      </c>
      <c r="P1381" s="116">
        <v>953.25</v>
      </c>
      <c r="Q1381" s="116">
        <v>954.15</v>
      </c>
      <c r="R1381">
        <v>11152710</v>
      </c>
    </row>
    <row r="1382" spans="1:18" x14ac:dyDescent="0.25">
      <c r="A1382" s="170">
        <v>44042</v>
      </c>
      <c r="B1382" s="116">
        <v>972.5</v>
      </c>
      <c r="C1382" s="116">
        <v>961.85</v>
      </c>
      <c r="D1382" s="116">
        <v>958.65</v>
      </c>
      <c r="E1382" s="116">
        <v>960</v>
      </c>
      <c r="F1382" s="116">
        <v>961.85</v>
      </c>
      <c r="G1382">
        <v>569279</v>
      </c>
      <c r="H1382" s="116"/>
      <c r="I1382" s="116"/>
      <c r="L1382" s="170">
        <v>44042</v>
      </c>
      <c r="M1382" s="116">
        <v>961.45</v>
      </c>
      <c r="N1382" s="116">
        <v>972.65</v>
      </c>
      <c r="O1382" s="116">
        <v>958.75</v>
      </c>
      <c r="P1382" s="116">
        <v>962</v>
      </c>
      <c r="Q1382" s="116">
        <v>961.45</v>
      </c>
      <c r="R1382">
        <v>12492569</v>
      </c>
    </row>
    <row r="1383" spans="1:18" x14ac:dyDescent="0.25">
      <c r="A1383" s="170">
        <v>44043</v>
      </c>
      <c r="B1383" s="116">
        <v>986</v>
      </c>
      <c r="C1383" s="116">
        <v>966.25</v>
      </c>
      <c r="D1383" s="116">
        <v>953.4</v>
      </c>
      <c r="E1383" s="116">
        <v>965</v>
      </c>
      <c r="F1383" s="116">
        <v>966.25</v>
      </c>
      <c r="G1383">
        <v>685429</v>
      </c>
      <c r="H1383" s="116"/>
      <c r="I1383" s="116"/>
      <c r="L1383" s="170">
        <v>44043</v>
      </c>
      <c r="M1383" s="116">
        <v>966</v>
      </c>
      <c r="N1383" s="116">
        <v>986.45</v>
      </c>
      <c r="O1383" s="116">
        <v>953.3</v>
      </c>
      <c r="P1383" s="116">
        <v>969.25</v>
      </c>
      <c r="Q1383" s="116">
        <v>966</v>
      </c>
      <c r="R1383">
        <v>12704359</v>
      </c>
    </row>
    <row r="1384" spans="1:18" x14ac:dyDescent="0.25">
      <c r="A1384" s="170">
        <v>44046</v>
      </c>
      <c r="B1384" s="116">
        <v>965</v>
      </c>
      <c r="C1384" s="116">
        <v>957.35</v>
      </c>
      <c r="D1384" s="116">
        <v>947.75</v>
      </c>
      <c r="E1384" s="116">
        <v>962.8</v>
      </c>
      <c r="F1384" s="116">
        <v>957.35</v>
      </c>
      <c r="G1384">
        <v>292771</v>
      </c>
      <c r="H1384" s="116"/>
      <c r="I1384" s="116"/>
      <c r="L1384" s="170">
        <v>44046</v>
      </c>
      <c r="M1384" s="116">
        <v>956.9</v>
      </c>
      <c r="N1384" s="116">
        <v>965.4</v>
      </c>
      <c r="O1384" s="116">
        <v>947.45</v>
      </c>
      <c r="P1384" s="116">
        <v>960</v>
      </c>
      <c r="Q1384" s="116">
        <v>956.9</v>
      </c>
      <c r="R1384">
        <v>8480166</v>
      </c>
    </row>
    <row r="1385" spans="1:18" x14ac:dyDescent="0.25">
      <c r="A1385" s="170">
        <v>44047</v>
      </c>
      <c r="B1385" s="116">
        <v>970</v>
      </c>
      <c r="C1385" s="116">
        <v>950.1</v>
      </c>
      <c r="D1385" s="116">
        <v>941.05</v>
      </c>
      <c r="E1385" s="116">
        <v>959.7</v>
      </c>
      <c r="F1385" s="116">
        <v>950.1</v>
      </c>
      <c r="G1385">
        <v>353882</v>
      </c>
      <c r="H1385" s="116"/>
      <c r="I1385" s="116"/>
      <c r="L1385" s="170">
        <v>44047</v>
      </c>
      <c r="M1385" s="116">
        <v>949.85</v>
      </c>
      <c r="N1385" s="116">
        <v>970.7</v>
      </c>
      <c r="O1385" s="116">
        <v>940.55</v>
      </c>
      <c r="P1385" s="116">
        <v>960.45</v>
      </c>
      <c r="Q1385" s="116">
        <v>949.85</v>
      </c>
      <c r="R1385">
        <v>11133259</v>
      </c>
    </row>
    <row r="1386" spans="1:18" x14ac:dyDescent="0.25">
      <c r="A1386" s="170">
        <v>44048</v>
      </c>
      <c r="B1386" s="116">
        <v>960.65</v>
      </c>
      <c r="C1386" s="116">
        <v>944.6</v>
      </c>
      <c r="D1386" s="116">
        <v>938.5</v>
      </c>
      <c r="E1386" s="116">
        <v>950.25</v>
      </c>
      <c r="F1386" s="116">
        <v>944.6</v>
      </c>
      <c r="G1386">
        <v>533690</v>
      </c>
      <c r="H1386" s="116"/>
      <c r="I1386" s="116"/>
      <c r="L1386" s="170">
        <v>44048</v>
      </c>
      <c r="M1386" s="116">
        <v>944.7</v>
      </c>
      <c r="N1386" s="116">
        <v>960.95</v>
      </c>
      <c r="O1386" s="116">
        <v>938.3</v>
      </c>
      <c r="P1386" s="116">
        <v>952</v>
      </c>
      <c r="Q1386" s="116">
        <v>944.7</v>
      </c>
      <c r="R1386">
        <v>9616176</v>
      </c>
    </row>
    <row r="1387" spans="1:18" x14ac:dyDescent="0.25">
      <c r="A1387" s="170">
        <v>44049</v>
      </c>
      <c r="B1387" s="116">
        <v>974.55</v>
      </c>
      <c r="C1387" s="116">
        <v>969.2</v>
      </c>
      <c r="D1387" s="116">
        <v>942.75</v>
      </c>
      <c r="E1387" s="116">
        <v>950</v>
      </c>
      <c r="F1387" s="116">
        <v>969.2</v>
      </c>
      <c r="G1387">
        <v>585867</v>
      </c>
      <c r="H1387" s="116"/>
      <c r="I1387" s="116"/>
      <c r="L1387" s="170">
        <v>44049</v>
      </c>
      <c r="M1387" s="116">
        <v>970.85</v>
      </c>
      <c r="N1387" s="116">
        <v>974.4</v>
      </c>
      <c r="O1387" s="116">
        <v>942.5</v>
      </c>
      <c r="P1387" s="116">
        <v>953.5</v>
      </c>
      <c r="Q1387" s="116">
        <v>970.85</v>
      </c>
      <c r="R1387">
        <v>10976523</v>
      </c>
    </row>
    <row r="1388" spans="1:18" x14ac:dyDescent="0.25">
      <c r="A1388" s="170">
        <v>44050</v>
      </c>
      <c r="B1388" s="116">
        <v>970.85</v>
      </c>
      <c r="C1388" s="116">
        <v>950.75</v>
      </c>
      <c r="D1388" s="116">
        <v>949</v>
      </c>
      <c r="E1388" s="116">
        <v>970.85</v>
      </c>
      <c r="F1388" s="116">
        <v>950.75</v>
      </c>
      <c r="G1388">
        <v>440768</v>
      </c>
      <c r="H1388" s="116"/>
      <c r="I1388" s="116"/>
      <c r="L1388" s="170">
        <v>44050</v>
      </c>
      <c r="M1388" s="116">
        <v>950.9</v>
      </c>
      <c r="N1388" s="116">
        <v>969.45</v>
      </c>
      <c r="O1388" s="116">
        <v>949</v>
      </c>
      <c r="P1388" s="116">
        <v>969.45</v>
      </c>
      <c r="Q1388" s="116">
        <v>950.9</v>
      </c>
      <c r="R1388">
        <v>8010973</v>
      </c>
    </row>
    <row r="1389" spans="1:18" x14ac:dyDescent="0.25">
      <c r="A1389" s="170">
        <v>44053</v>
      </c>
      <c r="B1389" s="116">
        <v>956.65</v>
      </c>
      <c r="C1389" s="116">
        <v>951.1</v>
      </c>
      <c r="D1389" s="116">
        <v>945.6</v>
      </c>
      <c r="E1389" s="116">
        <v>950.75</v>
      </c>
      <c r="F1389" s="116">
        <v>951.1</v>
      </c>
      <c r="G1389">
        <v>541207</v>
      </c>
      <c r="H1389" s="116"/>
      <c r="I1389" s="116"/>
      <c r="L1389" s="170">
        <v>44053</v>
      </c>
      <c r="M1389" s="116">
        <v>951.35</v>
      </c>
      <c r="N1389" s="116">
        <v>956.8</v>
      </c>
      <c r="O1389" s="116">
        <v>945.3</v>
      </c>
      <c r="P1389" s="116">
        <v>948.9</v>
      </c>
      <c r="Q1389" s="116">
        <v>951.35</v>
      </c>
      <c r="R1389">
        <v>5716472</v>
      </c>
    </row>
    <row r="1390" spans="1:18" x14ac:dyDescent="0.25">
      <c r="A1390" s="170">
        <v>44054</v>
      </c>
      <c r="B1390" s="116">
        <v>961.95</v>
      </c>
      <c r="C1390" s="116">
        <v>948.2</v>
      </c>
      <c r="D1390" s="116">
        <v>946.35</v>
      </c>
      <c r="E1390" s="116">
        <v>951.95</v>
      </c>
      <c r="F1390" s="116">
        <v>948.2</v>
      </c>
      <c r="G1390">
        <v>504482</v>
      </c>
      <c r="H1390" s="116"/>
      <c r="I1390" s="116"/>
      <c r="L1390" s="170">
        <v>44054</v>
      </c>
      <c r="M1390" s="116">
        <v>948.45</v>
      </c>
      <c r="N1390" s="116">
        <v>962</v>
      </c>
      <c r="O1390" s="116">
        <v>946.1</v>
      </c>
      <c r="P1390" s="116">
        <v>949.9</v>
      </c>
      <c r="Q1390" s="116">
        <v>948.45</v>
      </c>
      <c r="R1390">
        <v>6802508</v>
      </c>
    </row>
    <row r="1391" spans="1:18" x14ac:dyDescent="0.25">
      <c r="A1391" s="170">
        <v>44055</v>
      </c>
      <c r="B1391" s="116">
        <v>958.75</v>
      </c>
      <c r="C1391" s="116">
        <v>955.35</v>
      </c>
      <c r="D1391" s="116">
        <v>942.3</v>
      </c>
      <c r="E1391" s="116">
        <v>950.5</v>
      </c>
      <c r="F1391" s="116">
        <v>955.35</v>
      </c>
      <c r="G1391">
        <v>277192</v>
      </c>
      <c r="H1391" s="116"/>
      <c r="I1391" s="116"/>
      <c r="L1391" s="170">
        <v>44055</v>
      </c>
      <c r="M1391" s="116">
        <v>954.95</v>
      </c>
      <c r="N1391" s="116">
        <v>958.8</v>
      </c>
      <c r="O1391" s="116">
        <v>942.2</v>
      </c>
      <c r="P1391" s="116">
        <v>948</v>
      </c>
      <c r="Q1391" s="116">
        <v>954.95</v>
      </c>
      <c r="R1391">
        <v>6908732</v>
      </c>
    </row>
    <row r="1392" spans="1:18" x14ac:dyDescent="0.25">
      <c r="A1392" s="170">
        <v>44056</v>
      </c>
      <c r="B1392" s="116">
        <v>968</v>
      </c>
      <c r="C1392" s="116">
        <v>951.25</v>
      </c>
      <c r="D1392" s="116">
        <v>948.8</v>
      </c>
      <c r="E1392" s="116">
        <v>955.35</v>
      </c>
      <c r="F1392" s="116">
        <v>951.25</v>
      </c>
      <c r="G1392">
        <v>265916</v>
      </c>
      <c r="H1392" s="116"/>
      <c r="I1392" s="116"/>
      <c r="L1392" s="170">
        <v>44056</v>
      </c>
      <c r="M1392" s="116">
        <v>951.2</v>
      </c>
      <c r="N1392" s="116">
        <v>968.5</v>
      </c>
      <c r="O1392" s="116">
        <v>948.25</v>
      </c>
      <c r="P1392" s="116">
        <v>954.8</v>
      </c>
      <c r="Q1392" s="116">
        <v>951.2</v>
      </c>
      <c r="R1392">
        <v>5097705</v>
      </c>
    </row>
    <row r="1393" spans="1:18" x14ac:dyDescent="0.25">
      <c r="A1393" s="170">
        <v>44057</v>
      </c>
      <c r="B1393" s="116">
        <v>963</v>
      </c>
      <c r="C1393" s="116">
        <v>953.5</v>
      </c>
      <c r="D1393" s="116">
        <v>952</v>
      </c>
      <c r="E1393" s="116">
        <v>955</v>
      </c>
      <c r="F1393" s="116">
        <v>953.5</v>
      </c>
      <c r="G1393">
        <v>484478</v>
      </c>
      <c r="H1393" s="116"/>
      <c r="I1393" s="116"/>
      <c r="L1393" s="170">
        <v>44057</v>
      </c>
      <c r="M1393" s="116">
        <v>953.6</v>
      </c>
      <c r="N1393" s="116">
        <v>963</v>
      </c>
      <c r="O1393" s="116">
        <v>952.05</v>
      </c>
      <c r="P1393" s="116">
        <v>955.85</v>
      </c>
      <c r="Q1393" s="116">
        <v>953.6</v>
      </c>
      <c r="R1393">
        <v>4663873</v>
      </c>
    </row>
    <row r="1394" spans="1:18" x14ac:dyDescent="0.25">
      <c r="A1394" s="170">
        <v>44060</v>
      </c>
      <c r="B1394" s="116">
        <v>972.45</v>
      </c>
      <c r="C1394" s="116">
        <v>957.5</v>
      </c>
      <c r="D1394" s="116">
        <v>953.5</v>
      </c>
      <c r="E1394" s="116">
        <v>953.5</v>
      </c>
      <c r="F1394" s="116">
        <v>957.5</v>
      </c>
      <c r="G1394">
        <v>541115</v>
      </c>
      <c r="H1394" s="116"/>
      <c r="I1394" s="116"/>
      <c r="L1394" s="170">
        <v>44060</v>
      </c>
      <c r="M1394" s="116">
        <v>957.5</v>
      </c>
      <c r="N1394" s="116">
        <v>972.45</v>
      </c>
      <c r="O1394" s="116">
        <v>954.1</v>
      </c>
      <c r="P1394" s="116">
        <v>954.1</v>
      </c>
      <c r="Q1394" s="116">
        <v>957.5</v>
      </c>
      <c r="R1394">
        <v>9008716</v>
      </c>
    </row>
    <row r="1395" spans="1:18" x14ac:dyDescent="0.25">
      <c r="A1395" s="170">
        <v>44061</v>
      </c>
      <c r="B1395" s="116">
        <v>969</v>
      </c>
      <c r="C1395" s="116">
        <v>967.15</v>
      </c>
      <c r="D1395" s="116">
        <v>958.75</v>
      </c>
      <c r="E1395" s="116">
        <v>961.8</v>
      </c>
      <c r="F1395" s="116">
        <v>967.15</v>
      </c>
      <c r="G1395">
        <v>108582</v>
      </c>
      <c r="H1395" s="116"/>
      <c r="I1395" s="116"/>
      <c r="L1395" s="170">
        <v>44061</v>
      </c>
      <c r="M1395" s="116">
        <v>967.55</v>
      </c>
      <c r="N1395" s="116">
        <v>969.2</v>
      </c>
      <c r="O1395" s="116">
        <v>958.7</v>
      </c>
      <c r="P1395" s="116">
        <v>963.9</v>
      </c>
      <c r="Q1395" s="116">
        <v>967.55</v>
      </c>
      <c r="R1395">
        <v>6142171</v>
      </c>
    </row>
    <row r="1396" spans="1:18" x14ac:dyDescent="0.25">
      <c r="A1396" s="170">
        <v>44062</v>
      </c>
      <c r="B1396" s="116">
        <v>971.7</v>
      </c>
      <c r="C1396" s="116">
        <v>959.3</v>
      </c>
      <c r="D1396" s="116">
        <v>958</v>
      </c>
      <c r="E1396" s="116">
        <v>970</v>
      </c>
      <c r="F1396" s="116">
        <v>959.3</v>
      </c>
      <c r="G1396">
        <v>117800</v>
      </c>
      <c r="H1396" s="116"/>
      <c r="I1396" s="116"/>
      <c r="L1396" s="170">
        <v>44062</v>
      </c>
      <c r="M1396" s="116">
        <v>959.3</v>
      </c>
      <c r="N1396" s="116">
        <v>971.55</v>
      </c>
      <c r="O1396" s="116">
        <v>957.45</v>
      </c>
      <c r="P1396" s="116">
        <v>970.9</v>
      </c>
      <c r="Q1396" s="116">
        <v>959.3</v>
      </c>
      <c r="R1396">
        <v>6622744</v>
      </c>
    </row>
    <row r="1397" spans="1:18" x14ac:dyDescent="0.25">
      <c r="A1397" s="170">
        <v>44063</v>
      </c>
      <c r="B1397" s="116">
        <v>965</v>
      </c>
      <c r="C1397" s="116">
        <v>955.05</v>
      </c>
      <c r="D1397" s="116">
        <v>951.25</v>
      </c>
      <c r="E1397" s="116">
        <v>959</v>
      </c>
      <c r="F1397" s="116">
        <v>955.05</v>
      </c>
      <c r="G1397">
        <v>105929</v>
      </c>
      <c r="H1397" s="116"/>
      <c r="I1397" s="116"/>
      <c r="L1397" s="170">
        <v>44063</v>
      </c>
      <c r="M1397" s="116">
        <v>955.15</v>
      </c>
      <c r="N1397" s="116">
        <v>965.5</v>
      </c>
      <c r="O1397" s="116">
        <v>951.3</v>
      </c>
      <c r="P1397" s="116">
        <v>958.9</v>
      </c>
      <c r="Q1397" s="116">
        <v>955.15</v>
      </c>
      <c r="R1397">
        <v>5656667</v>
      </c>
    </row>
    <row r="1398" spans="1:18" x14ac:dyDescent="0.25">
      <c r="A1398" s="170">
        <v>44064</v>
      </c>
      <c r="B1398" s="116">
        <v>963</v>
      </c>
      <c r="C1398" s="116">
        <v>948.85</v>
      </c>
      <c r="D1398" s="116">
        <v>946.7</v>
      </c>
      <c r="E1398" s="116">
        <v>960.1</v>
      </c>
      <c r="F1398" s="116">
        <v>948.85</v>
      </c>
      <c r="G1398">
        <v>96628</v>
      </c>
      <c r="H1398" s="116"/>
      <c r="I1398" s="116"/>
      <c r="L1398" s="170">
        <v>44064</v>
      </c>
      <c r="M1398" s="116">
        <v>948.8</v>
      </c>
      <c r="N1398" s="116">
        <v>963.45</v>
      </c>
      <c r="O1398" s="116">
        <v>946.55</v>
      </c>
      <c r="P1398" s="116">
        <v>963.05</v>
      </c>
      <c r="Q1398" s="116">
        <v>948.8</v>
      </c>
      <c r="R1398">
        <v>6513784</v>
      </c>
    </row>
    <row r="1399" spans="1:18" x14ac:dyDescent="0.25">
      <c r="A1399" s="170">
        <v>44067</v>
      </c>
      <c r="B1399" s="116">
        <v>951.95</v>
      </c>
      <c r="C1399" s="116">
        <v>947.2</v>
      </c>
      <c r="D1399" s="116">
        <v>939.55</v>
      </c>
      <c r="E1399" s="116">
        <v>949.85</v>
      </c>
      <c r="F1399" s="116">
        <v>947.2</v>
      </c>
      <c r="G1399">
        <v>298417</v>
      </c>
      <c r="H1399" s="116"/>
      <c r="I1399" s="116"/>
      <c r="L1399" s="170">
        <v>44067</v>
      </c>
      <c r="M1399" s="116">
        <v>947.4</v>
      </c>
      <c r="N1399" s="116">
        <v>952</v>
      </c>
      <c r="O1399" s="116">
        <v>939.2</v>
      </c>
      <c r="P1399" s="116">
        <v>947</v>
      </c>
      <c r="Q1399" s="116">
        <v>947.4</v>
      </c>
      <c r="R1399">
        <v>5798579</v>
      </c>
    </row>
    <row r="1400" spans="1:18" x14ac:dyDescent="0.25">
      <c r="A1400" s="170">
        <v>44068</v>
      </c>
      <c r="B1400" s="116">
        <v>948.5</v>
      </c>
      <c r="C1400" s="116">
        <v>938.35</v>
      </c>
      <c r="D1400" s="116">
        <v>934.1</v>
      </c>
      <c r="E1400" s="116">
        <v>946.45</v>
      </c>
      <c r="F1400" s="116">
        <v>938.35</v>
      </c>
      <c r="G1400">
        <v>221870</v>
      </c>
      <c r="H1400" s="116"/>
      <c r="I1400" s="116"/>
      <c r="L1400" s="170">
        <v>44068</v>
      </c>
      <c r="M1400" s="116">
        <v>938.1</v>
      </c>
      <c r="N1400" s="116">
        <v>948.65</v>
      </c>
      <c r="O1400" s="116">
        <v>933.6</v>
      </c>
      <c r="P1400" s="116">
        <v>947.5</v>
      </c>
      <c r="Q1400" s="116">
        <v>938.1</v>
      </c>
      <c r="R1400">
        <v>6233923</v>
      </c>
    </row>
    <row r="1401" spans="1:18" x14ac:dyDescent="0.25">
      <c r="A1401" s="170">
        <v>44069</v>
      </c>
      <c r="B1401" s="116">
        <v>954</v>
      </c>
      <c r="C1401" s="116">
        <v>950.8</v>
      </c>
      <c r="D1401" s="116">
        <v>938.55</v>
      </c>
      <c r="E1401" s="116">
        <v>938.55</v>
      </c>
      <c r="F1401" s="116">
        <v>950.8</v>
      </c>
      <c r="G1401">
        <v>328950</v>
      </c>
      <c r="H1401" s="116"/>
      <c r="I1401" s="116"/>
      <c r="L1401" s="170">
        <v>44069</v>
      </c>
      <c r="M1401" s="116">
        <v>950.8</v>
      </c>
      <c r="N1401" s="116">
        <v>954.25</v>
      </c>
      <c r="O1401" s="116">
        <v>938.4</v>
      </c>
      <c r="P1401" s="116">
        <v>941.25</v>
      </c>
      <c r="Q1401" s="116">
        <v>950.8</v>
      </c>
      <c r="R1401">
        <v>5153663</v>
      </c>
    </row>
    <row r="1402" spans="1:18" x14ac:dyDescent="0.25">
      <c r="A1402" s="170">
        <v>44070</v>
      </c>
      <c r="B1402" s="116">
        <v>960.55</v>
      </c>
      <c r="C1402" s="116">
        <v>946.4</v>
      </c>
      <c r="D1402" s="116">
        <v>945.1</v>
      </c>
      <c r="E1402" s="116">
        <v>960</v>
      </c>
      <c r="F1402" s="116">
        <v>946.4</v>
      </c>
      <c r="G1402">
        <v>321931</v>
      </c>
      <c r="H1402" s="116"/>
      <c r="I1402" s="116"/>
      <c r="L1402" s="170">
        <v>44070</v>
      </c>
      <c r="M1402" s="116">
        <v>947.05</v>
      </c>
      <c r="N1402" s="116">
        <v>960.95</v>
      </c>
      <c r="O1402" s="116">
        <v>945.2</v>
      </c>
      <c r="P1402" s="116">
        <v>960</v>
      </c>
      <c r="Q1402" s="116">
        <v>947.05</v>
      </c>
      <c r="R1402">
        <v>6154300</v>
      </c>
    </row>
    <row r="1403" spans="1:18" x14ac:dyDescent="0.25">
      <c r="A1403" s="170">
        <v>44071</v>
      </c>
      <c r="B1403" s="116">
        <v>951.9</v>
      </c>
      <c r="C1403" s="116">
        <v>934.85</v>
      </c>
      <c r="D1403" s="116">
        <v>933.1</v>
      </c>
      <c r="E1403" s="116">
        <v>950.1</v>
      </c>
      <c r="F1403" s="116">
        <v>934.85</v>
      </c>
      <c r="G1403">
        <v>146816</v>
      </c>
      <c r="H1403" s="116"/>
      <c r="I1403" s="116"/>
      <c r="L1403" s="170">
        <v>44071</v>
      </c>
      <c r="M1403" s="116">
        <v>935.25</v>
      </c>
      <c r="N1403" s="116">
        <v>952.5</v>
      </c>
      <c r="O1403" s="116">
        <v>933.05</v>
      </c>
      <c r="P1403" s="116">
        <v>951.45</v>
      </c>
      <c r="Q1403" s="116">
        <v>935.25</v>
      </c>
      <c r="R1403">
        <v>7593988</v>
      </c>
    </row>
    <row r="1404" spans="1:18" x14ac:dyDescent="0.25">
      <c r="A1404" s="170">
        <v>44074</v>
      </c>
      <c r="B1404" s="116">
        <v>950.3</v>
      </c>
      <c r="C1404" s="116">
        <v>928.5</v>
      </c>
      <c r="D1404" s="116">
        <v>915.75</v>
      </c>
      <c r="E1404" s="116">
        <v>935</v>
      </c>
      <c r="F1404" s="116">
        <v>928.5</v>
      </c>
      <c r="G1404">
        <v>242821</v>
      </c>
      <c r="H1404" s="116"/>
      <c r="I1404" s="116"/>
      <c r="L1404" s="170">
        <v>44074</v>
      </c>
      <c r="M1404" s="116">
        <v>928.6</v>
      </c>
      <c r="N1404" s="116">
        <v>950.5</v>
      </c>
      <c r="O1404" s="116">
        <v>914.6</v>
      </c>
      <c r="P1404" s="116">
        <v>935.25</v>
      </c>
      <c r="Q1404" s="116">
        <v>928.6</v>
      </c>
      <c r="R1404">
        <v>12808369</v>
      </c>
    </row>
    <row r="1405" spans="1:18" x14ac:dyDescent="0.25">
      <c r="A1405" s="170">
        <v>44075</v>
      </c>
      <c r="B1405" s="116">
        <v>935</v>
      </c>
      <c r="C1405" s="116">
        <v>914.3</v>
      </c>
      <c r="D1405" s="116">
        <v>912.6</v>
      </c>
      <c r="E1405" s="116">
        <v>925</v>
      </c>
      <c r="F1405" s="116">
        <v>914.3</v>
      </c>
      <c r="G1405">
        <v>131881</v>
      </c>
      <c r="H1405" s="116"/>
      <c r="I1405" s="116"/>
      <c r="L1405" s="170">
        <v>44075</v>
      </c>
      <c r="M1405" s="116">
        <v>914.15</v>
      </c>
      <c r="N1405" s="116">
        <v>935</v>
      </c>
      <c r="O1405" s="116">
        <v>912.1</v>
      </c>
      <c r="P1405" s="116">
        <v>926.25</v>
      </c>
      <c r="Q1405" s="116">
        <v>914.15</v>
      </c>
      <c r="R1405">
        <v>6907783</v>
      </c>
    </row>
    <row r="1406" spans="1:18" x14ac:dyDescent="0.25">
      <c r="A1406" s="170">
        <v>44076</v>
      </c>
      <c r="B1406" s="116">
        <v>926.1</v>
      </c>
      <c r="C1406" s="116">
        <v>924.05</v>
      </c>
      <c r="D1406" s="116">
        <v>914.3</v>
      </c>
      <c r="E1406" s="116">
        <v>917.9</v>
      </c>
      <c r="F1406" s="116">
        <v>924.05</v>
      </c>
      <c r="G1406">
        <v>1627215</v>
      </c>
      <c r="H1406" s="116"/>
      <c r="I1406" s="116"/>
      <c r="L1406" s="170">
        <v>44076</v>
      </c>
      <c r="M1406" s="116">
        <v>924</v>
      </c>
      <c r="N1406" s="116">
        <v>926.4</v>
      </c>
      <c r="O1406" s="116">
        <v>913.5</v>
      </c>
      <c r="P1406" s="116">
        <v>915</v>
      </c>
      <c r="Q1406" s="116">
        <v>924</v>
      </c>
      <c r="R1406">
        <v>5678696</v>
      </c>
    </row>
    <row r="1407" spans="1:18" x14ac:dyDescent="0.25">
      <c r="A1407" s="170">
        <v>44077</v>
      </c>
      <c r="B1407" s="116">
        <v>949.15</v>
      </c>
      <c r="C1407" s="116">
        <v>935.4</v>
      </c>
      <c r="D1407" s="116">
        <v>924</v>
      </c>
      <c r="E1407" s="116">
        <v>925.75</v>
      </c>
      <c r="F1407" s="116">
        <v>935.4</v>
      </c>
      <c r="G1407">
        <v>326429</v>
      </c>
      <c r="H1407" s="116"/>
      <c r="I1407" s="116"/>
      <c r="L1407" s="170">
        <v>44077</v>
      </c>
      <c r="M1407" s="116">
        <v>935.55</v>
      </c>
      <c r="N1407" s="116">
        <v>949.4</v>
      </c>
      <c r="O1407" s="116">
        <v>924</v>
      </c>
      <c r="P1407" s="116">
        <v>926.5</v>
      </c>
      <c r="Q1407" s="116">
        <v>935.55</v>
      </c>
      <c r="R1407">
        <v>8828016</v>
      </c>
    </row>
    <row r="1408" spans="1:18" x14ac:dyDescent="0.25">
      <c r="A1408" s="170">
        <v>44078</v>
      </c>
      <c r="B1408" s="116">
        <v>929.5</v>
      </c>
      <c r="C1408" s="116">
        <v>919.25</v>
      </c>
      <c r="D1408" s="116">
        <v>915.55</v>
      </c>
      <c r="E1408" s="116">
        <v>921.5</v>
      </c>
      <c r="F1408" s="116">
        <v>919.25</v>
      </c>
      <c r="G1408">
        <v>165556</v>
      </c>
      <c r="H1408" s="116"/>
      <c r="I1408" s="116"/>
      <c r="L1408" s="170">
        <v>44078</v>
      </c>
      <c r="M1408" s="116">
        <v>919.15</v>
      </c>
      <c r="N1408" s="116">
        <v>929.5</v>
      </c>
      <c r="O1408" s="116">
        <v>914.45</v>
      </c>
      <c r="P1408" s="116">
        <v>915</v>
      </c>
      <c r="Q1408" s="116">
        <v>919.15</v>
      </c>
      <c r="R1408">
        <v>8650414</v>
      </c>
    </row>
    <row r="1409" spans="1:18" x14ac:dyDescent="0.25">
      <c r="A1409" s="170">
        <v>44081</v>
      </c>
      <c r="B1409" s="116">
        <v>927.5</v>
      </c>
      <c r="C1409" s="116">
        <v>924.65</v>
      </c>
      <c r="D1409" s="116">
        <v>913.7</v>
      </c>
      <c r="E1409" s="116">
        <v>919.25</v>
      </c>
      <c r="F1409" s="116">
        <v>924.65</v>
      </c>
      <c r="G1409">
        <v>177849</v>
      </c>
      <c r="H1409" s="116"/>
      <c r="I1409" s="116"/>
      <c r="L1409" s="170">
        <v>44081</v>
      </c>
      <c r="M1409" s="116">
        <v>925.05</v>
      </c>
      <c r="N1409" s="116">
        <v>927.55</v>
      </c>
      <c r="O1409" s="116">
        <v>913.05</v>
      </c>
      <c r="P1409" s="116">
        <v>918.9</v>
      </c>
      <c r="Q1409" s="116">
        <v>925.05</v>
      </c>
      <c r="R1409">
        <v>6700450</v>
      </c>
    </row>
    <row r="1410" spans="1:18" x14ac:dyDescent="0.25">
      <c r="A1410" s="170">
        <v>44082</v>
      </c>
      <c r="B1410" s="116">
        <v>951.8</v>
      </c>
      <c r="C1410" s="116">
        <v>940.05</v>
      </c>
      <c r="D1410" s="116">
        <v>926.45</v>
      </c>
      <c r="E1410" s="116">
        <v>929.7</v>
      </c>
      <c r="F1410" s="116">
        <v>940.05</v>
      </c>
      <c r="G1410">
        <v>296135</v>
      </c>
      <c r="H1410" s="116"/>
      <c r="I1410" s="116"/>
      <c r="L1410" s="170">
        <v>44082</v>
      </c>
      <c r="M1410" s="116">
        <v>939.3</v>
      </c>
      <c r="N1410" s="116">
        <v>952</v>
      </c>
      <c r="O1410" s="116">
        <v>925.55</v>
      </c>
      <c r="P1410" s="116">
        <v>929.95</v>
      </c>
      <c r="Q1410" s="116">
        <v>939.3</v>
      </c>
      <c r="R1410">
        <v>12892115</v>
      </c>
    </row>
    <row r="1411" spans="1:18" x14ac:dyDescent="0.25">
      <c r="A1411" s="170">
        <v>44083</v>
      </c>
      <c r="B1411" s="116">
        <v>945.7</v>
      </c>
      <c r="C1411" s="116">
        <v>928.3</v>
      </c>
      <c r="D1411" s="116">
        <v>926</v>
      </c>
      <c r="E1411" s="116">
        <v>930</v>
      </c>
      <c r="F1411" s="116">
        <v>928.3</v>
      </c>
      <c r="G1411">
        <v>346359</v>
      </c>
      <c r="H1411" s="116"/>
      <c r="I1411" s="116"/>
      <c r="L1411" s="170">
        <v>44083</v>
      </c>
      <c r="M1411" s="116">
        <v>927.75</v>
      </c>
      <c r="N1411" s="116">
        <v>946</v>
      </c>
      <c r="O1411" s="116">
        <v>926</v>
      </c>
      <c r="P1411" s="116">
        <v>935</v>
      </c>
      <c r="Q1411" s="116">
        <v>927.75</v>
      </c>
      <c r="R1411">
        <v>5529150</v>
      </c>
    </row>
    <row r="1412" spans="1:18" x14ac:dyDescent="0.25">
      <c r="A1412" s="170">
        <v>44084</v>
      </c>
      <c r="B1412" s="116">
        <v>941.5</v>
      </c>
      <c r="C1412" s="116">
        <v>939.95</v>
      </c>
      <c r="D1412" s="116">
        <v>925.2</v>
      </c>
      <c r="E1412" s="116">
        <v>935.9</v>
      </c>
      <c r="F1412" s="116">
        <v>939.95</v>
      </c>
      <c r="G1412">
        <v>229230</v>
      </c>
      <c r="H1412" s="116"/>
      <c r="I1412" s="116"/>
      <c r="L1412" s="170">
        <v>44084</v>
      </c>
      <c r="M1412" s="116">
        <v>940.05</v>
      </c>
      <c r="N1412" s="116">
        <v>942</v>
      </c>
      <c r="O1412" s="116">
        <v>924.8</v>
      </c>
      <c r="P1412" s="116">
        <v>935.3</v>
      </c>
      <c r="Q1412" s="116">
        <v>940.05</v>
      </c>
      <c r="R1412">
        <v>5172091</v>
      </c>
    </row>
    <row r="1413" spans="1:18" x14ac:dyDescent="0.25">
      <c r="A1413" s="170">
        <v>44085</v>
      </c>
      <c r="B1413" s="116">
        <v>953.85</v>
      </c>
      <c r="C1413" s="116">
        <v>945.4</v>
      </c>
      <c r="D1413" s="116">
        <v>931.2</v>
      </c>
      <c r="E1413" s="116">
        <v>936</v>
      </c>
      <c r="F1413" s="116">
        <v>945.4</v>
      </c>
      <c r="G1413">
        <v>151955</v>
      </c>
      <c r="H1413" s="116"/>
      <c r="I1413" s="116"/>
      <c r="L1413" s="170">
        <v>44085</v>
      </c>
      <c r="M1413" s="116">
        <v>945.7</v>
      </c>
      <c r="N1413" s="116">
        <v>954.15</v>
      </c>
      <c r="O1413" s="116">
        <v>931</v>
      </c>
      <c r="P1413" s="116">
        <v>934.9</v>
      </c>
      <c r="Q1413" s="116">
        <v>945.7</v>
      </c>
      <c r="R1413">
        <v>6672082</v>
      </c>
    </row>
    <row r="1414" spans="1:18" x14ac:dyDescent="0.25">
      <c r="A1414" s="170">
        <v>44088</v>
      </c>
      <c r="B1414" s="116">
        <v>991.05</v>
      </c>
      <c r="C1414" s="116">
        <v>977.95</v>
      </c>
      <c r="D1414" s="116">
        <v>948.85</v>
      </c>
      <c r="E1414" s="116">
        <v>949.5</v>
      </c>
      <c r="F1414" s="116">
        <v>977.95</v>
      </c>
      <c r="G1414">
        <v>652772</v>
      </c>
      <c r="H1414" s="116"/>
      <c r="I1414" s="116"/>
      <c r="L1414" s="170">
        <v>44088</v>
      </c>
      <c r="M1414" s="116">
        <v>978.4</v>
      </c>
      <c r="N1414" s="116">
        <v>991.05</v>
      </c>
      <c r="O1414" s="116">
        <v>948.3</v>
      </c>
      <c r="P1414" s="116">
        <v>957</v>
      </c>
      <c r="Q1414" s="116">
        <v>978.4</v>
      </c>
      <c r="R1414">
        <v>21871591</v>
      </c>
    </row>
    <row r="1415" spans="1:18" x14ac:dyDescent="0.25">
      <c r="A1415" s="170">
        <v>44089</v>
      </c>
      <c r="B1415" s="116">
        <v>994</v>
      </c>
      <c r="C1415" s="116">
        <v>981.9</v>
      </c>
      <c r="D1415" s="116">
        <v>972</v>
      </c>
      <c r="E1415" s="116">
        <v>979.95</v>
      </c>
      <c r="F1415" s="116">
        <v>981.9</v>
      </c>
      <c r="G1415">
        <v>232236</v>
      </c>
      <c r="H1415" s="116"/>
      <c r="I1415" s="116"/>
      <c r="L1415" s="170">
        <v>44089</v>
      </c>
      <c r="M1415" s="116">
        <v>982.45</v>
      </c>
      <c r="N1415" s="116">
        <v>994</v>
      </c>
      <c r="O1415" s="116">
        <v>971.65</v>
      </c>
      <c r="P1415" s="116">
        <v>979.5</v>
      </c>
      <c r="Q1415" s="116">
        <v>982.45</v>
      </c>
      <c r="R1415">
        <v>11608223</v>
      </c>
    </row>
    <row r="1416" spans="1:18" x14ac:dyDescent="0.25">
      <c r="A1416" s="170">
        <v>44090</v>
      </c>
      <c r="B1416" s="116">
        <v>1006</v>
      </c>
      <c r="C1416" s="116">
        <v>1001.05</v>
      </c>
      <c r="D1416" s="116">
        <v>982.3</v>
      </c>
      <c r="E1416" s="116">
        <v>990.95</v>
      </c>
      <c r="F1416" s="116">
        <v>1001.05</v>
      </c>
      <c r="G1416">
        <v>1413638</v>
      </c>
      <c r="H1416" s="116"/>
      <c r="I1416" s="116"/>
      <c r="L1416" s="170">
        <v>44090</v>
      </c>
      <c r="M1416" s="116">
        <v>1001.75</v>
      </c>
      <c r="N1416" s="116">
        <v>1005.65</v>
      </c>
      <c r="O1416" s="116">
        <v>982</v>
      </c>
      <c r="P1416" s="116">
        <v>986</v>
      </c>
      <c r="Q1416" s="116">
        <v>1001.75</v>
      </c>
      <c r="R1416">
        <v>10059392</v>
      </c>
    </row>
    <row r="1417" spans="1:18" x14ac:dyDescent="0.25">
      <c r="A1417" s="170">
        <v>44091</v>
      </c>
      <c r="B1417" s="116">
        <v>1020.6</v>
      </c>
      <c r="C1417" s="116">
        <v>1010.65</v>
      </c>
      <c r="D1417" s="116">
        <v>994.65</v>
      </c>
      <c r="E1417" s="116">
        <v>996</v>
      </c>
      <c r="F1417" s="116">
        <v>1010.65</v>
      </c>
      <c r="G1417">
        <v>370943</v>
      </c>
      <c r="H1417" s="116"/>
      <c r="I1417" s="116"/>
      <c r="L1417" s="170">
        <v>44091</v>
      </c>
      <c r="M1417" s="116">
        <v>1011</v>
      </c>
      <c r="N1417" s="116">
        <v>1021</v>
      </c>
      <c r="O1417" s="116">
        <v>995</v>
      </c>
      <c r="P1417" s="116">
        <v>995</v>
      </c>
      <c r="Q1417" s="116">
        <v>1011</v>
      </c>
      <c r="R1417">
        <v>15628308</v>
      </c>
    </row>
    <row r="1418" spans="1:18" x14ac:dyDescent="0.25">
      <c r="A1418" s="170">
        <v>44092</v>
      </c>
      <c r="B1418" s="116">
        <v>1018.6</v>
      </c>
      <c r="C1418" s="116">
        <v>1002.55</v>
      </c>
      <c r="D1418" s="116">
        <v>999</v>
      </c>
      <c r="E1418" s="116">
        <v>1015.95</v>
      </c>
      <c r="F1418" s="116">
        <v>1002.55</v>
      </c>
      <c r="G1418">
        <v>358949</v>
      </c>
      <c r="H1418" s="116"/>
      <c r="I1418" s="116"/>
      <c r="L1418" s="170">
        <v>44092</v>
      </c>
      <c r="M1418" s="116">
        <v>1002.15</v>
      </c>
      <c r="N1418" s="116">
        <v>1018.8</v>
      </c>
      <c r="O1418" s="116">
        <v>999.1</v>
      </c>
      <c r="P1418" s="116">
        <v>1011</v>
      </c>
      <c r="Q1418" s="116">
        <v>1002.15</v>
      </c>
      <c r="R1418">
        <v>12897897</v>
      </c>
    </row>
    <row r="1419" spans="1:18" x14ac:dyDescent="0.25">
      <c r="A1419" s="170">
        <v>44095</v>
      </c>
      <c r="B1419" s="116">
        <v>1030.8</v>
      </c>
      <c r="C1419" s="116">
        <v>1009.3</v>
      </c>
      <c r="D1419" s="116">
        <v>1000</v>
      </c>
      <c r="E1419" s="116">
        <v>1000</v>
      </c>
      <c r="F1419" s="116">
        <v>1009.3</v>
      </c>
      <c r="G1419">
        <v>478960</v>
      </c>
      <c r="H1419" s="116"/>
      <c r="I1419" s="116"/>
      <c r="L1419" s="170">
        <v>44095</v>
      </c>
      <c r="M1419" s="116">
        <v>1009.9</v>
      </c>
      <c r="N1419" s="116">
        <v>1031</v>
      </c>
      <c r="O1419" s="116">
        <v>1000.5</v>
      </c>
      <c r="P1419" s="116">
        <v>1001</v>
      </c>
      <c r="Q1419" s="116">
        <v>1009.9</v>
      </c>
      <c r="R1419">
        <v>14140790</v>
      </c>
    </row>
    <row r="1420" spans="1:18" x14ac:dyDescent="0.25">
      <c r="A1420" s="170">
        <v>44096</v>
      </c>
      <c r="B1420" s="116">
        <v>1022.4</v>
      </c>
      <c r="C1420" s="116">
        <v>1007.2</v>
      </c>
      <c r="D1420" s="116">
        <v>991.5</v>
      </c>
      <c r="E1420" s="116">
        <v>1010.4</v>
      </c>
      <c r="F1420" s="116">
        <v>1007.2</v>
      </c>
      <c r="G1420">
        <v>466321</v>
      </c>
      <c r="H1420" s="116"/>
      <c r="I1420" s="116"/>
      <c r="L1420" s="170">
        <v>44096</v>
      </c>
      <c r="M1420" s="116">
        <v>1007.5</v>
      </c>
      <c r="N1420" s="116">
        <v>1022.5</v>
      </c>
      <c r="O1420" s="116">
        <v>991.2</v>
      </c>
      <c r="P1420" s="116">
        <v>1009</v>
      </c>
      <c r="Q1420" s="116">
        <v>1007.5</v>
      </c>
      <c r="R1420">
        <v>12625775</v>
      </c>
    </row>
    <row r="1421" spans="1:18" x14ac:dyDescent="0.25">
      <c r="A1421" s="170">
        <v>44097</v>
      </c>
      <c r="B1421" s="116">
        <v>1037.0999999999999</v>
      </c>
      <c r="C1421" s="116">
        <v>1019.65</v>
      </c>
      <c r="D1421" s="116">
        <v>1001.55</v>
      </c>
      <c r="E1421" s="116">
        <v>1016.35</v>
      </c>
      <c r="F1421" s="116">
        <v>1019.65</v>
      </c>
      <c r="G1421">
        <v>474419</v>
      </c>
      <c r="H1421" s="116"/>
      <c r="I1421" s="116"/>
      <c r="L1421" s="170">
        <v>44097</v>
      </c>
      <c r="M1421" s="116">
        <v>1019.75</v>
      </c>
      <c r="N1421" s="116">
        <v>1037</v>
      </c>
      <c r="O1421" s="116">
        <v>1008.1</v>
      </c>
      <c r="P1421" s="116">
        <v>1020.15</v>
      </c>
      <c r="Q1421" s="116">
        <v>1019.75</v>
      </c>
      <c r="R1421">
        <v>13486274</v>
      </c>
    </row>
    <row r="1422" spans="1:18" x14ac:dyDescent="0.25">
      <c r="A1422" s="170">
        <v>44098</v>
      </c>
      <c r="B1422" s="116">
        <v>1008</v>
      </c>
      <c r="C1422" s="116">
        <v>975.35</v>
      </c>
      <c r="D1422" s="116">
        <v>970.15</v>
      </c>
      <c r="E1422" s="116">
        <v>1008</v>
      </c>
      <c r="F1422" s="116">
        <v>975.35</v>
      </c>
      <c r="G1422">
        <v>283773</v>
      </c>
      <c r="H1422" s="116"/>
      <c r="I1422" s="116"/>
      <c r="L1422" s="170">
        <v>44098</v>
      </c>
      <c r="M1422" s="116">
        <v>975.4</v>
      </c>
      <c r="N1422" s="116">
        <v>1009</v>
      </c>
      <c r="O1422" s="116">
        <v>970</v>
      </c>
      <c r="P1422" s="116">
        <v>1003</v>
      </c>
      <c r="Q1422" s="116">
        <v>975.4</v>
      </c>
      <c r="R1422">
        <v>14427463</v>
      </c>
    </row>
    <row r="1423" spans="1:18" x14ac:dyDescent="0.25">
      <c r="A1423" s="170">
        <v>44099</v>
      </c>
      <c r="B1423" s="116">
        <v>1014.05</v>
      </c>
      <c r="C1423" s="116">
        <v>1011.05</v>
      </c>
      <c r="D1423" s="116">
        <v>976.9</v>
      </c>
      <c r="E1423" s="116">
        <v>985</v>
      </c>
      <c r="F1423" s="116">
        <v>1011.05</v>
      </c>
      <c r="G1423">
        <v>316411</v>
      </c>
      <c r="H1423" s="116"/>
      <c r="I1423" s="116"/>
      <c r="L1423" s="170">
        <v>44099</v>
      </c>
      <c r="M1423" s="116">
        <v>1011.45</v>
      </c>
      <c r="N1423" s="116">
        <v>1014.9</v>
      </c>
      <c r="O1423" s="116">
        <v>975</v>
      </c>
      <c r="P1423" s="116">
        <v>975.8</v>
      </c>
      <c r="Q1423" s="116">
        <v>1011.45</v>
      </c>
      <c r="R1423">
        <v>13311079</v>
      </c>
    </row>
    <row r="1424" spans="1:18" x14ac:dyDescent="0.25">
      <c r="A1424" s="170">
        <v>44102</v>
      </c>
      <c r="B1424" s="116">
        <v>1016.3</v>
      </c>
      <c r="C1424" s="116">
        <v>1009.5</v>
      </c>
      <c r="D1424" s="116">
        <v>998.5</v>
      </c>
      <c r="E1424" s="116">
        <v>1014.9</v>
      </c>
      <c r="F1424" s="116">
        <v>1009.5</v>
      </c>
      <c r="G1424">
        <v>207259</v>
      </c>
      <c r="H1424" s="116"/>
      <c r="I1424" s="116"/>
      <c r="L1424" s="170">
        <v>44102</v>
      </c>
      <c r="M1424" s="116">
        <v>1010.4</v>
      </c>
      <c r="N1424" s="116">
        <v>1016.15</v>
      </c>
      <c r="O1424" s="116">
        <v>998.5</v>
      </c>
      <c r="P1424" s="116">
        <v>1014.8</v>
      </c>
      <c r="Q1424" s="116">
        <v>1010.4</v>
      </c>
      <c r="R1424">
        <v>8554583</v>
      </c>
    </row>
    <row r="1425" spans="1:18" x14ac:dyDescent="0.25">
      <c r="A1425" s="170">
        <v>44103</v>
      </c>
      <c r="B1425" s="116">
        <v>1028</v>
      </c>
      <c r="C1425" s="116">
        <v>1010.25</v>
      </c>
      <c r="D1425" s="116">
        <v>1004.2</v>
      </c>
      <c r="E1425" s="116">
        <v>1018.95</v>
      </c>
      <c r="F1425" s="116">
        <v>1010.25</v>
      </c>
      <c r="G1425">
        <v>261440</v>
      </c>
      <c r="H1425" s="116"/>
      <c r="I1425" s="116"/>
      <c r="L1425" s="170">
        <v>44103</v>
      </c>
      <c r="M1425" s="116">
        <v>1009</v>
      </c>
      <c r="N1425" s="116">
        <v>1028</v>
      </c>
      <c r="O1425" s="116">
        <v>1004.1</v>
      </c>
      <c r="P1425" s="116">
        <v>1018</v>
      </c>
      <c r="Q1425" s="116">
        <v>1009</v>
      </c>
      <c r="R1425">
        <v>8708572</v>
      </c>
    </row>
    <row r="1426" spans="1:18" x14ac:dyDescent="0.25">
      <c r="A1426" s="170">
        <v>44104</v>
      </c>
      <c r="B1426" s="116">
        <v>1023.9</v>
      </c>
      <c r="C1426" s="116">
        <v>1008</v>
      </c>
      <c r="D1426" s="116">
        <v>1004.75</v>
      </c>
      <c r="E1426" s="116">
        <v>1012.25</v>
      </c>
      <c r="F1426" s="116">
        <v>1008</v>
      </c>
      <c r="G1426">
        <v>1626056</v>
      </c>
      <c r="H1426" s="116"/>
      <c r="I1426" s="116"/>
      <c r="L1426" s="170">
        <v>44104</v>
      </c>
      <c r="M1426" s="116">
        <v>1008.25</v>
      </c>
      <c r="N1426" s="116">
        <v>1023.95</v>
      </c>
      <c r="O1426" s="116">
        <v>1005</v>
      </c>
      <c r="P1426" s="116">
        <v>1009</v>
      </c>
      <c r="Q1426" s="116">
        <v>1008.25</v>
      </c>
      <c r="R1426">
        <v>8049899</v>
      </c>
    </row>
    <row r="1427" spans="1:18" x14ac:dyDescent="0.25">
      <c r="A1427" s="170">
        <v>44105</v>
      </c>
      <c r="B1427" s="116">
        <v>1025.8499999999999</v>
      </c>
      <c r="C1427" s="116">
        <v>1017.7</v>
      </c>
      <c r="D1427" s="116">
        <v>1011.9</v>
      </c>
      <c r="E1427" s="116">
        <v>1016</v>
      </c>
      <c r="F1427" s="116">
        <v>1017.7</v>
      </c>
      <c r="G1427">
        <v>127324</v>
      </c>
      <c r="H1427" s="116"/>
      <c r="I1427" s="116"/>
      <c r="L1427" s="170">
        <v>44105</v>
      </c>
      <c r="M1427" s="116">
        <v>1017.65</v>
      </c>
      <c r="N1427" s="116">
        <v>1026.5</v>
      </c>
      <c r="O1427" s="116">
        <v>1011.75</v>
      </c>
      <c r="P1427" s="116">
        <v>1020.6</v>
      </c>
      <c r="Q1427" s="116">
        <v>1017.65</v>
      </c>
      <c r="R1427">
        <v>5563432</v>
      </c>
    </row>
    <row r="1428" spans="1:18" x14ac:dyDescent="0.25">
      <c r="A1428" s="170">
        <v>44109</v>
      </c>
      <c r="B1428" s="116">
        <v>1054.5999999999999</v>
      </c>
      <c r="C1428" s="116">
        <v>1048.2</v>
      </c>
      <c r="D1428" s="116">
        <v>1019</v>
      </c>
      <c r="E1428" s="116">
        <v>1019.45</v>
      </c>
      <c r="F1428" s="116">
        <v>1048.2</v>
      </c>
      <c r="G1428">
        <v>784200</v>
      </c>
      <c r="H1428" s="116"/>
      <c r="I1428" s="116"/>
      <c r="L1428" s="170">
        <v>44109</v>
      </c>
      <c r="M1428" s="116">
        <v>1048.7</v>
      </c>
      <c r="N1428" s="116">
        <v>1054.9000000000001</v>
      </c>
      <c r="O1428" s="116">
        <v>1018.05</v>
      </c>
      <c r="P1428" s="116">
        <v>1018.05</v>
      </c>
      <c r="Q1428" s="116">
        <v>1048.7</v>
      </c>
      <c r="R1428">
        <v>14212560</v>
      </c>
    </row>
    <row r="1429" spans="1:18" x14ac:dyDescent="0.25">
      <c r="A1429" s="170">
        <v>44110</v>
      </c>
      <c r="B1429" s="116">
        <v>1059.8499999999999</v>
      </c>
      <c r="C1429" s="116">
        <v>1055.75</v>
      </c>
      <c r="D1429" s="116">
        <v>1031.8</v>
      </c>
      <c r="E1429" s="116">
        <v>1054.0999999999999</v>
      </c>
      <c r="F1429" s="116">
        <v>1055.75</v>
      </c>
      <c r="G1429">
        <v>458018</v>
      </c>
      <c r="H1429" s="116"/>
      <c r="I1429" s="116"/>
      <c r="L1429" s="170">
        <v>44110</v>
      </c>
      <c r="M1429" s="116">
        <v>1055.75</v>
      </c>
      <c r="N1429" s="116">
        <v>1060</v>
      </c>
      <c r="O1429" s="116">
        <v>1031.3499999999999</v>
      </c>
      <c r="P1429" s="116">
        <v>1055</v>
      </c>
      <c r="Q1429" s="116">
        <v>1055.75</v>
      </c>
      <c r="R1429">
        <v>9090819</v>
      </c>
    </row>
    <row r="1430" spans="1:18" x14ac:dyDescent="0.25">
      <c r="A1430" s="170">
        <v>44111</v>
      </c>
      <c r="B1430" s="116">
        <v>1072</v>
      </c>
      <c r="C1430" s="116">
        <v>1066.55</v>
      </c>
      <c r="D1430" s="116">
        <v>1038.05</v>
      </c>
      <c r="E1430" s="116">
        <v>1045</v>
      </c>
      <c r="F1430" s="116">
        <v>1066.55</v>
      </c>
      <c r="G1430">
        <v>447696</v>
      </c>
      <c r="H1430" s="116"/>
      <c r="I1430" s="116"/>
      <c r="L1430" s="170">
        <v>44111</v>
      </c>
      <c r="M1430" s="116">
        <v>1066.55</v>
      </c>
      <c r="N1430" s="116">
        <v>1072</v>
      </c>
      <c r="O1430" s="116">
        <v>1035.5</v>
      </c>
      <c r="P1430" s="116">
        <v>1044.9000000000001</v>
      </c>
      <c r="Q1430" s="116">
        <v>1066.55</v>
      </c>
      <c r="R1430">
        <v>9284060</v>
      </c>
    </row>
    <row r="1431" spans="1:18" x14ac:dyDescent="0.25">
      <c r="A1431" s="170">
        <v>44112</v>
      </c>
      <c r="B1431" s="116">
        <v>1123.95</v>
      </c>
      <c r="C1431" s="116">
        <v>1094</v>
      </c>
      <c r="D1431" s="116">
        <v>1088.0999999999999</v>
      </c>
      <c r="E1431" s="116">
        <v>1089</v>
      </c>
      <c r="F1431" s="116">
        <v>1094</v>
      </c>
      <c r="G1431">
        <v>785656</v>
      </c>
      <c r="H1431" s="116"/>
      <c r="I1431" s="116"/>
      <c r="L1431" s="170">
        <v>44112</v>
      </c>
      <c r="M1431" s="116">
        <v>1093.7</v>
      </c>
      <c r="N1431" s="116">
        <v>1124</v>
      </c>
      <c r="O1431" s="116">
        <v>1088.4000000000001</v>
      </c>
      <c r="P1431" s="116">
        <v>1090</v>
      </c>
      <c r="Q1431" s="116">
        <v>1093.7</v>
      </c>
      <c r="R1431">
        <v>21483024</v>
      </c>
    </row>
    <row r="1432" spans="1:18" x14ac:dyDescent="0.25">
      <c r="A1432" s="170">
        <v>44113</v>
      </c>
      <c r="B1432" s="116">
        <v>1113.6500000000001</v>
      </c>
      <c r="C1432" s="116">
        <v>1107.55</v>
      </c>
      <c r="D1432" s="116">
        <v>1088.5</v>
      </c>
      <c r="E1432" s="116">
        <v>1099</v>
      </c>
      <c r="F1432" s="116">
        <v>1107.55</v>
      </c>
      <c r="G1432">
        <v>506728</v>
      </c>
      <c r="H1432" s="116"/>
      <c r="I1432" s="116"/>
      <c r="L1432" s="170">
        <v>44113</v>
      </c>
      <c r="M1432" s="116">
        <v>1106.8</v>
      </c>
      <c r="N1432" s="116">
        <v>1113.3</v>
      </c>
      <c r="O1432" s="116">
        <v>1088.45</v>
      </c>
      <c r="P1432" s="116">
        <v>1095.0999999999999</v>
      </c>
      <c r="Q1432" s="116">
        <v>1106.8</v>
      </c>
      <c r="R1432">
        <v>10567955</v>
      </c>
    </row>
    <row r="1433" spans="1:18" x14ac:dyDescent="0.25">
      <c r="A1433" s="170">
        <v>44116</v>
      </c>
      <c r="B1433" s="116">
        <v>1139.8</v>
      </c>
      <c r="C1433" s="116">
        <v>1132.3</v>
      </c>
      <c r="D1433" s="116">
        <v>1112.25</v>
      </c>
      <c r="E1433" s="116">
        <v>1120</v>
      </c>
      <c r="F1433" s="116">
        <v>1132.3</v>
      </c>
      <c r="G1433">
        <v>547139</v>
      </c>
      <c r="H1433" s="116"/>
      <c r="I1433" s="116"/>
      <c r="L1433" s="170">
        <v>44116</v>
      </c>
      <c r="M1433" s="116">
        <v>1132.0999999999999</v>
      </c>
      <c r="N1433" s="116">
        <v>1140</v>
      </c>
      <c r="O1433" s="116">
        <v>1112.0999999999999</v>
      </c>
      <c r="P1433" s="116">
        <v>1123</v>
      </c>
      <c r="Q1433" s="116">
        <v>1132.0999999999999</v>
      </c>
      <c r="R1433">
        <v>14633780</v>
      </c>
    </row>
    <row r="1434" spans="1:18" x14ac:dyDescent="0.25">
      <c r="A1434" s="170">
        <v>44117</v>
      </c>
      <c r="B1434" s="116">
        <v>1165.8499999999999</v>
      </c>
      <c r="C1434" s="116">
        <v>1158</v>
      </c>
      <c r="D1434" s="116">
        <v>1135</v>
      </c>
      <c r="E1434" s="116">
        <v>1135</v>
      </c>
      <c r="F1434" s="116">
        <v>1158</v>
      </c>
      <c r="G1434">
        <v>727265</v>
      </c>
      <c r="H1434" s="116"/>
      <c r="I1434" s="116"/>
      <c r="L1434" s="170">
        <v>44117</v>
      </c>
      <c r="M1434" s="116">
        <v>1157.8</v>
      </c>
      <c r="N1434" s="116">
        <v>1166.05</v>
      </c>
      <c r="O1434" s="116">
        <v>1135.55</v>
      </c>
      <c r="P1434" s="116">
        <v>1135.55</v>
      </c>
      <c r="Q1434" s="116">
        <v>1157.8</v>
      </c>
      <c r="R1434">
        <v>17524137</v>
      </c>
    </row>
    <row r="1435" spans="1:18" x14ac:dyDescent="0.25">
      <c r="A1435" s="170">
        <v>44118</v>
      </c>
      <c r="B1435" s="116">
        <v>1164.7</v>
      </c>
      <c r="C1435" s="116">
        <v>1136.0999999999999</v>
      </c>
      <c r="D1435" s="116">
        <v>1130.3499999999999</v>
      </c>
      <c r="E1435" s="116">
        <v>1164.7</v>
      </c>
      <c r="F1435" s="116">
        <v>1136.0999999999999</v>
      </c>
      <c r="G1435">
        <v>712741</v>
      </c>
      <c r="H1435" s="116"/>
      <c r="I1435" s="116"/>
      <c r="L1435" s="170">
        <v>44118</v>
      </c>
      <c r="M1435" s="116">
        <v>1137</v>
      </c>
      <c r="N1435" s="116">
        <v>1164.9000000000001</v>
      </c>
      <c r="O1435" s="116">
        <v>1131.0999999999999</v>
      </c>
      <c r="P1435" s="116">
        <v>1162</v>
      </c>
      <c r="Q1435" s="116">
        <v>1137</v>
      </c>
      <c r="R1435">
        <v>16649731</v>
      </c>
    </row>
    <row r="1436" spans="1:18" x14ac:dyDescent="0.25">
      <c r="A1436" s="170">
        <v>44119</v>
      </c>
      <c r="B1436" s="116">
        <v>1185</v>
      </c>
      <c r="C1436" s="116">
        <v>1108</v>
      </c>
      <c r="D1436" s="116">
        <v>1093</v>
      </c>
      <c r="E1436" s="116">
        <v>1184</v>
      </c>
      <c r="F1436" s="116">
        <v>1108</v>
      </c>
      <c r="G1436">
        <v>2663595</v>
      </c>
      <c r="H1436" s="116"/>
      <c r="I1436" s="116"/>
      <c r="L1436" s="170">
        <v>44119</v>
      </c>
      <c r="M1436" s="116">
        <v>1108.25</v>
      </c>
      <c r="N1436" s="116">
        <v>1186</v>
      </c>
      <c r="O1436" s="116">
        <v>1092.5</v>
      </c>
      <c r="P1436" s="116">
        <v>1180</v>
      </c>
      <c r="Q1436" s="116">
        <v>1108.25</v>
      </c>
      <c r="R1436">
        <v>44288566</v>
      </c>
    </row>
    <row r="1437" spans="1:18" x14ac:dyDescent="0.25">
      <c r="A1437" s="170">
        <v>44120</v>
      </c>
      <c r="B1437" s="116">
        <v>1135.8499999999999</v>
      </c>
      <c r="C1437" s="116">
        <v>1127.5999999999999</v>
      </c>
      <c r="D1437" s="116">
        <v>1097.0999999999999</v>
      </c>
      <c r="E1437" s="116">
        <v>1112</v>
      </c>
      <c r="F1437" s="116">
        <v>1127.5999999999999</v>
      </c>
      <c r="G1437">
        <v>698563</v>
      </c>
      <c r="H1437" s="116"/>
      <c r="I1437" s="116"/>
      <c r="L1437" s="170">
        <v>44120</v>
      </c>
      <c r="M1437" s="116">
        <v>1127.5</v>
      </c>
      <c r="N1437" s="116">
        <v>1135.95</v>
      </c>
      <c r="O1437" s="116">
        <v>1096.9000000000001</v>
      </c>
      <c r="P1437" s="116">
        <v>1113.8499999999999</v>
      </c>
      <c r="Q1437" s="116">
        <v>1127.5</v>
      </c>
      <c r="R1437">
        <v>18366133</v>
      </c>
    </row>
    <row r="1438" spans="1:18" x14ac:dyDescent="0.25">
      <c r="A1438" s="170">
        <v>44123</v>
      </c>
      <c r="B1438" s="116">
        <v>1138.75</v>
      </c>
      <c r="C1438" s="116">
        <v>1125.55</v>
      </c>
      <c r="D1438" s="116">
        <v>1115.75</v>
      </c>
      <c r="E1438" s="116">
        <v>1133.5999999999999</v>
      </c>
      <c r="F1438" s="116">
        <v>1125.55</v>
      </c>
      <c r="G1438">
        <v>558876</v>
      </c>
      <c r="H1438" s="116"/>
      <c r="I1438" s="116"/>
      <c r="L1438" s="170">
        <v>44123</v>
      </c>
      <c r="M1438" s="116">
        <v>1125.9000000000001</v>
      </c>
      <c r="N1438" s="116">
        <v>1139</v>
      </c>
      <c r="O1438" s="116">
        <v>1115.3</v>
      </c>
      <c r="P1438" s="116">
        <v>1135</v>
      </c>
      <c r="Q1438" s="116">
        <v>1125.9000000000001</v>
      </c>
      <c r="R1438">
        <v>12902146</v>
      </c>
    </row>
    <row r="1439" spans="1:18" x14ac:dyDescent="0.25">
      <c r="A1439" s="170">
        <v>44124</v>
      </c>
      <c r="B1439" s="116">
        <v>1144.7</v>
      </c>
      <c r="C1439" s="116">
        <v>1137.05</v>
      </c>
      <c r="D1439" s="116">
        <v>1115</v>
      </c>
      <c r="E1439" s="116">
        <v>1119.8499999999999</v>
      </c>
      <c r="F1439" s="116">
        <v>1137.05</v>
      </c>
      <c r="G1439">
        <v>223438</v>
      </c>
      <c r="H1439" s="116"/>
      <c r="I1439" s="116"/>
      <c r="L1439" s="170">
        <v>44124</v>
      </c>
      <c r="M1439" s="116">
        <v>1137.5</v>
      </c>
      <c r="N1439" s="116">
        <v>1144.7</v>
      </c>
      <c r="O1439" s="116">
        <v>1110</v>
      </c>
      <c r="P1439" s="116">
        <v>1118.9000000000001</v>
      </c>
      <c r="Q1439" s="116">
        <v>1137.5</v>
      </c>
      <c r="R1439">
        <v>10448852</v>
      </c>
    </row>
    <row r="1440" spans="1:18" x14ac:dyDescent="0.25">
      <c r="A1440" s="170">
        <v>44125</v>
      </c>
      <c r="B1440" s="116">
        <v>1153.9000000000001</v>
      </c>
      <c r="C1440" s="116">
        <v>1148.3</v>
      </c>
      <c r="D1440" s="116">
        <v>1135</v>
      </c>
      <c r="E1440" s="116">
        <v>1142</v>
      </c>
      <c r="F1440" s="116">
        <v>1148.3</v>
      </c>
      <c r="G1440">
        <v>550482</v>
      </c>
      <c r="H1440" s="116"/>
      <c r="I1440" s="116"/>
      <c r="L1440" s="170">
        <v>44125</v>
      </c>
      <c r="M1440" s="116">
        <v>1148.3499999999999</v>
      </c>
      <c r="N1440" s="116">
        <v>1154.3499999999999</v>
      </c>
      <c r="O1440" s="116">
        <v>1135</v>
      </c>
      <c r="P1440" s="116">
        <v>1141.1500000000001</v>
      </c>
      <c r="Q1440" s="116">
        <v>1148.3499999999999</v>
      </c>
      <c r="R1440">
        <v>19811809</v>
      </c>
    </row>
    <row r="1441" spans="1:18" x14ac:dyDescent="0.25">
      <c r="A1441" s="170">
        <v>44126</v>
      </c>
      <c r="B1441" s="116">
        <v>1158</v>
      </c>
      <c r="C1441" s="116">
        <v>1130.1500000000001</v>
      </c>
      <c r="D1441" s="116">
        <v>1123.75</v>
      </c>
      <c r="E1441" s="116">
        <v>1146</v>
      </c>
      <c r="F1441" s="116">
        <v>1130.1500000000001</v>
      </c>
      <c r="G1441">
        <v>443767</v>
      </c>
      <c r="H1441" s="116"/>
      <c r="I1441" s="116"/>
      <c r="L1441" s="170">
        <v>44126</v>
      </c>
      <c r="M1441" s="116">
        <v>1129.05</v>
      </c>
      <c r="N1441" s="116">
        <v>1158</v>
      </c>
      <c r="O1441" s="116">
        <v>1123.8</v>
      </c>
      <c r="P1441" s="116">
        <v>1142</v>
      </c>
      <c r="Q1441" s="116">
        <v>1129.05</v>
      </c>
      <c r="R1441">
        <v>11271538</v>
      </c>
    </row>
    <row r="1442" spans="1:18" x14ac:dyDescent="0.25">
      <c r="A1442" s="170">
        <v>44127</v>
      </c>
      <c r="B1442" s="116">
        <v>1134.45</v>
      </c>
      <c r="C1442" s="116">
        <v>1122</v>
      </c>
      <c r="D1442" s="116">
        <v>1120</v>
      </c>
      <c r="E1442" s="116">
        <v>1134.45</v>
      </c>
      <c r="F1442" s="116">
        <v>1122</v>
      </c>
      <c r="G1442">
        <v>309881</v>
      </c>
      <c r="H1442" s="116"/>
      <c r="I1442" s="116"/>
      <c r="L1442" s="170">
        <v>44127</v>
      </c>
      <c r="M1442" s="116">
        <v>1122.5</v>
      </c>
      <c r="N1442" s="116">
        <v>1135</v>
      </c>
      <c r="O1442" s="116">
        <v>1120.1500000000001</v>
      </c>
      <c r="P1442" s="116">
        <v>1133</v>
      </c>
      <c r="Q1442" s="116">
        <v>1122.5</v>
      </c>
      <c r="R1442">
        <v>9070121</v>
      </c>
    </row>
    <row r="1443" spans="1:18" x14ac:dyDescent="0.25">
      <c r="A1443" s="170">
        <v>44130</v>
      </c>
      <c r="B1443" s="116">
        <v>1129.3</v>
      </c>
      <c r="C1443" s="116">
        <v>1112.0999999999999</v>
      </c>
      <c r="D1443" s="116">
        <v>1103.7</v>
      </c>
      <c r="E1443" s="116">
        <v>1121</v>
      </c>
      <c r="F1443" s="116">
        <v>1112.0999999999999</v>
      </c>
      <c r="G1443">
        <v>312283</v>
      </c>
      <c r="H1443" s="116"/>
      <c r="I1443" s="116"/>
      <c r="L1443" s="170">
        <v>44130</v>
      </c>
      <c r="M1443" s="116">
        <v>1112.45</v>
      </c>
      <c r="N1443" s="116">
        <v>1129.5999999999999</v>
      </c>
      <c r="O1443" s="116">
        <v>1103.1500000000001</v>
      </c>
      <c r="P1443" s="116">
        <v>1122.25</v>
      </c>
      <c r="Q1443" s="116">
        <v>1112.45</v>
      </c>
      <c r="R1443">
        <v>6309643</v>
      </c>
    </row>
    <row r="1444" spans="1:18" x14ac:dyDescent="0.25">
      <c r="A1444" s="170">
        <v>44131</v>
      </c>
      <c r="B1444" s="116">
        <v>1109.55</v>
      </c>
      <c r="C1444" s="116">
        <v>1092.1500000000001</v>
      </c>
      <c r="D1444" s="116">
        <v>1077.45</v>
      </c>
      <c r="E1444" s="116">
        <v>1107</v>
      </c>
      <c r="F1444" s="116">
        <v>1092.1500000000001</v>
      </c>
      <c r="G1444">
        <v>345937</v>
      </c>
      <c r="H1444" s="116"/>
      <c r="I1444" s="116"/>
      <c r="L1444" s="170">
        <v>44131</v>
      </c>
      <c r="M1444" s="116">
        <v>1090.8499999999999</v>
      </c>
      <c r="N1444" s="116">
        <v>1109.7</v>
      </c>
      <c r="O1444" s="116">
        <v>1077.1500000000001</v>
      </c>
      <c r="P1444" s="116">
        <v>1105.7</v>
      </c>
      <c r="Q1444" s="116">
        <v>1090.8499999999999</v>
      </c>
      <c r="R1444">
        <v>10172530</v>
      </c>
    </row>
    <row r="1445" spans="1:18" x14ac:dyDescent="0.25">
      <c r="A1445" s="170">
        <v>44132</v>
      </c>
      <c r="B1445" s="116">
        <v>1104.45</v>
      </c>
      <c r="C1445" s="116">
        <v>1076.5999999999999</v>
      </c>
      <c r="D1445" s="116">
        <v>1069.5999999999999</v>
      </c>
      <c r="E1445" s="116">
        <v>1100</v>
      </c>
      <c r="F1445" s="116">
        <v>1076.5999999999999</v>
      </c>
      <c r="G1445">
        <v>1763704</v>
      </c>
      <c r="H1445" s="116"/>
      <c r="I1445" s="116"/>
      <c r="L1445" s="170">
        <v>44132</v>
      </c>
      <c r="M1445" s="116">
        <v>1076.55</v>
      </c>
      <c r="N1445" s="116">
        <v>1104.75</v>
      </c>
      <c r="O1445" s="116">
        <v>1070.05</v>
      </c>
      <c r="P1445" s="116">
        <v>1095.5</v>
      </c>
      <c r="Q1445" s="116">
        <v>1076.55</v>
      </c>
      <c r="R1445">
        <v>7608413</v>
      </c>
    </row>
    <row r="1446" spans="1:18" x14ac:dyDescent="0.25">
      <c r="A1446" s="170">
        <v>44133</v>
      </c>
      <c r="B1446" s="116">
        <v>1081.9000000000001</v>
      </c>
      <c r="C1446" s="116">
        <v>1074.8</v>
      </c>
      <c r="D1446" s="116">
        <v>1060.2</v>
      </c>
      <c r="E1446" s="116">
        <v>1060.2</v>
      </c>
      <c r="F1446" s="116">
        <v>1074.8</v>
      </c>
      <c r="G1446">
        <v>287736</v>
      </c>
      <c r="H1446" s="116"/>
      <c r="I1446" s="116"/>
      <c r="L1446" s="170">
        <v>44133</v>
      </c>
      <c r="M1446" s="116">
        <v>1074.8499999999999</v>
      </c>
      <c r="N1446" s="116">
        <v>1082</v>
      </c>
      <c r="O1446" s="116">
        <v>1060.0999999999999</v>
      </c>
      <c r="P1446" s="116">
        <v>1070</v>
      </c>
      <c r="Q1446" s="116">
        <v>1074.8499999999999</v>
      </c>
      <c r="R1446">
        <v>6935804</v>
      </c>
    </row>
    <row r="1447" spans="1:18" x14ac:dyDescent="0.25">
      <c r="A1447" s="170">
        <v>44134</v>
      </c>
      <c r="B1447" s="116">
        <v>1083.5</v>
      </c>
      <c r="C1447" s="116">
        <v>1060.5999999999999</v>
      </c>
      <c r="D1447" s="116">
        <v>1052.5</v>
      </c>
      <c r="E1447" s="116">
        <v>1070</v>
      </c>
      <c r="F1447" s="116">
        <v>1060.5999999999999</v>
      </c>
      <c r="G1447">
        <v>253115</v>
      </c>
      <c r="H1447" s="116"/>
      <c r="I1447" s="116"/>
      <c r="L1447" s="170">
        <v>44134</v>
      </c>
      <c r="M1447" s="116">
        <v>1060.5999999999999</v>
      </c>
      <c r="N1447" s="116">
        <v>1083.5999999999999</v>
      </c>
      <c r="O1447" s="116">
        <v>1052.3499999999999</v>
      </c>
      <c r="P1447" s="116">
        <v>1072</v>
      </c>
      <c r="Q1447" s="116">
        <v>1060.5999999999999</v>
      </c>
      <c r="R1447">
        <v>8800436</v>
      </c>
    </row>
    <row r="1448" spans="1:18" x14ac:dyDescent="0.25">
      <c r="A1448" s="170">
        <v>44137</v>
      </c>
      <c r="B1448" s="116">
        <v>1079.95</v>
      </c>
      <c r="C1448" s="116">
        <v>1072</v>
      </c>
      <c r="D1448" s="116">
        <v>1051</v>
      </c>
      <c r="E1448" s="116">
        <v>1070</v>
      </c>
      <c r="F1448" s="116">
        <v>1072</v>
      </c>
      <c r="G1448">
        <v>562312</v>
      </c>
      <c r="H1448" s="116"/>
      <c r="I1448" s="116"/>
      <c r="L1448" s="170">
        <v>44137</v>
      </c>
      <c r="M1448" s="116">
        <v>1072.3</v>
      </c>
      <c r="N1448" s="116">
        <v>1079.95</v>
      </c>
      <c r="O1448" s="116">
        <v>1051.0999999999999</v>
      </c>
      <c r="P1448" s="116">
        <v>1065</v>
      </c>
      <c r="Q1448" s="116">
        <v>1072.3</v>
      </c>
      <c r="R1448">
        <v>7183119</v>
      </c>
    </row>
    <row r="1449" spans="1:18" x14ac:dyDescent="0.25">
      <c r="A1449" s="170">
        <v>44138</v>
      </c>
      <c r="B1449" s="116">
        <v>1079.3499999999999</v>
      </c>
      <c r="C1449" s="116">
        <v>1061.95</v>
      </c>
      <c r="D1449" s="116">
        <v>1057.75</v>
      </c>
      <c r="E1449" s="116">
        <v>1077</v>
      </c>
      <c r="F1449" s="116">
        <v>1061.95</v>
      </c>
      <c r="G1449">
        <v>351609</v>
      </c>
      <c r="H1449" s="116"/>
      <c r="I1449" s="116"/>
      <c r="L1449" s="170">
        <v>44138</v>
      </c>
      <c r="M1449" s="116">
        <v>1062.55</v>
      </c>
      <c r="N1449" s="116">
        <v>1079.4000000000001</v>
      </c>
      <c r="O1449" s="116">
        <v>1057.5</v>
      </c>
      <c r="P1449" s="116">
        <v>1072</v>
      </c>
      <c r="Q1449" s="116">
        <v>1062.55</v>
      </c>
      <c r="R1449">
        <v>7204782</v>
      </c>
    </row>
    <row r="1450" spans="1:18" x14ac:dyDescent="0.25">
      <c r="A1450" s="170">
        <v>44139</v>
      </c>
      <c r="B1450" s="116">
        <v>1116.2</v>
      </c>
      <c r="C1450" s="116">
        <v>1094</v>
      </c>
      <c r="D1450" s="116">
        <v>1066</v>
      </c>
      <c r="E1450" s="116">
        <v>1066</v>
      </c>
      <c r="F1450" s="116">
        <v>1094</v>
      </c>
      <c r="G1450">
        <v>519308</v>
      </c>
      <c r="H1450" s="116"/>
      <c r="I1450" s="116"/>
      <c r="L1450" s="170">
        <v>44139</v>
      </c>
      <c r="M1450" s="116">
        <v>1093.95</v>
      </c>
      <c r="N1450" s="116">
        <v>1116</v>
      </c>
      <c r="O1450" s="116">
        <v>1066.8</v>
      </c>
      <c r="P1450" s="116">
        <v>1068</v>
      </c>
      <c r="Q1450" s="116">
        <v>1093.95</v>
      </c>
      <c r="R1450">
        <v>15702690</v>
      </c>
    </row>
    <row r="1451" spans="1:18" x14ac:dyDescent="0.25">
      <c r="A1451" s="170">
        <v>44140</v>
      </c>
      <c r="B1451" s="116">
        <v>1123.3499999999999</v>
      </c>
      <c r="C1451" s="116">
        <v>1103.9000000000001</v>
      </c>
      <c r="D1451" s="116">
        <v>1099</v>
      </c>
      <c r="E1451" s="116">
        <v>1112</v>
      </c>
      <c r="F1451" s="116">
        <v>1103.9000000000001</v>
      </c>
      <c r="G1451">
        <v>429175</v>
      </c>
      <c r="H1451" s="116"/>
      <c r="I1451" s="116"/>
      <c r="L1451" s="170">
        <v>44140</v>
      </c>
      <c r="M1451" s="116">
        <v>1104</v>
      </c>
      <c r="N1451" s="116">
        <v>1123</v>
      </c>
      <c r="O1451" s="116">
        <v>1099</v>
      </c>
      <c r="P1451" s="116">
        <v>1109.9000000000001</v>
      </c>
      <c r="Q1451" s="116">
        <v>1104</v>
      </c>
      <c r="R1451">
        <v>9568890</v>
      </c>
    </row>
    <row r="1452" spans="1:18" x14ac:dyDescent="0.25">
      <c r="A1452" s="170">
        <v>44141</v>
      </c>
      <c r="B1452" s="116">
        <v>1121.45</v>
      </c>
      <c r="C1452" s="116">
        <v>1113.4000000000001</v>
      </c>
      <c r="D1452" s="116">
        <v>1092</v>
      </c>
      <c r="E1452" s="116">
        <v>1108</v>
      </c>
      <c r="F1452" s="116">
        <v>1113.4000000000001</v>
      </c>
      <c r="G1452">
        <v>229578</v>
      </c>
      <c r="H1452" s="116"/>
      <c r="I1452" s="116"/>
      <c r="L1452" s="170">
        <v>44141</v>
      </c>
      <c r="M1452" s="116">
        <v>1112.75</v>
      </c>
      <c r="N1452" s="116">
        <v>1121.0999999999999</v>
      </c>
      <c r="O1452" s="116">
        <v>1091.7</v>
      </c>
      <c r="P1452" s="116">
        <v>1108</v>
      </c>
      <c r="Q1452" s="116">
        <v>1112.75</v>
      </c>
      <c r="R1452">
        <v>8807127</v>
      </c>
    </row>
    <row r="1453" spans="1:18" x14ac:dyDescent="0.25">
      <c r="A1453" s="170">
        <v>44144</v>
      </c>
      <c r="B1453" s="116">
        <v>1145.9000000000001</v>
      </c>
      <c r="C1453" s="116">
        <v>1136.2</v>
      </c>
      <c r="D1453" s="116">
        <v>1121.8499999999999</v>
      </c>
      <c r="E1453" s="116">
        <v>1125</v>
      </c>
      <c r="F1453" s="116">
        <v>1136.2</v>
      </c>
      <c r="G1453">
        <v>773483</v>
      </c>
      <c r="H1453" s="116"/>
      <c r="I1453" s="116"/>
      <c r="L1453" s="170">
        <v>44144</v>
      </c>
      <c r="M1453" s="116">
        <v>1136.55</v>
      </c>
      <c r="N1453" s="116">
        <v>1146</v>
      </c>
      <c r="O1453" s="116">
        <v>1121.1500000000001</v>
      </c>
      <c r="P1453" s="116">
        <v>1129.3</v>
      </c>
      <c r="Q1453" s="116">
        <v>1136.55</v>
      </c>
      <c r="R1453">
        <v>10160320</v>
      </c>
    </row>
    <row r="1454" spans="1:18" x14ac:dyDescent="0.25">
      <c r="A1454" s="170">
        <v>44145</v>
      </c>
      <c r="B1454" s="116">
        <v>1129.95</v>
      </c>
      <c r="C1454" s="116">
        <v>1090.95</v>
      </c>
      <c r="D1454" s="116">
        <v>1078.3499999999999</v>
      </c>
      <c r="E1454" s="116">
        <v>1129.95</v>
      </c>
      <c r="F1454" s="116">
        <v>1090.95</v>
      </c>
      <c r="G1454">
        <v>717732</v>
      </c>
      <c r="H1454" s="116"/>
      <c r="I1454" s="116"/>
      <c r="L1454" s="170">
        <v>44145</v>
      </c>
      <c r="M1454" s="116">
        <v>1091.05</v>
      </c>
      <c r="N1454" s="116">
        <v>1113.8499999999999</v>
      </c>
      <c r="O1454" s="116">
        <v>1078</v>
      </c>
      <c r="P1454" s="116">
        <v>1113.8499999999999</v>
      </c>
      <c r="Q1454" s="116">
        <v>1091.05</v>
      </c>
      <c r="R1454">
        <v>15622869</v>
      </c>
    </row>
    <row r="1455" spans="1:18" x14ac:dyDescent="0.25">
      <c r="A1455" s="170">
        <v>44146</v>
      </c>
      <c r="B1455" s="116">
        <v>1125.75</v>
      </c>
      <c r="C1455" s="116">
        <v>1122.5999999999999</v>
      </c>
      <c r="D1455" s="116">
        <v>1087.5999999999999</v>
      </c>
      <c r="E1455" s="116">
        <v>1098</v>
      </c>
      <c r="F1455" s="116">
        <v>1122.5999999999999</v>
      </c>
      <c r="G1455">
        <v>494793</v>
      </c>
      <c r="H1455" s="116"/>
      <c r="I1455" s="116"/>
      <c r="L1455" s="170">
        <v>44146</v>
      </c>
      <c r="M1455" s="116">
        <v>1122.5</v>
      </c>
      <c r="N1455" s="116">
        <v>1126.3499999999999</v>
      </c>
      <c r="O1455" s="116">
        <v>1087</v>
      </c>
      <c r="P1455" s="116">
        <v>1096</v>
      </c>
      <c r="Q1455" s="116">
        <v>1122.5</v>
      </c>
      <c r="R1455">
        <v>12514800</v>
      </c>
    </row>
    <row r="1456" spans="1:18" x14ac:dyDescent="0.25">
      <c r="A1456" s="170">
        <v>44147</v>
      </c>
      <c r="B1456" s="116">
        <v>1141.95</v>
      </c>
      <c r="C1456" s="116">
        <v>1117.75</v>
      </c>
      <c r="D1456" s="116">
        <v>1113.95</v>
      </c>
      <c r="E1456" s="116">
        <v>1124</v>
      </c>
      <c r="F1456" s="116">
        <v>1117.75</v>
      </c>
      <c r="G1456">
        <v>461356</v>
      </c>
      <c r="H1456" s="116"/>
      <c r="I1456" s="116"/>
      <c r="L1456" s="170">
        <v>44147</v>
      </c>
      <c r="M1456" s="116">
        <v>1117.75</v>
      </c>
      <c r="N1456" s="116">
        <v>1142</v>
      </c>
      <c r="O1456" s="116">
        <v>1113.75</v>
      </c>
      <c r="P1456" s="116">
        <v>1128.0999999999999</v>
      </c>
      <c r="Q1456" s="116">
        <v>1117.75</v>
      </c>
      <c r="R1456">
        <v>9180976</v>
      </c>
    </row>
    <row r="1457" spans="1:18" x14ac:dyDescent="0.25">
      <c r="A1457" s="170">
        <v>44148</v>
      </c>
      <c r="B1457" s="116">
        <v>1132.2</v>
      </c>
      <c r="C1457" s="116">
        <v>1123.9000000000001</v>
      </c>
      <c r="D1457" s="116">
        <v>1117</v>
      </c>
      <c r="E1457" s="116">
        <v>1119.8499999999999</v>
      </c>
      <c r="F1457" s="116">
        <v>1123.9000000000001</v>
      </c>
      <c r="G1457">
        <v>1718928</v>
      </c>
      <c r="H1457" s="116"/>
      <c r="I1457" s="116"/>
      <c r="L1457" s="170">
        <v>44148</v>
      </c>
      <c r="M1457" s="116">
        <v>1124.2</v>
      </c>
      <c r="N1457" s="116">
        <v>1133</v>
      </c>
      <c r="O1457" s="116">
        <v>1117</v>
      </c>
      <c r="P1457" s="116">
        <v>1120</v>
      </c>
      <c r="Q1457" s="116">
        <v>1124.2</v>
      </c>
      <c r="R1457">
        <v>6363212</v>
      </c>
    </row>
    <row r="1458" spans="1:18" x14ac:dyDescent="0.25">
      <c r="A1458" s="170">
        <v>44149</v>
      </c>
      <c r="B1458" s="116">
        <v>1139.95</v>
      </c>
      <c r="C1458" s="116">
        <v>1133.45</v>
      </c>
      <c r="D1458" s="116">
        <v>1131.25</v>
      </c>
      <c r="E1458" s="116">
        <v>1137</v>
      </c>
      <c r="F1458" s="116">
        <v>1133.45</v>
      </c>
      <c r="G1458">
        <v>81497</v>
      </c>
      <c r="H1458" s="116"/>
      <c r="I1458" s="116"/>
      <c r="L1458" s="170">
        <v>44149</v>
      </c>
      <c r="M1458" s="116">
        <v>1133.45</v>
      </c>
      <c r="N1458" s="116">
        <v>1139.6500000000001</v>
      </c>
      <c r="O1458" s="116">
        <v>1131.0999999999999</v>
      </c>
      <c r="P1458" s="116">
        <v>1137</v>
      </c>
      <c r="Q1458" s="116">
        <v>1133.45</v>
      </c>
      <c r="R1458">
        <v>1136144</v>
      </c>
    </row>
    <row r="1459" spans="1:18" x14ac:dyDescent="0.25">
      <c r="A1459" s="170">
        <v>44152</v>
      </c>
      <c r="B1459" s="116">
        <v>1144.8</v>
      </c>
      <c r="C1459" s="116">
        <v>1123.8499999999999</v>
      </c>
      <c r="D1459" s="116">
        <v>1112.9000000000001</v>
      </c>
      <c r="E1459" s="116">
        <v>1138</v>
      </c>
      <c r="F1459" s="116">
        <v>1123.8499999999999</v>
      </c>
      <c r="G1459">
        <v>509096</v>
      </c>
      <c r="H1459" s="116"/>
      <c r="I1459" s="116"/>
      <c r="L1459" s="170">
        <v>44152</v>
      </c>
      <c r="M1459" s="116">
        <v>1123.7</v>
      </c>
      <c r="N1459" s="116">
        <v>1145</v>
      </c>
      <c r="O1459" s="116">
        <v>1112.6500000000001</v>
      </c>
      <c r="P1459" s="116">
        <v>1144.75</v>
      </c>
      <c r="Q1459" s="116">
        <v>1123.7</v>
      </c>
      <c r="R1459">
        <v>12813968</v>
      </c>
    </row>
    <row r="1460" spans="1:18" x14ac:dyDescent="0.25">
      <c r="A1460" s="170">
        <v>44153</v>
      </c>
      <c r="B1460" s="116">
        <v>1132.0999999999999</v>
      </c>
      <c r="C1460" s="116">
        <v>1110.5999999999999</v>
      </c>
      <c r="D1460" s="116">
        <v>1101.4000000000001</v>
      </c>
      <c r="E1460" s="116">
        <v>1129</v>
      </c>
      <c r="F1460" s="116">
        <v>1110.5999999999999</v>
      </c>
      <c r="G1460">
        <v>398479</v>
      </c>
      <c r="H1460" s="116"/>
      <c r="I1460" s="116"/>
      <c r="L1460" s="170">
        <v>44153</v>
      </c>
      <c r="M1460" s="116">
        <v>1110.55</v>
      </c>
      <c r="N1460" s="116">
        <v>1132.7</v>
      </c>
      <c r="O1460" s="116">
        <v>1101.45</v>
      </c>
      <c r="P1460" s="116">
        <v>1128.5</v>
      </c>
      <c r="Q1460" s="116">
        <v>1110.55</v>
      </c>
      <c r="R1460">
        <v>9839468</v>
      </c>
    </row>
    <row r="1461" spans="1:18" x14ac:dyDescent="0.25">
      <c r="A1461" s="170">
        <v>44154</v>
      </c>
      <c r="B1461" s="116">
        <v>1114.8</v>
      </c>
      <c r="C1461" s="116">
        <v>1096.45</v>
      </c>
      <c r="D1461" s="116">
        <v>1094</v>
      </c>
      <c r="E1461" s="116">
        <v>1104.6500000000001</v>
      </c>
      <c r="F1461" s="116">
        <v>1096.45</v>
      </c>
      <c r="G1461">
        <v>521760</v>
      </c>
      <c r="H1461" s="116"/>
      <c r="I1461" s="116"/>
      <c r="L1461" s="170">
        <v>44154</v>
      </c>
      <c r="M1461" s="116">
        <v>1096.75</v>
      </c>
      <c r="N1461" s="116">
        <v>1114.7</v>
      </c>
      <c r="O1461" s="116">
        <v>1093.8</v>
      </c>
      <c r="P1461" s="116">
        <v>1100</v>
      </c>
      <c r="Q1461" s="116">
        <v>1096.75</v>
      </c>
      <c r="R1461">
        <v>10092343</v>
      </c>
    </row>
    <row r="1462" spans="1:18" x14ac:dyDescent="0.25">
      <c r="A1462" s="170">
        <v>44155</v>
      </c>
      <c r="B1462" s="116">
        <v>1108.8499999999999</v>
      </c>
      <c r="C1462" s="116">
        <v>1103.05</v>
      </c>
      <c r="D1462" s="116">
        <v>1091.2</v>
      </c>
      <c r="E1462" s="116">
        <v>1105.5</v>
      </c>
      <c r="F1462" s="116">
        <v>1103.05</v>
      </c>
      <c r="G1462">
        <v>409116</v>
      </c>
      <c r="H1462" s="116"/>
      <c r="I1462" s="116"/>
      <c r="L1462" s="170">
        <v>44155</v>
      </c>
      <c r="M1462" s="116">
        <v>1103.3499999999999</v>
      </c>
      <c r="N1462" s="116">
        <v>1109</v>
      </c>
      <c r="O1462" s="116">
        <v>1091.0999999999999</v>
      </c>
      <c r="P1462" s="116">
        <v>1106</v>
      </c>
      <c r="Q1462" s="116">
        <v>1103.3499999999999</v>
      </c>
      <c r="R1462">
        <v>8063554</v>
      </c>
    </row>
    <row r="1463" spans="1:18" x14ac:dyDescent="0.25">
      <c r="A1463" s="170">
        <v>44158</v>
      </c>
      <c r="B1463" s="116">
        <v>1144.5</v>
      </c>
      <c r="C1463" s="116">
        <v>1140.25</v>
      </c>
      <c r="D1463" s="116">
        <v>1102.3</v>
      </c>
      <c r="E1463" s="116">
        <v>1103.2</v>
      </c>
      <c r="F1463" s="116">
        <v>1140.25</v>
      </c>
      <c r="G1463">
        <v>745811</v>
      </c>
      <c r="H1463" s="116"/>
      <c r="I1463" s="116"/>
      <c r="L1463" s="170">
        <v>44158</v>
      </c>
      <c r="M1463" s="116">
        <v>1139.8499999999999</v>
      </c>
      <c r="N1463" s="116">
        <v>1144.8</v>
      </c>
      <c r="O1463" s="116">
        <v>1101.95</v>
      </c>
      <c r="P1463" s="116">
        <v>1105</v>
      </c>
      <c r="Q1463" s="116">
        <v>1139.8499999999999</v>
      </c>
      <c r="R1463">
        <v>10546363</v>
      </c>
    </row>
    <row r="1464" spans="1:18" x14ac:dyDescent="0.25">
      <c r="A1464" s="170">
        <v>44159</v>
      </c>
      <c r="B1464" s="116">
        <v>1154.9000000000001</v>
      </c>
      <c r="C1464" s="116">
        <v>1139.1500000000001</v>
      </c>
      <c r="D1464" s="116">
        <v>1133.2</v>
      </c>
      <c r="E1464" s="116">
        <v>1144</v>
      </c>
      <c r="F1464" s="116">
        <v>1139.1500000000001</v>
      </c>
      <c r="G1464">
        <v>570517</v>
      </c>
      <c r="H1464" s="116"/>
      <c r="I1464" s="116"/>
      <c r="L1464" s="170">
        <v>44159</v>
      </c>
      <c r="M1464" s="116">
        <v>1140.05</v>
      </c>
      <c r="N1464" s="116">
        <v>1154.9000000000001</v>
      </c>
      <c r="O1464" s="116">
        <v>1133.3499999999999</v>
      </c>
      <c r="P1464" s="116">
        <v>1145</v>
      </c>
      <c r="Q1464" s="116">
        <v>1140.05</v>
      </c>
      <c r="R1464">
        <v>8515426</v>
      </c>
    </row>
    <row r="1465" spans="1:18" x14ac:dyDescent="0.25">
      <c r="A1465" s="170">
        <v>44160</v>
      </c>
      <c r="B1465" s="116">
        <v>1140.5</v>
      </c>
      <c r="C1465" s="116">
        <v>1116.2</v>
      </c>
      <c r="D1465" s="116">
        <v>1111.7</v>
      </c>
      <c r="E1465" s="116">
        <v>1139</v>
      </c>
      <c r="F1465" s="116">
        <v>1116.2</v>
      </c>
      <c r="G1465">
        <v>288915</v>
      </c>
      <c r="H1465" s="116"/>
      <c r="I1465" s="116"/>
      <c r="L1465" s="170">
        <v>44160</v>
      </c>
      <c r="M1465" s="116">
        <v>1115.6500000000001</v>
      </c>
      <c r="N1465" s="116">
        <v>1143.5</v>
      </c>
      <c r="O1465" s="116">
        <v>1111.25</v>
      </c>
      <c r="P1465" s="116">
        <v>1137</v>
      </c>
      <c r="Q1465" s="116">
        <v>1115.6500000000001</v>
      </c>
      <c r="R1465">
        <v>8958701</v>
      </c>
    </row>
    <row r="1466" spans="1:18" x14ac:dyDescent="0.25">
      <c r="A1466" s="170">
        <v>44161</v>
      </c>
      <c r="B1466" s="116">
        <v>1119</v>
      </c>
      <c r="C1466" s="116">
        <v>1113.6500000000001</v>
      </c>
      <c r="D1466" s="116">
        <v>1098.6500000000001</v>
      </c>
      <c r="E1466" s="116">
        <v>1118</v>
      </c>
      <c r="F1466" s="116">
        <v>1113.6500000000001</v>
      </c>
      <c r="G1466">
        <v>411389</v>
      </c>
      <c r="H1466" s="116"/>
      <c r="I1466" s="116"/>
      <c r="L1466" s="170">
        <v>44161</v>
      </c>
      <c r="M1466" s="116">
        <v>1113.2</v>
      </c>
      <c r="N1466" s="116">
        <v>1119.95</v>
      </c>
      <c r="O1466" s="116">
        <v>1098.3</v>
      </c>
      <c r="P1466" s="116">
        <v>1119.95</v>
      </c>
      <c r="Q1466" s="116">
        <v>1113.2</v>
      </c>
      <c r="R1466">
        <v>10962256</v>
      </c>
    </row>
    <row r="1467" spans="1:18" x14ac:dyDescent="0.25">
      <c r="A1467" s="170">
        <v>44162</v>
      </c>
      <c r="B1467" s="116">
        <v>1120.95</v>
      </c>
      <c r="C1467" s="116">
        <v>1100.55</v>
      </c>
      <c r="D1467" s="116">
        <v>1091.05</v>
      </c>
      <c r="E1467" s="116">
        <v>1115</v>
      </c>
      <c r="F1467" s="116">
        <v>1100.55</v>
      </c>
      <c r="G1467">
        <v>415087</v>
      </c>
      <c r="H1467" s="116"/>
      <c r="I1467" s="116"/>
      <c r="L1467" s="170">
        <v>44162</v>
      </c>
      <c r="M1467" s="116">
        <v>1100</v>
      </c>
      <c r="N1467" s="116">
        <v>1121</v>
      </c>
      <c r="O1467" s="116">
        <v>1091</v>
      </c>
      <c r="P1467" s="116">
        <v>1118</v>
      </c>
      <c r="Q1467" s="116">
        <v>1100</v>
      </c>
      <c r="R1467">
        <v>25306145</v>
      </c>
    </row>
    <row r="1468" spans="1:18" x14ac:dyDescent="0.25">
      <c r="A1468" s="170">
        <v>44166</v>
      </c>
      <c r="B1468" s="116">
        <v>1139.7</v>
      </c>
      <c r="C1468" s="116">
        <v>1137.25</v>
      </c>
      <c r="D1468" s="116">
        <v>1105.55</v>
      </c>
      <c r="E1468" s="116">
        <v>1105.55</v>
      </c>
      <c r="F1468" s="116">
        <v>1137.25</v>
      </c>
      <c r="G1468">
        <v>571933</v>
      </c>
      <c r="H1468" s="116"/>
      <c r="I1468" s="116"/>
      <c r="L1468" s="170">
        <v>44166</v>
      </c>
      <c r="M1468" s="116">
        <v>1137.8499999999999</v>
      </c>
      <c r="N1468" s="116">
        <v>1140.25</v>
      </c>
      <c r="O1468" s="116">
        <v>1105.05</v>
      </c>
      <c r="P1468" s="116">
        <v>1105.05</v>
      </c>
      <c r="Q1468" s="116">
        <v>1137.8499999999999</v>
      </c>
      <c r="R1468">
        <v>8933802</v>
      </c>
    </row>
    <row r="1469" spans="1:18" x14ac:dyDescent="0.25">
      <c r="A1469" s="170">
        <v>44167</v>
      </c>
      <c r="B1469" s="116">
        <v>1147.2</v>
      </c>
      <c r="C1469" s="116">
        <v>1141.05</v>
      </c>
      <c r="D1469" s="116">
        <v>1121.0999999999999</v>
      </c>
      <c r="E1469" s="116">
        <v>1135</v>
      </c>
      <c r="F1469" s="116">
        <v>1141.05</v>
      </c>
      <c r="G1469">
        <v>212615</v>
      </c>
      <c r="H1469" s="116"/>
      <c r="I1469" s="116"/>
      <c r="L1469" s="170">
        <v>44167</v>
      </c>
      <c r="M1469" s="116">
        <v>1140.9000000000001</v>
      </c>
      <c r="N1469" s="116">
        <v>1147.45</v>
      </c>
      <c r="O1469" s="116">
        <v>1121</v>
      </c>
      <c r="P1469" s="116">
        <v>1134</v>
      </c>
      <c r="Q1469" s="116">
        <v>1140.9000000000001</v>
      </c>
      <c r="R1469">
        <v>6741637</v>
      </c>
    </row>
    <row r="1470" spans="1:18" x14ac:dyDescent="0.25">
      <c r="A1470" s="170">
        <v>44168</v>
      </c>
      <c r="B1470" s="116">
        <v>1152.1500000000001</v>
      </c>
      <c r="C1470" s="116">
        <v>1126.55</v>
      </c>
      <c r="D1470" s="116">
        <v>1122.55</v>
      </c>
      <c r="E1470" s="116">
        <v>1152.1500000000001</v>
      </c>
      <c r="F1470" s="116">
        <v>1126.55</v>
      </c>
      <c r="G1470">
        <v>2088753</v>
      </c>
      <c r="H1470" s="116"/>
      <c r="I1470" s="116"/>
      <c r="L1470" s="170">
        <v>44168</v>
      </c>
      <c r="M1470" s="116">
        <v>1126.45</v>
      </c>
      <c r="N1470" s="116">
        <v>1147</v>
      </c>
      <c r="O1470" s="116">
        <v>1122.7</v>
      </c>
      <c r="P1470" s="116">
        <v>1147</v>
      </c>
      <c r="Q1470" s="116">
        <v>1126.45</v>
      </c>
      <c r="R1470">
        <v>16212632</v>
      </c>
    </row>
    <row r="1471" spans="1:18" x14ac:dyDescent="0.25">
      <c r="A1471" s="170">
        <v>44169</v>
      </c>
      <c r="B1471" s="116">
        <v>1136.9000000000001</v>
      </c>
      <c r="C1471" s="116">
        <v>1134.6500000000001</v>
      </c>
      <c r="D1471" s="116">
        <v>1115.3499999999999</v>
      </c>
      <c r="E1471" s="116">
        <v>1126</v>
      </c>
      <c r="F1471" s="116">
        <v>1134.6500000000001</v>
      </c>
      <c r="G1471">
        <v>727164</v>
      </c>
      <c r="H1471" s="116"/>
      <c r="I1471" s="116"/>
      <c r="L1471" s="170">
        <v>44169</v>
      </c>
      <c r="M1471" s="116">
        <v>1134.6500000000001</v>
      </c>
      <c r="N1471" s="116">
        <v>1137</v>
      </c>
      <c r="O1471" s="116">
        <v>1115</v>
      </c>
      <c r="P1471" s="116">
        <v>1125</v>
      </c>
      <c r="Q1471" s="116">
        <v>1134.6500000000001</v>
      </c>
      <c r="R1471">
        <v>10564055</v>
      </c>
    </row>
    <row r="1472" spans="1:18" x14ac:dyDescent="0.25">
      <c r="A1472" s="170">
        <v>44172</v>
      </c>
      <c r="B1472" s="116">
        <v>1151.4000000000001</v>
      </c>
      <c r="C1472" s="116">
        <v>1144.05</v>
      </c>
      <c r="D1472" s="116">
        <v>1136.1500000000001</v>
      </c>
      <c r="E1472" s="116">
        <v>1144</v>
      </c>
      <c r="F1472" s="116">
        <v>1144.05</v>
      </c>
      <c r="G1472">
        <v>521440</v>
      </c>
      <c r="H1472" s="116"/>
      <c r="I1472" s="116"/>
      <c r="L1472" s="170">
        <v>44172</v>
      </c>
      <c r="M1472" s="116">
        <v>1143.5</v>
      </c>
      <c r="N1472" s="116">
        <v>1153</v>
      </c>
      <c r="O1472" s="116">
        <v>1136</v>
      </c>
      <c r="P1472" s="116">
        <v>1147.3</v>
      </c>
      <c r="Q1472" s="116">
        <v>1143.5</v>
      </c>
      <c r="R1472">
        <v>7792141</v>
      </c>
    </row>
    <row r="1473" spans="1:18" x14ac:dyDescent="0.25">
      <c r="A1473" s="170">
        <v>44173</v>
      </c>
      <c r="B1473" s="116">
        <v>1166.75</v>
      </c>
      <c r="C1473" s="116">
        <v>1153.8499999999999</v>
      </c>
      <c r="D1473" s="116">
        <v>1144.4000000000001</v>
      </c>
      <c r="E1473" s="116">
        <v>1144.4000000000001</v>
      </c>
      <c r="F1473" s="116">
        <v>1153.8499999999999</v>
      </c>
      <c r="G1473">
        <v>793534</v>
      </c>
      <c r="H1473" s="116"/>
      <c r="I1473" s="116"/>
      <c r="L1473" s="170">
        <v>44173</v>
      </c>
      <c r="M1473" s="116">
        <v>1153.3499999999999</v>
      </c>
      <c r="N1473" s="116">
        <v>1167</v>
      </c>
      <c r="O1473" s="116">
        <v>1145</v>
      </c>
      <c r="P1473" s="116">
        <v>1145</v>
      </c>
      <c r="Q1473" s="116">
        <v>1153.3499999999999</v>
      </c>
      <c r="R1473">
        <v>12308330</v>
      </c>
    </row>
    <row r="1474" spans="1:18" x14ac:dyDescent="0.25">
      <c r="A1474" s="170">
        <v>44174</v>
      </c>
      <c r="B1474" s="116">
        <v>1179</v>
      </c>
      <c r="C1474" s="116">
        <v>1175.1500000000001</v>
      </c>
      <c r="D1474" s="116">
        <v>1157.3</v>
      </c>
      <c r="E1474" s="116">
        <v>1167.1500000000001</v>
      </c>
      <c r="F1474" s="116">
        <v>1175.1500000000001</v>
      </c>
      <c r="G1474">
        <v>490595</v>
      </c>
      <c r="H1474" s="116"/>
      <c r="I1474" s="116"/>
      <c r="L1474" s="170">
        <v>44174</v>
      </c>
      <c r="M1474" s="116">
        <v>1175.2</v>
      </c>
      <c r="N1474" s="116">
        <v>1179.5</v>
      </c>
      <c r="O1474" s="116">
        <v>1157</v>
      </c>
      <c r="P1474" s="116">
        <v>1168.05</v>
      </c>
      <c r="Q1474" s="116">
        <v>1175.2</v>
      </c>
      <c r="R1474">
        <v>10039346</v>
      </c>
    </row>
    <row r="1475" spans="1:18" x14ac:dyDescent="0.25">
      <c r="A1475" s="170">
        <v>44175</v>
      </c>
      <c r="B1475" s="116">
        <v>1171.45</v>
      </c>
      <c r="C1475" s="116">
        <v>1167.5</v>
      </c>
      <c r="D1475" s="116">
        <v>1151.45</v>
      </c>
      <c r="E1475" s="116">
        <v>1163.7</v>
      </c>
      <c r="F1475" s="116">
        <v>1167.5</v>
      </c>
      <c r="G1475">
        <v>380940</v>
      </c>
      <c r="H1475" s="116"/>
      <c r="I1475" s="116"/>
      <c r="L1475" s="170">
        <v>44175</v>
      </c>
      <c r="M1475" s="116">
        <v>1167.75</v>
      </c>
      <c r="N1475" s="116">
        <v>1171.6500000000001</v>
      </c>
      <c r="O1475" s="116">
        <v>1150</v>
      </c>
      <c r="P1475" s="116">
        <v>1157.4000000000001</v>
      </c>
      <c r="Q1475" s="116">
        <v>1167.75</v>
      </c>
      <c r="R1475">
        <v>9488782</v>
      </c>
    </row>
    <row r="1476" spans="1:18" x14ac:dyDescent="0.25">
      <c r="A1476" s="170">
        <v>44176</v>
      </c>
      <c r="B1476" s="116">
        <v>1171.95</v>
      </c>
      <c r="C1476" s="116">
        <v>1163.05</v>
      </c>
      <c r="D1476" s="116">
        <v>1156.25</v>
      </c>
      <c r="E1476" s="116">
        <v>1168</v>
      </c>
      <c r="F1476" s="116">
        <v>1163.05</v>
      </c>
      <c r="G1476">
        <v>401646</v>
      </c>
      <c r="H1476" s="116"/>
      <c r="I1476" s="116"/>
      <c r="L1476" s="170">
        <v>44176</v>
      </c>
      <c r="M1476" s="116">
        <v>1163.2</v>
      </c>
      <c r="N1476" s="116">
        <v>1171.95</v>
      </c>
      <c r="O1476" s="116">
        <v>1155.25</v>
      </c>
      <c r="P1476" s="116">
        <v>1159.7</v>
      </c>
      <c r="Q1476" s="116">
        <v>1163.2</v>
      </c>
      <c r="R1476">
        <v>10574009</v>
      </c>
    </row>
    <row r="1477" spans="1:18" x14ac:dyDescent="0.25">
      <c r="A1477" s="170">
        <v>44179</v>
      </c>
      <c r="B1477" s="116">
        <v>1171.5999999999999</v>
      </c>
      <c r="C1477" s="116">
        <v>1164.55</v>
      </c>
      <c r="D1477" s="116">
        <v>1148.5</v>
      </c>
      <c r="E1477" s="116">
        <v>1167.95</v>
      </c>
      <c r="F1477" s="116">
        <v>1164.55</v>
      </c>
      <c r="G1477">
        <v>267081</v>
      </c>
      <c r="H1477" s="116"/>
      <c r="I1477" s="116"/>
      <c r="L1477" s="170">
        <v>44179</v>
      </c>
      <c r="M1477" s="116">
        <v>1164.55</v>
      </c>
      <c r="N1477" s="116">
        <v>1172.5999999999999</v>
      </c>
      <c r="O1477" s="116">
        <v>1148.2</v>
      </c>
      <c r="P1477" s="116">
        <v>1169.4000000000001</v>
      </c>
      <c r="Q1477" s="116">
        <v>1164.55</v>
      </c>
      <c r="R1477">
        <v>6728187</v>
      </c>
    </row>
    <row r="1478" spans="1:18" x14ac:dyDescent="0.25">
      <c r="A1478" s="170">
        <v>44180</v>
      </c>
      <c r="B1478" s="116">
        <v>1163.7</v>
      </c>
      <c r="C1478" s="116">
        <v>1154.4000000000001</v>
      </c>
      <c r="D1478" s="116">
        <v>1152.0999999999999</v>
      </c>
      <c r="E1478" s="116">
        <v>1158.5</v>
      </c>
      <c r="F1478" s="116">
        <v>1154.4000000000001</v>
      </c>
      <c r="G1478">
        <v>233677</v>
      </c>
      <c r="H1478" s="116"/>
      <c r="I1478" s="116"/>
      <c r="L1478" s="170">
        <v>44180</v>
      </c>
      <c r="M1478" s="116">
        <v>1154.5999999999999</v>
      </c>
      <c r="N1478" s="116">
        <v>1163.7</v>
      </c>
      <c r="O1478" s="116">
        <v>1152</v>
      </c>
      <c r="P1478" s="116">
        <v>1156</v>
      </c>
      <c r="Q1478" s="116">
        <v>1154.5999999999999</v>
      </c>
      <c r="R1478">
        <v>6905926</v>
      </c>
    </row>
    <row r="1479" spans="1:18" x14ac:dyDescent="0.25">
      <c r="A1479" s="170">
        <v>44181</v>
      </c>
      <c r="B1479" s="116">
        <v>1168.9000000000001</v>
      </c>
      <c r="C1479" s="116">
        <v>1165.75</v>
      </c>
      <c r="D1479" s="116">
        <v>1154.3</v>
      </c>
      <c r="E1479" s="116">
        <v>1162.05</v>
      </c>
      <c r="F1479" s="116">
        <v>1165.75</v>
      </c>
      <c r="G1479">
        <v>316800</v>
      </c>
      <c r="H1479" s="116"/>
      <c r="I1479" s="116"/>
      <c r="L1479" s="170">
        <v>44181</v>
      </c>
      <c r="M1479" s="116">
        <v>1165.7</v>
      </c>
      <c r="N1479" s="116">
        <v>1168.9000000000001</v>
      </c>
      <c r="O1479" s="116">
        <v>1153.5999999999999</v>
      </c>
      <c r="P1479" s="116">
        <v>1160</v>
      </c>
      <c r="Q1479" s="116">
        <v>1165.7</v>
      </c>
      <c r="R1479">
        <v>7788404</v>
      </c>
    </row>
    <row r="1480" spans="1:18" x14ac:dyDescent="0.25">
      <c r="A1480" s="170">
        <v>44182</v>
      </c>
      <c r="B1480" s="116">
        <v>1168.5</v>
      </c>
      <c r="C1480" s="116">
        <v>1159.0999999999999</v>
      </c>
      <c r="D1480" s="116">
        <v>1156.5</v>
      </c>
      <c r="E1480" s="116">
        <v>1166.3499999999999</v>
      </c>
      <c r="F1480" s="116">
        <v>1159.0999999999999</v>
      </c>
      <c r="G1480">
        <v>257415</v>
      </c>
      <c r="H1480" s="116"/>
      <c r="I1480" s="116"/>
      <c r="L1480" s="170">
        <v>44182</v>
      </c>
      <c r="M1480" s="116">
        <v>1159.2</v>
      </c>
      <c r="N1480" s="116">
        <v>1168.9000000000001</v>
      </c>
      <c r="O1480" s="116">
        <v>1156.2</v>
      </c>
      <c r="P1480" s="116">
        <v>1165.9000000000001</v>
      </c>
      <c r="Q1480" s="116">
        <v>1159.2</v>
      </c>
      <c r="R1480">
        <v>6658153</v>
      </c>
    </row>
    <row r="1481" spans="1:18" x14ac:dyDescent="0.25">
      <c r="A1481" s="170">
        <v>44183</v>
      </c>
      <c r="B1481" s="116">
        <v>1194.95</v>
      </c>
      <c r="C1481" s="116">
        <v>1189.75</v>
      </c>
      <c r="D1481" s="116">
        <v>1175.45</v>
      </c>
      <c r="E1481" s="116">
        <v>1182</v>
      </c>
      <c r="F1481" s="116">
        <v>1189.75</v>
      </c>
      <c r="G1481">
        <v>739106</v>
      </c>
      <c r="H1481" s="116"/>
      <c r="I1481" s="116"/>
      <c r="L1481" s="170">
        <v>44183</v>
      </c>
      <c r="M1481" s="116">
        <v>1189.8</v>
      </c>
      <c r="N1481" s="116">
        <v>1195</v>
      </c>
      <c r="O1481" s="116">
        <v>1175.5999999999999</v>
      </c>
      <c r="P1481" s="116">
        <v>1182.8499999999999</v>
      </c>
      <c r="Q1481" s="116">
        <v>1189.8</v>
      </c>
      <c r="R1481">
        <v>15995676</v>
      </c>
    </row>
    <row r="1482" spans="1:18" x14ac:dyDescent="0.25">
      <c r="A1482" s="170">
        <v>44186</v>
      </c>
      <c r="B1482" s="116">
        <v>1209.5</v>
      </c>
      <c r="C1482" s="116">
        <v>1176.3</v>
      </c>
      <c r="D1482" s="116">
        <v>1152.0999999999999</v>
      </c>
      <c r="E1482" s="116">
        <v>1189.9000000000001</v>
      </c>
      <c r="F1482" s="116">
        <v>1176.3</v>
      </c>
      <c r="G1482">
        <v>642680</v>
      </c>
      <c r="H1482" s="116"/>
      <c r="I1482" s="116"/>
      <c r="L1482" s="170">
        <v>44186</v>
      </c>
      <c r="M1482" s="116">
        <v>1177.3</v>
      </c>
      <c r="N1482" s="116">
        <v>1209.75</v>
      </c>
      <c r="O1482" s="116">
        <v>1152.05</v>
      </c>
      <c r="P1482" s="116">
        <v>1188</v>
      </c>
      <c r="Q1482" s="116">
        <v>1177.3</v>
      </c>
      <c r="R1482">
        <v>10858352</v>
      </c>
    </row>
    <row r="1483" spans="1:18" x14ac:dyDescent="0.25">
      <c r="A1483" s="170">
        <v>44187</v>
      </c>
      <c r="B1483" s="116">
        <v>1224</v>
      </c>
      <c r="C1483" s="116">
        <v>1220.75</v>
      </c>
      <c r="D1483" s="116">
        <v>1176.3</v>
      </c>
      <c r="E1483" s="116">
        <v>1178</v>
      </c>
      <c r="F1483" s="116">
        <v>1220.75</v>
      </c>
      <c r="G1483">
        <v>541344</v>
      </c>
      <c r="H1483" s="116"/>
      <c r="I1483" s="116"/>
      <c r="L1483" s="170">
        <v>44187</v>
      </c>
      <c r="M1483" s="116">
        <v>1220.5</v>
      </c>
      <c r="N1483" s="116">
        <v>1223.8499999999999</v>
      </c>
      <c r="O1483" s="116">
        <v>1176.0999999999999</v>
      </c>
      <c r="P1483" s="116">
        <v>1182</v>
      </c>
      <c r="Q1483" s="116">
        <v>1220.5</v>
      </c>
      <c r="R1483">
        <v>10901851</v>
      </c>
    </row>
    <row r="1484" spans="1:18" x14ac:dyDescent="0.25">
      <c r="A1484" s="170">
        <v>44188</v>
      </c>
      <c r="B1484" s="116">
        <v>1259</v>
      </c>
      <c r="C1484" s="116">
        <v>1252.95</v>
      </c>
      <c r="D1484" s="116">
        <v>1231</v>
      </c>
      <c r="E1484" s="116">
        <v>1242.95</v>
      </c>
      <c r="F1484" s="116">
        <v>1252.95</v>
      </c>
      <c r="G1484">
        <v>1049211</v>
      </c>
      <c r="H1484" s="116"/>
      <c r="I1484" s="116"/>
      <c r="L1484" s="170">
        <v>44188</v>
      </c>
      <c r="M1484" s="116">
        <v>1253.05</v>
      </c>
      <c r="N1484" s="116">
        <v>1258.8499999999999</v>
      </c>
      <c r="O1484" s="116">
        <v>1230.55</v>
      </c>
      <c r="P1484" s="116">
        <v>1238</v>
      </c>
      <c r="Q1484" s="116">
        <v>1253.05</v>
      </c>
      <c r="R1484">
        <v>15878346</v>
      </c>
    </row>
    <row r="1485" spans="1:18" x14ac:dyDescent="0.25">
      <c r="A1485" s="170">
        <v>44189</v>
      </c>
      <c r="B1485" s="116">
        <v>1265</v>
      </c>
      <c r="C1485" s="116">
        <v>1236.3499999999999</v>
      </c>
      <c r="D1485" s="116">
        <v>1226.0999999999999</v>
      </c>
      <c r="E1485" s="116">
        <v>1265</v>
      </c>
      <c r="F1485" s="116">
        <v>1236.3499999999999</v>
      </c>
      <c r="G1485">
        <v>503008</v>
      </c>
      <c r="H1485" s="116"/>
      <c r="I1485" s="116"/>
      <c r="L1485" s="170">
        <v>44189</v>
      </c>
      <c r="M1485" s="116">
        <v>1236.05</v>
      </c>
      <c r="N1485" s="116">
        <v>1249.9000000000001</v>
      </c>
      <c r="O1485" s="116">
        <v>1226</v>
      </c>
      <c r="P1485" s="116">
        <v>1249.9000000000001</v>
      </c>
      <c r="Q1485" s="116">
        <v>1236.05</v>
      </c>
      <c r="R1485">
        <v>7313885</v>
      </c>
    </row>
    <row r="1486" spans="1:18" x14ac:dyDescent="0.25">
      <c r="A1486" s="170">
        <v>44193</v>
      </c>
      <c r="B1486" s="116">
        <v>1248</v>
      </c>
      <c r="C1486" s="116">
        <v>1240.0999999999999</v>
      </c>
      <c r="D1486" s="116">
        <v>1236.1500000000001</v>
      </c>
      <c r="E1486" s="116">
        <v>1237.3499999999999</v>
      </c>
      <c r="F1486" s="116">
        <v>1240.0999999999999</v>
      </c>
      <c r="G1486">
        <v>252593</v>
      </c>
      <c r="H1486" s="116"/>
      <c r="I1486" s="116"/>
      <c r="L1486" s="170">
        <v>44193</v>
      </c>
      <c r="M1486" s="116">
        <v>1240.3</v>
      </c>
      <c r="N1486" s="116">
        <v>1248</v>
      </c>
      <c r="O1486" s="116">
        <v>1236</v>
      </c>
      <c r="P1486" s="116">
        <v>1238.45</v>
      </c>
      <c r="Q1486" s="116">
        <v>1240.3</v>
      </c>
      <c r="R1486">
        <v>4607051</v>
      </c>
    </row>
    <row r="1487" spans="1:18" x14ac:dyDescent="0.25">
      <c r="A1487" s="170">
        <v>44194</v>
      </c>
      <c r="B1487" s="116">
        <v>1254.5</v>
      </c>
      <c r="C1487" s="116">
        <v>1250.1500000000001</v>
      </c>
      <c r="D1487" s="116">
        <v>1236.55</v>
      </c>
      <c r="E1487" s="116">
        <v>1237</v>
      </c>
      <c r="F1487" s="116">
        <v>1250.1500000000001</v>
      </c>
      <c r="G1487">
        <v>241078</v>
      </c>
      <c r="H1487" s="116"/>
      <c r="I1487" s="116"/>
      <c r="L1487" s="170">
        <v>44194</v>
      </c>
      <c r="M1487" s="116">
        <v>1250.3</v>
      </c>
      <c r="N1487" s="116">
        <v>1254.45</v>
      </c>
      <c r="O1487" s="116">
        <v>1235</v>
      </c>
      <c r="P1487" s="116">
        <v>1235</v>
      </c>
      <c r="Q1487" s="116">
        <v>1250.3</v>
      </c>
      <c r="R1487">
        <v>6878105</v>
      </c>
    </row>
    <row r="1488" spans="1:18" x14ac:dyDescent="0.25">
      <c r="A1488" s="170">
        <v>44195</v>
      </c>
      <c r="B1488" s="116">
        <v>1253.9000000000001</v>
      </c>
      <c r="C1488" s="116">
        <v>1246.2</v>
      </c>
      <c r="D1488" s="116">
        <v>1238.55</v>
      </c>
      <c r="E1488" s="116">
        <v>1252.9000000000001</v>
      </c>
      <c r="F1488" s="116">
        <v>1246.2</v>
      </c>
      <c r="G1488">
        <v>139790</v>
      </c>
      <c r="H1488" s="116"/>
      <c r="I1488" s="116"/>
      <c r="L1488" s="170">
        <v>44195</v>
      </c>
      <c r="M1488" s="116">
        <v>1246.8</v>
      </c>
      <c r="N1488" s="116">
        <v>1253.3</v>
      </c>
      <c r="O1488" s="116">
        <v>1238.1500000000001</v>
      </c>
      <c r="P1488" s="116">
        <v>1253</v>
      </c>
      <c r="Q1488" s="116">
        <v>1246.8</v>
      </c>
      <c r="R1488">
        <v>5194690</v>
      </c>
    </row>
    <row r="1489" spans="1:18" x14ac:dyDescent="0.25">
      <c r="A1489" s="170">
        <v>44196</v>
      </c>
      <c r="B1489" s="116">
        <v>1258.1500000000001</v>
      </c>
      <c r="C1489" s="116">
        <v>1255.8499999999999</v>
      </c>
      <c r="D1489" s="116">
        <v>1239</v>
      </c>
      <c r="E1489" s="116">
        <v>1244.9000000000001</v>
      </c>
      <c r="F1489" s="116">
        <v>1255.8499999999999</v>
      </c>
      <c r="G1489">
        <v>157186</v>
      </c>
      <c r="H1489" s="116"/>
      <c r="I1489" s="116"/>
      <c r="L1489" s="170">
        <v>44196</v>
      </c>
      <c r="M1489" s="116">
        <v>1255.8</v>
      </c>
      <c r="N1489" s="116">
        <v>1258.4000000000001</v>
      </c>
      <c r="O1489" s="116">
        <v>1239</v>
      </c>
      <c r="P1489" s="116">
        <v>1243</v>
      </c>
      <c r="Q1489" s="116">
        <v>1255.8</v>
      </c>
      <c r="R1489">
        <v>7430470</v>
      </c>
    </row>
    <row r="1490" spans="1:18" x14ac:dyDescent="0.25">
      <c r="A1490" s="170">
        <v>44197</v>
      </c>
      <c r="B1490" s="116">
        <v>1265.3</v>
      </c>
      <c r="C1490" s="116">
        <v>1260.4000000000001</v>
      </c>
      <c r="D1490" s="116">
        <v>1255</v>
      </c>
      <c r="E1490" s="116">
        <v>1258.95</v>
      </c>
      <c r="F1490" s="116">
        <v>1260.4000000000001</v>
      </c>
      <c r="G1490">
        <v>246094</v>
      </c>
      <c r="H1490" s="116"/>
      <c r="I1490" s="116"/>
      <c r="L1490" s="170">
        <v>44197</v>
      </c>
      <c r="M1490" s="116">
        <v>1260.45</v>
      </c>
      <c r="N1490" s="116">
        <v>1265.5</v>
      </c>
      <c r="O1490" s="116">
        <v>1255.8</v>
      </c>
      <c r="P1490" s="116">
        <v>1257.9000000000001</v>
      </c>
      <c r="Q1490" s="116">
        <v>1260.45</v>
      </c>
      <c r="R1490">
        <v>4253550</v>
      </c>
    </row>
    <row r="1491" spans="1:18" x14ac:dyDescent="0.25">
      <c r="A1491" s="170">
        <v>44200</v>
      </c>
      <c r="B1491" s="116">
        <v>1290.3499999999999</v>
      </c>
      <c r="C1491" s="116">
        <v>1288.55</v>
      </c>
      <c r="D1491" s="116">
        <v>1261.5</v>
      </c>
      <c r="E1491" s="116">
        <v>1271.75</v>
      </c>
      <c r="F1491" s="116">
        <v>1288.55</v>
      </c>
      <c r="G1491">
        <v>329658</v>
      </c>
      <c r="H1491" s="116"/>
      <c r="I1491" s="116"/>
      <c r="L1491" s="170">
        <v>44200</v>
      </c>
      <c r="M1491" s="116">
        <v>1288.25</v>
      </c>
      <c r="N1491" s="116">
        <v>1290</v>
      </c>
      <c r="O1491" s="116">
        <v>1261.1500000000001</v>
      </c>
      <c r="P1491" s="116">
        <v>1269</v>
      </c>
      <c r="Q1491" s="116">
        <v>1288.25</v>
      </c>
      <c r="R1491">
        <v>7208454</v>
      </c>
    </row>
    <row r="1492" spans="1:18" x14ac:dyDescent="0.25">
      <c r="A1492" s="170">
        <v>44201</v>
      </c>
      <c r="B1492" s="116">
        <v>1299</v>
      </c>
      <c r="C1492" s="116">
        <v>1293.5</v>
      </c>
      <c r="D1492" s="116">
        <v>1274.4000000000001</v>
      </c>
      <c r="E1492" s="116">
        <v>1287</v>
      </c>
      <c r="F1492" s="116">
        <v>1293.5</v>
      </c>
      <c r="G1492">
        <v>424938</v>
      </c>
      <c r="H1492" s="116"/>
      <c r="I1492" s="116"/>
      <c r="L1492" s="170">
        <v>44201</v>
      </c>
      <c r="M1492" s="116">
        <v>1293.8</v>
      </c>
      <c r="N1492" s="116">
        <v>1299</v>
      </c>
      <c r="O1492" s="116">
        <v>1275.05</v>
      </c>
      <c r="P1492" s="116">
        <v>1282</v>
      </c>
      <c r="Q1492" s="116">
        <v>1293.8</v>
      </c>
      <c r="R1492">
        <v>8145280</v>
      </c>
    </row>
    <row r="1493" spans="1:18" x14ac:dyDescent="0.25">
      <c r="A1493" s="170">
        <v>44202</v>
      </c>
      <c r="B1493" s="116">
        <v>1302.5</v>
      </c>
      <c r="C1493" s="116">
        <v>1281.5999999999999</v>
      </c>
      <c r="D1493" s="116">
        <v>1268.5</v>
      </c>
      <c r="E1493" s="116">
        <v>1296.25</v>
      </c>
      <c r="F1493" s="116">
        <v>1281.5999999999999</v>
      </c>
      <c r="G1493">
        <v>357102</v>
      </c>
      <c r="H1493" s="116"/>
      <c r="I1493" s="116"/>
      <c r="L1493" s="170">
        <v>44202</v>
      </c>
      <c r="M1493" s="116">
        <v>1282.0999999999999</v>
      </c>
      <c r="N1493" s="116">
        <v>1302</v>
      </c>
      <c r="O1493" s="116">
        <v>1268.05</v>
      </c>
      <c r="P1493" s="116">
        <v>1300</v>
      </c>
      <c r="Q1493" s="116">
        <v>1282.0999999999999</v>
      </c>
      <c r="R1493">
        <v>7161715</v>
      </c>
    </row>
    <row r="1494" spans="1:18" x14ac:dyDescent="0.25">
      <c r="A1494" s="170">
        <v>44203</v>
      </c>
      <c r="B1494" s="116">
        <v>1298</v>
      </c>
      <c r="C1494" s="116">
        <v>1261.95</v>
      </c>
      <c r="D1494" s="116">
        <v>1255.5999999999999</v>
      </c>
      <c r="E1494" s="116">
        <v>1298</v>
      </c>
      <c r="F1494" s="116">
        <v>1261.95</v>
      </c>
      <c r="G1494">
        <v>354360</v>
      </c>
      <c r="H1494" s="116"/>
      <c r="I1494" s="116"/>
      <c r="L1494" s="170">
        <v>44203</v>
      </c>
      <c r="M1494" s="116">
        <v>1262.1500000000001</v>
      </c>
      <c r="N1494" s="116">
        <v>1297.6500000000001</v>
      </c>
      <c r="O1494" s="116">
        <v>1255.5</v>
      </c>
      <c r="P1494" s="116">
        <v>1296</v>
      </c>
      <c r="Q1494" s="116">
        <v>1262.1500000000001</v>
      </c>
      <c r="R1494">
        <v>10954918</v>
      </c>
    </row>
    <row r="1495" spans="1:18" x14ac:dyDescent="0.25">
      <c r="A1495" s="170">
        <v>44204</v>
      </c>
      <c r="B1495" s="116">
        <v>1316.45</v>
      </c>
      <c r="C1495" s="116">
        <v>1311.8</v>
      </c>
      <c r="D1495" s="116">
        <v>1278.6500000000001</v>
      </c>
      <c r="E1495" s="116">
        <v>1280</v>
      </c>
      <c r="F1495" s="116">
        <v>1311.8</v>
      </c>
      <c r="G1495">
        <v>2945503</v>
      </c>
      <c r="H1495" s="116"/>
      <c r="I1495" s="116"/>
      <c r="L1495" s="170">
        <v>44204</v>
      </c>
      <c r="M1495" s="116">
        <v>1312.1</v>
      </c>
      <c r="N1495" s="116">
        <v>1316.8</v>
      </c>
      <c r="O1495" s="116">
        <v>1278.25</v>
      </c>
      <c r="P1495" s="116">
        <v>1278.25</v>
      </c>
      <c r="Q1495" s="116">
        <v>1312.1</v>
      </c>
      <c r="R1495">
        <v>13186251</v>
      </c>
    </row>
    <row r="1496" spans="1:18" x14ac:dyDescent="0.25">
      <c r="A1496" s="170">
        <v>44207</v>
      </c>
      <c r="B1496" s="116">
        <v>1382.65</v>
      </c>
      <c r="C1496" s="116">
        <v>1376.1</v>
      </c>
      <c r="D1496" s="116">
        <v>1340</v>
      </c>
      <c r="E1496" s="116">
        <v>1340</v>
      </c>
      <c r="F1496" s="116">
        <v>1376.1</v>
      </c>
      <c r="G1496">
        <v>664987</v>
      </c>
      <c r="H1496" s="116"/>
      <c r="I1496" s="116"/>
      <c r="L1496" s="170">
        <v>44207</v>
      </c>
      <c r="M1496" s="116">
        <v>1376.2</v>
      </c>
      <c r="N1496" s="116">
        <v>1383.35</v>
      </c>
      <c r="O1496" s="116">
        <v>1340</v>
      </c>
      <c r="P1496" s="116">
        <v>1342.1</v>
      </c>
      <c r="Q1496" s="116">
        <v>1376.2</v>
      </c>
      <c r="R1496">
        <v>20528626</v>
      </c>
    </row>
    <row r="1497" spans="1:18" x14ac:dyDescent="0.25">
      <c r="A1497" s="170">
        <v>44208</v>
      </c>
      <c r="B1497" s="116">
        <v>1383.7</v>
      </c>
      <c r="C1497" s="116">
        <v>1371.85</v>
      </c>
      <c r="D1497" s="116">
        <v>1360.2</v>
      </c>
      <c r="E1497" s="116">
        <v>1383.7</v>
      </c>
      <c r="F1497" s="116">
        <v>1371.85</v>
      </c>
      <c r="G1497">
        <v>350455</v>
      </c>
      <c r="H1497" s="116"/>
      <c r="I1497" s="116"/>
      <c r="L1497" s="170">
        <v>44208</v>
      </c>
      <c r="M1497" s="116">
        <v>1371.75</v>
      </c>
      <c r="N1497" s="116">
        <v>1378</v>
      </c>
      <c r="O1497" s="116">
        <v>1360</v>
      </c>
      <c r="P1497" s="116">
        <v>1378</v>
      </c>
      <c r="Q1497" s="116">
        <v>1371.75</v>
      </c>
      <c r="R1497">
        <v>8309868</v>
      </c>
    </row>
    <row r="1498" spans="1:18" x14ac:dyDescent="0.25">
      <c r="A1498" s="170">
        <v>44209</v>
      </c>
      <c r="B1498" s="116">
        <v>1392.7</v>
      </c>
      <c r="C1498" s="116">
        <v>1387.7</v>
      </c>
      <c r="D1498" s="116">
        <v>1360</v>
      </c>
      <c r="E1498" s="116">
        <v>1379.8</v>
      </c>
      <c r="F1498" s="116">
        <v>1387.7</v>
      </c>
      <c r="G1498">
        <v>993426</v>
      </c>
      <c r="H1498" s="116"/>
      <c r="I1498" s="116"/>
      <c r="L1498" s="170">
        <v>44209</v>
      </c>
      <c r="M1498" s="116">
        <v>1387.15</v>
      </c>
      <c r="N1498" s="116">
        <v>1392.8</v>
      </c>
      <c r="O1498" s="116">
        <v>1360</v>
      </c>
      <c r="P1498" s="116">
        <v>1373.85</v>
      </c>
      <c r="Q1498" s="116">
        <v>1387.15</v>
      </c>
      <c r="R1498">
        <v>14442997</v>
      </c>
    </row>
    <row r="1499" spans="1:18" x14ac:dyDescent="0.25">
      <c r="A1499" s="170">
        <v>44210</v>
      </c>
      <c r="B1499" s="116">
        <v>1384.5</v>
      </c>
      <c r="C1499" s="116">
        <v>1370.6</v>
      </c>
      <c r="D1499" s="116">
        <v>1318.05</v>
      </c>
      <c r="E1499" s="116">
        <v>1360</v>
      </c>
      <c r="F1499" s="116">
        <v>1370.6</v>
      </c>
      <c r="G1499">
        <v>2734302</v>
      </c>
      <c r="H1499" s="116"/>
      <c r="I1499" s="116"/>
      <c r="L1499" s="170">
        <v>44210</v>
      </c>
      <c r="M1499" s="116">
        <v>1370.5</v>
      </c>
      <c r="N1499" s="116">
        <v>1384</v>
      </c>
      <c r="O1499" s="116">
        <v>1318.45</v>
      </c>
      <c r="P1499" s="116">
        <v>1360</v>
      </c>
      <c r="Q1499" s="116">
        <v>1370.5</v>
      </c>
      <c r="R1499">
        <v>27521697</v>
      </c>
    </row>
    <row r="1500" spans="1:18" x14ac:dyDescent="0.25">
      <c r="A1500" s="170">
        <v>44211</v>
      </c>
      <c r="B1500" s="116">
        <v>1370</v>
      </c>
      <c r="C1500" s="116">
        <v>1345.1</v>
      </c>
      <c r="D1500" s="116">
        <v>1341.75</v>
      </c>
      <c r="E1500" s="116">
        <v>1370</v>
      </c>
      <c r="F1500" s="116">
        <v>1345.1</v>
      </c>
      <c r="G1500">
        <v>1650161</v>
      </c>
      <c r="H1500" s="116"/>
      <c r="I1500" s="116"/>
      <c r="L1500" s="170">
        <v>44211</v>
      </c>
      <c r="M1500" s="116">
        <v>1344.95</v>
      </c>
      <c r="N1500" s="116">
        <v>1364.45</v>
      </c>
      <c r="O1500" s="116">
        <v>1340</v>
      </c>
      <c r="P1500" s="116">
        <v>1360</v>
      </c>
      <c r="Q1500" s="116">
        <v>1344.95</v>
      </c>
      <c r="R1500">
        <v>15018441</v>
      </c>
    </row>
    <row r="1501" spans="1:18" x14ac:dyDescent="0.25">
      <c r="A1501" s="170">
        <v>44214</v>
      </c>
      <c r="B1501" s="116">
        <v>1340</v>
      </c>
      <c r="C1501" s="116">
        <v>1311.65</v>
      </c>
      <c r="D1501" s="116">
        <v>1306.3499999999999</v>
      </c>
      <c r="E1501" s="116">
        <v>1340</v>
      </c>
      <c r="F1501" s="116">
        <v>1311.65</v>
      </c>
      <c r="G1501">
        <v>504205</v>
      </c>
      <c r="H1501" s="116"/>
      <c r="I1501" s="116"/>
      <c r="L1501" s="170">
        <v>44214</v>
      </c>
      <c r="M1501" s="116">
        <v>1312.05</v>
      </c>
      <c r="N1501" s="116">
        <v>1340</v>
      </c>
      <c r="O1501" s="116">
        <v>1306</v>
      </c>
      <c r="P1501" s="116">
        <v>1338</v>
      </c>
      <c r="Q1501" s="116">
        <v>1312.05</v>
      </c>
      <c r="R1501">
        <v>8861765</v>
      </c>
    </row>
    <row r="1502" spans="1:18" x14ac:dyDescent="0.25">
      <c r="A1502" s="170">
        <v>44215</v>
      </c>
      <c r="B1502" s="116">
        <v>1331.3</v>
      </c>
      <c r="C1502" s="116">
        <v>1317.05</v>
      </c>
      <c r="D1502" s="116">
        <v>1312.8</v>
      </c>
      <c r="E1502" s="116">
        <v>1315</v>
      </c>
      <c r="F1502" s="116">
        <v>1317.05</v>
      </c>
      <c r="G1502">
        <v>189274</v>
      </c>
      <c r="H1502" s="116"/>
      <c r="I1502" s="116"/>
      <c r="L1502" s="170">
        <v>44215</v>
      </c>
      <c r="M1502" s="116">
        <v>1316.65</v>
      </c>
      <c r="N1502" s="116">
        <v>1331</v>
      </c>
      <c r="O1502" s="116">
        <v>1312</v>
      </c>
      <c r="P1502" s="116">
        <v>1320</v>
      </c>
      <c r="Q1502" s="116">
        <v>1316.65</v>
      </c>
      <c r="R1502">
        <v>5585744</v>
      </c>
    </row>
    <row r="1503" spans="1:18" x14ac:dyDescent="0.25">
      <c r="A1503" s="170">
        <v>44216</v>
      </c>
      <c r="B1503" s="116">
        <v>1348.2</v>
      </c>
      <c r="C1503" s="116">
        <v>1339.45</v>
      </c>
      <c r="D1503" s="116">
        <v>1318.6</v>
      </c>
      <c r="E1503" s="116">
        <v>1318.6</v>
      </c>
      <c r="F1503" s="116">
        <v>1339.45</v>
      </c>
      <c r="G1503">
        <v>376961</v>
      </c>
      <c r="H1503" s="116"/>
      <c r="I1503" s="116"/>
      <c r="L1503" s="170">
        <v>44216</v>
      </c>
      <c r="M1503" s="116">
        <v>1339.45</v>
      </c>
      <c r="N1503" s="116">
        <v>1348.4</v>
      </c>
      <c r="O1503" s="116">
        <v>1320.55</v>
      </c>
      <c r="P1503" s="116">
        <v>1320.55</v>
      </c>
      <c r="Q1503" s="116">
        <v>1339.45</v>
      </c>
      <c r="R1503">
        <v>8225838</v>
      </c>
    </row>
    <row r="1504" spans="1:18" x14ac:dyDescent="0.25">
      <c r="A1504" s="170">
        <v>44217</v>
      </c>
      <c r="B1504" s="116">
        <v>1360.05</v>
      </c>
      <c r="C1504" s="116">
        <v>1339.25</v>
      </c>
      <c r="D1504" s="116">
        <v>1335</v>
      </c>
      <c r="E1504" s="116">
        <v>1352.45</v>
      </c>
      <c r="F1504" s="116">
        <v>1339.25</v>
      </c>
      <c r="G1504">
        <v>634634</v>
      </c>
      <c r="H1504" s="116"/>
      <c r="I1504" s="116"/>
      <c r="L1504" s="170">
        <v>44217</v>
      </c>
      <c r="M1504" s="116">
        <v>1339.7</v>
      </c>
      <c r="N1504" s="116">
        <v>1361.05</v>
      </c>
      <c r="O1504" s="116">
        <v>1335</v>
      </c>
      <c r="P1504" s="116">
        <v>1350</v>
      </c>
      <c r="Q1504" s="116">
        <v>1339.7</v>
      </c>
      <c r="R1504">
        <v>6142421</v>
      </c>
    </row>
    <row r="1505" spans="1:18" x14ac:dyDescent="0.25">
      <c r="A1505" s="170">
        <v>44218</v>
      </c>
      <c r="B1505" s="116">
        <v>1355</v>
      </c>
      <c r="C1505" s="116">
        <v>1340.45</v>
      </c>
      <c r="D1505" s="116">
        <v>1326</v>
      </c>
      <c r="E1505" s="116">
        <v>1326</v>
      </c>
      <c r="F1505" s="116">
        <v>1340.45</v>
      </c>
      <c r="G1505">
        <v>168138</v>
      </c>
      <c r="H1505" s="116"/>
      <c r="I1505" s="116"/>
      <c r="L1505" s="170">
        <v>44218</v>
      </c>
      <c r="M1505" s="116">
        <v>1340.85</v>
      </c>
      <c r="N1505" s="116">
        <v>1356</v>
      </c>
      <c r="O1505" s="116">
        <v>1326.55</v>
      </c>
      <c r="P1505" s="116">
        <v>1327</v>
      </c>
      <c r="Q1505" s="116">
        <v>1340.85</v>
      </c>
      <c r="R1505">
        <v>9646591</v>
      </c>
    </row>
    <row r="1506" spans="1:18" x14ac:dyDescent="0.25">
      <c r="A1506" s="170">
        <v>44221</v>
      </c>
      <c r="B1506" s="116">
        <v>1347.45</v>
      </c>
      <c r="C1506" s="116">
        <v>1322.6</v>
      </c>
      <c r="D1506" s="116">
        <v>1313.45</v>
      </c>
      <c r="E1506" s="116">
        <v>1340.45</v>
      </c>
      <c r="F1506" s="116">
        <v>1322.6</v>
      </c>
      <c r="G1506">
        <v>1371908</v>
      </c>
      <c r="H1506" s="116"/>
      <c r="I1506" s="116"/>
      <c r="L1506" s="170">
        <v>44221</v>
      </c>
      <c r="M1506" s="116">
        <v>1325.1</v>
      </c>
      <c r="N1506" s="116">
        <v>1347.9</v>
      </c>
      <c r="O1506" s="116">
        <v>1313</v>
      </c>
      <c r="P1506" s="116">
        <v>1345</v>
      </c>
      <c r="Q1506" s="116">
        <v>1325.1</v>
      </c>
      <c r="R1506">
        <v>6542611</v>
      </c>
    </row>
    <row r="1507" spans="1:18" x14ac:dyDescent="0.25">
      <c r="A1507" s="170">
        <v>44223</v>
      </c>
      <c r="B1507" s="116">
        <v>1327.65</v>
      </c>
      <c r="C1507" s="116">
        <v>1301.75</v>
      </c>
      <c r="D1507" s="116">
        <v>1285.3</v>
      </c>
      <c r="E1507" s="116">
        <v>1313.1</v>
      </c>
      <c r="F1507" s="116">
        <v>1301.75</v>
      </c>
      <c r="G1507">
        <v>255409</v>
      </c>
      <c r="H1507" s="116"/>
      <c r="I1507" s="116"/>
      <c r="L1507" s="170">
        <v>44223</v>
      </c>
      <c r="M1507" s="116">
        <v>1301</v>
      </c>
      <c r="N1507" s="116">
        <v>1327.55</v>
      </c>
      <c r="O1507" s="116">
        <v>1285.0999999999999</v>
      </c>
      <c r="P1507" s="116">
        <v>1319.6</v>
      </c>
      <c r="Q1507" s="116">
        <v>1301</v>
      </c>
      <c r="R1507">
        <v>8133665</v>
      </c>
    </row>
    <row r="1508" spans="1:18" x14ac:dyDescent="0.25">
      <c r="A1508" s="170">
        <v>44224</v>
      </c>
      <c r="B1508" s="116">
        <v>1295.6500000000001</v>
      </c>
      <c r="C1508" s="116">
        <v>1276.3</v>
      </c>
      <c r="D1508" s="116">
        <v>1273</v>
      </c>
      <c r="E1508" s="116">
        <v>1289.55</v>
      </c>
      <c r="F1508" s="116">
        <v>1276.3</v>
      </c>
      <c r="G1508">
        <v>1497298</v>
      </c>
      <c r="H1508" s="116"/>
      <c r="I1508" s="116"/>
      <c r="L1508" s="170">
        <v>44224</v>
      </c>
      <c r="M1508" s="116">
        <v>1276.2</v>
      </c>
      <c r="N1508" s="116">
        <v>1296.45</v>
      </c>
      <c r="O1508" s="116">
        <v>1272.55</v>
      </c>
      <c r="P1508" s="116">
        <v>1291.8</v>
      </c>
      <c r="Q1508" s="116">
        <v>1276.2</v>
      </c>
      <c r="R1508">
        <v>4660690</v>
      </c>
    </row>
    <row r="1509" spans="1:18" x14ac:dyDescent="0.25">
      <c r="A1509" s="170">
        <v>44225</v>
      </c>
      <c r="B1509" s="116">
        <v>1290.95</v>
      </c>
      <c r="C1509" s="116">
        <v>1239.6500000000001</v>
      </c>
      <c r="D1509" s="116">
        <v>1231.1500000000001</v>
      </c>
      <c r="E1509" s="116">
        <v>1288.95</v>
      </c>
      <c r="F1509" s="116">
        <v>1239.6500000000001</v>
      </c>
      <c r="G1509">
        <v>401843</v>
      </c>
      <c r="H1509" s="116"/>
      <c r="I1509" s="116"/>
      <c r="L1509" s="170">
        <v>44225</v>
      </c>
      <c r="M1509" s="116">
        <v>1239.05</v>
      </c>
      <c r="N1509" s="116">
        <v>1291.1500000000001</v>
      </c>
      <c r="O1509" s="116">
        <v>1231</v>
      </c>
      <c r="P1509" s="116">
        <v>1286.25</v>
      </c>
      <c r="Q1509" s="116">
        <v>1239.05</v>
      </c>
      <c r="R1509">
        <v>12183519</v>
      </c>
    </row>
    <row r="1510" spans="1:18" x14ac:dyDescent="0.25">
      <c r="A1510" s="170">
        <v>44228</v>
      </c>
      <c r="B1510" s="116">
        <v>1277.6500000000001</v>
      </c>
      <c r="C1510" s="116">
        <v>1261.45</v>
      </c>
      <c r="D1510" s="116">
        <v>1240.55</v>
      </c>
      <c r="E1510" s="116">
        <v>1246</v>
      </c>
      <c r="F1510" s="116">
        <v>1261.45</v>
      </c>
      <c r="G1510">
        <v>387051</v>
      </c>
      <c r="H1510" s="116"/>
      <c r="I1510" s="116"/>
      <c r="L1510" s="170">
        <v>44228</v>
      </c>
      <c r="M1510" s="116">
        <v>1260.9000000000001</v>
      </c>
      <c r="N1510" s="116">
        <v>1277.95</v>
      </c>
      <c r="O1510" s="116">
        <v>1241</v>
      </c>
      <c r="P1510" s="116">
        <v>1250.55</v>
      </c>
      <c r="Q1510" s="116">
        <v>1260.9000000000001</v>
      </c>
      <c r="R1510">
        <v>8880279</v>
      </c>
    </row>
    <row r="1511" spans="1:18" x14ac:dyDescent="0.25">
      <c r="A1511" s="170">
        <v>44229</v>
      </c>
      <c r="B1511" s="116">
        <v>1294.4000000000001</v>
      </c>
      <c r="C1511" s="116">
        <v>1270.8</v>
      </c>
      <c r="D1511" s="116">
        <v>1264.05</v>
      </c>
      <c r="E1511" s="116">
        <v>1280.45</v>
      </c>
      <c r="F1511" s="116">
        <v>1270.8</v>
      </c>
      <c r="G1511">
        <v>278421</v>
      </c>
      <c r="H1511" s="116"/>
      <c r="I1511" s="116"/>
      <c r="L1511" s="170">
        <v>44229</v>
      </c>
      <c r="M1511" s="116">
        <v>1271.25</v>
      </c>
      <c r="N1511" s="116">
        <v>1294.4000000000001</v>
      </c>
      <c r="O1511" s="116">
        <v>1263.5999999999999</v>
      </c>
      <c r="P1511" s="116">
        <v>1280</v>
      </c>
      <c r="Q1511" s="116">
        <v>1271.25</v>
      </c>
      <c r="R1511">
        <v>6892490</v>
      </c>
    </row>
    <row r="1512" spans="1:18" x14ac:dyDescent="0.25">
      <c r="A1512" s="170">
        <v>44230</v>
      </c>
      <c r="B1512" s="116">
        <v>1304</v>
      </c>
      <c r="C1512" s="116">
        <v>1286.0999999999999</v>
      </c>
      <c r="D1512" s="116">
        <v>1272.75</v>
      </c>
      <c r="E1512" s="116">
        <v>1280</v>
      </c>
      <c r="F1512" s="116">
        <v>1286.0999999999999</v>
      </c>
      <c r="G1512">
        <v>250870</v>
      </c>
      <c r="H1512" s="116"/>
      <c r="I1512" s="116"/>
      <c r="L1512" s="170">
        <v>44230</v>
      </c>
      <c r="M1512" s="116">
        <v>1284.6500000000001</v>
      </c>
      <c r="N1512" s="116">
        <v>1304</v>
      </c>
      <c r="O1512" s="116">
        <v>1273</v>
      </c>
      <c r="P1512" s="116">
        <v>1277.6500000000001</v>
      </c>
      <c r="Q1512" s="116">
        <v>1284.6500000000001</v>
      </c>
      <c r="R1512">
        <v>8182968</v>
      </c>
    </row>
    <row r="1513" spans="1:18" x14ac:dyDescent="0.25">
      <c r="A1513" s="170">
        <v>44231</v>
      </c>
      <c r="B1513" s="116">
        <v>1291.45</v>
      </c>
      <c r="C1513" s="116">
        <v>1279.7</v>
      </c>
      <c r="D1513" s="116">
        <v>1272.2</v>
      </c>
      <c r="E1513" s="116">
        <v>1287</v>
      </c>
      <c r="F1513" s="116">
        <v>1279.7</v>
      </c>
      <c r="G1513">
        <v>1567940</v>
      </c>
      <c r="H1513" s="116"/>
      <c r="I1513" s="116"/>
      <c r="L1513" s="170">
        <v>44231</v>
      </c>
      <c r="M1513" s="116">
        <v>1279.3499999999999</v>
      </c>
      <c r="N1513" s="116">
        <v>1293.4000000000001</v>
      </c>
      <c r="O1513" s="116">
        <v>1272.05</v>
      </c>
      <c r="P1513" s="116">
        <v>1285</v>
      </c>
      <c r="Q1513" s="116">
        <v>1279.3499999999999</v>
      </c>
      <c r="R1513">
        <v>5032240</v>
      </c>
    </row>
    <row r="1514" spans="1:18" x14ac:dyDescent="0.25">
      <c r="A1514" s="170">
        <v>44232</v>
      </c>
      <c r="B1514" s="116">
        <v>1288</v>
      </c>
      <c r="C1514" s="116">
        <v>1272.3</v>
      </c>
      <c r="D1514" s="116">
        <v>1262.3</v>
      </c>
      <c r="E1514" s="116">
        <v>1286</v>
      </c>
      <c r="F1514" s="116">
        <v>1272.3</v>
      </c>
      <c r="G1514">
        <v>249847</v>
      </c>
      <c r="H1514" s="116"/>
      <c r="I1514" s="116"/>
      <c r="L1514" s="170">
        <v>44232</v>
      </c>
      <c r="M1514" s="116">
        <v>1272.0999999999999</v>
      </c>
      <c r="N1514" s="116">
        <v>1288.75</v>
      </c>
      <c r="O1514" s="116">
        <v>1262</v>
      </c>
      <c r="P1514" s="116">
        <v>1286.4000000000001</v>
      </c>
      <c r="Q1514" s="116">
        <v>1272.0999999999999</v>
      </c>
      <c r="R1514">
        <v>5477481</v>
      </c>
    </row>
    <row r="1515" spans="1:18" x14ac:dyDescent="0.25">
      <c r="A1515" s="170">
        <v>44235</v>
      </c>
      <c r="B1515" s="116">
        <v>1310</v>
      </c>
      <c r="C1515" s="116">
        <v>1304.3499999999999</v>
      </c>
      <c r="D1515" s="116">
        <v>1275.55</v>
      </c>
      <c r="E1515" s="116">
        <v>1281</v>
      </c>
      <c r="F1515" s="116">
        <v>1304.3499999999999</v>
      </c>
      <c r="G1515">
        <v>615834</v>
      </c>
      <c r="H1515" s="116"/>
      <c r="I1515" s="116"/>
      <c r="L1515" s="170">
        <v>44235</v>
      </c>
      <c r="M1515" s="116">
        <v>1303.55</v>
      </c>
      <c r="N1515" s="116">
        <v>1310</v>
      </c>
      <c r="O1515" s="116">
        <v>1275.5</v>
      </c>
      <c r="P1515" s="116">
        <v>1285.5</v>
      </c>
      <c r="Q1515" s="116">
        <v>1303.55</v>
      </c>
      <c r="R1515">
        <v>6921922</v>
      </c>
    </row>
    <row r="1516" spans="1:18" x14ac:dyDescent="0.25">
      <c r="A1516" s="170">
        <v>44236</v>
      </c>
      <c r="B1516" s="116">
        <v>1331.85</v>
      </c>
      <c r="C1516" s="116">
        <v>1305</v>
      </c>
      <c r="D1516" s="116">
        <v>1297.3499999999999</v>
      </c>
      <c r="E1516" s="116">
        <v>1308.45</v>
      </c>
      <c r="F1516" s="116">
        <v>1305</v>
      </c>
      <c r="G1516">
        <v>499049</v>
      </c>
      <c r="H1516" s="116"/>
      <c r="I1516" s="116"/>
      <c r="L1516" s="170">
        <v>44236</v>
      </c>
      <c r="M1516" s="116">
        <v>1305.55</v>
      </c>
      <c r="N1516" s="116">
        <v>1332</v>
      </c>
      <c r="O1516" s="116">
        <v>1297.8499999999999</v>
      </c>
      <c r="P1516" s="116">
        <v>1306.9000000000001</v>
      </c>
      <c r="Q1516" s="116">
        <v>1305.55</v>
      </c>
      <c r="R1516">
        <v>7965949</v>
      </c>
    </row>
    <row r="1517" spans="1:18" x14ac:dyDescent="0.25">
      <c r="A1517" s="170">
        <v>44237</v>
      </c>
      <c r="B1517" s="116">
        <v>1304.2</v>
      </c>
      <c r="C1517" s="116">
        <v>1296.0999999999999</v>
      </c>
      <c r="D1517" s="116">
        <v>1284</v>
      </c>
      <c r="E1517" s="116">
        <v>1303.5999999999999</v>
      </c>
      <c r="F1517" s="116">
        <v>1296.0999999999999</v>
      </c>
      <c r="G1517">
        <v>170488</v>
      </c>
      <c r="H1517" s="116"/>
      <c r="I1517" s="116"/>
      <c r="L1517" s="170">
        <v>44237</v>
      </c>
      <c r="M1517" s="116">
        <v>1296.5</v>
      </c>
      <c r="N1517" s="116">
        <v>1304.3499999999999</v>
      </c>
      <c r="O1517" s="116">
        <v>1283.5999999999999</v>
      </c>
      <c r="P1517" s="116">
        <v>1295.8</v>
      </c>
      <c r="Q1517" s="116">
        <v>1296.5</v>
      </c>
      <c r="R1517">
        <v>5951207</v>
      </c>
    </row>
    <row r="1518" spans="1:18" x14ac:dyDescent="0.25">
      <c r="A1518" s="170">
        <v>44238</v>
      </c>
      <c r="B1518" s="116">
        <v>1296</v>
      </c>
      <c r="C1518" s="116">
        <v>1292</v>
      </c>
      <c r="D1518" s="116">
        <v>1282.6500000000001</v>
      </c>
      <c r="E1518" s="116">
        <v>1287</v>
      </c>
      <c r="F1518" s="116">
        <v>1292</v>
      </c>
      <c r="G1518">
        <v>113926</v>
      </c>
      <c r="H1518" s="116"/>
      <c r="I1518" s="116"/>
      <c r="L1518" s="170">
        <v>44238</v>
      </c>
      <c r="M1518" s="116">
        <v>1292.6500000000001</v>
      </c>
      <c r="N1518" s="116">
        <v>1296</v>
      </c>
      <c r="O1518" s="116">
        <v>1283.05</v>
      </c>
      <c r="P1518" s="116">
        <v>1289</v>
      </c>
      <c r="Q1518" s="116">
        <v>1292.6500000000001</v>
      </c>
      <c r="R1518">
        <v>4673317</v>
      </c>
    </row>
    <row r="1519" spans="1:18" x14ac:dyDescent="0.25">
      <c r="A1519" s="170">
        <v>44239</v>
      </c>
      <c r="B1519" s="116">
        <v>1323.35</v>
      </c>
      <c r="C1519" s="116">
        <v>1309.5999999999999</v>
      </c>
      <c r="D1519" s="116">
        <v>1302.0999999999999</v>
      </c>
      <c r="E1519" s="116">
        <v>1302.0999999999999</v>
      </c>
      <c r="F1519" s="116">
        <v>1309.5999999999999</v>
      </c>
      <c r="G1519">
        <v>233667</v>
      </c>
      <c r="H1519" s="116"/>
      <c r="I1519" s="116"/>
      <c r="L1519" s="170">
        <v>44239</v>
      </c>
      <c r="M1519" s="116">
        <v>1309.8</v>
      </c>
      <c r="N1519" s="116">
        <v>1323.75</v>
      </c>
      <c r="O1519" s="116">
        <v>1301.55</v>
      </c>
      <c r="P1519" s="116">
        <v>1305</v>
      </c>
      <c r="Q1519" s="116">
        <v>1309.8</v>
      </c>
      <c r="R1519">
        <v>5797875</v>
      </c>
    </row>
    <row r="1520" spans="1:18" x14ac:dyDescent="0.25">
      <c r="A1520" s="170">
        <v>44242</v>
      </c>
      <c r="B1520" s="116">
        <v>1328.5</v>
      </c>
      <c r="C1520" s="116">
        <v>1309.7</v>
      </c>
      <c r="D1520" s="116">
        <v>1307.05</v>
      </c>
      <c r="E1520" s="116">
        <v>1322.95</v>
      </c>
      <c r="F1520" s="116">
        <v>1309.7</v>
      </c>
      <c r="G1520">
        <v>132561</v>
      </c>
      <c r="H1520" s="116"/>
      <c r="I1520" s="116"/>
      <c r="L1520" s="170">
        <v>44242</v>
      </c>
      <c r="M1520" s="116">
        <v>1309.6500000000001</v>
      </c>
      <c r="N1520" s="116">
        <v>1328.4</v>
      </c>
      <c r="O1520" s="116">
        <v>1307.0999999999999</v>
      </c>
      <c r="P1520" s="116">
        <v>1320</v>
      </c>
      <c r="Q1520" s="116">
        <v>1309.6500000000001</v>
      </c>
      <c r="R1520">
        <v>4363513</v>
      </c>
    </row>
    <row r="1521" spans="1:18" x14ac:dyDescent="0.25">
      <c r="A1521" s="170">
        <v>44243</v>
      </c>
      <c r="B1521" s="116">
        <v>1319.9</v>
      </c>
      <c r="C1521" s="116">
        <v>1290.0999999999999</v>
      </c>
      <c r="D1521" s="116">
        <v>1286</v>
      </c>
      <c r="E1521" s="116">
        <v>1318</v>
      </c>
      <c r="F1521" s="116">
        <v>1290.0999999999999</v>
      </c>
      <c r="G1521">
        <v>280869</v>
      </c>
      <c r="H1521" s="116"/>
      <c r="I1521" s="116"/>
      <c r="L1521" s="170">
        <v>44243</v>
      </c>
      <c r="M1521" s="116">
        <v>1290.4000000000001</v>
      </c>
      <c r="N1521" s="116">
        <v>1319.75</v>
      </c>
      <c r="O1521" s="116">
        <v>1286</v>
      </c>
      <c r="P1521" s="116">
        <v>1314</v>
      </c>
      <c r="Q1521" s="116">
        <v>1290.4000000000001</v>
      </c>
      <c r="R1521">
        <v>6896421</v>
      </c>
    </row>
    <row r="1522" spans="1:18" x14ac:dyDescent="0.25">
      <c r="A1522" s="170">
        <v>44244</v>
      </c>
      <c r="B1522" s="116">
        <v>1294.45</v>
      </c>
      <c r="C1522" s="116">
        <v>1282</v>
      </c>
      <c r="D1522" s="116">
        <v>1276.4000000000001</v>
      </c>
      <c r="E1522" s="116">
        <v>1290.0999999999999</v>
      </c>
      <c r="F1522" s="116">
        <v>1282</v>
      </c>
      <c r="G1522">
        <v>169961</v>
      </c>
      <c r="H1522" s="116"/>
      <c r="I1522" s="116"/>
      <c r="L1522" s="170">
        <v>44244</v>
      </c>
      <c r="M1522" s="116">
        <v>1281.3</v>
      </c>
      <c r="N1522" s="116">
        <v>1294.5</v>
      </c>
      <c r="O1522" s="116">
        <v>1275</v>
      </c>
      <c r="P1522" s="116">
        <v>1290.4000000000001</v>
      </c>
      <c r="Q1522" s="116">
        <v>1281.3</v>
      </c>
      <c r="R1522">
        <v>4575741</v>
      </c>
    </row>
    <row r="1523" spans="1:18" x14ac:dyDescent="0.25">
      <c r="A1523" s="170">
        <v>44245</v>
      </c>
      <c r="B1523" s="116">
        <v>1305.55</v>
      </c>
      <c r="C1523" s="116">
        <v>1292.3499999999999</v>
      </c>
      <c r="D1523" s="116">
        <v>1276</v>
      </c>
      <c r="E1523" s="116">
        <v>1277.3499999999999</v>
      </c>
      <c r="F1523" s="116">
        <v>1292.3499999999999</v>
      </c>
      <c r="G1523">
        <v>272639</v>
      </c>
      <c r="H1523" s="116"/>
      <c r="I1523" s="116"/>
      <c r="L1523" s="170">
        <v>44245</v>
      </c>
      <c r="M1523" s="116">
        <v>1292.45</v>
      </c>
      <c r="N1523" s="116">
        <v>1306</v>
      </c>
      <c r="O1523" s="116">
        <v>1275</v>
      </c>
      <c r="P1523" s="116">
        <v>1276</v>
      </c>
      <c r="Q1523" s="116">
        <v>1292.45</v>
      </c>
      <c r="R1523">
        <v>6437551</v>
      </c>
    </row>
    <row r="1524" spans="1:18" x14ac:dyDescent="0.25">
      <c r="A1524" s="170">
        <v>44246</v>
      </c>
      <c r="B1524" s="116">
        <v>1299.1500000000001</v>
      </c>
      <c r="C1524" s="116">
        <v>1291.3499999999999</v>
      </c>
      <c r="D1524" s="116">
        <v>1277.1500000000001</v>
      </c>
      <c r="E1524" s="116">
        <v>1298</v>
      </c>
      <c r="F1524" s="116">
        <v>1291.3499999999999</v>
      </c>
      <c r="G1524">
        <v>118996</v>
      </c>
      <c r="H1524" s="116"/>
      <c r="I1524" s="116"/>
      <c r="L1524" s="170">
        <v>44246</v>
      </c>
      <c r="M1524" s="116">
        <v>1291.3</v>
      </c>
      <c r="N1524" s="116">
        <v>1299.5</v>
      </c>
      <c r="O1524" s="116">
        <v>1276.8</v>
      </c>
      <c r="P1524" s="116">
        <v>1296.0999999999999</v>
      </c>
      <c r="Q1524" s="116">
        <v>1291.3</v>
      </c>
      <c r="R1524">
        <v>5389696</v>
      </c>
    </row>
    <row r="1525" spans="1:18" x14ac:dyDescent="0.25">
      <c r="A1525" s="170">
        <v>44249</v>
      </c>
      <c r="B1525" s="116">
        <v>1308</v>
      </c>
      <c r="C1525" s="116">
        <v>1264.7</v>
      </c>
      <c r="D1525" s="116">
        <v>1260.0999999999999</v>
      </c>
      <c r="E1525" s="116">
        <v>1293</v>
      </c>
      <c r="F1525" s="116">
        <v>1264.7</v>
      </c>
      <c r="G1525">
        <v>471765</v>
      </c>
      <c r="H1525" s="116"/>
      <c r="I1525" s="116"/>
      <c r="L1525" s="170">
        <v>44249</v>
      </c>
      <c r="M1525" s="116">
        <v>1265.2</v>
      </c>
      <c r="N1525" s="116">
        <v>1308.55</v>
      </c>
      <c r="O1525" s="116">
        <v>1260</v>
      </c>
      <c r="P1525" s="116">
        <v>1295</v>
      </c>
      <c r="Q1525" s="116">
        <v>1265.2</v>
      </c>
      <c r="R1525">
        <v>7371303</v>
      </c>
    </row>
    <row r="1526" spans="1:18" x14ac:dyDescent="0.25">
      <c r="A1526" s="170">
        <v>44250</v>
      </c>
      <c r="B1526" s="116">
        <v>1290.5999999999999</v>
      </c>
      <c r="C1526" s="116">
        <v>1266.25</v>
      </c>
      <c r="D1526" s="116">
        <v>1258</v>
      </c>
      <c r="E1526" s="116">
        <v>1266.3499999999999</v>
      </c>
      <c r="F1526" s="116">
        <v>1266.25</v>
      </c>
      <c r="G1526">
        <v>505501</v>
      </c>
      <c r="H1526" s="116"/>
      <c r="I1526" s="116"/>
      <c r="L1526" s="170">
        <v>44250</v>
      </c>
      <c r="M1526" s="116">
        <v>1266.3499999999999</v>
      </c>
      <c r="N1526" s="116">
        <v>1291</v>
      </c>
      <c r="O1526" s="116">
        <v>1257.55</v>
      </c>
      <c r="P1526" s="116">
        <v>1271.1500000000001</v>
      </c>
      <c r="Q1526" s="116">
        <v>1266.3499999999999</v>
      </c>
      <c r="R1526">
        <v>6612942</v>
      </c>
    </row>
    <row r="1527" spans="1:18" x14ac:dyDescent="0.25">
      <c r="A1527" s="170">
        <v>44251</v>
      </c>
      <c r="B1527" s="116">
        <v>1276.3499999999999</v>
      </c>
      <c r="C1527" s="116">
        <v>1274.0999999999999</v>
      </c>
      <c r="D1527" s="116">
        <v>1230</v>
      </c>
      <c r="E1527" s="116">
        <v>1264</v>
      </c>
      <c r="F1527" s="116">
        <v>1274.0999999999999</v>
      </c>
      <c r="G1527">
        <v>1479897</v>
      </c>
      <c r="H1527" s="116"/>
      <c r="I1527" s="116"/>
      <c r="L1527" s="170">
        <v>44251</v>
      </c>
      <c r="M1527" s="116">
        <v>1274.3</v>
      </c>
      <c r="N1527" s="116">
        <v>1276.5999999999999</v>
      </c>
      <c r="O1527" s="116">
        <v>1252</v>
      </c>
      <c r="P1527" s="116">
        <v>1260.05</v>
      </c>
      <c r="Q1527" s="116">
        <v>1274.3</v>
      </c>
      <c r="R1527">
        <v>4537258</v>
      </c>
    </row>
    <row r="1528" spans="1:18" x14ac:dyDescent="0.25">
      <c r="A1528" s="170">
        <v>44252</v>
      </c>
      <c r="B1528" s="116">
        <v>1299</v>
      </c>
      <c r="C1528" s="116">
        <v>1274.75</v>
      </c>
      <c r="D1528" s="116">
        <v>1271.8499999999999</v>
      </c>
      <c r="E1528" s="116">
        <v>1291</v>
      </c>
      <c r="F1528" s="116">
        <v>1274.75</v>
      </c>
      <c r="G1528">
        <v>1473572</v>
      </c>
      <c r="H1528" s="116"/>
      <c r="I1528" s="116"/>
      <c r="L1528" s="170">
        <v>44252</v>
      </c>
      <c r="M1528" s="116">
        <v>1274.55</v>
      </c>
      <c r="N1528" s="116">
        <v>1299.75</v>
      </c>
      <c r="O1528" s="116">
        <v>1272</v>
      </c>
      <c r="P1528" s="116">
        <v>1288.45</v>
      </c>
      <c r="Q1528" s="116">
        <v>1274.55</v>
      </c>
      <c r="R1528">
        <v>8788221</v>
      </c>
    </row>
    <row r="1529" spans="1:18" x14ac:dyDescent="0.25">
      <c r="A1529" s="170">
        <v>44253</v>
      </c>
      <c r="B1529" s="116">
        <v>1274.1500000000001</v>
      </c>
      <c r="C1529" s="116">
        <v>1252.3499999999999</v>
      </c>
      <c r="D1529" s="116">
        <v>1244.5999999999999</v>
      </c>
      <c r="E1529" s="116">
        <v>1261.2</v>
      </c>
      <c r="F1529" s="116">
        <v>1252.3499999999999</v>
      </c>
      <c r="G1529">
        <v>461700</v>
      </c>
      <c r="H1529" s="116"/>
      <c r="I1529" s="116"/>
      <c r="L1529" s="170">
        <v>44253</v>
      </c>
      <c r="M1529" s="116">
        <v>1253.3</v>
      </c>
      <c r="N1529" s="116">
        <v>1274.3</v>
      </c>
      <c r="O1529" s="116">
        <v>1244.75</v>
      </c>
      <c r="P1529" s="116">
        <v>1269</v>
      </c>
      <c r="Q1529" s="116">
        <v>1253.3</v>
      </c>
      <c r="R1529">
        <v>15132388</v>
      </c>
    </row>
    <row r="1530" spans="1:18" x14ac:dyDescent="0.25">
      <c r="A1530" s="170">
        <v>44256</v>
      </c>
      <c r="B1530" s="116">
        <v>1284.55</v>
      </c>
      <c r="C1530" s="116">
        <v>1268.7</v>
      </c>
      <c r="D1530" s="116">
        <v>1259.7</v>
      </c>
      <c r="E1530" s="116">
        <v>1268</v>
      </c>
      <c r="F1530" s="116">
        <v>1268.7</v>
      </c>
      <c r="G1530">
        <v>174197</v>
      </c>
      <c r="H1530" s="116"/>
      <c r="I1530" s="116"/>
      <c r="L1530" s="170">
        <v>44256</v>
      </c>
      <c r="M1530" s="116">
        <v>1267</v>
      </c>
      <c r="N1530" s="116">
        <v>1284.5</v>
      </c>
      <c r="O1530" s="116">
        <v>1259</v>
      </c>
      <c r="P1530" s="116">
        <v>1263.3</v>
      </c>
      <c r="Q1530" s="116">
        <v>1267</v>
      </c>
      <c r="R1530">
        <v>5756286</v>
      </c>
    </row>
    <row r="1531" spans="1:18" x14ac:dyDescent="0.25">
      <c r="A1531" s="170">
        <v>44257</v>
      </c>
      <c r="B1531" s="116">
        <v>1310</v>
      </c>
      <c r="C1531" s="116">
        <v>1304.05</v>
      </c>
      <c r="D1531" s="116">
        <v>1279.5</v>
      </c>
      <c r="E1531" s="116">
        <v>1280</v>
      </c>
      <c r="F1531" s="116">
        <v>1304.05</v>
      </c>
      <c r="G1531">
        <v>506721</v>
      </c>
      <c r="H1531" s="116"/>
      <c r="I1531" s="116"/>
      <c r="L1531" s="170">
        <v>44257</v>
      </c>
      <c r="M1531" s="116">
        <v>1304.5</v>
      </c>
      <c r="N1531" s="116">
        <v>1310</v>
      </c>
      <c r="O1531" s="116">
        <v>1279.2</v>
      </c>
      <c r="P1531" s="116">
        <v>1282.25</v>
      </c>
      <c r="Q1531" s="116">
        <v>1304.5</v>
      </c>
      <c r="R1531">
        <v>10461434</v>
      </c>
    </row>
    <row r="1532" spans="1:18" x14ac:dyDescent="0.25">
      <c r="A1532" s="170">
        <v>44258</v>
      </c>
      <c r="B1532" s="116">
        <v>1347</v>
      </c>
      <c r="C1532" s="116">
        <v>1343.6</v>
      </c>
      <c r="D1532" s="116">
        <v>1308.45</v>
      </c>
      <c r="E1532" s="116">
        <v>1316.15</v>
      </c>
      <c r="F1532" s="116">
        <v>1343.6</v>
      </c>
      <c r="G1532">
        <v>284390</v>
      </c>
      <c r="H1532" s="116"/>
      <c r="I1532" s="116"/>
      <c r="L1532" s="170">
        <v>44258</v>
      </c>
      <c r="M1532" s="116">
        <v>1343.55</v>
      </c>
      <c r="N1532" s="116">
        <v>1347</v>
      </c>
      <c r="O1532" s="116">
        <v>1308</v>
      </c>
      <c r="P1532" s="116">
        <v>1319.2</v>
      </c>
      <c r="Q1532" s="116">
        <v>1343.55</v>
      </c>
      <c r="R1532">
        <v>9056399</v>
      </c>
    </row>
    <row r="1533" spans="1:18" x14ac:dyDescent="0.25">
      <c r="A1533" s="170">
        <v>44259</v>
      </c>
      <c r="B1533" s="116">
        <v>1363.8</v>
      </c>
      <c r="C1533" s="116">
        <v>1330.3</v>
      </c>
      <c r="D1533" s="116">
        <v>1326.15</v>
      </c>
      <c r="E1533" s="116">
        <v>1337.7</v>
      </c>
      <c r="F1533" s="116">
        <v>1330.3</v>
      </c>
      <c r="G1533">
        <v>1732078</v>
      </c>
      <c r="H1533" s="116"/>
      <c r="I1533" s="116"/>
      <c r="L1533" s="170">
        <v>44259</v>
      </c>
      <c r="M1533" s="116">
        <v>1330.35</v>
      </c>
      <c r="N1533" s="116">
        <v>1363.85</v>
      </c>
      <c r="O1533" s="116">
        <v>1325.9</v>
      </c>
      <c r="P1533" s="116">
        <v>1335</v>
      </c>
      <c r="Q1533" s="116">
        <v>1330.35</v>
      </c>
      <c r="R1533">
        <v>12041941</v>
      </c>
    </row>
    <row r="1534" spans="1:18" x14ac:dyDescent="0.25">
      <c r="A1534" s="170">
        <v>44260</v>
      </c>
      <c r="B1534" s="116">
        <v>1340</v>
      </c>
      <c r="C1534" s="116">
        <v>1316</v>
      </c>
      <c r="D1534" s="116">
        <v>1306</v>
      </c>
      <c r="E1534" s="116">
        <v>1332</v>
      </c>
      <c r="F1534" s="116">
        <v>1316</v>
      </c>
      <c r="G1534">
        <v>184593</v>
      </c>
      <c r="H1534" s="116"/>
      <c r="I1534" s="116"/>
      <c r="L1534" s="170">
        <v>44260</v>
      </c>
      <c r="M1534" s="116">
        <v>1316.7</v>
      </c>
      <c r="N1534" s="116">
        <v>1340</v>
      </c>
      <c r="O1534" s="116">
        <v>1305.05</v>
      </c>
      <c r="P1534" s="116">
        <v>1328.5</v>
      </c>
      <c r="Q1534" s="116">
        <v>1316.7</v>
      </c>
      <c r="R1534">
        <v>6486176</v>
      </c>
    </row>
    <row r="1535" spans="1:18" x14ac:dyDescent="0.25">
      <c r="A1535" s="170">
        <v>44263</v>
      </c>
      <c r="B1535" s="116">
        <v>1346.2</v>
      </c>
      <c r="C1535" s="116">
        <v>1336.3</v>
      </c>
      <c r="D1535" s="116">
        <v>1317.7</v>
      </c>
      <c r="E1535" s="116">
        <v>1324.6</v>
      </c>
      <c r="F1535" s="116">
        <v>1336.3</v>
      </c>
      <c r="G1535">
        <v>259500</v>
      </c>
      <c r="H1535" s="116"/>
      <c r="I1535" s="116"/>
      <c r="L1535" s="170">
        <v>44263</v>
      </c>
      <c r="M1535" s="116">
        <v>1335.75</v>
      </c>
      <c r="N1535" s="116">
        <v>1346.1</v>
      </c>
      <c r="O1535" s="116">
        <v>1317.2</v>
      </c>
      <c r="P1535" s="116">
        <v>1324.8</v>
      </c>
      <c r="Q1535" s="116">
        <v>1335.75</v>
      </c>
      <c r="R1535">
        <v>5119392</v>
      </c>
    </row>
    <row r="1536" spans="1:18" x14ac:dyDescent="0.25">
      <c r="A1536" s="170">
        <v>44264</v>
      </c>
      <c r="B1536" s="116">
        <v>1350</v>
      </c>
      <c r="C1536" s="116">
        <v>1345.7</v>
      </c>
      <c r="D1536" s="116">
        <v>1319</v>
      </c>
      <c r="E1536" s="116">
        <v>1329</v>
      </c>
      <c r="F1536" s="116">
        <v>1345.7</v>
      </c>
      <c r="G1536">
        <v>249554</v>
      </c>
      <c r="H1536" s="116"/>
      <c r="I1536" s="116"/>
      <c r="L1536" s="170">
        <v>44264</v>
      </c>
      <c r="M1536" s="116">
        <v>1345.55</v>
      </c>
      <c r="N1536" s="116">
        <v>1350.45</v>
      </c>
      <c r="O1536" s="116">
        <v>1318.75</v>
      </c>
      <c r="P1536" s="116">
        <v>1329.5</v>
      </c>
      <c r="Q1536" s="116">
        <v>1345.55</v>
      </c>
      <c r="R1536">
        <v>6518173</v>
      </c>
    </row>
    <row r="1537" spans="1:18" x14ac:dyDescent="0.25">
      <c r="A1537" s="170">
        <v>44265</v>
      </c>
      <c r="B1537" s="116">
        <v>1373.8</v>
      </c>
      <c r="C1537" s="116">
        <v>1368.1</v>
      </c>
      <c r="D1537" s="116">
        <v>1354.35</v>
      </c>
      <c r="E1537" s="116">
        <v>1358.5</v>
      </c>
      <c r="F1537" s="116">
        <v>1368.1</v>
      </c>
      <c r="G1537">
        <v>651158</v>
      </c>
      <c r="H1537" s="116"/>
      <c r="I1537" s="116"/>
      <c r="L1537" s="170">
        <v>44265</v>
      </c>
      <c r="M1537" s="116">
        <v>1368.15</v>
      </c>
      <c r="N1537" s="116">
        <v>1374</v>
      </c>
      <c r="O1537" s="116">
        <v>1355</v>
      </c>
      <c r="P1537" s="116">
        <v>1356.9</v>
      </c>
      <c r="Q1537" s="116">
        <v>1368.15</v>
      </c>
      <c r="R1537">
        <v>7925984</v>
      </c>
    </row>
    <row r="1538" spans="1:18" x14ac:dyDescent="0.25">
      <c r="A1538" s="170">
        <v>44267</v>
      </c>
      <c r="B1538" s="116">
        <v>1390.3</v>
      </c>
      <c r="C1538" s="116">
        <v>1374.6</v>
      </c>
      <c r="D1538" s="116">
        <v>1370.25</v>
      </c>
      <c r="E1538" s="116">
        <v>1372</v>
      </c>
      <c r="F1538" s="116">
        <v>1374.6</v>
      </c>
      <c r="G1538">
        <v>242425</v>
      </c>
      <c r="H1538" s="116"/>
      <c r="I1538" s="116"/>
      <c r="L1538" s="170">
        <v>44267</v>
      </c>
      <c r="M1538" s="116">
        <v>1374.85</v>
      </c>
      <c r="N1538" s="116">
        <v>1391.7</v>
      </c>
      <c r="O1538" s="116">
        <v>1370.05</v>
      </c>
      <c r="P1538" s="116">
        <v>1373</v>
      </c>
      <c r="Q1538" s="116">
        <v>1374.85</v>
      </c>
      <c r="R1538">
        <v>9462061</v>
      </c>
    </row>
    <row r="1539" spans="1:18" x14ac:dyDescent="0.25">
      <c r="A1539" s="170">
        <v>44270</v>
      </c>
      <c r="B1539" s="116">
        <v>1379.85</v>
      </c>
      <c r="C1539" s="116">
        <v>1373.1</v>
      </c>
      <c r="D1539" s="116">
        <v>1358.1</v>
      </c>
      <c r="E1539" s="116">
        <v>1370</v>
      </c>
      <c r="F1539" s="116">
        <v>1373.1</v>
      </c>
      <c r="G1539">
        <v>187766</v>
      </c>
      <c r="H1539" s="116"/>
      <c r="I1539" s="116"/>
      <c r="L1539" s="170">
        <v>44270</v>
      </c>
      <c r="M1539" s="116">
        <v>1373.6</v>
      </c>
      <c r="N1539" s="116">
        <v>1379.9</v>
      </c>
      <c r="O1539" s="116">
        <v>1358.5</v>
      </c>
      <c r="P1539" s="116">
        <v>1370</v>
      </c>
      <c r="Q1539" s="116">
        <v>1373.6</v>
      </c>
      <c r="R1539">
        <v>6658665</v>
      </c>
    </row>
    <row r="1540" spans="1:18" x14ac:dyDescent="0.25">
      <c r="A1540" s="170">
        <v>44271</v>
      </c>
      <c r="B1540" s="116">
        <v>1406.25</v>
      </c>
      <c r="C1540" s="116">
        <v>1384.25</v>
      </c>
      <c r="D1540" s="116">
        <v>1380.15</v>
      </c>
      <c r="E1540" s="116">
        <v>1382.2</v>
      </c>
      <c r="F1540" s="116">
        <v>1384.25</v>
      </c>
      <c r="G1540">
        <v>266475</v>
      </c>
      <c r="H1540" s="116"/>
      <c r="I1540" s="116"/>
      <c r="L1540" s="170">
        <v>44271</v>
      </c>
      <c r="M1540" s="116">
        <v>1384</v>
      </c>
      <c r="N1540" s="116">
        <v>1406</v>
      </c>
      <c r="O1540" s="116">
        <v>1380.5</v>
      </c>
      <c r="P1540" s="116">
        <v>1386.05</v>
      </c>
      <c r="Q1540" s="116">
        <v>1384</v>
      </c>
      <c r="R1540">
        <v>9352771</v>
      </c>
    </row>
    <row r="1541" spans="1:18" x14ac:dyDescent="0.25">
      <c r="A1541" s="170">
        <v>44272</v>
      </c>
      <c r="B1541" s="116">
        <v>1399.7</v>
      </c>
      <c r="C1541" s="116">
        <v>1387.2</v>
      </c>
      <c r="D1541" s="116">
        <v>1381.9</v>
      </c>
      <c r="E1541" s="116">
        <v>1391</v>
      </c>
      <c r="F1541" s="116">
        <v>1387.2</v>
      </c>
      <c r="G1541">
        <v>274343</v>
      </c>
      <c r="H1541" s="116"/>
      <c r="I1541" s="116"/>
      <c r="L1541" s="170">
        <v>44272</v>
      </c>
      <c r="M1541" s="116">
        <v>1387</v>
      </c>
      <c r="N1541" s="116">
        <v>1400</v>
      </c>
      <c r="O1541" s="116">
        <v>1382</v>
      </c>
      <c r="P1541" s="116">
        <v>1392.25</v>
      </c>
      <c r="Q1541" s="116">
        <v>1387</v>
      </c>
      <c r="R1541">
        <v>7626744</v>
      </c>
    </row>
    <row r="1542" spans="1:18" x14ac:dyDescent="0.25">
      <c r="A1542" s="170">
        <v>44273</v>
      </c>
      <c r="B1542" s="116">
        <v>1394.05</v>
      </c>
      <c r="C1542" s="116">
        <v>1336.25</v>
      </c>
      <c r="D1542" s="116">
        <v>1313.5</v>
      </c>
      <c r="E1542" s="116">
        <v>1392.55</v>
      </c>
      <c r="F1542" s="116">
        <v>1336.25</v>
      </c>
      <c r="G1542">
        <v>405813</v>
      </c>
      <c r="H1542" s="116"/>
      <c r="I1542" s="116"/>
      <c r="L1542" s="170">
        <v>44273</v>
      </c>
      <c r="M1542" s="116">
        <v>1337.1</v>
      </c>
      <c r="N1542" s="116">
        <v>1393.75</v>
      </c>
      <c r="O1542" s="116">
        <v>1313.5</v>
      </c>
      <c r="P1542" s="116">
        <v>1393.75</v>
      </c>
      <c r="Q1542" s="116">
        <v>1337.1</v>
      </c>
      <c r="R1542">
        <v>10961755</v>
      </c>
    </row>
    <row r="1543" spans="1:18" x14ac:dyDescent="0.25">
      <c r="A1543" s="170">
        <v>44274</v>
      </c>
      <c r="B1543" s="116">
        <v>1354.85</v>
      </c>
      <c r="C1543" s="116">
        <v>1345.35</v>
      </c>
      <c r="D1543" s="116">
        <v>1317.9</v>
      </c>
      <c r="E1543" s="116">
        <v>1335</v>
      </c>
      <c r="F1543" s="116">
        <v>1345.35</v>
      </c>
      <c r="G1543">
        <v>481898</v>
      </c>
      <c r="H1543" s="116"/>
      <c r="I1543" s="116"/>
      <c r="L1543" s="170">
        <v>44274</v>
      </c>
      <c r="M1543" s="116">
        <v>1344.45</v>
      </c>
      <c r="N1543" s="116">
        <v>1355.2</v>
      </c>
      <c r="O1543" s="116">
        <v>1318</v>
      </c>
      <c r="P1543" s="116">
        <v>1330</v>
      </c>
      <c r="Q1543" s="116">
        <v>1344.45</v>
      </c>
      <c r="R1543">
        <v>12767112</v>
      </c>
    </row>
    <row r="1544" spans="1:18" x14ac:dyDescent="0.25">
      <c r="A1544" s="170">
        <v>44277</v>
      </c>
      <c r="B1544" s="116">
        <v>1376</v>
      </c>
      <c r="C1544" s="116">
        <v>1370.5</v>
      </c>
      <c r="D1544" s="116">
        <v>1335.85</v>
      </c>
      <c r="E1544" s="116">
        <v>1350</v>
      </c>
      <c r="F1544" s="116">
        <v>1370.5</v>
      </c>
      <c r="G1544">
        <v>208736</v>
      </c>
      <c r="H1544" s="116"/>
      <c r="I1544" s="116"/>
      <c r="L1544" s="170">
        <v>44277</v>
      </c>
      <c r="M1544" s="116">
        <v>1370.8</v>
      </c>
      <c r="N1544" s="116">
        <v>1376</v>
      </c>
      <c r="O1544" s="116">
        <v>1336.1</v>
      </c>
      <c r="P1544" s="116">
        <v>1350.1</v>
      </c>
      <c r="Q1544" s="116">
        <v>1370.8</v>
      </c>
      <c r="R1544">
        <v>4862758</v>
      </c>
    </row>
    <row r="1545" spans="1:18" x14ac:dyDescent="0.25">
      <c r="A1545" s="170">
        <v>44278</v>
      </c>
      <c r="B1545" s="116">
        <v>1383.3</v>
      </c>
      <c r="C1545" s="116">
        <v>1371.2</v>
      </c>
      <c r="D1545" s="116">
        <v>1359.7</v>
      </c>
      <c r="E1545" s="116">
        <v>1371</v>
      </c>
      <c r="F1545" s="116">
        <v>1371.2</v>
      </c>
      <c r="G1545">
        <v>133032</v>
      </c>
      <c r="H1545" s="116"/>
      <c r="I1545" s="116"/>
      <c r="L1545" s="170">
        <v>44278</v>
      </c>
      <c r="M1545" s="116">
        <v>1371.55</v>
      </c>
      <c r="N1545" s="116">
        <v>1383.25</v>
      </c>
      <c r="O1545" s="116">
        <v>1359.6</v>
      </c>
      <c r="P1545" s="116">
        <v>1372.45</v>
      </c>
      <c r="Q1545" s="116">
        <v>1371.55</v>
      </c>
      <c r="R1545">
        <v>7165335</v>
      </c>
    </row>
    <row r="1546" spans="1:18" x14ac:dyDescent="0.25">
      <c r="A1546" s="170">
        <v>44279</v>
      </c>
      <c r="B1546" s="116">
        <v>1370.4</v>
      </c>
      <c r="C1546" s="116">
        <v>1353.8</v>
      </c>
      <c r="D1546" s="116">
        <v>1346.6</v>
      </c>
      <c r="E1546" s="116">
        <v>1362</v>
      </c>
      <c r="F1546" s="116">
        <v>1353.8</v>
      </c>
      <c r="G1546">
        <v>116760</v>
      </c>
      <c r="H1546" s="116"/>
      <c r="I1546" s="116"/>
      <c r="L1546" s="170">
        <v>44279</v>
      </c>
      <c r="M1546" s="116">
        <v>1353.75</v>
      </c>
      <c r="N1546" s="116">
        <v>1370.45</v>
      </c>
      <c r="O1546" s="116">
        <v>1346.25</v>
      </c>
      <c r="P1546" s="116">
        <v>1357.85</v>
      </c>
      <c r="Q1546" s="116">
        <v>1353.75</v>
      </c>
      <c r="R1546">
        <v>6134303</v>
      </c>
    </row>
    <row r="1547" spans="1:18" x14ac:dyDescent="0.25">
      <c r="A1547" s="170">
        <v>44280</v>
      </c>
      <c r="B1547" s="116">
        <v>1349.7</v>
      </c>
      <c r="C1547" s="116">
        <v>1333.75</v>
      </c>
      <c r="D1547" s="116">
        <v>1328</v>
      </c>
      <c r="E1547" s="116">
        <v>1348.95</v>
      </c>
      <c r="F1547" s="116">
        <v>1333.75</v>
      </c>
      <c r="G1547">
        <v>253133</v>
      </c>
      <c r="H1547" s="116"/>
      <c r="I1547" s="116"/>
      <c r="L1547" s="170">
        <v>44280</v>
      </c>
      <c r="M1547" s="116">
        <v>1333.8</v>
      </c>
      <c r="N1547" s="116">
        <v>1352.5</v>
      </c>
      <c r="O1547" s="116">
        <v>1327.6</v>
      </c>
      <c r="P1547" s="116">
        <v>1346.75</v>
      </c>
      <c r="Q1547" s="116">
        <v>1333.8</v>
      </c>
      <c r="R1547">
        <v>8749994</v>
      </c>
    </row>
    <row r="1548" spans="1:18" x14ac:dyDescent="0.25">
      <c r="A1548" s="170">
        <v>44281</v>
      </c>
      <c r="B1548" s="116">
        <v>1356.4</v>
      </c>
      <c r="C1548" s="116">
        <v>1336.3</v>
      </c>
      <c r="D1548" s="116">
        <v>1332.5</v>
      </c>
      <c r="E1548" s="116">
        <v>1341</v>
      </c>
      <c r="F1548" s="116">
        <v>1336.3</v>
      </c>
      <c r="G1548">
        <v>176922</v>
      </c>
      <c r="H1548" s="116"/>
      <c r="I1548" s="116"/>
      <c r="L1548" s="170">
        <v>44281</v>
      </c>
      <c r="M1548" s="116">
        <v>1336.2</v>
      </c>
      <c r="N1548" s="116">
        <v>1356.7</v>
      </c>
      <c r="O1548" s="116">
        <v>1332</v>
      </c>
      <c r="P1548" s="116">
        <v>1344.7</v>
      </c>
      <c r="Q1548" s="116">
        <v>1336.2</v>
      </c>
      <c r="R1548">
        <v>4922071</v>
      </c>
    </row>
    <row r="1549" spans="1:18" x14ac:dyDescent="0.25">
      <c r="A1549" s="170">
        <v>44285</v>
      </c>
      <c r="B1549" s="116">
        <v>1399.85</v>
      </c>
      <c r="C1549" s="116">
        <v>1385.55</v>
      </c>
      <c r="D1549" s="116">
        <v>1336</v>
      </c>
      <c r="E1549" s="116">
        <v>1340</v>
      </c>
      <c r="F1549" s="116">
        <v>1385.55</v>
      </c>
      <c r="G1549">
        <v>526058</v>
      </c>
      <c r="H1549" s="116"/>
      <c r="I1549" s="116"/>
      <c r="L1549" s="170">
        <v>44285</v>
      </c>
      <c r="M1549" s="116">
        <v>1385.3</v>
      </c>
      <c r="N1549" s="116">
        <v>1400</v>
      </c>
      <c r="O1549" s="116">
        <v>1336.15</v>
      </c>
      <c r="P1549" s="116">
        <v>1346.9</v>
      </c>
      <c r="Q1549" s="116">
        <v>1385.3</v>
      </c>
      <c r="R1549">
        <v>10546919</v>
      </c>
    </row>
    <row r="1550" spans="1:18" x14ac:dyDescent="0.25">
      <c r="A1550" s="170">
        <v>44286</v>
      </c>
      <c r="B1550" s="116">
        <v>1388</v>
      </c>
      <c r="C1550" s="116">
        <v>1367.75</v>
      </c>
      <c r="D1550" s="116">
        <v>1363.5</v>
      </c>
      <c r="E1550" s="116">
        <v>1383.5</v>
      </c>
      <c r="F1550" s="116">
        <v>1367.75</v>
      </c>
      <c r="G1550">
        <v>286901</v>
      </c>
      <c r="H1550" s="116"/>
      <c r="I1550" s="116"/>
      <c r="L1550" s="170">
        <v>44286</v>
      </c>
      <c r="M1550" s="116">
        <v>1368.05</v>
      </c>
      <c r="N1550" s="116">
        <v>1388</v>
      </c>
      <c r="O1550" s="116">
        <v>1363.3</v>
      </c>
      <c r="P1550" s="116">
        <v>1382</v>
      </c>
      <c r="Q1550" s="116">
        <v>1368.05</v>
      </c>
      <c r="R1550">
        <v>8220987</v>
      </c>
    </row>
    <row r="1551" spans="1:18" x14ac:dyDescent="0.25">
      <c r="A1551" s="170">
        <v>44287</v>
      </c>
      <c r="B1551" s="116">
        <v>1391.5</v>
      </c>
      <c r="C1551" s="116">
        <v>1385.3</v>
      </c>
      <c r="D1551" s="116">
        <v>1370.7</v>
      </c>
      <c r="E1551" s="116">
        <v>1380</v>
      </c>
      <c r="F1551" s="116">
        <v>1385.3</v>
      </c>
      <c r="G1551">
        <v>141773</v>
      </c>
      <c r="H1551" s="116"/>
      <c r="I1551" s="116"/>
      <c r="L1551" s="170">
        <v>44287</v>
      </c>
      <c r="M1551" s="116">
        <v>1385.2</v>
      </c>
      <c r="N1551" s="116">
        <v>1391.6</v>
      </c>
      <c r="O1551" s="116">
        <v>1371</v>
      </c>
      <c r="P1551" s="116">
        <v>1380</v>
      </c>
      <c r="Q1551" s="116">
        <v>1385.2</v>
      </c>
      <c r="R1551">
        <v>5675155</v>
      </c>
    </row>
    <row r="1552" spans="1:18" x14ac:dyDescent="0.25">
      <c r="A1552" s="170">
        <v>44291</v>
      </c>
      <c r="B1552" s="116">
        <v>1425</v>
      </c>
      <c r="C1552" s="116">
        <v>1410.15</v>
      </c>
      <c r="D1552" s="116">
        <v>1385</v>
      </c>
      <c r="E1552" s="116">
        <v>1389.8</v>
      </c>
      <c r="F1552" s="116">
        <v>1410.15</v>
      </c>
      <c r="G1552">
        <v>659688</v>
      </c>
      <c r="H1552" s="116"/>
      <c r="I1552" s="116"/>
      <c r="L1552" s="170">
        <v>44291</v>
      </c>
      <c r="M1552" s="116">
        <v>1409.9</v>
      </c>
      <c r="N1552" s="116">
        <v>1425</v>
      </c>
      <c r="O1552" s="116">
        <v>1387</v>
      </c>
      <c r="P1552" s="116">
        <v>1391</v>
      </c>
      <c r="Q1552" s="116">
        <v>1409.9</v>
      </c>
      <c r="R1552">
        <v>9479572</v>
      </c>
    </row>
    <row r="1553" spans="1:18" x14ac:dyDescent="0.25">
      <c r="A1553" s="170">
        <v>44292</v>
      </c>
      <c r="B1553" s="116">
        <v>1425.9</v>
      </c>
      <c r="C1553" s="116">
        <v>1411.15</v>
      </c>
      <c r="D1553" s="116">
        <v>1406.25</v>
      </c>
      <c r="E1553" s="116">
        <v>1421.05</v>
      </c>
      <c r="F1553" s="116">
        <v>1411.15</v>
      </c>
      <c r="G1553">
        <v>290047</v>
      </c>
      <c r="H1553" s="116"/>
      <c r="I1553" s="116"/>
      <c r="L1553" s="170">
        <v>44292</v>
      </c>
      <c r="M1553" s="116">
        <v>1411.05</v>
      </c>
      <c r="N1553" s="116">
        <v>1426</v>
      </c>
      <c r="O1553" s="116">
        <v>1406.45</v>
      </c>
      <c r="P1553" s="116">
        <v>1423</v>
      </c>
      <c r="Q1553" s="116">
        <v>1411.05</v>
      </c>
      <c r="R1553">
        <v>5793571</v>
      </c>
    </row>
    <row r="1554" spans="1:18" x14ac:dyDescent="0.25">
      <c r="A1554" s="170">
        <v>44293</v>
      </c>
      <c r="B1554" s="116">
        <v>1434.5</v>
      </c>
      <c r="C1554" s="116">
        <v>1430.25</v>
      </c>
      <c r="D1554" s="116">
        <v>1406.5</v>
      </c>
      <c r="E1554" s="116">
        <v>1409.5</v>
      </c>
      <c r="F1554" s="116">
        <v>1430.25</v>
      </c>
      <c r="G1554">
        <v>316152</v>
      </c>
      <c r="H1554" s="116"/>
      <c r="I1554" s="116"/>
      <c r="L1554" s="170">
        <v>44293</v>
      </c>
      <c r="M1554" s="116">
        <v>1430.2</v>
      </c>
      <c r="N1554" s="116">
        <v>1434.95</v>
      </c>
      <c r="O1554" s="116">
        <v>1406.6</v>
      </c>
      <c r="P1554" s="116">
        <v>1410.25</v>
      </c>
      <c r="Q1554" s="116">
        <v>1430.2</v>
      </c>
      <c r="R1554">
        <v>5879234</v>
      </c>
    </row>
    <row r="1555" spans="1:18" x14ac:dyDescent="0.25">
      <c r="A1555" s="170">
        <v>44294</v>
      </c>
      <c r="B1555" s="116">
        <v>1451.1</v>
      </c>
      <c r="C1555" s="116">
        <v>1439.8</v>
      </c>
      <c r="D1555" s="116">
        <v>1425.25</v>
      </c>
      <c r="E1555" s="116">
        <v>1430.5</v>
      </c>
      <c r="F1555" s="116">
        <v>1439.8</v>
      </c>
      <c r="G1555">
        <v>1863736</v>
      </c>
      <c r="H1555" s="116"/>
      <c r="I1555" s="116"/>
      <c r="L1555" s="170">
        <v>44294</v>
      </c>
      <c r="M1555" s="116">
        <v>1439.85</v>
      </c>
      <c r="N1555" s="116">
        <v>1451.7</v>
      </c>
      <c r="O1555" s="116">
        <v>1421</v>
      </c>
      <c r="P1555" s="116">
        <v>1430</v>
      </c>
      <c r="Q1555" s="116">
        <v>1439.85</v>
      </c>
      <c r="R1555">
        <v>5654434</v>
      </c>
    </row>
    <row r="1556" spans="1:18" x14ac:dyDescent="0.25">
      <c r="A1556" s="170">
        <v>44295</v>
      </c>
      <c r="B1556" s="116">
        <v>1454</v>
      </c>
      <c r="C1556" s="116">
        <v>1440.75</v>
      </c>
      <c r="D1556" s="116">
        <v>1430.4</v>
      </c>
      <c r="E1556" s="116">
        <v>1454</v>
      </c>
      <c r="F1556" s="116">
        <v>1440.75</v>
      </c>
      <c r="G1556">
        <v>308482</v>
      </c>
      <c r="H1556" s="116"/>
      <c r="I1556" s="116"/>
      <c r="L1556" s="170">
        <v>44295</v>
      </c>
      <c r="M1556" s="116">
        <v>1441.05</v>
      </c>
      <c r="N1556" s="116">
        <v>1455</v>
      </c>
      <c r="O1556" s="116">
        <v>1430.05</v>
      </c>
      <c r="P1556" s="116">
        <v>1455</v>
      </c>
      <c r="Q1556" s="116">
        <v>1441.05</v>
      </c>
      <c r="R1556">
        <v>6052712</v>
      </c>
    </row>
    <row r="1557" spans="1:18" x14ac:dyDescent="0.25">
      <c r="A1557" s="170">
        <v>44298</v>
      </c>
      <c r="B1557" s="116">
        <v>1480</v>
      </c>
      <c r="C1557" s="116">
        <v>1425.8</v>
      </c>
      <c r="D1557" s="116">
        <v>1415.3</v>
      </c>
      <c r="E1557" s="116">
        <v>1480</v>
      </c>
      <c r="F1557" s="116">
        <v>1425.8</v>
      </c>
      <c r="G1557">
        <v>778970</v>
      </c>
      <c r="H1557" s="116"/>
      <c r="I1557" s="116"/>
      <c r="L1557" s="170">
        <v>44298</v>
      </c>
      <c r="M1557" s="116">
        <v>1425.75</v>
      </c>
      <c r="N1557" s="116">
        <v>1477.55</v>
      </c>
      <c r="O1557" s="116">
        <v>1415</v>
      </c>
      <c r="P1557" s="116">
        <v>1474</v>
      </c>
      <c r="Q1557" s="116">
        <v>1425.75</v>
      </c>
      <c r="R1557">
        <v>20384532</v>
      </c>
    </row>
    <row r="1558" spans="1:18" x14ac:dyDescent="0.25">
      <c r="A1558" s="170">
        <v>44299</v>
      </c>
      <c r="B1558" s="116">
        <v>1435.95</v>
      </c>
      <c r="C1558" s="116">
        <v>1398.6</v>
      </c>
      <c r="D1558" s="116">
        <v>1375</v>
      </c>
      <c r="E1558" s="116">
        <v>1433</v>
      </c>
      <c r="F1558" s="116">
        <v>1398.6</v>
      </c>
      <c r="G1558">
        <v>753247</v>
      </c>
      <c r="H1558" s="116"/>
      <c r="I1558" s="116"/>
      <c r="L1558" s="170">
        <v>44299</v>
      </c>
      <c r="M1558" s="116">
        <v>1397.15</v>
      </c>
      <c r="N1558" s="116">
        <v>1435.25</v>
      </c>
      <c r="O1558" s="116">
        <v>1375</v>
      </c>
      <c r="P1558" s="116">
        <v>1433</v>
      </c>
      <c r="Q1558" s="116">
        <v>1397.15</v>
      </c>
      <c r="R1558">
        <v>14855206</v>
      </c>
    </row>
    <row r="1559" spans="1:18" x14ac:dyDescent="0.25">
      <c r="A1559" s="170">
        <v>44301</v>
      </c>
      <c r="B1559" s="116">
        <v>1366.6</v>
      </c>
      <c r="C1559" s="116">
        <v>1361.5</v>
      </c>
      <c r="D1559" s="116">
        <v>1320.35</v>
      </c>
      <c r="E1559" s="116">
        <v>1354.7</v>
      </c>
      <c r="F1559" s="116">
        <v>1361.5</v>
      </c>
      <c r="G1559">
        <v>1327320</v>
      </c>
      <c r="H1559" s="116"/>
      <c r="I1559" s="116"/>
      <c r="L1559" s="170">
        <v>44301</v>
      </c>
      <c r="M1559" s="116">
        <v>1360.75</v>
      </c>
      <c r="N1559" s="116">
        <v>1366.4</v>
      </c>
      <c r="O1559" s="116">
        <v>1320</v>
      </c>
      <c r="P1559" s="116">
        <v>1332.3</v>
      </c>
      <c r="Q1559" s="116">
        <v>1360.75</v>
      </c>
      <c r="R1559">
        <v>25342491</v>
      </c>
    </row>
    <row r="1560" spans="1:18" x14ac:dyDescent="0.25">
      <c r="A1560" s="170">
        <v>44302</v>
      </c>
      <c r="B1560" s="116">
        <v>1371</v>
      </c>
      <c r="C1560" s="116">
        <v>1352.55</v>
      </c>
      <c r="D1560" s="116">
        <v>1347</v>
      </c>
      <c r="E1560" s="116">
        <v>1366.65</v>
      </c>
      <c r="F1560" s="116">
        <v>1352.55</v>
      </c>
      <c r="G1560">
        <v>1349182</v>
      </c>
      <c r="H1560" s="116"/>
      <c r="I1560" s="116"/>
      <c r="L1560" s="170">
        <v>44302</v>
      </c>
      <c r="M1560" s="116">
        <v>1353.75</v>
      </c>
      <c r="N1560" s="116">
        <v>1370.85</v>
      </c>
      <c r="O1560" s="116">
        <v>1346.6</v>
      </c>
      <c r="P1560" s="116">
        <v>1365</v>
      </c>
      <c r="Q1560" s="116">
        <v>1353.75</v>
      </c>
      <c r="R1560">
        <v>10879878</v>
      </c>
    </row>
    <row r="1561" spans="1:18" x14ac:dyDescent="0.25">
      <c r="A1561" s="170">
        <v>44305</v>
      </c>
      <c r="B1561" s="116">
        <v>1379.5</v>
      </c>
      <c r="C1561" s="116">
        <v>1362.6</v>
      </c>
      <c r="D1561" s="116">
        <v>1333.05</v>
      </c>
      <c r="E1561" s="116">
        <v>1344</v>
      </c>
      <c r="F1561" s="116">
        <v>1362.6</v>
      </c>
      <c r="G1561">
        <v>437862</v>
      </c>
      <c r="H1561" s="116"/>
      <c r="I1561" s="116"/>
      <c r="L1561" s="170">
        <v>44305</v>
      </c>
      <c r="M1561" s="116">
        <v>1362.55</v>
      </c>
      <c r="N1561" s="116">
        <v>1379.7</v>
      </c>
      <c r="O1561" s="116">
        <v>1332.35</v>
      </c>
      <c r="P1561" s="116">
        <v>1340</v>
      </c>
      <c r="Q1561" s="116">
        <v>1362.55</v>
      </c>
      <c r="R1561">
        <v>12508028</v>
      </c>
    </row>
    <row r="1562" spans="1:18" x14ac:dyDescent="0.25">
      <c r="A1562" s="170">
        <v>44306</v>
      </c>
      <c r="B1562" s="116">
        <v>1379</v>
      </c>
      <c r="C1562" s="116">
        <v>1350.7</v>
      </c>
      <c r="D1562" s="116">
        <v>1342.7</v>
      </c>
      <c r="E1562" s="116">
        <v>1378</v>
      </c>
      <c r="F1562" s="116">
        <v>1350.7</v>
      </c>
      <c r="G1562">
        <v>341541</v>
      </c>
      <c r="H1562" s="116"/>
      <c r="I1562" s="116"/>
      <c r="L1562" s="170">
        <v>44306</v>
      </c>
      <c r="M1562" s="116">
        <v>1351.35</v>
      </c>
      <c r="N1562" s="116">
        <v>1379</v>
      </c>
      <c r="O1562" s="116">
        <v>1342.4</v>
      </c>
      <c r="P1562" s="116">
        <v>1379</v>
      </c>
      <c r="Q1562" s="116">
        <v>1351.35</v>
      </c>
      <c r="R1562">
        <v>8560766</v>
      </c>
    </row>
    <row r="1563" spans="1:18" x14ac:dyDescent="0.25">
      <c r="A1563" s="170">
        <v>44308</v>
      </c>
      <c r="B1563" s="116">
        <v>1364.9</v>
      </c>
      <c r="C1563" s="116">
        <v>1351.05</v>
      </c>
      <c r="D1563" s="116">
        <v>1345.8</v>
      </c>
      <c r="E1563" s="116">
        <v>1353.75</v>
      </c>
      <c r="F1563" s="116">
        <v>1351.05</v>
      </c>
      <c r="G1563">
        <v>717307</v>
      </c>
      <c r="H1563" s="116"/>
      <c r="I1563" s="116"/>
      <c r="L1563" s="170">
        <v>44308</v>
      </c>
      <c r="M1563" s="116">
        <v>1351.1</v>
      </c>
      <c r="N1563" s="116">
        <v>1364.8</v>
      </c>
      <c r="O1563" s="116">
        <v>1345.15</v>
      </c>
      <c r="P1563" s="116">
        <v>1355.55</v>
      </c>
      <c r="Q1563" s="116">
        <v>1351.1</v>
      </c>
      <c r="R1563">
        <v>6622446</v>
      </c>
    </row>
    <row r="1564" spans="1:18" x14ac:dyDescent="0.25">
      <c r="A1564" s="170">
        <v>44309</v>
      </c>
      <c r="B1564" s="116">
        <v>1348.8</v>
      </c>
      <c r="C1564" s="116">
        <v>1333.85</v>
      </c>
      <c r="D1564" s="116">
        <v>1331.3</v>
      </c>
      <c r="E1564" s="116">
        <v>1344.3</v>
      </c>
      <c r="F1564" s="116">
        <v>1333.85</v>
      </c>
      <c r="G1564">
        <v>178652</v>
      </c>
      <c r="H1564" s="116"/>
      <c r="I1564" s="116"/>
      <c r="L1564" s="170">
        <v>44309</v>
      </c>
      <c r="M1564" s="116">
        <v>1333.8</v>
      </c>
      <c r="N1564" s="116">
        <v>1348.4</v>
      </c>
      <c r="O1564" s="116">
        <v>1331</v>
      </c>
      <c r="P1564" s="116">
        <v>1343</v>
      </c>
      <c r="Q1564" s="116">
        <v>1333.8</v>
      </c>
      <c r="R1564">
        <v>7316262</v>
      </c>
    </row>
    <row r="1565" spans="1:18" x14ac:dyDescent="0.25">
      <c r="A1565" s="170">
        <v>44312</v>
      </c>
      <c r="B1565" s="116">
        <v>1351</v>
      </c>
      <c r="C1565" s="116">
        <v>1343.65</v>
      </c>
      <c r="D1565" s="116">
        <v>1322</v>
      </c>
      <c r="E1565" s="116">
        <v>1330</v>
      </c>
      <c r="F1565" s="116">
        <v>1343.65</v>
      </c>
      <c r="G1565">
        <v>271381</v>
      </c>
      <c r="H1565" s="116"/>
      <c r="I1565" s="116"/>
      <c r="L1565" s="170">
        <v>44312</v>
      </c>
      <c r="M1565" s="116">
        <v>1343.55</v>
      </c>
      <c r="N1565" s="116">
        <v>1351.3</v>
      </c>
      <c r="O1565" s="116">
        <v>1321</v>
      </c>
      <c r="P1565" s="116">
        <v>1332.25</v>
      </c>
      <c r="Q1565" s="116">
        <v>1343.55</v>
      </c>
      <c r="R1565">
        <v>7088606</v>
      </c>
    </row>
    <row r="1566" spans="1:18" x14ac:dyDescent="0.25">
      <c r="A1566" s="170">
        <v>44313</v>
      </c>
      <c r="B1566" s="116">
        <v>1353</v>
      </c>
      <c r="C1566" s="116">
        <v>1348.2</v>
      </c>
      <c r="D1566" s="116">
        <v>1340</v>
      </c>
      <c r="E1566" s="116">
        <v>1348</v>
      </c>
      <c r="F1566" s="116">
        <v>1348.2</v>
      </c>
      <c r="G1566">
        <v>180094</v>
      </c>
      <c r="H1566" s="116"/>
      <c r="I1566" s="116"/>
      <c r="L1566" s="170">
        <v>44313</v>
      </c>
      <c r="M1566" s="116">
        <v>1348.5</v>
      </c>
      <c r="N1566" s="116">
        <v>1353</v>
      </c>
      <c r="O1566" s="116">
        <v>1340.15</v>
      </c>
      <c r="P1566" s="116">
        <v>1346</v>
      </c>
      <c r="Q1566" s="116">
        <v>1348.5</v>
      </c>
      <c r="R1566">
        <v>3636115</v>
      </c>
    </row>
    <row r="1567" spans="1:18" x14ac:dyDescent="0.25">
      <c r="A1567" s="170">
        <v>44314</v>
      </c>
      <c r="B1567" s="116">
        <v>1359</v>
      </c>
      <c r="C1567" s="116">
        <v>1355.85</v>
      </c>
      <c r="D1567" s="116">
        <v>1344.7</v>
      </c>
      <c r="E1567" s="116">
        <v>1358</v>
      </c>
      <c r="F1567" s="116">
        <v>1355.85</v>
      </c>
      <c r="G1567">
        <v>122748</v>
      </c>
      <c r="H1567" s="116"/>
      <c r="I1567" s="116"/>
      <c r="L1567" s="170">
        <v>44314</v>
      </c>
      <c r="M1567" s="116">
        <v>1356</v>
      </c>
      <c r="N1567" s="116">
        <v>1359.5</v>
      </c>
      <c r="O1567" s="116">
        <v>1344.6</v>
      </c>
      <c r="P1567" s="116">
        <v>1358</v>
      </c>
      <c r="Q1567" s="116">
        <v>1356</v>
      </c>
      <c r="R1567">
        <v>4879234</v>
      </c>
    </row>
    <row r="1568" spans="1:18" x14ac:dyDescent="0.25">
      <c r="A1568" s="170">
        <v>44315</v>
      </c>
      <c r="B1568" s="116">
        <v>1369</v>
      </c>
      <c r="C1568" s="116">
        <v>1355.55</v>
      </c>
      <c r="D1568" s="116">
        <v>1352.05</v>
      </c>
      <c r="E1568" s="116">
        <v>1369</v>
      </c>
      <c r="F1568" s="116">
        <v>1355.55</v>
      </c>
      <c r="G1568">
        <v>102466</v>
      </c>
      <c r="H1568" s="116"/>
      <c r="I1568" s="116"/>
      <c r="L1568" s="170">
        <v>44315</v>
      </c>
      <c r="M1568" s="116">
        <v>1356.35</v>
      </c>
      <c r="N1568" s="116">
        <v>1369</v>
      </c>
      <c r="O1568" s="116">
        <v>1351.4</v>
      </c>
      <c r="P1568" s="116">
        <v>1368</v>
      </c>
      <c r="Q1568" s="116">
        <v>1356.35</v>
      </c>
      <c r="R1568">
        <v>5412357</v>
      </c>
    </row>
    <row r="1569" spans="1:18" x14ac:dyDescent="0.25">
      <c r="A1569" s="170">
        <v>44316</v>
      </c>
      <c r="B1569" s="116">
        <v>1373.6</v>
      </c>
      <c r="C1569" s="116">
        <v>1353.9</v>
      </c>
      <c r="D1569" s="116">
        <v>1346.8</v>
      </c>
      <c r="E1569" s="116">
        <v>1349</v>
      </c>
      <c r="F1569" s="116">
        <v>1353.9</v>
      </c>
      <c r="G1569">
        <v>235449</v>
      </c>
      <c r="H1569" s="116"/>
      <c r="I1569" s="116"/>
      <c r="L1569" s="170">
        <v>44316</v>
      </c>
      <c r="M1569" s="116">
        <v>1354.35</v>
      </c>
      <c r="N1569" s="116">
        <v>1373.9</v>
      </c>
      <c r="O1569" s="116">
        <v>1345.9</v>
      </c>
      <c r="P1569" s="116">
        <v>1346.3</v>
      </c>
      <c r="Q1569" s="116">
        <v>1354.35</v>
      </c>
      <c r="R1569">
        <v>8354677</v>
      </c>
    </row>
    <row r="1570" spans="1:18" x14ac:dyDescent="0.25">
      <c r="A1570" s="170">
        <v>44319</v>
      </c>
      <c r="B1570" s="116">
        <v>1361</v>
      </c>
      <c r="C1570" s="116">
        <v>1351.8</v>
      </c>
      <c r="D1570" s="116">
        <v>1337.65</v>
      </c>
      <c r="E1570" s="116">
        <v>1342</v>
      </c>
      <c r="F1570" s="116">
        <v>1351.8</v>
      </c>
      <c r="G1570">
        <v>92652</v>
      </c>
      <c r="H1570" s="116"/>
      <c r="I1570" s="116"/>
      <c r="L1570" s="170">
        <v>44319</v>
      </c>
      <c r="M1570" s="116">
        <v>1352.05</v>
      </c>
      <c r="N1570" s="116">
        <v>1361</v>
      </c>
      <c r="O1570" s="116">
        <v>1338</v>
      </c>
      <c r="P1570" s="116">
        <v>1340.8</v>
      </c>
      <c r="Q1570" s="116">
        <v>1352.05</v>
      </c>
      <c r="R1570">
        <v>4560337</v>
      </c>
    </row>
    <row r="1571" spans="1:18" x14ac:dyDescent="0.25">
      <c r="A1571" s="170">
        <v>44320</v>
      </c>
      <c r="B1571" s="116">
        <v>1355</v>
      </c>
      <c r="C1571" s="116">
        <v>1329.55</v>
      </c>
      <c r="D1571" s="116">
        <v>1325</v>
      </c>
      <c r="E1571" s="116">
        <v>1355</v>
      </c>
      <c r="F1571" s="116">
        <v>1329.55</v>
      </c>
      <c r="G1571">
        <v>114114</v>
      </c>
      <c r="H1571" s="116"/>
      <c r="I1571" s="116"/>
      <c r="L1571" s="170">
        <v>44320</v>
      </c>
      <c r="M1571" s="116">
        <v>1329.4</v>
      </c>
      <c r="N1571" s="116">
        <v>1354.95</v>
      </c>
      <c r="O1571" s="116">
        <v>1324.1</v>
      </c>
      <c r="P1571" s="116">
        <v>1354</v>
      </c>
      <c r="Q1571" s="116">
        <v>1329.4</v>
      </c>
      <c r="R1571">
        <v>4887060</v>
      </c>
    </row>
    <row r="1572" spans="1:18" x14ac:dyDescent="0.25">
      <c r="A1572" s="170">
        <v>44321</v>
      </c>
      <c r="B1572" s="116">
        <v>1343.7</v>
      </c>
      <c r="C1572" s="116">
        <v>1341.6</v>
      </c>
      <c r="D1572" s="116">
        <v>1328</v>
      </c>
      <c r="E1572" s="116">
        <v>1337.35</v>
      </c>
      <c r="F1572" s="116">
        <v>1341.6</v>
      </c>
      <c r="G1572">
        <v>170339</v>
      </c>
      <c r="H1572" s="116"/>
      <c r="I1572" s="116"/>
      <c r="L1572" s="170">
        <v>44321</v>
      </c>
      <c r="M1572" s="116">
        <v>1341.5</v>
      </c>
      <c r="N1572" s="116">
        <v>1343.9</v>
      </c>
      <c r="O1572" s="116">
        <v>1327.8</v>
      </c>
      <c r="P1572" s="116">
        <v>1341.1</v>
      </c>
      <c r="Q1572" s="116">
        <v>1341.5</v>
      </c>
      <c r="R1572">
        <v>3939788</v>
      </c>
    </row>
    <row r="1573" spans="1:18" x14ac:dyDescent="0.25">
      <c r="A1573" s="170">
        <v>44322</v>
      </c>
      <c r="B1573" s="116">
        <v>1364.2</v>
      </c>
      <c r="C1573" s="116">
        <v>1361.15</v>
      </c>
      <c r="D1573" s="116">
        <v>1337.05</v>
      </c>
      <c r="E1573" s="116">
        <v>1343</v>
      </c>
      <c r="F1573" s="116">
        <v>1361.15</v>
      </c>
      <c r="G1573">
        <v>277845</v>
      </c>
      <c r="H1573" s="116"/>
      <c r="I1573" s="116"/>
      <c r="L1573" s="170">
        <v>44322</v>
      </c>
      <c r="M1573" s="116">
        <v>1361.6</v>
      </c>
      <c r="N1573" s="116">
        <v>1364.7</v>
      </c>
      <c r="O1573" s="116">
        <v>1337.4</v>
      </c>
      <c r="P1573" s="116">
        <v>1345</v>
      </c>
      <c r="Q1573" s="116">
        <v>1361.6</v>
      </c>
      <c r="R1573">
        <v>4810090</v>
      </c>
    </row>
    <row r="1574" spans="1:18" x14ac:dyDescent="0.25">
      <c r="A1574" s="170">
        <v>44323</v>
      </c>
      <c r="B1574" s="116">
        <v>1372.4</v>
      </c>
      <c r="C1574" s="116">
        <v>1352.4</v>
      </c>
      <c r="D1574" s="116">
        <v>1348.9</v>
      </c>
      <c r="E1574" s="116">
        <v>1366</v>
      </c>
      <c r="F1574" s="116">
        <v>1352.4</v>
      </c>
      <c r="G1574">
        <v>149432</v>
      </c>
      <c r="H1574" s="116"/>
      <c r="I1574" s="116"/>
      <c r="L1574" s="170">
        <v>44323</v>
      </c>
      <c r="M1574" s="116">
        <v>1352.55</v>
      </c>
      <c r="N1574" s="116">
        <v>1373.05</v>
      </c>
      <c r="O1574" s="116">
        <v>1348.5</v>
      </c>
      <c r="P1574" s="116">
        <v>1365.3</v>
      </c>
      <c r="Q1574" s="116">
        <v>1352.55</v>
      </c>
      <c r="R1574">
        <v>4991435</v>
      </c>
    </row>
    <row r="1575" spans="1:18" x14ac:dyDescent="0.25">
      <c r="A1575" s="170">
        <v>44326</v>
      </c>
      <c r="B1575" s="116">
        <v>1355</v>
      </c>
      <c r="C1575" s="116">
        <v>1339.5</v>
      </c>
      <c r="D1575" s="116">
        <v>1335.35</v>
      </c>
      <c r="E1575" s="116">
        <v>1355</v>
      </c>
      <c r="F1575" s="116">
        <v>1339.5</v>
      </c>
      <c r="G1575">
        <v>198990</v>
      </c>
      <c r="H1575" s="116"/>
      <c r="I1575" s="116"/>
      <c r="L1575" s="170">
        <v>44326</v>
      </c>
      <c r="M1575" s="116">
        <v>1339.55</v>
      </c>
      <c r="N1575" s="116">
        <v>1352.9</v>
      </c>
      <c r="O1575" s="116">
        <v>1335.05</v>
      </c>
      <c r="P1575" s="116">
        <v>1349.85</v>
      </c>
      <c r="Q1575" s="116">
        <v>1339.55</v>
      </c>
      <c r="R1575">
        <v>7195348</v>
      </c>
    </row>
    <row r="1576" spans="1:18" x14ac:dyDescent="0.25">
      <c r="A1576" s="170">
        <v>44327</v>
      </c>
      <c r="B1576" s="116">
        <v>1341.3</v>
      </c>
      <c r="C1576" s="116">
        <v>1330.7</v>
      </c>
      <c r="D1576" s="116">
        <v>1325.25</v>
      </c>
      <c r="E1576" s="116">
        <v>1336</v>
      </c>
      <c r="F1576" s="116">
        <v>1330.7</v>
      </c>
      <c r="G1576">
        <v>305023</v>
      </c>
      <c r="H1576" s="116"/>
      <c r="I1576" s="116"/>
      <c r="L1576" s="170">
        <v>44327</v>
      </c>
      <c r="M1576" s="116">
        <v>1330.65</v>
      </c>
      <c r="N1576" s="116">
        <v>1341</v>
      </c>
      <c r="O1576" s="116">
        <v>1325.1</v>
      </c>
      <c r="P1576" s="116">
        <v>1336.9</v>
      </c>
      <c r="Q1576" s="116">
        <v>1330.65</v>
      </c>
      <c r="R1576">
        <v>6420988</v>
      </c>
    </row>
    <row r="1577" spans="1:18" x14ac:dyDescent="0.25">
      <c r="A1577" s="170">
        <v>44328</v>
      </c>
      <c r="B1577" s="116">
        <v>1334.3</v>
      </c>
      <c r="C1577" s="116">
        <v>1326.95</v>
      </c>
      <c r="D1577" s="116">
        <v>1315</v>
      </c>
      <c r="E1577" s="116">
        <v>1332</v>
      </c>
      <c r="F1577" s="116">
        <v>1326.95</v>
      </c>
      <c r="G1577">
        <v>1134464</v>
      </c>
      <c r="H1577" s="116"/>
      <c r="I1577" s="116"/>
      <c r="L1577" s="170">
        <v>44328</v>
      </c>
      <c r="M1577" s="116">
        <v>1327</v>
      </c>
      <c r="N1577" s="116">
        <v>1330</v>
      </c>
      <c r="O1577" s="116">
        <v>1314.5</v>
      </c>
      <c r="P1577" s="116">
        <v>1330</v>
      </c>
      <c r="Q1577" s="116">
        <v>1327</v>
      </c>
      <c r="R1577">
        <v>5241898</v>
      </c>
    </row>
    <row r="1578" spans="1:18" x14ac:dyDescent="0.25">
      <c r="A1578" s="170">
        <v>44330</v>
      </c>
      <c r="B1578" s="116">
        <v>1333.95</v>
      </c>
      <c r="C1578" s="116">
        <v>1316.8</v>
      </c>
      <c r="D1578" s="116">
        <v>1311.8</v>
      </c>
      <c r="E1578" s="116">
        <v>1333.95</v>
      </c>
      <c r="F1578" s="116">
        <v>1316.8</v>
      </c>
      <c r="G1578">
        <v>256247</v>
      </c>
      <c r="H1578" s="116"/>
      <c r="I1578" s="116"/>
      <c r="L1578" s="170">
        <v>44330</v>
      </c>
      <c r="M1578" s="116">
        <v>1316.4</v>
      </c>
      <c r="N1578" s="116">
        <v>1326.85</v>
      </c>
      <c r="O1578" s="116">
        <v>1311.3</v>
      </c>
      <c r="P1578" s="116">
        <v>1326.85</v>
      </c>
      <c r="Q1578" s="116">
        <v>1316.4</v>
      </c>
      <c r="R1578">
        <v>4824609</v>
      </c>
    </row>
    <row r="1579" spans="1:18" x14ac:dyDescent="0.25">
      <c r="A1579" s="170">
        <v>44333</v>
      </c>
      <c r="B1579" s="116">
        <v>1335</v>
      </c>
      <c r="C1579" s="116">
        <v>1329.15</v>
      </c>
      <c r="D1579" s="116">
        <v>1319.7</v>
      </c>
      <c r="E1579" s="116">
        <v>1319.7</v>
      </c>
      <c r="F1579" s="116">
        <v>1329.15</v>
      </c>
      <c r="G1579">
        <v>287383</v>
      </c>
      <c r="H1579" s="116"/>
      <c r="I1579" s="116"/>
      <c r="L1579" s="170">
        <v>44333</v>
      </c>
      <c r="M1579" s="116">
        <v>1329.4</v>
      </c>
      <c r="N1579" s="116">
        <v>1334.95</v>
      </c>
      <c r="O1579" s="116">
        <v>1320.3</v>
      </c>
      <c r="P1579" s="116">
        <v>1320.3</v>
      </c>
      <c r="Q1579" s="116">
        <v>1329.4</v>
      </c>
      <c r="R1579">
        <v>5017129</v>
      </c>
    </row>
    <row r="1580" spans="1:18" x14ac:dyDescent="0.25">
      <c r="A1580" s="170">
        <v>44334</v>
      </c>
      <c r="B1580" s="116">
        <v>1344.45</v>
      </c>
      <c r="C1580" s="116">
        <v>1339.95</v>
      </c>
      <c r="D1580" s="116">
        <v>1330</v>
      </c>
      <c r="E1580" s="116">
        <v>1336</v>
      </c>
      <c r="F1580" s="116">
        <v>1339.95</v>
      </c>
      <c r="G1580">
        <v>310214</v>
      </c>
      <c r="H1580" s="116"/>
      <c r="I1580" s="116"/>
      <c r="L1580" s="170">
        <v>44334</v>
      </c>
      <c r="M1580" s="116">
        <v>1340</v>
      </c>
      <c r="N1580" s="116">
        <v>1344.6</v>
      </c>
      <c r="O1580" s="116">
        <v>1329.5</v>
      </c>
      <c r="P1580" s="116">
        <v>1338</v>
      </c>
      <c r="Q1580" s="116">
        <v>1340</v>
      </c>
      <c r="R1580">
        <v>5620150</v>
      </c>
    </row>
    <row r="1581" spans="1:18" x14ac:dyDescent="0.25">
      <c r="A1581" s="170">
        <v>44335</v>
      </c>
      <c r="B1581" s="116">
        <v>1357.45</v>
      </c>
      <c r="C1581" s="116">
        <v>1336.55</v>
      </c>
      <c r="D1581" s="116">
        <v>1333.55</v>
      </c>
      <c r="E1581" s="116">
        <v>1340</v>
      </c>
      <c r="F1581" s="116">
        <v>1336.55</v>
      </c>
      <c r="G1581">
        <v>1047750</v>
      </c>
      <c r="H1581" s="116"/>
      <c r="I1581" s="116"/>
      <c r="L1581" s="170">
        <v>44335</v>
      </c>
      <c r="M1581" s="116">
        <v>1337</v>
      </c>
      <c r="N1581" s="116">
        <v>1357.45</v>
      </c>
      <c r="O1581" s="116">
        <v>1333.25</v>
      </c>
      <c r="P1581" s="116">
        <v>1342</v>
      </c>
      <c r="Q1581" s="116">
        <v>1337</v>
      </c>
      <c r="R1581">
        <v>4435878</v>
      </c>
    </row>
    <row r="1582" spans="1:18" x14ac:dyDescent="0.25">
      <c r="A1582" s="170">
        <v>44336</v>
      </c>
      <c r="B1582" s="116">
        <v>1350</v>
      </c>
      <c r="C1582" s="116">
        <v>1339.45</v>
      </c>
      <c r="D1582" s="116">
        <v>1335.4</v>
      </c>
      <c r="E1582" s="116">
        <v>1345</v>
      </c>
      <c r="F1582" s="116">
        <v>1339.45</v>
      </c>
      <c r="G1582">
        <v>113578</v>
      </c>
      <c r="H1582" s="116"/>
      <c r="I1582" s="116"/>
      <c r="L1582" s="170">
        <v>44336</v>
      </c>
      <c r="M1582" s="116">
        <v>1339.3</v>
      </c>
      <c r="N1582" s="116">
        <v>1349.1</v>
      </c>
      <c r="O1582" s="116">
        <v>1335</v>
      </c>
      <c r="P1582" s="116">
        <v>1348.4</v>
      </c>
      <c r="Q1582" s="116">
        <v>1339.3</v>
      </c>
      <c r="R1582">
        <v>4490092</v>
      </c>
    </row>
    <row r="1583" spans="1:18" x14ac:dyDescent="0.25">
      <c r="A1583" s="170">
        <v>44337</v>
      </c>
      <c r="B1583" s="116">
        <v>1357</v>
      </c>
      <c r="C1583" s="116">
        <v>1354.7</v>
      </c>
      <c r="D1583" s="116">
        <v>1346.1</v>
      </c>
      <c r="E1583" s="116">
        <v>1349</v>
      </c>
      <c r="F1583" s="116">
        <v>1354.7</v>
      </c>
      <c r="G1583">
        <v>480568</v>
      </c>
      <c r="H1583" s="116"/>
      <c r="I1583" s="116"/>
      <c r="L1583" s="170">
        <v>44337</v>
      </c>
      <c r="M1583" s="116">
        <v>1354.5</v>
      </c>
      <c r="N1583" s="116">
        <v>1357.5</v>
      </c>
      <c r="O1583" s="116">
        <v>1346.35</v>
      </c>
      <c r="P1583" s="116">
        <v>1347.5</v>
      </c>
      <c r="Q1583" s="116">
        <v>1354.5</v>
      </c>
      <c r="R1583">
        <v>4969733</v>
      </c>
    </row>
    <row r="1584" spans="1:18" x14ac:dyDescent="0.25">
      <c r="A1584" s="170">
        <v>44340</v>
      </c>
      <c r="B1584" s="116">
        <v>1362.15</v>
      </c>
      <c r="C1584" s="116">
        <v>1348.15</v>
      </c>
      <c r="D1584" s="116">
        <v>1345.25</v>
      </c>
      <c r="E1584" s="116">
        <v>1358</v>
      </c>
      <c r="F1584" s="116">
        <v>1348.15</v>
      </c>
      <c r="G1584">
        <v>1066338</v>
      </c>
      <c r="H1584" s="116"/>
      <c r="I1584" s="116"/>
      <c r="L1584" s="170">
        <v>44340</v>
      </c>
      <c r="M1584" s="116">
        <v>1348.05</v>
      </c>
      <c r="N1584" s="116">
        <v>1363</v>
      </c>
      <c r="O1584" s="116">
        <v>1345.1</v>
      </c>
      <c r="P1584" s="116">
        <v>1356.65</v>
      </c>
      <c r="Q1584" s="116">
        <v>1348.05</v>
      </c>
      <c r="R1584">
        <v>4225371</v>
      </c>
    </row>
    <row r="1585" spans="1:18" x14ac:dyDescent="0.25">
      <c r="A1585" s="170">
        <v>44341</v>
      </c>
      <c r="B1585" s="116">
        <v>1367.5</v>
      </c>
      <c r="C1585" s="116">
        <v>1361.9</v>
      </c>
      <c r="D1585" s="116">
        <v>1353</v>
      </c>
      <c r="E1585" s="116">
        <v>1353</v>
      </c>
      <c r="F1585" s="116">
        <v>1361.9</v>
      </c>
      <c r="G1585">
        <v>420760</v>
      </c>
      <c r="H1585" s="116"/>
      <c r="I1585" s="116"/>
      <c r="L1585" s="170">
        <v>44341</v>
      </c>
      <c r="M1585" s="116">
        <v>1361.6</v>
      </c>
      <c r="N1585" s="116">
        <v>1368</v>
      </c>
      <c r="O1585" s="116">
        <v>1354.45</v>
      </c>
      <c r="P1585" s="116">
        <v>1358</v>
      </c>
      <c r="Q1585" s="116">
        <v>1361.6</v>
      </c>
      <c r="R1585">
        <v>4099340</v>
      </c>
    </row>
    <row r="1586" spans="1:18" x14ac:dyDescent="0.25">
      <c r="A1586" s="170">
        <v>44342</v>
      </c>
      <c r="B1586" s="116">
        <v>1400</v>
      </c>
      <c r="C1586" s="116">
        <v>1397.35</v>
      </c>
      <c r="D1586" s="116">
        <v>1362</v>
      </c>
      <c r="E1586" s="116">
        <v>1369.4</v>
      </c>
      <c r="F1586" s="116">
        <v>1397.35</v>
      </c>
      <c r="G1586">
        <v>505592</v>
      </c>
      <c r="H1586" s="116"/>
      <c r="I1586" s="116"/>
      <c r="L1586" s="170">
        <v>44342</v>
      </c>
      <c r="M1586" s="116">
        <v>1397.25</v>
      </c>
      <c r="N1586" s="116">
        <v>1400</v>
      </c>
      <c r="O1586" s="116">
        <v>1362.05</v>
      </c>
      <c r="P1586" s="116">
        <v>1367.9</v>
      </c>
      <c r="Q1586" s="116">
        <v>1397.25</v>
      </c>
      <c r="R1586">
        <v>6850024</v>
      </c>
    </row>
    <row r="1587" spans="1:18" x14ac:dyDescent="0.25">
      <c r="A1587" s="170">
        <v>44343</v>
      </c>
      <c r="B1587" s="116">
        <v>1415.5</v>
      </c>
      <c r="C1587" s="116">
        <v>1404.65</v>
      </c>
      <c r="D1587" s="116">
        <v>1391.6</v>
      </c>
      <c r="E1587" s="116">
        <v>1404.8</v>
      </c>
      <c r="F1587" s="116">
        <v>1404.65</v>
      </c>
      <c r="G1587">
        <v>1353941</v>
      </c>
      <c r="H1587" s="116"/>
      <c r="I1587" s="116"/>
      <c r="L1587" s="170">
        <v>44343</v>
      </c>
      <c r="M1587" s="116">
        <v>1402.25</v>
      </c>
      <c r="N1587" s="116">
        <v>1416.25</v>
      </c>
      <c r="O1587" s="116">
        <v>1391.7</v>
      </c>
      <c r="P1587" s="116">
        <v>1404.2</v>
      </c>
      <c r="Q1587" s="116">
        <v>1402.25</v>
      </c>
      <c r="R1587">
        <v>15365391</v>
      </c>
    </row>
    <row r="1588" spans="1:18" x14ac:dyDescent="0.25">
      <c r="A1588" s="170">
        <v>44344</v>
      </c>
      <c r="B1588" s="116">
        <v>1414</v>
      </c>
      <c r="C1588" s="116">
        <v>1404.8</v>
      </c>
      <c r="D1588" s="116">
        <v>1396.35</v>
      </c>
      <c r="E1588" s="116">
        <v>1411.85</v>
      </c>
      <c r="F1588" s="116">
        <v>1404.8</v>
      </c>
      <c r="G1588">
        <v>418799</v>
      </c>
      <c r="H1588" s="116"/>
      <c r="I1588" s="116"/>
      <c r="L1588" s="170">
        <v>44344</v>
      </c>
      <c r="M1588" s="116">
        <v>1405.05</v>
      </c>
      <c r="N1588" s="116">
        <v>1414</v>
      </c>
      <c r="O1588" s="116">
        <v>1396.1</v>
      </c>
      <c r="P1588" s="116">
        <v>1409.75</v>
      </c>
      <c r="Q1588" s="116">
        <v>1405.05</v>
      </c>
      <c r="R1588">
        <v>4261312</v>
      </c>
    </row>
    <row r="1589" spans="1:18" x14ac:dyDescent="0.25">
      <c r="A1589" s="170">
        <v>44347</v>
      </c>
      <c r="B1589" s="116">
        <v>1405</v>
      </c>
      <c r="C1589" s="116">
        <v>1393.65</v>
      </c>
      <c r="D1589" s="116">
        <v>1383.1</v>
      </c>
      <c r="E1589" s="116">
        <v>1405</v>
      </c>
      <c r="F1589" s="116">
        <v>1393.65</v>
      </c>
      <c r="G1589">
        <v>1009210</v>
      </c>
      <c r="H1589" s="116"/>
      <c r="I1589" s="116"/>
      <c r="L1589" s="170">
        <v>44347</v>
      </c>
      <c r="M1589" s="116">
        <v>1393.75</v>
      </c>
      <c r="N1589" s="116">
        <v>1401.5</v>
      </c>
      <c r="O1589" s="116">
        <v>1383</v>
      </c>
      <c r="P1589" s="116">
        <v>1401.5</v>
      </c>
      <c r="Q1589" s="116">
        <v>1393.75</v>
      </c>
      <c r="R1589">
        <v>4429904</v>
      </c>
    </row>
    <row r="1590" spans="1:18" x14ac:dyDescent="0.25">
      <c r="A1590" s="170">
        <v>44348</v>
      </c>
      <c r="B1590" s="116">
        <v>1400.8</v>
      </c>
      <c r="C1590" s="116">
        <v>1387.4</v>
      </c>
      <c r="D1590" s="116">
        <v>1378.6</v>
      </c>
      <c r="E1590" s="116">
        <v>1400</v>
      </c>
      <c r="F1590" s="116">
        <v>1387.4</v>
      </c>
      <c r="G1590">
        <v>184134</v>
      </c>
      <c r="H1590" s="116"/>
      <c r="I1590" s="116"/>
      <c r="L1590" s="170">
        <v>44348</v>
      </c>
      <c r="M1590" s="116">
        <v>1387.2</v>
      </c>
      <c r="N1590" s="116">
        <v>1401</v>
      </c>
      <c r="O1590" s="116">
        <v>1378.65</v>
      </c>
      <c r="P1590" s="116">
        <v>1400</v>
      </c>
      <c r="Q1590" s="116">
        <v>1387.2</v>
      </c>
      <c r="R1590">
        <v>4791325</v>
      </c>
    </row>
    <row r="1591" spans="1:18" x14ac:dyDescent="0.25">
      <c r="A1591" s="170">
        <v>44349</v>
      </c>
      <c r="B1591" s="116">
        <v>1392</v>
      </c>
      <c r="C1591" s="116">
        <v>1379.75</v>
      </c>
      <c r="D1591" s="116">
        <v>1362.2</v>
      </c>
      <c r="E1591" s="116">
        <v>1378.65</v>
      </c>
      <c r="F1591" s="116">
        <v>1379.75</v>
      </c>
      <c r="G1591">
        <v>1906584</v>
      </c>
      <c r="H1591" s="116"/>
      <c r="I1591" s="116"/>
      <c r="L1591" s="170">
        <v>44349</v>
      </c>
      <c r="M1591" s="116">
        <v>1378.65</v>
      </c>
      <c r="N1591" s="116">
        <v>1391.95</v>
      </c>
      <c r="O1591" s="116">
        <v>1365</v>
      </c>
      <c r="P1591" s="116">
        <v>1380.75</v>
      </c>
      <c r="Q1591" s="116">
        <v>1378.65</v>
      </c>
      <c r="R1591">
        <v>9272276</v>
      </c>
    </row>
    <row r="1592" spans="1:18" x14ac:dyDescent="0.25">
      <c r="A1592" s="170">
        <v>44350</v>
      </c>
      <c r="B1592" s="116">
        <v>1398.65</v>
      </c>
      <c r="C1592" s="116">
        <v>1389.5</v>
      </c>
      <c r="D1592" s="116">
        <v>1377.2</v>
      </c>
      <c r="E1592" s="116">
        <v>1382</v>
      </c>
      <c r="F1592" s="116">
        <v>1389.5</v>
      </c>
      <c r="G1592">
        <v>243404</v>
      </c>
      <c r="H1592" s="116"/>
      <c r="I1592" s="116"/>
      <c r="L1592" s="170">
        <v>44350</v>
      </c>
      <c r="M1592" s="116">
        <v>1389.65</v>
      </c>
      <c r="N1592" s="116">
        <v>1399</v>
      </c>
      <c r="O1592" s="116">
        <v>1377.05</v>
      </c>
      <c r="P1592" s="116">
        <v>1388.1</v>
      </c>
      <c r="Q1592" s="116">
        <v>1389.65</v>
      </c>
      <c r="R1592">
        <v>5115645</v>
      </c>
    </row>
    <row r="1593" spans="1:18" x14ac:dyDescent="0.25">
      <c r="A1593" s="170">
        <v>44351</v>
      </c>
      <c r="B1593" s="116">
        <v>1396.5</v>
      </c>
      <c r="C1593" s="116">
        <v>1385.2</v>
      </c>
      <c r="D1593" s="116">
        <v>1377.9</v>
      </c>
      <c r="E1593" s="116">
        <v>1392</v>
      </c>
      <c r="F1593" s="116">
        <v>1385.2</v>
      </c>
      <c r="G1593">
        <v>108272</v>
      </c>
      <c r="H1593" s="116"/>
      <c r="I1593" s="116"/>
      <c r="L1593" s="170">
        <v>44351</v>
      </c>
      <c r="M1593" s="116">
        <v>1385.65</v>
      </c>
      <c r="N1593" s="116">
        <v>1396.9</v>
      </c>
      <c r="O1593" s="116">
        <v>1377.65</v>
      </c>
      <c r="P1593" s="116">
        <v>1393.95</v>
      </c>
      <c r="Q1593" s="116">
        <v>1385.65</v>
      </c>
      <c r="R1593">
        <v>4194328</v>
      </c>
    </row>
    <row r="1594" spans="1:18" x14ac:dyDescent="0.25">
      <c r="A1594" s="170">
        <v>44354</v>
      </c>
      <c r="B1594" s="116">
        <v>1392.4</v>
      </c>
      <c r="C1594" s="116">
        <v>1389.6</v>
      </c>
      <c r="D1594" s="116">
        <v>1377.5</v>
      </c>
      <c r="E1594" s="116">
        <v>1388</v>
      </c>
      <c r="F1594" s="116">
        <v>1389.6</v>
      </c>
      <c r="G1594">
        <v>231201</v>
      </c>
      <c r="H1594" s="116"/>
      <c r="I1594" s="116"/>
      <c r="L1594" s="170">
        <v>44354</v>
      </c>
      <c r="M1594" s="116">
        <v>1389.65</v>
      </c>
      <c r="N1594" s="116">
        <v>1392</v>
      </c>
      <c r="O1594" s="116">
        <v>1377.3</v>
      </c>
      <c r="P1594" s="116">
        <v>1391</v>
      </c>
      <c r="Q1594" s="116">
        <v>1389.65</v>
      </c>
      <c r="R1594">
        <v>5154576</v>
      </c>
    </row>
    <row r="1595" spans="1:18" x14ac:dyDescent="0.25">
      <c r="A1595" s="170">
        <v>44355</v>
      </c>
      <c r="B1595" s="116">
        <v>1421.4</v>
      </c>
      <c r="C1595" s="116">
        <v>1412.95</v>
      </c>
      <c r="D1595" s="116">
        <v>1394</v>
      </c>
      <c r="E1595" s="116">
        <v>1394</v>
      </c>
      <c r="F1595" s="116">
        <v>1412.95</v>
      </c>
      <c r="G1595">
        <v>440159</v>
      </c>
      <c r="H1595" s="116"/>
      <c r="I1595" s="116"/>
      <c r="L1595" s="170">
        <v>44355</v>
      </c>
      <c r="M1595" s="116">
        <v>1412.95</v>
      </c>
      <c r="N1595" s="116">
        <v>1421.75</v>
      </c>
      <c r="O1595" s="116">
        <v>1395.55</v>
      </c>
      <c r="P1595" s="116">
        <v>1396</v>
      </c>
      <c r="Q1595" s="116">
        <v>1412.95</v>
      </c>
      <c r="R1595">
        <v>7360630</v>
      </c>
    </row>
    <row r="1596" spans="1:18" x14ac:dyDescent="0.25">
      <c r="A1596" s="170">
        <v>44356</v>
      </c>
      <c r="B1596" s="116">
        <v>1425</v>
      </c>
      <c r="C1596" s="116">
        <v>1414.7</v>
      </c>
      <c r="D1596" s="116">
        <v>1404.05</v>
      </c>
      <c r="E1596" s="116">
        <v>1415.95</v>
      </c>
      <c r="F1596" s="116">
        <v>1414.7</v>
      </c>
      <c r="G1596">
        <v>421775</v>
      </c>
      <c r="H1596" s="116"/>
      <c r="I1596" s="116"/>
      <c r="L1596" s="170">
        <v>44356</v>
      </c>
      <c r="M1596" s="116">
        <v>1415.3</v>
      </c>
      <c r="N1596" s="116">
        <v>1425</v>
      </c>
      <c r="O1596" s="116">
        <v>1404.6</v>
      </c>
      <c r="P1596" s="116">
        <v>1413.4</v>
      </c>
      <c r="Q1596" s="116">
        <v>1415.3</v>
      </c>
      <c r="R1596">
        <v>5394317</v>
      </c>
    </row>
    <row r="1597" spans="1:18" x14ac:dyDescent="0.25">
      <c r="A1597" s="170">
        <v>44357</v>
      </c>
      <c r="B1597" s="116">
        <v>1429.45</v>
      </c>
      <c r="C1597" s="116">
        <v>1424.55</v>
      </c>
      <c r="D1597" s="116">
        <v>1418.5</v>
      </c>
      <c r="E1597" s="116">
        <v>1418.5</v>
      </c>
      <c r="F1597" s="116">
        <v>1424.55</v>
      </c>
      <c r="G1597">
        <v>125619</v>
      </c>
      <c r="H1597" s="116"/>
      <c r="I1597" s="116"/>
      <c r="L1597" s="170">
        <v>44357</v>
      </c>
      <c r="M1597" s="116">
        <v>1424.3</v>
      </c>
      <c r="N1597" s="116">
        <v>1429</v>
      </c>
      <c r="O1597" s="116">
        <v>1419</v>
      </c>
      <c r="P1597" s="116">
        <v>1424</v>
      </c>
      <c r="Q1597" s="116">
        <v>1424.3</v>
      </c>
      <c r="R1597">
        <v>3496575</v>
      </c>
    </row>
    <row r="1598" spans="1:18" x14ac:dyDescent="0.25">
      <c r="A1598" s="170">
        <v>44358</v>
      </c>
      <c r="B1598" s="116">
        <v>1451.55</v>
      </c>
      <c r="C1598" s="116">
        <v>1446.75</v>
      </c>
      <c r="D1598" s="116">
        <v>1429.45</v>
      </c>
      <c r="E1598" s="116">
        <v>1429.55</v>
      </c>
      <c r="F1598" s="116">
        <v>1446.75</v>
      </c>
      <c r="G1598">
        <v>639754</v>
      </c>
      <c r="H1598" s="116"/>
      <c r="I1598" s="116"/>
      <c r="L1598" s="170">
        <v>44358</v>
      </c>
      <c r="M1598" s="116">
        <v>1446.9</v>
      </c>
      <c r="N1598" s="116">
        <v>1451.6</v>
      </c>
      <c r="O1598" s="116">
        <v>1429.45</v>
      </c>
      <c r="P1598" s="116">
        <v>1430.1</v>
      </c>
      <c r="Q1598" s="116">
        <v>1446.9</v>
      </c>
      <c r="R1598">
        <v>6140828</v>
      </c>
    </row>
    <row r="1599" spans="1:18" x14ac:dyDescent="0.25">
      <c r="A1599" s="170">
        <v>44361</v>
      </c>
      <c r="B1599" s="116">
        <v>1477.3</v>
      </c>
      <c r="C1599" s="116">
        <v>1461.4</v>
      </c>
      <c r="D1599" s="116">
        <v>1453.55</v>
      </c>
      <c r="E1599" s="116">
        <v>1455</v>
      </c>
      <c r="F1599" s="116">
        <v>1461.4</v>
      </c>
      <c r="G1599">
        <v>479678</v>
      </c>
      <c r="H1599" s="116"/>
      <c r="I1599" s="116"/>
      <c r="L1599" s="170">
        <v>44361</v>
      </c>
      <c r="M1599" s="116">
        <v>1461.8</v>
      </c>
      <c r="N1599" s="116">
        <v>1477</v>
      </c>
      <c r="O1599" s="116">
        <v>1453.45</v>
      </c>
      <c r="P1599" s="116">
        <v>1471</v>
      </c>
      <c r="Q1599" s="116">
        <v>1461.8</v>
      </c>
      <c r="R1599">
        <v>7132294</v>
      </c>
    </row>
    <row r="1600" spans="1:18" x14ac:dyDescent="0.25">
      <c r="A1600" s="170">
        <v>44362</v>
      </c>
      <c r="B1600" s="116">
        <v>1476.25</v>
      </c>
      <c r="C1600" s="116">
        <v>1472.85</v>
      </c>
      <c r="D1600" s="116">
        <v>1463.5</v>
      </c>
      <c r="E1600" s="116">
        <v>1467</v>
      </c>
      <c r="F1600" s="116">
        <v>1472.85</v>
      </c>
      <c r="G1600">
        <v>2348770</v>
      </c>
      <c r="H1600" s="116"/>
      <c r="I1600" s="116"/>
      <c r="L1600" s="170">
        <v>44362</v>
      </c>
      <c r="M1600" s="116">
        <v>1473.9</v>
      </c>
      <c r="N1600" s="116">
        <v>1476</v>
      </c>
      <c r="O1600" s="116">
        <v>1463</v>
      </c>
      <c r="P1600" s="116">
        <v>1464</v>
      </c>
      <c r="Q1600" s="116">
        <v>1473.9</v>
      </c>
      <c r="R1600">
        <v>5403104</v>
      </c>
    </row>
    <row r="1601" spans="1:18" x14ac:dyDescent="0.25">
      <c r="A1601" s="170">
        <v>44363</v>
      </c>
      <c r="B1601" s="116">
        <v>1489.4</v>
      </c>
      <c r="C1601" s="116">
        <v>1480.3</v>
      </c>
      <c r="D1601" s="116">
        <v>1467.5</v>
      </c>
      <c r="E1601" s="116">
        <v>1478.95</v>
      </c>
      <c r="F1601" s="116">
        <v>1480.3</v>
      </c>
      <c r="G1601">
        <v>344488</v>
      </c>
      <c r="H1601" s="116"/>
      <c r="I1601" s="116"/>
      <c r="L1601" s="170">
        <v>44363</v>
      </c>
      <c r="M1601" s="116">
        <v>1480.6</v>
      </c>
      <c r="N1601" s="116">
        <v>1489.45</v>
      </c>
      <c r="O1601" s="116">
        <v>1467.5</v>
      </c>
      <c r="P1601" s="116">
        <v>1472.7</v>
      </c>
      <c r="Q1601" s="116">
        <v>1480.6</v>
      </c>
      <c r="R1601">
        <v>7661710</v>
      </c>
    </row>
    <row r="1602" spans="1:18" x14ac:dyDescent="0.25">
      <c r="A1602" s="170">
        <v>44364</v>
      </c>
      <c r="B1602" s="116">
        <v>1502</v>
      </c>
      <c r="C1602" s="116">
        <v>1497.05</v>
      </c>
      <c r="D1602" s="116">
        <v>1473</v>
      </c>
      <c r="E1602" s="116">
        <v>1473</v>
      </c>
      <c r="F1602" s="116">
        <v>1497.05</v>
      </c>
      <c r="G1602">
        <v>222950</v>
      </c>
      <c r="H1602" s="116"/>
      <c r="I1602" s="116"/>
      <c r="L1602" s="170">
        <v>44364</v>
      </c>
      <c r="M1602" s="116">
        <v>1495.3</v>
      </c>
      <c r="N1602" s="116">
        <v>1502.65</v>
      </c>
      <c r="O1602" s="116">
        <v>1475.1</v>
      </c>
      <c r="P1602" s="116">
        <v>1475.1</v>
      </c>
      <c r="Q1602" s="116">
        <v>1495.3</v>
      </c>
      <c r="R1602">
        <v>7677951</v>
      </c>
    </row>
    <row r="1603" spans="1:18" x14ac:dyDescent="0.25">
      <c r="A1603" s="170">
        <v>44365</v>
      </c>
      <c r="B1603" s="116">
        <v>1515.95</v>
      </c>
      <c r="C1603" s="116">
        <v>1504.5</v>
      </c>
      <c r="D1603" s="116">
        <v>1486.55</v>
      </c>
      <c r="E1603" s="116">
        <v>1506.3</v>
      </c>
      <c r="F1603" s="116">
        <v>1504.5</v>
      </c>
      <c r="G1603">
        <v>556964</v>
      </c>
      <c r="H1603" s="116"/>
      <c r="I1603" s="116"/>
      <c r="L1603" s="170">
        <v>44365</v>
      </c>
      <c r="M1603" s="116">
        <v>1503.3</v>
      </c>
      <c r="N1603" s="116">
        <v>1515.8</v>
      </c>
      <c r="O1603" s="116">
        <v>1487.4</v>
      </c>
      <c r="P1603" s="116">
        <v>1509</v>
      </c>
      <c r="Q1603" s="116">
        <v>1503.3</v>
      </c>
      <c r="R1603">
        <v>13533974</v>
      </c>
    </row>
    <row r="1604" spans="1:18" x14ac:dyDescent="0.25">
      <c r="A1604" s="170">
        <v>44368</v>
      </c>
      <c r="B1604" s="116">
        <v>1505.7</v>
      </c>
      <c r="C1604" s="116">
        <v>1500.35</v>
      </c>
      <c r="D1604" s="116">
        <v>1484.1</v>
      </c>
      <c r="E1604" s="116">
        <v>1489</v>
      </c>
      <c r="F1604" s="116">
        <v>1500.35</v>
      </c>
      <c r="G1604">
        <v>292535</v>
      </c>
      <c r="H1604" s="116"/>
      <c r="I1604" s="116"/>
      <c r="L1604" s="170">
        <v>44368</v>
      </c>
      <c r="M1604" s="116">
        <v>1500.3</v>
      </c>
      <c r="N1604" s="116">
        <v>1505.8</v>
      </c>
      <c r="O1604" s="116">
        <v>1484.2</v>
      </c>
      <c r="P1604" s="116">
        <v>1493</v>
      </c>
      <c r="Q1604" s="116">
        <v>1500.3</v>
      </c>
      <c r="R1604">
        <v>5454052</v>
      </c>
    </row>
    <row r="1605" spans="1:18" x14ac:dyDescent="0.25">
      <c r="A1605" s="170">
        <v>44369</v>
      </c>
      <c r="B1605" s="116">
        <v>1520.65</v>
      </c>
      <c r="C1605" s="116">
        <v>1511.7</v>
      </c>
      <c r="D1605" s="116">
        <v>1501</v>
      </c>
      <c r="E1605" s="116">
        <v>1510</v>
      </c>
      <c r="F1605" s="116">
        <v>1511.7</v>
      </c>
      <c r="G1605">
        <v>390010</v>
      </c>
      <c r="H1605" s="116"/>
      <c r="I1605" s="116"/>
      <c r="L1605" s="170">
        <v>44369</v>
      </c>
      <c r="M1605" s="116">
        <v>1511.85</v>
      </c>
      <c r="N1605" s="116">
        <v>1521.45</v>
      </c>
      <c r="O1605" s="116">
        <v>1502.1</v>
      </c>
      <c r="P1605" s="116">
        <v>1509.7</v>
      </c>
      <c r="Q1605" s="116">
        <v>1511.85</v>
      </c>
      <c r="R1605">
        <v>6427862</v>
      </c>
    </row>
    <row r="1606" spans="1:18" x14ac:dyDescent="0.25">
      <c r="A1606" s="170">
        <v>44370</v>
      </c>
      <c r="B1606" s="116">
        <v>1524.95</v>
      </c>
      <c r="C1606" s="116">
        <v>1502.85</v>
      </c>
      <c r="D1606" s="116">
        <v>1498.6</v>
      </c>
      <c r="E1606" s="116">
        <v>1523</v>
      </c>
      <c r="F1606" s="116">
        <v>1502.85</v>
      </c>
      <c r="G1606">
        <v>1596028</v>
      </c>
      <c r="H1606" s="116"/>
      <c r="I1606" s="116"/>
      <c r="L1606" s="170">
        <v>44370</v>
      </c>
      <c r="M1606" s="116">
        <v>1503.15</v>
      </c>
      <c r="N1606" s="116">
        <v>1525</v>
      </c>
      <c r="O1606" s="116">
        <v>1498.65</v>
      </c>
      <c r="P1606" s="116">
        <v>1525</v>
      </c>
      <c r="Q1606" s="116">
        <v>1503.15</v>
      </c>
      <c r="R1606">
        <v>5529809</v>
      </c>
    </row>
    <row r="1607" spans="1:18" x14ac:dyDescent="0.25">
      <c r="A1607" s="170">
        <v>44371</v>
      </c>
      <c r="B1607" s="116">
        <v>1568.35</v>
      </c>
      <c r="C1607" s="116">
        <v>1559.15</v>
      </c>
      <c r="D1607" s="116">
        <v>1511.9</v>
      </c>
      <c r="E1607" s="116">
        <v>1516</v>
      </c>
      <c r="F1607" s="116">
        <v>1559.15</v>
      </c>
      <c r="G1607">
        <v>441203</v>
      </c>
      <c r="H1607" s="116"/>
      <c r="I1607" s="116"/>
      <c r="L1607" s="170">
        <v>44371</v>
      </c>
      <c r="M1607" s="116">
        <v>1559.2</v>
      </c>
      <c r="N1607" s="116">
        <v>1568.75</v>
      </c>
      <c r="O1607" s="116">
        <v>1511.2</v>
      </c>
      <c r="P1607" s="116">
        <v>1517</v>
      </c>
      <c r="Q1607" s="116">
        <v>1559.2</v>
      </c>
      <c r="R1607">
        <v>10785137</v>
      </c>
    </row>
    <row r="1608" spans="1:18" x14ac:dyDescent="0.25">
      <c r="A1608" s="170">
        <v>44372</v>
      </c>
      <c r="B1608" s="116">
        <v>1578.2</v>
      </c>
      <c r="C1608" s="116">
        <v>1574.45</v>
      </c>
      <c r="D1608" s="116">
        <v>1543.75</v>
      </c>
      <c r="E1608" s="116">
        <v>1570</v>
      </c>
      <c r="F1608" s="116">
        <v>1574.45</v>
      </c>
      <c r="G1608">
        <v>281577</v>
      </c>
      <c r="H1608" s="116"/>
      <c r="I1608" s="116"/>
      <c r="L1608" s="170">
        <v>44372</v>
      </c>
      <c r="M1608" s="116">
        <v>1574.2</v>
      </c>
      <c r="N1608" s="116">
        <v>1578</v>
      </c>
      <c r="O1608" s="116">
        <v>1543</v>
      </c>
      <c r="P1608" s="116">
        <v>1572</v>
      </c>
      <c r="Q1608" s="116">
        <v>1574.2</v>
      </c>
      <c r="R1608">
        <v>9780240</v>
      </c>
    </row>
    <row r="1609" spans="1:18" x14ac:dyDescent="0.25">
      <c r="A1609" s="170">
        <v>44375</v>
      </c>
      <c r="B1609" s="116">
        <v>1580</v>
      </c>
      <c r="C1609" s="116">
        <v>1571.55</v>
      </c>
      <c r="D1609" s="116">
        <v>1559.5</v>
      </c>
      <c r="E1609" s="116">
        <v>1572</v>
      </c>
      <c r="F1609" s="116">
        <v>1571.55</v>
      </c>
      <c r="G1609">
        <v>229454</v>
      </c>
      <c r="H1609" s="116"/>
      <c r="I1609" s="116"/>
      <c r="L1609" s="170">
        <v>44375</v>
      </c>
      <c r="M1609" s="116">
        <v>1571.8</v>
      </c>
      <c r="N1609" s="116">
        <v>1580.15</v>
      </c>
      <c r="O1609" s="116">
        <v>1560.6</v>
      </c>
      <c r="P1609" s="116">
        <v>1572.9</v>
      </c>
      <c r="Q1609" s="116">
        <v>1571.8</v>
      </c>
      <c r="R1609">
        <v>5019178</v>
      </c>
    </row>
    <row r="1610" spans="1:18" x14ac:dyDescent="0.25">
      <c r="A1610" s="170">
        <v>44376</v>
      </c>
      <c r="B1610" s="116">
        <v>1573.75</v>
      </c>
      <c r="C1610" s="116">
        <v>1562.6</v>
      </c>
      <c r="D1610" s="116">
        <v>1559.25</v>
      </c>
      <c r="E1610" s="116">
        <v>1564.85</v>
      </c>
      <c r="F1610" s="116">
        <v>1562.6</v>
      </c>
      <c r="G1610">
        <v>121752</v>
      </c>
      <c r="H1610" s="116"/>
      <c r="I1610" s="116"/>
      <c r="L1610" s="170">
        <v>44376</v>
      </c>
      <c r="M1610" s="116">
        <v>1563.05</v>
      </c>
      <c r="N1610" s="116">
        <v>1573.65</v>
      </c>
      <c r="O1610" s="116">
        <v>1559.2</v>
      </c>
      <c r="P1610" s="116">
        <v>1561</v>
      </c>
      <c r="Q1610" s="116">
        <v>1563.05</v>
      </c>
      <c r="R1610">
        <v>5913567</v>
      </c>
    </row>
    <row r="1611" spans="1:18" x14ac:dyDescent="0.25">
      <c r="A1611" s="170">
        <v>44377</v>
      </c>
      <c r="B1611" s="116">
        <v>1590.85</v>
      </c>
      <c r="C1611" s="116">
        <v>1581.25</v>
      </c>
      <c r="D1611" s="116">
        <v>1562.6</v>
      </c>
      <c r="E1611" s="116">
        <v>1562.6</v>
      </c>
      <c r="F1611" s="116">
        <v>1581.25</v>
      </c>
      <c r="G1611">
        <v>172398</v>
      </c>
      <c r="H1611" s="116"/>
      <c r="I1611" s="116"/>
      <c r="L1611" s="170">
        <v>44377</v>
      </c>
      <c r="M1611" s="116">
        <v>1580.8</v>
      </c>
      <c r="N1611" s="116">
        <v>1591</v>
      </c>
      <c r="O1611" s="116">
        <v>1572.05</v>
      </c>
      <c r="P1611" s="116">
        <v>1572.05</v>
      </c>
      <c r="Q1611" s="116">
        <v>1580.8</v>
      </c>
      <c r="R1611">
        <v>6058722</v>
      </c>
    </row>
    <row r="1612" spans="1:18" x14ac:dyDescent="0.25">
      <c r="A1612" s="170">
        <v>44378</v>
      </c>
      <c r="B1612" s="116">
        <v>1582</v>
      </c>
      <c r="C1612" s="116">
        <v>1560.45</v>
      </c>
      <c r="D1612" s="116">
        <v>1559.35</v>
      </c>
      <c r="E1612" s="116">
        <v>1582</v>
      </c>
      <c r="F1612" s="116">
        <v>1560.45</v>
      </c>
      <c r="G1612">
        <v>280753</v>
      </c>
      <c r="H1612" s="116"/>
      <c r="I1612" s="116"/>
      <c r="L1612" s="170">
        <v>44378</v>
      </c>
      <c r="M1612" s="116">
        <v>1560.4</v>
      </c>
      <c r="N1612" s="116">
        <v>1576.85</v>
      </c>
      <c r="O1612" s="116">
        <v>1559.05</v>
      </c>
      <c r="P1612" s="116">
        <v>1576.85</v>
      </c>
      <c r="Q1612" s="116">
        <v>1560.4</v>
      </c>
      <c r="R1612">
        <v>4814317</v>
      </c>
    </row>
    <row r="1613" spans="1:18" x14ac:dyDescent="0.25">
      <c r="A1613" s="170">
        <v>44379</v>
      </c>
      <c r="B1613" s="116">
        <v>1569.65</v>
      </c>
      <c r="C1613" s="116">
        <v>1567.4</v>
      </c>
      <c r="D1613" s="116">
        <v>1542.3</v>
      </c>
      <c r="E1613" s="116">
        <v>1562.5</v>
      </c>
      <c r="F1613" s="116">
        <v>1567.4</v>
      </c>
      <c r="G1613">
        <v>338146</v>
      </c>
      <c r="H1613" s="116"/>
      <c r="I1613" s="116"/>
      <c r="L1613" s="170">
        <v>44379</v>
      </c>
      <c r="M1613" s="116">
        <v>1567.8</v>
      </c>
      <c r="N1613" s="116">
        <v>1569.45</v>
      </c>
      <c r="O1613" s="116">
        <v>1542.6</v>
      </c>
      <c r="P1613" s="116">
        <v>1558.95</v>
      </c>
      <c r="Q1613" s="116">
        <v>1567.8</v>
      </c>
      <c r="R1613">
        <v>5166064</v>
      </c>
    </row>
    <row r="1614" spans="1:18" x14ac:dyDescent="0.25">
      <c r="A1614" s="170">
        <v>44382</v>
      </c>
      <c r="B1614" s="116">
        <v>1585</v>
      </c>
      <c r="C1614" s="116">
        <v>1579.1</v>
      </c>
      <c r="D1614" s="116">
        <v>1563.1</v>
      </c>
      <c r="E1614" s="116">
        <v>1571.75</v>
      </c>
      <c r="F1614" s="116">
        <v>1579.1</v>
      </c>
      <c r="G1614">
        <v>175437</v>
      </c>
      <c r="H1614" s="116"/>
      <c r="I1614" s="116"/>
      <c r="L1614" s="170">
        <v>44382</v>
      </c>
      <c r="M1614" s="116">
        <v>1578.95</v>
      </c>
      <c r="N1614" s="116">
        <v>1585</v>
      </c>
      <c r="O1614" s="116">
        <v>1561.05</v>
      </c>
      <c r="P1614" s="116">
        <v>1569.15</v>
      </c>
      <c r="Q1614" s="116">
        <v>1578.95</v>
      </c>
      <c r="R1614">
        <v>4058338</v>
      </c>
    </row>
    <row r="1615" spans="1:18" x14ac:dyDescent="0.25">
      <c r="A1615" s="170">
        <v>44383</v>
      </c>
      <c r="B1615" s="116">
        <v>1586.7</v>
      </c>
      <c r="C1615" s="116">
        <v>1562.5</v>
      </c>
      <c r="D1615" s="116">
        <v>1557</v>
      </c>
      <c r="E1615" s="116">
        <v>1575.9</v>
      </c>
      <c r="F1615" s="116">
        <v>1562.5</v>
      </c>
      <c r="G1615">
        <v>209349</v>
      </c>
      <c r="H1615" s="116"/>
      <c r="I1615" s="116"/>
      <c r="L1615" s="170">
        <v>44383</v>
      </c>
      <c r="M1615" s="116">
        <v>1562.2</v>
      </c>
      <c r="N1615" s="116">
        <v>1586.75</v>
      </c>
      <c r="O1615" s="116">
        <v>1557.1</v>
      </c>
      <c r="P1615" s="116">
        <v>1573.7</v>
      </c>
      <c r="Q1615" s="116">
        <v>1562.2</v>
      </c>
      <c r="R1615">
        <v>4089574</v>
      </c>
    </row>
    <row r="1616" spans="1:18" x14ac:dyDescent="0.25">
      <c r="A1616" s="170">
        <v>44384</v>
      </c>
      <c r="B1616" s="116">
        <v>1570.7</v>
      </c>
      <c r="C1616" s="116">
        <v>1563.8</v>
      </c>
      <c r="D1616" s="116">
        <v>1544.65</v>
      </c>
      <c r="E1616" s="116">
        <v>1568</v>
      </c>
      <c r="F1616" s="116">
        <v>1563.8</v>
      </c>
      <c r="G1616">
        <v>266931</v>
      </c>
      <c r="H1616" s="116"/>
      <c r="I1616" s="116"/>
      <c r="L1616" s="170">
        <v>44384</v>
      </c>
      <c r="M1616" s="116">
        <v>1564.6</v>
      </c>
      <c r="N1616" s="116">
        <v>1570.55</v>
      </c>
      <c r="O1616" s="116">
        <v>1544.65</v>
      </c>
      <c r="P1616" s="116">
        <v>1566.05</v>
      </c>
      <c r="Q1616" s="116">
        <v>1564.6</v>
      </c>
      <c r="R1616">
        <v>4797120</v>
      </c>
    </row>
    <row r="1617" spans="1:18" x14ac:dyDescent="0.25">
      <c r="A1617" s="170">
        <v>44385</v>
      </c>
      <c r="B1617" s="116">
        <v>1576</v>
      </c>
      <c r="C1617" s="116">
        <v>1560.5</v>
      </c>
      <c r="D1617" s="116">
        <v>1549.15</v>
      </c>
      <c r="E1617" s="116">
        <v>1569</v>
      </c>
      <c r="F1617" s="116">
        <v>1560.5</v>
      </c>
      <c r="G1617">
        <v>101452</v>
      </c>
      <c r="H1617" s="116"/>
      <c r="I1617" s="116"/>
      <c r="L1617" s="170">
        <v>44385</v>
      </c>
      <c r="M1617" s="116">
        <v>1560.75</v>
      </c>
      <c r="N1617" s="116">
        <v>1576</v>
      </c>
      <c r="O1617" s="116">
        <v>1549</v>
      </c>
      <c r="P1617" s="116">
        <v>1568</v>
      </c>
      <c r="Q1617" s="116">
        <v>1560.75</v>
      </c>
      <c r="R1617">
        <v>3326813</v>
      </c>
    </row>
    <row r="1618" spans="1:18" x14ac:dyDescent="0.25">
      <c r="A1618" s="170">
        <v>44386</v>
      </c>
      <c r="B1618" s="116">
        <v>1569.85</v>
      </c>
      <c r="C1618" s="116">
        <v>1562.75</v>
      </c>
      <c r="D1618" s="116">
        <v>1550</v>
      </c>
      <c r="E1618" s="116">
        <v>1557</v>
      </c>
      <c r="F1618" s="116">
        <v>1562.75</v>
      </c>
      <c r="G1618">
        <v>665749</v>
      </c>
      <c r="H1618" s="116"/>
      <c r="I1618" s="116"/>
      <c r="L1618" s="170">
        <v>44386</v>
      </c>
      <c r="M1618" s="116">
        <v>1562.9</v>
      </c>
      <c r="N1618" s="116">
        <v>1569.9</v>
      </c>
      <c r="O1618" s="116">
        <v>1551</v>
      </c>
      <c r="P1618" s="116">
        <v>1556</v>
      </c>
      <c r="Q1618" s="116">
        <v>1562.9</v>
      </c>
      <c r="R1618">
        <v>3436594</v>
      </c>
    </row>
    <row r="1619" spans="1:18" x14ac:dyDescent="0.25">
      <c r="A1619" s="170">
        <v>44389</v>
      </c>
      <c r="B1619" s="116">
        <v>1577.6</v>
      </c>
      <c r="C1619" s="116">
        <v>1547.95</v>
      </c>
      <c r="D1619" s="116">
        <v>1535</v>
      </c>
      <c r="E1619" s="116">
        <v>1572</v>
      </c>
      <c r="F1619" s="116">
        <v>1547.95</v>
      </c>
      <c r="G1619">
        <v>1617158</v>
      </c>
      <c r="H1619" s="116"/>
      <c r="I1619" s="116"/>
      <c r="L1619" s="170">
        <v>44389</v>
      </c>
      <c r="M1619" s="116">
        <v>1547.85</v>
      </c>
      <c r="N1619" s="116">
        <v>1578</v>
      </c>
      <c r="O1619" s="116">
        <v>1533.75</v>
      </c>
      <c r="P1619" s="116">
        <v>1570.55</v>
      </c>
      <c r="Q1619" s="116">
        <v>1547.85</v>
      </c>
      <c r="R1619">
        <v>4588982</v>
      </c>
    </row>
    <row r="1620" spans="1:18" x14ac:dyDescent="0.25">
      <c r="A1620" s="170">
        <v>44390</v>
      </c>
      <c r="B1620" s="116">
        <v>1559</v>
      </c>
      <c r="C1620" s="116">
        <v>1544.9</v>
      </c>
      <c r="D1620" s="116">
        <v>1536</v>
      </c>
      <c r="E1620" s="116">
        <v>1559</v>
      </c>
      <c r="F1620" s="116">
        <v>1544.9</v>
      </c>
      <c r="G1620">
        <v>171578</v>
      </c>
      <c r="H1620" s="116"/>
      <c r="I1620" s="116"/>
      <c r="L1620" s="170">
        <v>44390</v>
      </c>
      <c r="M1620" s="116">
        <v>1544.95</v>
      </c>
      <c r="N1620" s="116">
        <v>1556.4</v>
      </c>
      <c r="O1620" s="116">
        <v>1536.3</v>
      </c>
      <c r="P1620" s="116">
        <v>1556.4</v>
      </c>
      <c r="Q1620" s="116">
        <v>1544.95</v>
      </c>
      <c r="R1620">
        <v>4456160</v>
      </c>
    </row>
    <row r="1621" spans="1:18" x14ac:dyDescent="0.25">
      <c r="A1621" s="170">
        <v>44391</v>
      </c>
      <c r="B1621" s="116">
        <v>1582.4</v>
      </c>
      <c r="C1621" s="116">
        <v>1576.9</v>
      </c>
      <c r="D1621" s="116">
        <v>1538.25</v>
      </c>
      <c r="E1621" s="116">
        <v>1550.4</v>
      </c>
      <c r="F1621" s="116">
        <v>1576.9</v>
      </c>
      <c r="G1621">
        <v>181724</v>
      </c>
      <c r="H1621" s="116"/>
      <c r="I1621" s="116"/>
      <c r="L1621" s="170">
        <v>44391</v>
      </c>
      <c r="M1621" s="116">
        <v>1576.9</v>
      </c>
      <c r="N1621" s="116">
        <v>1582.8</v>
      </c>
      <c r="O1621" s="116">
        <v>1538.1</v>
      </c>
      <c r="P1621" s="116">
        <v>1554</v>
      </c>
      <c r="Q1621" s="116">
        <v>1576.9</v>
      </c>
      <c r="R1621">
        <v>5657716</v>
      </c>
    </row>
    <row r="1622" spans="1:18" x14ac:dyDescent="0.25">
      <c r="A1622" s="170">
        <v>44392</v>
      </c>
      <c r="B1622" s="116">
        <v>1597.25</v>
      </c>
      <c r="C1622" s="116">
        <v>1580.3</v>
      </c>
      <c r="D1622" s="116">
        <v>1551.25</v>
      </c>
      <c r="E1622" s="116">
        <v>1554</v>
      </c>
      <c r="F1622" s="116">
        <v>1580.3</v>
      </c>
      <c r="G1622">
        <v>344456</v>
      </c>
      <c r="H1622" s="116"/>
      <c r="I1622" s="116"/>
      <c r="L1622" s="170">
        <v>44392</v>
      </c>
      <c r="M1622" s="116">
        <v>1580.8</v>
      </c>
      <c r="N1622" s="116">
        <v>1596.85</v>
      </c>
      <c r="O1622" s="116">
        <v>1556</v>
      </c>
      <c r="P1622" s="116">
        <v>1557.9</v>
      </c>
      <c r="Q1622" s="116">
        <v>1580.8</v>
      </c>
      <c r="R1622">
        <v>10021355</v>
      </c>
    </row>
    <row r="1623" spans="1:18" x14ac:dyDescent="0.25">
      <c r="A1623" s="170">
        <v>44393</v>
      </c>
      <c r="B1623" s="116">
        <v>1580</v>
      </c>
      <c r="C1623" s="116">
        <v>1555</v>
      </c>
      <c r="D1623" s="116">
        <v>1550</v>
      </c>
      <c r="E1623" s="116">
        <v>1580</v>
      </c>
      <c r="F1623" s="116">
        <v>1555</v>
      </c>
      <c r="G1623">
        <v>272375</v>
      </c>
      <c r="H1623" s="116"/>
      <c r="I1623" s="116"/>
      <c r="L1623" s="170">
        <v>44393</v>
      </c>
      <c r="M1623" s="116">
        <v>1555.45</v>
      </c>
      <c r="N1623" s="116">
        <v>1574.65</v>
      </c>
      <c r="O1623" s="116">
        <v>1549.6</v>
      </c>
      <c r="P1623" s="116">
        <v>1573.75</v>
      </c>
      <c r="Q1623" s="116">
        <v>1555.45</v>
      </c>
      <c r="R1623">
        <v>6265593</v>
      </c>
    </row>
    <row r="1624" spans="1:18" x14ac:dyDescent="0.25">
      <c r="A1624" s="170">
        <v>44396</v>
      </c>
      <c r="B1624" s="116">
        <v>1553.3</v>
      </c>
      <c r="C1624" s="116">
        <v>1541.8</v>
      </c>
      <c r="D1624" s="116">
        <v>1537.4</v>
      </c>
      <c r="E1624" s="116">
        <v>1551</v>
      </c>
      <c r="F1624" s="116">
        <v>1541.8</v>
      </c>
      <c r="G1624">
        <v>1632126</v>
      </c>
      <c r="H1624" s="116"/>
      <c r="I1624" s="116"/>
      <c r="L1624" s="170">
        <v>44396</v>
      </c>
      <c r="M1624" s="116">
        <v>1541.7</v>
      </c>
      <c r="N1624" s="116">
        <v>1552.9</v>
      </c>
      <c r="O1624" s="116">
        <v>1537.55</v>
      </c>
      <c r="P1624" s="116">
        <v>1544.7</v>
      </c>
      <c r="Q1624" s="116">
        <v>1541.7</v>
      </c>
      <c r="R1624">
        <v>5669162</v>
      </c>
    </row>
    <row r="1625" spans="1:18" x14ac:dyDescent="0.25">
      <c r="A1625" s="170">
        <v>44397</v>
      </c>
      <c r="B1625" s="116">
        <v>1557.5</v>
      </c>
      <c r="C1625" s="116">
        <v>1549.7</v>
      </c>
      <c r="D1625" s="116">
        <v>1538</v>
      </c>
      <c r="E1625" s="116">
        <v>1538</v>
      </c>
      <c r="F1625" s="116">
        <v>1549.7</v>
      </c>
      <c r="G1625">
        <v>310798</v>
      </c>
      <c r="H1625" s="116"/>
      <c r="I1625" s="116"/>
      <c r="L1625" s="170">
        <v>44397</v>
      </c>
      <c r="M1625" s="116">
        <v>1550.05</v>
      </c>
      <c r="N1625" s="116">
        <v>1557.7</v>
      </c>
      <c r="O1625" s="116">
        <v>1538</v>
      </c>
      <c r="P1625" s="116">
        <v>1538.3</v>
      </c>
      <c r="Q1625" s="116">
        <v>1550.05</v>
      </c>
      <c r="R1625">
        <v>5069939</v>
      </c>
    </row>
    <row r="1626" spans="1:18" x14ac:dyDescent="0.25">
      <c r="A1626" s="170">
        <v>44399</v>
      </c>
      <c r="B1626" s="116">
        <v>1593.1</v>
      </c>
      <c r="C1626" s="116">
        <v>1590.2</v>
      </c>
      <c r="D1626" s="116">
        <v>1556</v>
      </c>
      <c r="E1626" s="116">
        <v>1556</v>
      </c>
      <c r="F1626" s="116">
        <v>1590.2</v>
      </c>
      <c r="G1626">
        <v>435318</v>
      </c>
      <c r="H1626" s="116"/>
      <c r="I1626" s="116"/>
      <c r="L1626" s="170">
        <v>44399</v>
      </c>
      <c r="M1626" s="116">
        <v>1590.2</v>
      </c>
      <c r="N1626" s="116">
        <v>1592.85</v>
      </c>
      <c r="O1626" s="116">
        <v>1561.4</v>
      </c>
      <c r="P1626" s="116">
        <v>1561.4</v>
      </c>
      <c r="Q1626" s="116">
        <v>1590.2</v>
      </c>
      <c r="R1626">
        <v>7854575</v>
      </c>
    </row>
    <row r="1627" spans="1:18" x14ac:dyDescent="0.25">
      <c r="A1627" s="170">
        <v>44400</v>
      </c>
      <c r="B1627" s="116">
        <v>1598.7</v>
      </c>
      <c r="C1627" s="116">
        <v>1590.35</v>
      </c>
      <c r="D1627" s="116">
        <v>1586.1</v>
      </c>
      <c r="E1627" s="116">
        <v>1590</v>
      </c>
      <c r="F1627" s="116">
        <v>1590.35</v>
      </c>
      <c r="G1627">
        <v>698796</v>
      </c>
      <c r="H1627" s="116"/>
      <c r="I1627" s="116"/>
      <c r="L1627" s="170">
        <v>44400</v>
      </c>
      <c r="M1627" s="116">
        <v>1590.45</v>
      </c>
      <c r="N1627" s="116">
        <v>1598.5</v>
      </c>
      <c r="O1627" s="116">
        <v>1585.05</v>
      </c>
      <c r="P1627" s="116">
        <v>1588.55</v>
      </c>
      <c r="Q1627" s="116">
        <v>1590.45</v>
      </c>
      <c r="R1627">
        <v>4179719</v>
      </c>
    </row>
    <row r="1628" spans="1:18" x14ac:dyDescent="0.25">
      <c r="A1628" s="170">
        <v>44403</v>
      </c>
      <c r="B1628" s="116">
        <v>1611.8</v>
      </c>
      <c r="C1628" s="116">
        <v>1604.05</v>
      </c>
      <c r="D1628" s="116">
        <v>1590.45</v>
      </c>
      <c r="E1628" s="116">
        <v>1590.45</v>
      </c>
      <c r="F1628" s="116">
        <v>1604.05</v>
      </c>
      <c r="G1628">
        <v>154057</v>
      </c>
      <c r="H1628" s="116"/>
      <c r="I1628" s="116"/>
      <c r="L1628" s="170">
        <v>44403</v>
      </c>
      <c r="M1628" s="116">
        <v>1603.9</v>
      </c>
      <c r="N1628" s="116">
        <v>1611.65</v>
      </c>
      <c r="O1628" s="116">
        <v>1594.1</v>
      </c>
      <c r="P1628" s="116">
        <v>1594.1</v>
      </c>
      <c r="Q1628" s="116">
        <v>1603.9</v>
      </c>
      <c r="R1628">
        <v>4586710</v>
      </c>
    </row>
    <row r="1629" spans="1:18" x14ac:dyDescent="0.25">
      <c r="A1629" s="170">
        <v>44404</v>
      </c>
      <c r="B1629" s="116">
        <v>1608.9</v>
      </c>
      <c r="C1629" s="116">
        <v>1602.6</v>
      </c>
      <c r="D1629" s="116">
        <v>1598.1</v>
      </c>
      <c r="E1629" s="116">
        <v>1605</v>
      </c>
      <c r="F1629" s="116">
        <v>1602.6</v>
      </c>
      <c r="G1629">
        <v>157809</v>
      </c>
      <c r="H1629" s="116"/>
      <c r="I1629" s="116"/>
      <c r="L1629" s="170">
        <v>44404</v>
      </c>
      <c r="M1629" s="116">
        <v>1602.55</v>
      </c>
      <c r="N1629" s="116">
        <v>1609.3</v>
      </c>
      <c r="O1629" s="116">
        <v>1597.9</v>
      </c>
      <c r="P1629" s="116">
        <v>1605</v>
      </c>
      <c r="Q1629" s="116">
        <v>1602.55</v>
      </c>
      <c r="R1629">
        <v>5892859</v>
      </c>
    </row>
    <row r="1630" spans="1:18" x14ac:dyDescent="0.25">
      <c r="A1630" s="170">
        <v>44405</v>
      </c>
      <c r="B1630" s="116">
        <v>1607.4</v>
      </c>
      <c r="C1630" s="116">
        <v>1605.3</v>
      </c>
      <c r="D1630" s="116">
        <v>1585.7</v>
      </c>
      <c r="E1630" s="116">
        <v>1604.3</v>
      </c>
      <c r="F1630" s="116">
        <v>1605.3</v>
      </c>
      <c r="G1630">
        <v>222461</v>
      </c>
      <c r="H1630" s="116"/>
      <c r="I1630" s="116"/>
      <c r="L1630" s="170">
        <v>44405</v>
      </c>
      <c r="M1630" s="116">
        <v>1605.6</v>
      </c>
      <c r="N1630" s="116">
        <v>1607.6</v>
      </c>
      <c r="O1630" s="116">
        <v>1585.5</v>
      </c>
      <c r="P1630" s="116">
        <v>1605.1</v>
      </c>
      <c r="Q1630" s="116">
        <v>1605.6</v>
      </c>
      <c r="R1630">
        <v>4686788</v>
      </c>
    </row>
    <row r="1631" spans="1:18" x14ac:dyDescent="0.25">
      <c r="A1631" s="170">
        <v>44406</v>
      </c>
      <c r="B1631" s="116">
        <v>1620</v>
      </c>
      <c r="C1631" s="116">
        <v>1616.85</v>
      </c>
      <c r="D1631" s="116">
        <v>1605.35</v>
      </c>
      <c r="E1631" s="116">
        <v>1610</v>
      </c>
      <c r="F1631" s="116">
        <v>1616.85</v>
      </c>
      <c r="G1631">
        <v>105591</v>
      </c>
      <c r="H1631" s="116"/>
      <c r="I1631" s="116"/>
      <c r="L1631" s="170">
        <v>44406</v>
      </c>
      <c r="M1631" s="116">
        <v>1617</v>
      </c>
      <c r="N1631" s="116">
        <v>1620</v>
      </c>
      <c r="O1631" s="116">
        <v>1600.1</v>
      </c>
      <c r="P1631" s="116">
        <v>1600.1</v>
      </c>
      <c r="Q1631" s="116">
        <v>1617</v>
      </c>
      <c r="R1631">
        <v>4660873</v>
      </c>
    </row>
    <row r="1632" spans="1:18" x14ac:dyDescent="0.25">
      <c r="A1632" s="170">
        <v>44407</v>
      </c>
      <c r="B1632" s="116">
        <v>1623.45</v>
      </c>
      <c r="C1632" s="116">
        <v>1610.25</v>
      </c>
      <c r="D1632" s="116">
        <v>1606.1</v>
      </c>
      <c r="E1632" s="116">
        <v>1616.85</v>
      </c>
      <c r="F1632" s="116">
        <v>1610.25</v>
      </c>
      <c r="G1632">
        <v>88650</v>
      </c>
      <c r="H1632" s="116"/>
      <c r="I1632" s="116"/>
      <c r="L1632" s="170">
        <v>44407</v>
      </c>
      <c r="M1632" s="116">
        <v>1610.5</v>
      </c>
      <c r="N1632" s="116">
        <v>1623.4</v>
      </c>
      <c r="O1632" s="116">
        <v>1606.15</v>
      </c>
      <c r="P1632" s="116">
        <v>1610</v>
      </c>
      <c r="Q1632" s="116">
        <v>1610.5</v>
      </c>
      <c r="R1632">
        <v>6234257</v>
      </c>
    </row>
    <row r="1633" spans="1:18" x14ac:dyDescent="0.25">
      <c r="A1633" s="170">
        <v>44410</v>
      </c>
      <c r="B1633" s="116">
        <v>1634.9</v>
      </c>
      <c r="C1633" s="116">
        <v>1631.35</v>
      </c>
      <c r="D1633" s="116">
        <v>1620</v>
      </c>
      <c r="E1633" s="116">
        <v>1620</v>
      </c>
      <c r="F1633" s="116">
        <v>1631.35</v>
      </c>
      <c r="G1633">
        <v>131638</v>
      </c>
      <c r="H1633" s="116"/>
      <c r="I1633" s="116"/>
      <c r="L1633" s="170">
        <v>44410</v>
      </c>
      <c r="M1633" s="116">
        <v>1631.55</v>
      </c>
      <c r="N1633" s="116">
        <v>1634.75</v>
      </c>
      <c r="O1633" s="116">
        <v>1619.2</v>
      </c>
      <c r="P1633" s="116">
        <v>1627.45</v>
      </c>
      <c r="Q1633" s="116">
        <v>1631.55</v>
      </c>
      <c r="R1633">
        <v>5553389</v>
      </c>
    </row>
    <row r="1634" spans="1:18" x14ac:dyDescent="0.25">
      <c r="A1634" s="170">
        <v>44411</v>
      </c>
      <c r="B1634" s="116">
        <v>1658.7</v>
      </c>
      <c r="C1634" s="116">
        <v>1654.1</v>
      </c>
      <c r="D1634" s="116">
        <v>1636.4</v>
      </c>
      <c r="E1634" s="116">
        <v>1641</v>
      </c>
      <c r="F1634" s="116">
        <v>1654.1</v>
      </c>
      <c r="G1634">
        <v>119503</v>
      </c>
      <c r="H1634" s="116"/>
      <c r="I1634" s="116"/>
      <c r="L1634" s="170">
        <v>44411</v>
      </c>
      <c r="M1634" s="116">
        <v>1655.2</v>
      </c>
      <c r="N1634" s="116">
        <v>1658.65</v>
      </c>
      <c r="O1634" s="116">
        <v>1635.6</v>
      </c>
      <c r="P1634" s="116">
        <v>1647</v>
      </c>
      <c r="Q1634" s="116">
        <v>1655.2</v>
      </c>
      <c r="R1634">
        <v>5513668</v>
      </c>
    </row>
    <row r="1635" spans="1:18" x14ac:dyDescent="0.25">
      <c r="A1635" s="170">
        <v>44412</v>
      </c>
      <c r="B1635" s="116">
        <v>1680</v>
      </c>
      <c r="C1635" s="116">
        <v>1649.15</v>
      </c>
      <c r="D1635" s="116">
        <v>1639.35</v>
      </c>
      <c r="E1635" s="116">
        <v>1665.2</v>
      </c>
      <c r="F1635" s="116">
        <v>1649.15</v>
      </c>
      <c r="G1635">
        <v>336519</v>
      </c>
      <c r="H1635" s="116"/>
      <c r="I1635" s="116"/>
      <c r="L1635" s="170">
        <v>44412</v>
      </c>
      <c r="M1635" s="116">
        <v>1649.25</v>
      </c>
      <c r="N1635" s="116">
        <v>1679.9</v>
      </c>
      <c r="O1635" s="116">
        <v>1639.05</v>
      </c>
      <c r="P1635" s="116">
        <v>1669.1</v>
      </c>
      <c r="Q1635" s="116">
        <v>1649.25</v>
      </c>
      <c r="R1635">
        <v>6740391</v>
      </c>
    </row>
    <row r="1636" spans="1:18" x14ac:dyDescent="0.25">
      <c r="A1636" s="170">
        <v>44413</v>
      </c>
      <c r="B1636" s="116">
        <v>1666.25</v>
      </c>
      <c r="C1636" s="116">
        <v>1654.85</v>
      </c>
      <c r="D1636" s="116">
        <v>1647.05</v>
      </c>
      <c r="E1636" s="116">
        <v>1651</v>
      </c>
      <c r="F1636" s="116">
        <v>1654.85</v>
      </c>
      <c r="G1636">
        <v>106595</v>
      </c>
      <c r="H1636" s="116"/>
      <c r="I1636" s="116"/>
      <c r="L1636" s="170">
        <v>44413</v>
      </c>
      <c r="M1636" s="116">
        <v>1653.55</v>
      </c>
      <c r="N1636" s="116">
        <v>1666</v>
      </c>
      <c r="O1636" s="116">
        <v>1647.05</v>
      </c>
      <c r="P1636" s="116">
        <v>1649.5</v>
      </c>
      <c r="Q1636" s="116">
        <v>1653.55</v>
      </c>
      <c r="R1636">
        <v>5420536</v>
      </c>
    </row>
    <row r="1637" spans="1:18" x14ac:dyDescent="0.25">
      <c r="A1637" s="170">
        <v>44414</v>
      </c>
      <c r="B1637" s="116">
        <v>1660.75</v>
      </c>
      <c r="C1637" s="116">
        <v>1650.35</v>
      </c>
      <c r="D1637" s="116">
        <v>1644.1</v>
      </c>
      <c r="E1637" s="116">
        <v>1660.1</v>
      </c>
      <c r="F1637" s="116">
        <v>1650.35</v>
      </c>
      <c r="G1637">
        <v>105131</v>
      </c>
      <c r="H1637" s="116"/>
      <c r="I1637" s="116"/>
      <c r="L1637" s="170">
        <v>44414</v>
      </c>
      <c r="M1637" s="116">
        <v>1650.2</v>
      </c>
      <c r="N1637" s="116">
        <v>1660.65</v>
      </c>
      <c r="O1637" s="116">
        <v>1644</v>
      </c>
      <c r="P1637" s="116">
        <v>1657</v>
      </c>
      <c r="Q1637" s="116">
        <v>1650.2</v>
      </c>
      <c r="R1637">
        <v>3754855</v>
      </c>
    </row>
    <row r="1638" spans="1:18" x14ac:dyDescent="0.25">
      <c r="A1638" s="170">
        <v>44417</v>
      </c>
      <c r="B1638" s="116">
        <v>1667.4</v>
      </c>
      <c r="C1638" s="116">
        <v>1663</v>
      </c>
      <c r="D1638" s="116">
        <v>1646.5</v>
      </c>
      <c r="E1638" s="116">
        <v>1656.4</v>
      </c>
      <c r="F1638" s="116">
        <v>1663</v>
      </c>
      <c r="G1638">
        <v>4505456</v>
      </c>
      <c r="H1638" s="116"/>
      <c r="I1638" s="116"/>
      <c r="L1638" s="170">
        <v>44417</v>
      </c>
      <c r="M1638" s="116">
        <v>1663.3</v>
      </c>
      <c r="N1638" s="116">
        <v>1667.45</v>
      </c>
      <c r="O1638" s="116">
        <v>1646.4</v>
      </c>
      <c r="P1638" s="116">
        <v>1661</v>
      </c>
      <c r="Q1638" s="116">
        <v>1663.3</v>
      </c>
      <c r="R1638">
        <v>5018477</v>
      </c>
    </row>
    <row r="1639" spans="1:18" x14ac:dyDescent="0.25">
      <c r="A1639" s="170">
        <v>44418</v>
      </c>
      <c r="B1639" s="116">
        <v>1680</v>
      </c>
      <c r="C1639" s="116">
        <v>1676.35</v>
      </c>
      <c r="D1639" s="116">
        <v>1661.8</v>
      </c>
      <c r="E1639" s="116">
        <v>1670</v>
      </c>
      <c r="F1639" s="116">
        <v>1676.35</v>
      </c>
      <c r="G1639">
        <v>106259</v>
      </c>
      <c r="H1639" s="116"/>
      <c r="I1639" s="116"/>
      <c r="L1639" s="170">
        <v>44418</v>
      </c>
      <c r="M1639" s="116">
        <v>1677.25</v>
      </c>
      <c r="N1639" s="116">
        <v>1680</v>
      </c>
      <c r="O1639" s="116">
        <v>1661.05</v>
      </c>
      <c r="P1639" s="116">
        <v>1668</v>
      </c>
      <c r="Q1639" s="116">
        <v>1677.25</v>
      </c>
      <c r="R1639">
        <v>6846517</v>
      </c>
    </row>
    <row r="1640" spans="1:18" x14ac:dyDescent="0.25">
      <c r="A1640" s="170">
        <v>44419</v>
      </c>
      <c r="B1640" s="116">
        <v>1684</v>
      </c>
      <c r="C1640" s="116">
        <v>1677.45</v>
      </c>
      <c r="D1640" s="116">
        <v>1668.3</v>
      </c>
      <c r="E1640" s="116">
        <v>1676.35</v>
      </c>
      <c r="F1640" s="116">
        <v>1677.45</v>
      </c>
      <c r="G1640">
        <v>95584</v>
      </c>
      <c r="H1640" s="116"/>
      <c r="I1640" s="116"/>
      <c r="L1640" s="170">
        <v>44419</v>
      </c>
      <c r="M1640" s="116">
        <v>1677.55</v>
      </c>
      <c r="N1640" s="116">
        <v>1684</v>
      </c>
      <c r="O1640" s="116">
        <v>1668</v>
      </c>
      <c r="P1640" s="116">
        <v>1674.8</v>
      </c>
      <c r="Q1640" s="116">
        <v>1677.55</v>
      </c>
      <c r="R1640">
        <v>4899639</v>
      </c>
    </row>
    <row r="1641" spans="1:18" x14ac:dyDescent="0.25">
      <c r="A1641" s="170">
        <v>44420</v>
      </c>
      <c r="B1641" s="116">
        <v>1696.2</v>
      </c>
      <c r="C1641" s="116">
        <v>1690.5</v>
      </c>
      <c r="D1641" s="116">
        <v>1674.55</v>
      </c>
      <c r="E1641" s="116">
        <v>1678</v>
      </c>
      <c r="F1641" s="116">
        <v>1690.5</v>
      </c>
      <c r="G1641">
        <v>105592</v>
      </c>
      <c r="H1641" s="116"/>
      <c r="I1641" s="116"/>
      <c r="L1641" s="170">
        <v>44420</v>
      </c>
      <c r="M1641" s="116">
        <v>1689.6</v>
      </c>
      <c r="N1641" s="116">
        <v>1696.5</v>
      </c>
      <c r="O1641" s="116">
        <v>1674</v>
      </c>
      <c r="P1641" s="116">
        <v>1679.15</v>
      </c>
      <c r="Q1641" s="116">
        <v>1689.6</v>
      </c>
      <c r="R1641">
        <v>5659579</v>
      </c>
    </row>
    <row r="1642" spans="1:18" x14ac:dyDescent="0.25">
      <c r="A1642" s="170">
        <v>44421</v>
      </c>
      <c r="B1642" s="116">
        <v>1722</v>
      </c>
      <c r="C1642" s="116">
        <v>1712.5</v>
      </c>
      <c r="D1642" s="116">
        <v>1691.45</v>
      </c>
      <c r="E1642" s="116">
        <v>1699</v>
      </c>
      <c r="F1642" s="116">
        <v>1712.5</v>
      </c>
      <c r="G1642">
        <v>247445</v>
      </c>
      <c r="H1642" s="116"/>
      <c r="I1642" s="116"/>
      <c r="L1642" s="170">
        <v>44421</v>
      </c>
      <c r="M1642" s="116">
        <v>1712.2</v>
      </c>
      <c r="N1642" s="116">
        <v>1722.5</v>
      </c>
      <c r="O1642" s="116">
        <v>1691.3</v>
      </c>
      <c r="P1642" s="116">
        <v>1697</v>
      </c>
      <c r="Q1642" s="116">
        <v>1712.2</v>
      </c>
      <c r="R1642">
        <v>5612790</v>
      </c>
    </row>
    <row r="1643" spans="1:18" x14ac:dyDescent="0.25">
      <c r="A1643" s="170">
        <v>44424</v>
      </c>
      <c r="B1643" s="116">
        <v>1720</v>
      </c>
      <c r="C1643" s="116">
        <v>1704.75</v>
      </c>
      <c r="D1643" s="116">
        <v>1690.3</v>
      </c>
      <c r="E1643" s="116">
        <v>1711.6</v>
      </c>
      <c r="F1643" s="116">
        <v>1704.75</v>
      </c>
      <c r="G1643">
        <v>191220</v>
      </c>
      <c r="H1643" s="116"/>
      <c r="I1643" s="116"/>
      <c r="L1643" s="170">
        <v>44424</v>
      </c>
      <c r="M1643" s="116">
        <v>1704.4</v>
      </c>
      <c r="N1643" s="116">
        <v>1719.95</v>
      </c>
      <c r="O1643" s="116">
        <v>1690.1</v>
      </c>
      <c r="P1643" s="116">
        <v>1707.7</v>
      </c>
      <c r="Q1643" s="116">
        <v>1704.4</v>
      </c>
      <c r="R1643">
        <v>4564109</v>
      </c>
    </row>
    <row r="1644" spans="1:18" x14ac:dyDescent="0.25">
      <c r="A1644" s="170">
        <v>44425</v>
      </c>
      <c r="B1644" s="116">
        <v>1748.45</v>
      </c>
      <c r="C1644" s="116">
        <v>1741.45</v>
      </c>
      <c r="D1644" s="116">
        <v>1687.9</v>
      </c>
      <c r="E1644" s="116">
        <v>1704.4</v>
      </c>
      <c r="F1644" s="116">
        <v>1741.45</v>
      </c>
      <c r="G1644">
        <v>337187</v>
      </c>
      <c r="H1644" s="116"/>
      <c r="I1644" s="116"/>
      <c r="L1644" s="170">
        <v>44425</v>
      </c>
      <c r="M1644" s="116">
        <v>1741.65</v>
      </c>
      <c r="N1644" s="116">
        <v>1748.9</v>
      </c>
      <c r="O1644" s="116">
        <v>1686.55</v>
      </c>
      <c r="P1644" s="116">
        <v>1703.9</v>
      </c>
      <c r="Q1644" s="116">
        <v>1741.65</v>
      </c>
      <c r="R1644">
        <v>9510390</v>
      </c>
    </row>
    <row r="1645" spans="1:18" x14ac:dyDescent="0.25">
      <c r="A1645" s="170">
        <v>44426</v>
      </c>
      <c r="B1645" s="116">
        <v>1755</v>
      </c>
      <c r="C1645" s="116">
        <v>1733.35</v>
      </c>
      <c r="D1645" s="116">
        <v>1727</v>
      </c>
      <c r="E1645" s="116">
        <v>1735</v>
      </c>
      <c r="F1645" s="116">
        <v>1733.35</v>
      </c>
      <c r="G1645">
        <v>179001</v>
      </c>
      <c r="H1645" s="116"/>
      <c r="I1645" s="116"/>
      <c r="L1645" s="170">
        <v>44426</v>
      </c>
      <c r="M1645" s="116">
        <v>1733.45</v>
      </c>
      <c r="N1645" s="116">
        <v>1755.5</v>
      </c>
      <c r="O1645" s="116">
        <v>1727</v>
      </c>
      <c r="P1645" s="116">
        <v>1729</v>
      </c>
      <c r="Q1645" s="116">
        <v>1733.45</v>
      </c>
      <c r="R1645">
        <v>6686090</v>
      </c>
    </row>
    <row r="1646" spans="1:18" x14ac:dyDescent="0.25">
      <c r="A1646" s="170">
        <v>44428</v>
      </c>
      <c r="B1646" s="116">
        <v>1745</v>
      </c>
      <c r="C1646" s="116">
        <v>1732.15</v>
      </c>
      <c r="D1646" s="116">
        <v>1719.5</v>
      </c>
      <c r="E1646" s="116">
        <v>1724.95</v>
      </c>
      <c r="F1646" s="116">
        <v>1732.15</v>
      </c>
      <c r="G1646">
        <v>125315</v>
      </c>
      <c r="H1646" s="116"/>
      <c r="I1646" s="116"/>
      <c r="L1646" s="170">
        <v>44428</v>
      </c>
      <c r="M1646" s="116">
        <v>1732.95</v>
      </c>
      <c r="N1646" s="116">
        <v>1745</v>
      </c>
      <c r="O1646" s="116">
        <v>1716.1</v>
      </c>
      <c r="P1646" s="116">
        <v>1716.1</v>
      </c>
      <c r="Q1646" s="116">
        <v>1732.95</v>
      </c>
      <c r="R1646">
        <v>6206972</v>
      </c>
    </row>
    <row r="1647" spans="1:18" x14ac:dyDescent="0.25">
      <c r="A1647" s="170">
        <v>44431</v>
      </c>
      <c r="B1647" s="116">
        <v>1752.8</v>
      </c>
      <c r="C1647" s="116">
        <v>1739.2</v>
      </c>
      <c r="D1647" s="116">
        <v>1731.75</v>
      </c>
      <c r="E1647" s="116">
        <v>1733.05</v>
      </c>
      <c r="F1647" s="116">
        <v>1739.2</v>
      </c>
      <c r="G1647">
        <v>147093</v>
      </c>
      <c r="H1647" s="116"/>
      <c r="I1647" s="116"/>
      <c r="L1647" s="170">
        <v>44431</v>
      </c>
      <c r="M1647" s="116">
        <v>1738.75</v>
      </c>
      <c r="N1647" s="116">
        <v>1753.15</v>
      </c>
      <c r="O1647" s="116">
        <v>1732</v>
      </c>
      <c r="P1647" s="116">
        <v>1735.75</v>
      </c>
      <c r="Q1647" s="116">
        <v>1738.75</v>
      </c>
      <c r="R1647">
        <v>6189051</v>
      </c>
    </row>
    <row r="1648" spans="1:18" x14ac:dyDescent="0.25">
      <c r="A1648" s="170">
        <v>44432</v>
      </c>
      <c r="B1648" s="116">
        <v>1755.6</v>
      </c>
      <c r="C1648" s="116">
        <v>1720.75</v>
      </c>
      <c r="D1648" s="116">
        <v>1712.5</v>
      </c>
      <c r="E1648" s="116">
        <v>1748</v>
      </c>
      <c r="F1648" s="116">
        <v>1720.75</v>
      </c>
      <c r="G1648">
        <v>227498</v>
      </c>
      <c r="H1648" s="116"/>
      <c r="I1648" s="116"/>
      <c r="L1648" s="170">
        <v>44432</v>
      </c>
      <c r="M1648" s="116">
        <v>1720.85</v>
      </c>
      <c r="N1648" s="116">
        <v>1757</v>
      </c>
      <c r="O1648" s="116">
        <v>1712.7</v>
      </c>
      <c r="P1648" s="116">
        <v>1750</v>
      </c>
      <c r="Q1648" s="116">
        <v>1720.85</v>
      </c>
      <c r="R1648">
        <v>7602939</v>
      </c>
    </row>
    <row r="1649" spans="1:18" x14ac:dyDescent="0.25">
      <c r="A1649" s="170">
        <v>44433</v>
      </c>
      <c r="B1649" s="116">
        <v>1746.35</v>
      </c>
      <c r="C1649" s="116">
        <v>1737.2</v>
      </c>
      <c r="D1649" s="116">
        <v>1715.2</v>
      </c>
      <c r="E1649" s="116">
        <v>1715.2</v>
      </c>
      <c r="F1649" s="116">
        <v>1737.2</v>
      </c>
      <c r="G1649">
        <v>119692</v>
      </c>
      <c r="H1649" s="116"/>
      <c r="I1649" s="116"/>
      <c r="L1649" s="170">
        <v>44433</v>
      </c>
      <c r="M1649" s="116">
        <v>1735.55</v>
      </c>
      <c r="N1649" s="116">
        <v>1746.9</v>
      </c>
      <c r="O1649" s="116">
        <v>1718</v>
      </c>
      <c r="P1649" s="116">
        <v>1718</v>
      </c>
      <c r="Q1649" s="116">
        <v>1735.55</v>
      </c>
      <c r="R1649">
        <v>6153253</v>
      </c>
    </row>
    <row r="1650" spans="1:18" x14ac:dyDescent="0.25">
      <c r="A1650" s="170">
        <v>44434</v>
      </c>
      <c r="B1650" s="116">
        <v>1746</v>
      </c>
      <c r="C1650" s="116">
        <v>1726.95</v>
      </c>
      <c r="D1650" s="116">
        <v>1720</v>
      </c>
      <c r="E1650" s="116">
        <v>1736</v>
      </c>
      <c r="F1650" s="116">
        <v>1726.95</v>
      </c>
      <c r="G1650">
        <v>139366</v>
      </c>
      <c r="H1650" s="116"/>
      <c r="I1650" s="116"/>
      <c r="L1650" s="170">
        <v>44434</v>
      </c>
      <c r="M1650" s="116">
        <v>1727.7</v>
      </c>
      <c r="N1650" s="116">
        <v>1746</v>
      </c>
      <c r="O1650" s="116">
        <v>1720</v>
      </c>
      <c r="P1650" s="116">
        <v>1734</v>
      </c>
      <c r="Q1650" s="116">
        <v>1727.7</v>
      </c>
      <c r="R1650">
        <v>5302248</v>
      </c>
    </row>
    <row r="1651" spans="1:18" x14ac:dyDescent="0.25">
      <c r="A1651" s="170">
        <v>44435</v>
      </c>
      <c r="B1651" s="116">
        <v>1728.4</v>
      </c>
      <c r="C1651" s="116">
        <v>1708.45</v>
      </c>
      <c r="D1651" s="116">
        <v>1705</v>
      </c>
      <c r="E1651" s="116">
        <v>1722</v>
      </c>
      <c r="F1651" s="116">
        <v>1708.45</v>
      </c>
      <c r="G1651">
        <v>110790</v>
      </c>
      <c r="H1651" s="116"/>
      <c r="I1651" s="116"/>
      <c r="L1651" s="170">
        <v>44435</v>
      </c>
      <c r="M1651" s="116">
        <v>1708.8</v>
      </c>
      <c r="N1651" s="116">
        <v>1727.7</v>
      </c>
      <c r="O1651" s="116">
        <v>1705.2</v>
      </c>
      <c r="P1651" s="116">
        <v>1725</v>
      </c>
      <c r="Q1651" s="116">
        <v>1708.8</v>
      </c>
      <c r="R1651">
        <v>6698514</v>
      </c>
    </row>
    <row r="1652" spans="1:18" x14ac:dyDescent="0.25">
      <c r="A1652" s="170">
        <v>44438</v>
      </c>
      <c r="B1652" s="116">
        <v>1718.8</v>
      </c>
      <c r="C1652" s="116">
        <v>1697.85</v>
      </c>
      <c r="D1652" s="116">
        <v>1690.35</v>
      </c>
      <c r="E1652" s="116">
        <v>1704.8</v>
      </c>
      <c r="F1652" s="116">
        <v>1697.85</v>
      </c>
      <c r="G1652">
        <v>153093</v>
      </c>
      <c r="H1652" s="116"/>
      <c r="I1652" s="116"/>
      <c r="L1652" s="170">
        <v>44438</v>
      </c>
      <c r="M1652" s="116">
        <v>1698.05</v>
      </c>
      <c r="N1652" s="116">
        <v>1718.65</v>
      </c>
      <c r="O1652" s="116">
        <v>1690.4</v>
      </c>
      <c r="P1652" s="116">
        <v>1703.05</v>
      </c>
      <c r="Q1652" s="116">
        <v>1698.05</v>
      </c>
      <c r="R1652">
        <v>6559667</v>
      </c>
    </row>
    <row r="1653" spans="1:18" x14ac:dyDescent="0.25">
      <c r="A1653" s="170">
        <v>44439</v>
      </c>
      <c r="B1653" s="116">
        <v>1714.75</v>
      </c>
      <c r="C1653" s="116">
        <v>1704.15</v>
      </c>
      <c r="D1653" s="116">
        <v>1686.1</v>
      </c>
      <c r="E1653" s="116">
        <v>1700.1</v>
      </c>
      <c r="F1653" s="116">
        <v>1704.15</v>
      </c>
      <c r="G1653">
        <v>780575</v>
      </c>
      <c r="H1653" s="116"/>
      <c r="I1653" s="116"/>
      <c r="L1653" s="170">
        <v>44439</v>
      </c>
      <c r="M1653" s="116">
        <v>1706.45</v>
      </c>
      <c r="N1653" s="116">
        <v>1715</v>
      </c>
      <c r="O1653" s="116">
        <v>1685.85</v>
      </c>
      <c r="P1653" s="116">
        <v>1700.15</v>
      </c>
      <c r="Q1653" s="116">
        <v>1706.45</v>
      </c>
      <c r="R1653">
        <v>12255438</v>
      </c>
    </row>
    <row r="1654" spans="1:18" x14ac:dyDescent="0.25">
      <c r="A1654" s="170">
        <v>44440</v>
      </c>
      <c r="B1654" s="116">
        <v>1713</v>
      </c>
      <c r="C1654" s="116">
        <v>1677.35</v>
      </c>
      <c r="D1654" s="116">
        <v>1673.05</v>
      </c>
      <c r="E1654" s="116">
        <v>1712</v>
      </c>
      <c r="F1654" s="116">
        <v>1677.35</v>
      </c>
      <c r="G1654">
        <v>192538</v>
      </c>
      <c r="H1654" s="116"/>
      <c r="I1654" s="116"/>
      <c r="L1654" s="170">
        <v>44440</v>
      </c>
      <c r="M1654" s="116">
        <v>1677.75</v>
      </c>
      <c r="N1654" s="116">
        <v>1709.5</v>
      </c>
      <c r="O1654" s="116">
        <v>1673.15</v>
      </c>
      <c r="P1654" s="116">
        <v>1709.5</v>
      </c>
      <c r="Q1654" s="116">
        <v>1677.75</v>
      </c>
      <c r="R1654">
        <v>7801974</v>
      </c>
    </row>
    <row r="1655" spans="1:18" x14ac:dyDescent="0.25">
      <c r="A1655" s="170">
        <v>44441</v>
      </c>
      <c r="B1655" s="116">
        <v>1694.7</v>
      </c>
      <c r="C1655" s="116">
        <v>1688.45</v>
      </c>
      <c r="D1655" s="116">
        <v>1663</v>
      </c>
      <c r="E1655" s="116">
        <v>1677.45</v>
      </c>
      <c r="F1655" s="116">
        <v>1688.45</v>
      </c>
      <c r="G1655">
        <v>252425</v>
      </c>
      <c r="H1655" s="116"/>
      <c r="I1655" s="116"/>
      <c r="L1655" s="170">
        <v>44441</v>
      </c>
      <c r="M1655" s="116">
        <v>1689.1</v>
      </c>
      <c r="N1655" s="116">
        <v>1694.3</v>
      </c>
      <c r="O1655" s="116">
        <v>1662.65</v>
      </c>
      <c r="P1655" s="116">
        <v>1677.35</v>
      </c>
      <c r="Q1655" s="116">
        <v>1689.1</v>
      </c>
      <c r="R1655">
        <v>6830050</v>
      </c>
    </row>
    <row r="1656" spans="1:18" x14ac:dyDescent="0.25">
      <c r="A1656" s="170">
        <v>44442</v>
      </c>
      <c r="B1656" s="116">
        <v>1706.05</v>
      </c>
      <c r="C1656" s="116">
        <v>1700.3</v>
      </c>
      <c r="D1656" s="116">
        <v>1685.3</v>
      </c>
      <c r="E1656" s="116">
        <v>1697</v>
      </c>
      <c r="F1656" s="116">
        <v>1700.3</v>
      </c>
      <c r="G1656">
        <v>110020</v>
      </c>
      <c r="H1656" s="116"/>
      <c r="I1656" s="116"/>
      <c r="L1656" s="170">
        <v>44442</v>
      </c>
      <c r="M1656" s="116">
        <v>1700.65</v>
      </c>
      <c r="N1656" s="116">
        <v>1705.95</v>
      </c>
      <c r="O1656" s="116">
        <v>1684.4</v>
      </c>
      <c r="P1656" s="116">
        <v>1696.05</v>
      </c>
      <c r="Q1656" s="116">
        <v>1700.65</v>
      </c>
      <c r="R1656">
        <v>5339139</v>
      </c>
    </row>
    <row r="1657" spans="1:18" x14ac:dyDescent="0.25">
      <c r="A1657" s="170">
        <v>44445</v>
      </c>
      <c r="B1657" s="116">
        <v>1732</v>
      </c>
      <c r="C1657" s="116">
        <v>1730</v>
      </c>
      <c r="D1657" s="116">
        <v>1700</v>
      </c>
      <c r="E1657" s="116">
        <v>1707</v>
      </c>
      <c r="F1657" s="116">
        <v>1730</v>
      </c>
      <c r="G1657">
        <v>144430</v>
      </c>
      <c r="H1657" s="116"/>
      <c r="I1657" s="116"/>
      <c r="L1657" s="170">
        <v>44445</v>
      </c>
      <c r="M1657" s="116">
        <v>1730.4</v>
      </c>
      <c r="N1657" s="116">
        <v>1732</v>
      </c>
      <c r="O1657" s="116">
        <v>1699.35</v>
      </c>
      <c r="P1657" s="116">
        <v>1705.15</v>
      </c>
      <c r="Q1657" s="116">
        <v>1730.4</v>
      </c>
      <c r="R1657">
        <v>4876026</v>
      </c>
    </row>
    <row r="1658" spans="1:18" x14ac:dyDescent="0.25">
      <c r="A1658" s="170">
        <v>44446</v>
      </c>
      <c r="B1658" s="116">
        <v>1735</v>
      </c>
      <c r="C1658" s="116">
        <v>1706.5</v>
      </c>
      <c r="D1658" s="116">
        <v>1704.75</v>
      </c>
      <c r="E1658" s="116">
        <v>1732</v>
      </c>
      <c r="F1658" s="116">
        <v>1706.5</v>
      </c>
      <c r="G1658">
        <v>94610</v>
      </c>
      <c r="H1658" s="116"/>
      <c r="I1658" s="116"/>
      <c r="L1658" s="170">
        <v>44446</v>
      </c>
      <c r="M1658" s="116">
        <v>1706.65</v>
      </c>
      <c r="N1658" s="116">
        <v>1734.9</v>
      </c>
      <c r="O1658" s="116">
        <v>1704</v>
      </c>
      <c r="P1658" s="116">
        <v>1730</v>
      </c>
      <c r="Q1658" s="116">
        <v>1706.65</v>
      </c>
      <c r="R1658">
        <v>3520341</v>
      </c>
    </row>
    <row r="1659" spans="1:18" x14ac:dyDescent="0.25">
      <c r="A1659" s="170">
        <v>44447</v>
      </c>
      <c r="B1659" s="116">
        <v>1704.45</v>
      </c>
      <c r="C1659" s="116">
        <v>1693</v>
      </c>
      <c r="D1659" s="116">
        <v>1683.5</v>
      </c>
      <c r="E1659" s="116">
        <v>1704.45</v>
      </c>
      <c r="F1659" s="116">
        <v>1693</v>
      </c>
      <c r="G1659">
        <v>88073</v>
      </c>
      <c r="H1659" s="116"/>
      <c r="I1659" s="116"/>
      <c r="L1659" s="170">
        <v>44447</v>
      </c>
      <c r="M1659" s="116">
        <v>1693.25</v>
      </c>
      <c r="N1659" s="116">
        <v>1700.85</v>
      </c>
      <c r="O1659" s="116">
        <v>1682.95</v>
      </c>
      <c r="P1659" s="116">
        <v>1700.85</v>
      </c>
      <c r="Q1659" s="116">
        <v>1693.25</v>
      </c>
      <c r="R1659">
        <v>4584896</v>
      </c>
    </row>
    <row r="1660" spans="1:18" x14ac:dyDescent="0.25">
      <c r="A1660" s="170">
        <v>44448</v>
      </c>
      <c r="B1660" s="116">
        <v>1694.95</v>
      </c>
      <c r="C1660" s="116">
        <v>1691.8</v>
      </c>
      <c r="D1660" s="116">
        <v>1682.2</v>
      </c>
      <c r="E1660" s="116">
        <v>1687.9</v>
      </c>
      <c r="F1660" s="116">
        <v>1691.8</v>
      </c>
      <c r="G1660">
        <v>55551</v>
      </c>
      <c r="H1660" s="116"/>
      <c r="I1660" s="116"/>
      <c r="L1660" s="170">
        <v>44448</v>
      </c>
      <c r="M1660" s="116">
        <v>1691.6</v>
      </c>
      <c r="N1660" s="116">
        <v>1694.9</v>
      </c>
      <c r="O1660" s="116">
        <v>1682.15</v>
      </c>
      <c r="P1660" s="116">
        <v>1685.9</v>
      </c>
      <c r="Q1660" s="116">
        <v>1691.6</v>
      </c>
      <c r="R1660">
        <v>3331674</v>
      </c>
    </row>
    <row r="1661" spans="1:18" x14ac:dyDescent="0.25">
      <c r="A1661" s="170">
        <v>44452</v>
      </c>
      <c r="B1661" s="116">
        <v>1701</v>
      </c>
      <c r="C1661" s="116">
        <v>1691</v>
      </c>
      <c r="D1661" s="116">
        <v>1675</v>
      </c>
      <c r="E1661" s="116">
        <v>1688</v>
      </c>
      <c r="F1661" s="116">
        <v>1691</v>
      </c>
      <c r="G1661">
        <v>151233</v>
      </c>
      <c r="H1661" s="116"/>
      <c r="I1661" s="116"/>
      <c r="L1661" s="170">
        <v>44452</v>
      </c>
      <c r="M1661" s="116">
        <v>1691.9</v>
      </c>
      <c r="N1661" s="116">
        <v>1701.5</v>
      </c>
      <c r="O1661" s="116">
        <v>1675.2</v>
      </c>
      <c r="P1661" s="116">
        <v>1683</v>
      </c>
      <c r="Q1661" s="116">
        <v>1691.9</v>
      </c>
      <c r="R1661">
        <v>4662374</v>
      </c>
    </row>
    <row r="1662" spans="1:18" x14ac:dyDescent="0.25">
      <c r="A1662" s="170">
        <v>44453</v>
      </c>
      <c r="B1662" s="116">
        <v>1697.9</v>
      </c>
      <c r="C1662" s="116">
        <v>1685.9</v>
      </c>
      <c r="D1662" s="116">
        <v>1679.65</v>
      </c>
      <c r="E1662" s="116">
        <v>1697.9</v>
      </c>
      <c r="F1662" s="116">
        <v>1685.9</v>
      </c>
      <c r="G1662">
        <v>65051</v>
      </c>
      <c r="H1662" s="116"/>
      <c r="I1662" s="116"/>
      <c r="L1662" s="170">
        <v>44453</v>
      </c>
      <c r="M1662" s="116">
        <v>1686.15</v>
      </c>
      <c r="N1662" s="116">
        <v>1695.95</v>
      </c>
      <c r="O1662" s="116">
        <v>1678.6</v>
      </c>
      <c r="P1662" s="116">
        <v>1695.95</v>
      </c>
      <c r="Q1662" s="116">
        <v>1686.15</v>
      </c>
      <c r="R1662">
        <v>4945167</v>
      </c>
    </row>
    <row r="1663" spans="1:18" x14ac:dyDescent="0.25">
      <c r="A1663" s="170">
        <v>44454</v>
      </c>
      <c r="B1663" s="116">
        <v>1716.4</v>
      </c>
      <c r="C1663" s="116">
        <v>1711.1</v>
      </c>
      <c r="D1663" s="116">
        <v>1687.3</v>
      </c>
      <c r="E1663" s="116">
        <v>1696.7</v>
      </c>
      <c r="F1663" s="116">
        <v>1711.1</v>
      </c>
      <c r="G1663">
        <v>98193</v>
      </c>
      <c r="H1663" s="116"/>
      <c r="I1663" s="116"/>
      <c r="L1663" s="170">
        <v>44454</v>
      </c>
      <c r="M1663" s="116">
        <v>1711.45</v>
      </c>
      <c r="N1663" s="116">
        <v>1715.1</v>
      </c>
      <c r="O1663" s="116">
        <v>1690.2</v>
      </c>
      <c r="P1663" s="116">
        <v>1693.25</v>
      </c>
      <c r="Q1663" s="116">
        <v>1711.45</v>
      </c>
      <c r="R1663">
        <v>4062344</v>
      </c>
    </row>
    <row r="1664" spans="1:18" x14ac:dyDescent="0.25">
      <c r="A1664" s="170">
        <v>44455</v>
      </c>
      <c r="B1664" s="116">
        <v>1722</v>
      </c>
      <c r="C1664" s="116">
        <v>1702.35</v>
      </c>
      <c r="D1664" s="116">
        <v>1691.6</v>
      </c>
      <c r="E1664" s="116">
        <v>1715</v>
      </c>
      <c r="F1664" s="116">
        <v>1702.35</v>
      </c>
      <c r="G1664">
        <v>87136</v>
      </c>
      <c r="H1664" s="116"/>
      <c r="I1664" s="116"/>
      <c r="L1664" s="170">
        <v>44455</v>
      </c>
      <c r="M1664" s="116">
        <v>1702.25</v>
      </c>
      <c r="N1664" s="116">
        <v>1719.25</v>
      </c>
      <c r="O1664" s="116">
        <v>1691.45</v>
      </c>
      <c r="P1664" s="116">
        <v>1715.2</v>
      </c>
      <c r="Q1664" s="116">
        <v>1702.25</v>
      </c>
      <c r="R1664">
        <v>3246568</v>
      </c>
    </row>
    <row r="1665" spans="1:18" x14ac:dyDescent="0.25">
      <c r="A1665" s="170">
        <v>44456</v>
      </c>
      <c r="B1665" s="116">
        <v>1717.9</v>
      </c>
      <c r="C1665" s="116">
        <v>1691.3</v>
      </c>
      <c r="D1665" s="116">
        <v>1685.3</v>
      </c>
      <c r="E1665" s="116">
        <v>1701.5</v>
      </c>
      <c r="F1665" s="116">
        <v>1691.3</v>
      </c>
      <c r="G1665">
        <v>434037</v>
      </c>
      <c r="H1665" s="116"/>
      <c r="I1665" s="116"/>
      <c r="L1665" s="170">
        <v>44456</v>
      </c>
      <c r="M1665" s="116">
        <v>1691.3</v>
      </c>
      <c r="N1665" s="116">
        <v>1718</v>
      </c>
      <c r="O1665" s="116">
        <v>1684.45</v>
      </c>
      <c r="P1665" s="116">
        <v>1697</v>
      </c>
      <c r="Q1665" s="116">
        <v>1691.3</v>
      </c>
      <c r="R1665">
        <v>7454864</v>
      </c>
    </row>
    <row r="1666" spans="1:18" x14ac:dyDescent="0.25">
      <c r="A1666" s="170">
        <v>44459</v>
      </c>
      <c r="B1666" s="116">
        <v>1707.65</v>
      </c>
      <c r="C1666" s="116">
        <v>1687.85</v>
      </c>
      <c r="D1666" s="116">
        <v>1678.25</v>
      </c>
      <c r="E1666" s="116">
        <v>1685</v>
      </c>
      <c r="F1666" s="116">
        <v>1687.85</v>
      </c>
      <c r="G1666">
        <v>170348</v>
      </c>
      <c r="H1666" s="116"/>
      <c r="I1666" s="116"/>
      <c r="L1666" s="170">
        <v>44459</v>
      </c>
      <c r="M1666" s="116">
        <v>1687.85</v>
      </c>
      <c r="N1666" s="116">
        <v>1707.7</v>
      </c>
      <c r="O1666" s="116">
        <v>1677.95</v>
      </c>
      <c r="P1666" s="116">
        <v>1685</v>
      </c>
      <c r="Q1666" s="116">
        <v>1687.85</v>
      </c>
      <c r="R1666">
        <v>5660743</v>
      </c>
    </row>
    <row r="1667" spans="1:18" x14ac:dyDescent="0.25">
      <c r="A1667" s="170">
        <v>44460</v>
      </c>
      <c r="B1667" s="116">
        <v>1726</v>
      </c>
      <c r="C1667" s="116">
        <v>1717.7</v>
      </c>
      <c r="D1667" s="116">
        <v>1685</v>
      </c>
      <c r="E1667" s="116">
        <v>1692.3</v>
      </c>
      <c r="F1667" s="116">
        <v>1717.7</v>
      </c>
      <c r="G1667">
        <v>295996</v>
      </c>
      <c r="H1667" s="116"/>
      <c r="I1667" s="116"/>
      <c r="L1667" s="170">
        <v>44460</v>
      </c>
      <c r="M1667" s="116">
        <v>1718.45</v>
      </c>
      <c r="N1667" s="116">
        <v>1726.75</v>
      </c>
      <c r="O1667" s="116">
        <v>1684.65</v>
      </c>
      <c r="P1667" s="116">
        <v>1700</v>
      </c>
      <c r="Q1667" s="116">
        <v>1718.45</v>
      </c>
      <c r="R1667">
        <v>4672222</v>
      </c>
    </row>
    <row r="1668" spans="1:18" x14ac:dyDescent="0.25">
      <c r="A1668" s="170">
        <v>44461</v>
      </c>
      <c r="B1668" s="116">
        <v>1738.75</v>
      </c>
      <c r="C1668" s="116">
        <v>1716.65</v>
      </c>
      <c r="D1668" s="116">
        <v>1713.05</v>
      </c>
      <c r="E1668" s="116">
        <v>1718</v>
      </c>
      <c r="F1668" s="116">
        <v>1716.65</v>
      </c>
      <c r="G1668">
        <v>100746</v>
      </c>
      <c r="H1668" s="116"/>
      <c r="I1668" s="116"/>
      <c r="L1668" s="170">
        <v>44461</v>
      </c>
      <c r="M1668" s="116">
        <v>1716.9</v>
      </c>
      <c r="N1668" s="116">
        <v>1738.9</v>
      </c>
      <c r="O1668" s="116">
        <v>1713.05</v>
      </c>
      <c r="P1668" s="116">
        <v>1717</v>
      </c>
      <c r="Q1668" s="116">
        <v>1716.9</v>
      </c>
      <c r="R1668">
        <v>4553892</v>
      </c>
    </row>
    <row r="1669" spans="1:18" x14ac:dyDescent="0.25">
      <c r="A1669" s="170">
        <v>44462</v>
      </c>
      <c r="B1669" s="116">
        <v>1745</v>
      </c>
      <c r="C1669" s="116">
        <v>1741.7</v>
      </c>
      <c r="D1669" s="116">
        <v>1722.3</v>
      </c>
      <c r="E1669" s="116">
        <v>1732.15</v>
      </c>
      <c r="F1669" s="116">
        <v>1741.7</v>
      </c>
      <c r="G1669">
        <v>3302251</v>
      </c>
      <c r="H1669" s="116"/>
      <c r="I1669" s="116"/>
      <c r="L1669" s="170">
        <v>44462</v>
      </c>
      <c r="M1669" s="116">
        <v>1742.55</v>
      </c>
      <c r="N1669" s="116">
        <v>1745</v>
      </c>
      <c r="O1669" s="116">
        <v>1721.1</v>
      </c>
      <c r="P1669" s="116">
        <v>1732</v>
      </c>
      <c r="Q1669" s="116">
        <v>1742.55</v>
      </c>
      <c r="R1669">
        <v>3826090</v>
      </c>
    </row>
    <row r="1670" spans="1:18" x14ac:dyDescent="0.25">
      <c r="A1670" s="170">
        <v>44463</v>
      </c>
      <c r="B1670" s="116">
        <v>1787.5</v>
      </c>
      <c r="C1670" s="116">
        <v>1763.45</v>
      </c>
      <c r="D1670" s="116">
        <v>1752.2</v>
      </c>
      <c r="E1670" s="116">
        <v>1759</v>
      </c>
      <c r="F1670" s="116">
        <v>1763.45</v>
      </c>
      <c r="G1670">
        <v>182745</v>
      </c>
      <c r="H1670" s="116"/>
      <c r="I1670" s="116"/>
      <c r="L1670" s="170">
        <v>44463</v>
      </c>
      <c r="M1670" s="116">
        <v>1763.85</v>
      </c>
      <c r="N1670" s="116">
        <v>1788</v>
      </c>
      <c r="O1670" s="116">
        <v>1752.45</v>
      </c>
      <c r="P1670" s="116">
        <v>1758</v>
      </c>
      <c r="Q1670" s="116">
        <v>1763.85</v>
      </c>
      <c r="R1670">
        <v>8280446</v>
      </c>
    </row>
    <row r="1671" spans="1:18" x14ac:dyDescent="0.25">
      <c r="A1671" s="170">
        <v>44466</v>
      </c>
      <c r="B1671" s="116">
        <v>1770.85</v>
      </c>
      <c r="C1671" s="116">
        <v>1721.95</v>
      </c>
      <c r="D1671" s="116">
        <v>1719</v>
      </c>
      <c r="E1671" s="116">
        <v>1770.85</v>
      </c>
      <c r="F1671" s="116">
        <v>1721.95</v>
      </c>
      <c r="G1671">
        <v>146640</v>
      </c>
      <c r="H1671" s="116"/>
      <c r="I1671" s="116"/>
      <c r="L1671" s="170">
        <v>44466</v>
      </c>
      <c r="M1671" s="116">
        <v>1721.15</v>
      </c>
      <c r="N1671" s="116">
        <v>1769</v>
      </c>
      <c r="O1671" s="116">
        <v>1718.1</v>
      </c>
      <c r="P1671" s="116">
        <v>1768.75</v>
      </c>
      <c r="Q1671" s="116">
        <v>1721.15</v>
      </c>
      <c r="R1671">
        <v>5045337</v>
      </c>
    </row>
    <row r="1672" spans="1:18" x14ac:dyDescent="0.25">
      <c r="A1672" s="170">
        <v>44467</v>
      </c>
      <c r="B1672" s="116">
        <v>1713</v>
      </c>
      <c r="C1672" s="116">
        <v>1687.5</v>
      </c>
      <c r="D1672" s="116">
        <v>1675.5</v>
      </c>
      <c r="E1672" s="116">
        <v>1713</v>
      </c>
      <c r="F1672" s="116">
        <v>1687.5</v>
      </c>
      <c r="G1672">
        <v>424814</v>
      </c>
      <c r="H1672" s="116"/>
      <c r="I1672" s="116"/>
      <c r="L1672" s="170">
        <v>44467</v>
      </c>
      <c r="M1672" s="116">
        <v>1687.1</v>
      </c>
      <c r="N1672" s="116">
        <v>1710</v>
      </c>
      <c r="O1672" s="116">
        <v>1675</v>
      </c>
      <c r="P1672" s="116">
        <v>1710</v>
      </c>
      <c r="Q1672" s="116">
        <v>1687.1</v>
      </c>
      <c r="R1672">
        <v>6557197</v>
      </c>
    </row>
    <row r="1673" spans="1:18" x14ac:dyDescent="0.25">
      <c r="A1673" s="170">
        <v>44468</v>
      </c>
      <c r="B1673" s="116">
        <v>1701</v>
      </c>
      <c r="C1673" s="116">
        <v>1692.05</v>
      </c>
      <c r="D1673" s="116">
        <v>1658</v>
      </c>
      <c r="E1673" s="116">
        <v>1661.95</v>
      </c>
      <c r="F1673" s="116">
        <v>1692.05</v>
      </c>
      <c r="G1673">
        <v>214227</v>
      </c>
      <c r="H1673" s="116"/>
      <c r="I1673" s="116"/>
      <c r="L1673" s="170">
        <v>44468</v>
      </c>
      <c r="M1673" s="116">
        <v>1692.25</v>
      </c>
      <c r="N1673" s="116">
        <v>1701.4</v>
      </c>
      <c r="O1673" s="116">
        <v>1655</v>
      </c>
      <c r="P1673" s="116">
        <v>1659.25</v>
      </c>
      <c r="Q1673" s="116">
        <v>1692.25</v>
      </c>
      <c r="R1673">
        <v>7792548</v>
      </c>
    </row>
    <row r="1674" spans="1:18" x14ac:dyDescent="0.25">
      <c r="A1674" s="170">
        <v>44469</v>
      </c>
      <c r="B1674" s="116">
        <v>1700</v>
      </c>
      <c r="C1674" s="116">
        <v>1675.4</v>
      </c>
      <c r="D1674" s="116">
        <v>1670</v>
      </c>
      <c r="E1674" s="116">
        <v>1699</v>
      </c>
      <c r="F1674" s="116">
        <v>1675.4</v>
      </c>
      <c r="G1674">
        <v>71840</v>
      </c>
      <c r="H1674" s="116"/>
      <c r="I1674" s="116"/>
      <c r="L1674" s="170">
        <v>44469</v>
      </c>
      <c r="M1674" s="116">
        <v>1675.2</v>
      </c>
      <c r="N1674" s="116">
        <v>1703</v>
      </c>
      <c r="O1674" s="116">
        <v>1670.1</v>
      </c>
      <c r="P1674" s="116">
        <v>1703</v>
      </c>
      <c r="Q1674" s="116">
        <v>1675.2</v>
      </c>
      <c r="R1674">
        <v>6914031</v>
      </c>
    </row>
    <row r="1675" spans="1:18" x14ac:dyDescent="0.25">
      <c r="A1675" s="170">
        <v>44470</v>
      </c>
      <c r="B1675" s="116">
        <v>1678.65</v>
      </c>
      <c r="C1675" s="116">
        <v>1664.95</v>
      </c>
      <c r="D1675" s="116">
        <v>1661.4</v>
      </c>
      <c r="E1675" s="116">
        <v>1668</v>
      </c>
      <c r="F1675" s="116">
        <v>1664.95</v>
      </c>
      <c r="G1675">
        <v>146838</v>
      </c>
      <c r="H1675" s="116"/>
      <c r="I1675" s="116"/>
      <c r="L1675" s="170">
        <v>44470</v>
      </c>
      <c r="M1675" s="116">
        <v>1665.15</v>
      </c>
      <c r="N1675" s="116">
        <v>1678.95</v>
      </c>
      <c r="O1675" s="116">
        <v>1661.25</v>
      </c>
      <c r="P1675" s="116">
        <v>1665.1</v>
      </c>
      <c r="Q1675" s="116">
        <v>1665.15</v>
      </c>
      <c r="R1675">
        <v>5733906</v>
      </c>
    </row>
    <row r="1676" spans="1:18" x14ac:dyDescent="0.25">
      <c r="A1676" s="170">
        <v>44473</v>
      </c>
      <c r="B1676" s="116">
        <v>1688.05</v>
      </c>
      <c r="C1676" s="116">
        <v>1679.1</v>
      </c>
      <c r="D1676" s="116">
        <v>1666.3</v>
      </c>
      <c r="E1676" s="116">
        <v>1669.2</v>
      </c>
      <c r="F1676" s="116">
        <v>1679.1</v>
      </c>
      <c r="G1676">
        <v>85861</v>
      </c>
      <c r="H1676" s="116"/>
      <c r="I1676" s="116"/>
      <c r="L1676" s="170">
        <v>44473</v>
      </c>
      <c r="M1676" s="116">
        <v>1678.75</v>
      </c>
      <c r="N1676" s="116">
        <v>1688</v>
      </c>
      <c r="O1676" s="116">
        <v>1665.4</v>
      </c>
      <c r="P1676" s="116">
        <v>1672.5</v>
      </c>
      <c r="Q1676" s="116">
        <v>1678.75</v>
      </c>
      <c r="R1676">
        <v>2947154</v>
      </c>
    </row>
    <row r="1677" spans="1:18" x14ac:dyDescent="0.25">
      <c r="A1677" s="170">
        <v>44474</v>
      </c>
      <c r="B1677" s="116">
        <v>1703</v>
      </c>
      <c r="C1677" s="116">
        <v>1692.75</v>
      </c>
      <c r="D1677" s="116">
        <v>1663.25</v>
      </c>
      <c r="E1677" s="116">
        <v>1678</v>
      </c>
      <c r="F1677" s="116">
        <v>1692.75</v>
      </c>
      <c r="G1677">
        <v>208100</v>
      </c>
      <c r="H1677" s="116"/>
      <c r="I1677" s="116"/>
      <c r="L1677" s="170">
        <v>44474</v>
      </c>
      <c r="M1677" s="116">
        <v>1692.8</v>
      </c>
      <c r="N1677" s="116">
        <v>1702.95</v>
      </c>
      <c r="O1677" s="116">
        <v>1663</v>
      </c>
      <c r="P1677" s="116">
        <v>1671</v>
      </c>
      <c r="Q1677" s="116">
        <v>1692.8</v>
      </c>
      <c r="R1677">
        <v>4373310</v>
      </c>
    </row>
    <row r="1678" spans="1:18" x14ac:dyDescent="0.25">
      <c r="A1678" s="170">
        <v>44475</v>
      </c>
      <c r="B1678" s="116">
        <v>1709</v>
      </c>
      <c r="C1678" s="116">
        <v>1673.9</v>
      </c>
      <c r="D1678" s="116">
        <v>1670</v>
      </c>
      <c r="E1678" s="116">
        <v>1696.55</v>
      </c>
      <c r="F1678" s="116">
        <v>1673.9</v>
      </c>
      <c r="G1678">
        <v>88938</v>
      </c>
      <c r="H1678" s="116"/>
      <c r="I1678" s="116"/>
      <c r="L1678" s="170">
        <v>44475</v>
      </c>
      <c r="M1678" s="116">
        <v>1673.55</v>
      </c>
      <c r="N1678" s="116">
        <v>1709</v>
      </c>
      <c r="O1678" s="116">
        <v>1670</v>
      </c>
      <c r="P1678" s="116">
        <v>1702.1</v>
      </c>
      <c r="Q1678" s="116">
        <v>1673.55</v>
      </c>
      <c r="R1678">
        <v>4271698</v>
      </c>
    </row>
    <row r="1679" spans="1:18" x14ac:dyDescent="0.25">
      <c r="A1679" s="170">
        <v>44476</v>
      </c>
      <c r="B1679" s="116">
        <v>1703.8</v>
      </c>
      <c r="C1679" s="116">
        <v>1691.3</v>
      </c>
      <c r="D1679" s="116">
        <v>1677</v>
      </c>
      <c r="E1679" s="116">
        <v>1682</v>
      </c>
      <c r="F1679" s="116">
        <v>1691.3</v>
      </c>
      <c r="G1679">
        <v>289846</v>
      </c>
      <c r="H1679" s="116"/>
      <c r="I1679" s="116"/>
      <c r="L1679" s="170">
        <v>44476</v>
      </c>
      <c r="M1679" s="116">
        <v>1691</v>
      </c>
      <c r="N1679" s="116">
        <v>1704.2</v>
      </c>
      <c r="O1679" s="116">
        <v>1676.65</v>
      </c>
      <c r="P1679" s="116">
        <v>1687</v>
      </c>
      <c r="Q1679" s="116">
        <v>1691</v>
      </c>
      <c r="R1679">
        <v>5476108</v>
      </c>
    </row>
    <row r="1680" spans="1:18" x14ac:dyDescent="0.25">
      <c r="A1680" s="170">
        <v>44477</v>
      </c>
      <c r="B1680" s="116">
        <v>1731</v>
      </c>
      <c r="C1680" s="116">
        <v>1723.55</v>
      </c>
      <c r="D1680" s="116">
        <v>1698.2</v>
      </c>
      <c r="E1680" s="116">
        <v>1704</v>
      </c>
      <c r="F1680" s="116">
        <v>1723.55</v>
      </c>
      <c r="G1680">
        <v>343733</v>
      </c>
      <c r="H1680" s="116"/>
      <c r="I1680" s="116"/>
      <c r="L1680" s="170">
        <v>44477</v>
      </c>
      <c r="M1680" s="116">
        <v>1723.85</v>
      </c>
      <c r="N1680" s="116">
        <v>1731.5</v>
      </c>
      <c r="O1680" s="116">
        <v>1698.4</v>
      </c>
      <c r="P1680" s="116">
        <v>1705.25</v>
      </c>
      <c r="Q1680" s="116">
        <v>1723.85</v>
      </c>
      <c r="R1680">
        <v>4738376</v>
      </c>
    </row>
    <row r="1681" spans="1:18" x14ac:dyDescent="0.25">
      <c r="A1681" s="170">
        <v>44480</v>
      </c>
      <c r="B1681" s="116">
        <v>1730.3</v>
      </c>
      <c r="C1681" s="116">
        <v>1692</v>
      </c>
      <c r="D1681" s="116">
        <v>1663.95</v>
      </c>
      <c r="E1681" s="116">
        <v>1688.95</v>
      </c>
      <c r="F1681" s="116">
        <v>1692</v>
      </c>
      <c r="G1681">
        <v>3384023</v>
      </c>
      <c r="H1681" s="116"/>
      <c r="I1681" s="116"/>
      <c r="L1681" s="170">
        <v>44480</v>
      </c>
      <c r="M1681" s="116">
        <v>1690.95</v>
      </c>
      <c r="N1681" s="116">
        <v>1730</v>
      </c>
      <c r="O1681" s="116">
        <v>1663.7</v>
      </c>
      <c r="P1681" s="116">
        <v>1682</v>
      </c>
      <c r="Q1681" s="116">
        <v>1690.95</v>
      </c>
      <c r="R1681">
        <v>8840633</v>
      </c>
    </row>
    <row r="1682" spans="1:18" x14ac:dyDescent="0.25">
      <c r="A1682" s="170">
        <v>44481</v>
      </c>
      <c r="B1682" s="116">
        <v>1689</v>
      </c>
      <c r="C1682" s="116">
        <v>1684.8</v>
      </c>
      <c r="D1682" s="116">
        <v>1662</v>
      </c>
      <c r="E1682" s="116">
        <v>1679.85</v>
      </c>
      <c r="F1682" s="116">
        <v>1684.8</v>
      </c>
      <c r="G1682">
        <v>313775</v>
      </c>
      <c r="H1682" s="116"/>
      <c r="I1682" s="116"/>
      <c r="L1682" s="170">
        <v>44481</v>
      </c>
      <c r="M1682" s="116">
        <v>1685.15</v>
      </c>
      <c r="N1682" s="116">
        <v>1689</v>
      </c>
      <c r="O1682" s="116">
        <v>1662</v>
      </c>
      <c r="P1682" s="116">
        <v>1677</v>
      </c>
      <c r="Q1682" s="116">
        <v>1685.15</v>
      </c>
      <c r="R1682">
        <v>7439300</v>
      </c>
    </row>
    <row r="1683" spans="1:18" x14ac:dyDescent="0.25">
      <c r="A1683" s="170">
        <v>44482</v>
      </c>
      <c r="B1683" s="116">
        <v>1713.5</v>
      </c>
      <c r="C1683" s="116">
        <v>1708.75</v>
      </c>
      <c r="D1683" s="116">
        <v>1681.25</v>
      </c>
      <c r="E1683" s="116">
        <v>1693.55</v>
      </c>
      <c r="F1683" s="116">
        <v>1708.75</v>
      </c>
      <c r="G1683">
        <v>130116</v>
      </c>
      <c r="H1683" s="116"/>
      <c r="I1683" s="116"/>
      <c r="L1683" s="170">
        <v>44482</v>
      </c>
      <c r="M1683" s="116">
        <v>1709.2</v>
      </c>
      <c r="N1683" s="116">
        <v>1713.65</v>
      </c>
      <c r="O1683" s="116">
        <v>1680.05</v>
      </c>
      <c r="P1683" s="116">
        <v>1695.95</v>
      </c>
      <c r="Q1683" s="116">
        <v>1709.2</v>
      </c>
      <c r="R1683">
        <v>7104171</v>
      </c>
    </row>
    <row r="1684" spans="1:18" x14ac:dyDescent="0.25">
      <c r="A1684" s="170">
        <v>44483</v>
      </c>
      <c r="B1684" s="116">
        <v>1784.05</v>
      </c>
      <c r="C1684" s="116">
        <v>1715.5</v>
      </c>
      <c r="D1684" s="116">
        <v>1698.25</v>
      </c>
      <c r="E1684" s="116">
        <v>1744</v>
      </c>
      <c r="F1684" s="116">
        <v>1715.5</v>
      </c>
      <c r="G1684">
        <v>495333</v>
      </c>
      <c r="H1684" s="116"/>
      <c r="I1684" s="116"/>
      <c r="L1684" s="170">
        <v>44483</v>
      </c>
      <c r="M1684" s="116">
        <v>1715.75</v>
      </c>
      <c r="N1684" s="116">
        <v>1783.6</v>
      </c>
      <c r="O1684" s="116">
        <v>1698.2</v>
      </c>
      <c r="P1684" s="116">
        <v>1754</v>
      </c>
      <c r="Q1684" s="116">
        <v>1715.75</v>
      </c>
      <c r="R1684">
        <v>19655776</v>
      </c>
    </row>
    <row r="1685" spans="1:18" x14ac:dyDescent="0.25">
      <c r="A1685" s="170">
        <v>44487</v>
      </c>
      <c r="B1685" s="116">
        <v>1799.05</v>
      </c>
      <c r="C1685" s="116">
        <v>1792.15</v>
      </c>
      <c r="D1685" s="116">
        <v>1734.2</v>
      </c>
      <c r="E1685" s="116">
        <v>1734.2</v>
      </c>
      <c r="F1685" s="116">
        <v>1792.15</v>
      </c>
      <c r="G1685">
        <v>274349</v>
      </c>
      <c r="H1685" s="116"/>
      <c r="I1685" s="116"/>
      <c r="L1685" s="170">
        <v>44487</v>
      </c>
      <c r="M1685" s="116">
        <v>1792.15</v>
      </c>
      <c r="N1685" s="116">
        <v>1799</v>
      </c>
      <c r="O1685" s="116">
        <v>1740</v>
      </c>
      <c r="P1685" s="116">
        <v>1740</v>
      </c>
      <c r="Q1685" s="116">
        <v>1792.15</v>
      </c>
      <c r="R1685">
        <v>13438109</v>
      </c>
    </row>
    <row r="1686" spans="1:18" x14ac:dyDescent="0.25">
      <c r="A1686" s="170">
        <v>44488</v>
      </c>
      <c r="B1686" s="116">
        <v>1833.9</v>
      </c>
      <c r="C1686" s="116">
        <v>1821.45</v>
      </c>
      <c r="D1686" s="116">
        <v>1782.55</v>
      </c>
      <c r="E1686" s="116">
        <v>1810</v>
      </c>
      <c r="F1686" s="116">
        <v>1821.45</v>
      </c>
      <c r="G1686">
        <v>246371</v>
      </c>
      <c r="H1686" s="116"/>
      <c r="I1686" s="116"/>
      <c r="L1686" s="170">
        <v>44488</v>
      </c>
      <c r="M1686" s="116">
        <v>1822.15</v>
      </c>
      <c r="N1686" s="116">
        <v>1834.5</v>
      </c>
      <c r="O1686" s="116">
        <v>1782.3</v>
      </c>
      <c r="P1686" s="116">
        <v>1814</v>
      </c>
      <c r="Q1686" s="116">
        <v>1822.15</v>
      </c>
      <c r="R1686">
        <v>10324260</v>
      </c>
    </row>
    <row r="1687" spans="1:18" x14ac:dyDescent="0.25">
      <c r="A1687" s="170">
        <v>44489</v>
      </c>
      <c r="B1687" s="116">
        <v>1848.25</v>
      </c>
      <c r="C1687" s="116">
        <v>1800.5</v>
      </c>
      <c r="D1687" s="116">
        <v>1793.95</v>
      </c>
      <c r="E1687" s="116">
        <v>1823.55</v>
      </c>
      <c r="F1687" s="116">
        <v>1800.5</v>
      </c>
      <c r="G1687">
        <v>3615565</v>
      </c>
      <c r="H1687" s="116"/>
      <c r="I1687" s="116"/>
      <c r="L1687" s="170">
        <v>44489</v>
      </c>
      <c r="M1687" s="116">
        <v>1802.35</v>
      </c>
      <c r="N1687" s="116">
        <v>1848</v>
      </c>
      <c r="O1687" s="116">
        <v>1794.05</v>
      </c>
      <c r="P1687" s="116">
        <v>1829.4</v>
      </c>
      <c r="Q1687" s="116">
        <v>1802.35</v>
      </c>
      <c r="R1687">
        <v>5876115</v>
      </c>
    </row>
    <row r="1688" spans="1:18" x14ac:dyDescent="0.25">
      <c r="A1688" s="170">
        <v>44490</v>
      </c>
      <c r="B1688" s="116">
        <v>1816.85</v>
      </c>
      <c r="C1688" s="116">
        <v>1753.85</v>
      </c>
      <c r="D1688" s="116">
        <v>1747.4</v>
      </c>
      <c r="E1688" s="116">
        <v>1816.85</v>
      </c>
      <c r="F1688" s="116">
        <v>1753.85</v>
      </c>
      <c r="G1688">
        <v>214981</v>
      </c>
      <c r="H1688" s="116"/>
      <c r="I1688" s="116"/>
      <c r="L1688" s="170">
        <v>44490</v>
      </c>
      <c r="M1688" s="116">
        <v>1753.65</v>
      </c>
      <c r="N1688" s="116">
        <v>1814</v>
      </c>
      <c r="O1688" s="116">
        <v>1746.85</v>
      </c>
      <c r="P1688" s="116">
        <v>1814</v>
      </c>
      <c r="Q1688" s="116">
        <v>1753.65</v>
      </c>
      <c r="R1688">
        <v>8779629</v>
      </c>
    </row>
    <row r="1689" spans="1:18" x14ac:dyDescent="0.25">
      <c r="A1689" s="170">
        <v>44491</v>
      </c>
      <c r="B1689" s="116">
        <v>1763.6</v>
      </c>
      <c r="C1689" s="116">
        <v>1719.55</v>
      </c>
      <c r="D1689" s="116">
        <v>1707.1</v>
      </c>
      <c r="E1689" s="116">
        <v>1748</v>
      </c>
      <c r="F1689" s="116">
        <v>1719.55</v>
      </c>
      <c r="G1689">
        <v>195206</v>
      </c>
      <c r="H1689" s="116"/>
      <c r="I1689" s="116"/>
      <c r="L1689" s="170">
        <v>44491</v>
      </c>
      <c r="M1689" s="116">
        <v>1719.8</v>
      </c>
      <c r="N1689" s="116">
        <v>1763.2</v>
      </c>
      <c r="O1689" s="116">
        <v>1707</v>
      </c>
      <c r="P1689" s="116">
        <v>1749.9</v>
      </c>
      <c r="Q1689" s="116">
        <v>1719.8</v>
      </c>
      <c r="R1689">
        <v>7369809</v>
      </c>
    </row>
    <row r="1690" spans="1:18" x14ac:dyDescent="0.25">
      <c r="A1690" s="170">
        <v>44494</v>
      </c>
      <c r="B1690" s="116">
        <v>1730</v>
      </c>
      <c r="C1690" s="116">
        <v>1707.7</v>
      </c>
      <c r="D1690" s="116">
        <v>1687</v>
      </c>
      <c r="E1690" s="116">
        <v>1724.45</v>
      </c>
      <c r="F1690" s="116">
        <v>1707.7</v>
      </c>
      <c r="G1690">
        <v>82181</v>
      </c>
      <c r="H1690" s="116"/>
      <c r="I1690" s="116"/>
      <c r="L1690" s="170">
        <v>44494</v>
      </c>
      <c r="M1690" s="116">
        <v>1707.55</v>
      </c>
      <c r="N1690" s="116">
        <v>1729.75</v>
      </c>
      <c r="O1690" s="116">
        <v>1687.2</v>
      </c>
      <c r="P1690" s="116">
        <v>1722.05</v>
      </c>
      <c r="Q1690" s="116">
        <v>1707.55</v>
      </c>
      <c r="R1690">
        <v>5905209</v>
      </c>
    </row>
    <row r="1691" spans="1:18" x14ac:dyDescent="0.25">
      <c r="A1691" s="170">
        <v>44495</v>
      </c>
      <c r="B1691" s="116">
        <v>1726.65</v>
      </c>
      <c r="C1691" s="116">
        <v>1704.1</v>
      </c>
      <c r="D1691" s="116">
        <v>1694.7</v>
      </c>
      <c r="E1691" s="116">
        <v>1704.7</v>
      </c>
      <c r="F1691" s="116">
        <v>1704.1</v>
      </c>
      <c r="G1691">
        <v>127609</v>
      </c>
      <c r="H1691" s="116"/>
      <c r="I1691" s="116"/>
      <c r="L1691" s="170">
        <v>44495</v>
      </c>
      <c r="M1691" s="116">
        <v>1703.7</v>
      </c>
      <c r="N1691" s="116">
        <v>1726.6</v>
      </c>
      <c r="O1691" s="116">
        <v>1695.9</v>
      </c>
      <c r="P1691" s="116">
        <v>1710.05</v>
      </c>
      <c r="Q1691" s="116">
        <v>1703.7</v>
      </c>
      <c r="R1691">
        <v>5871709</v>
      </c>
    </row>
    <row r="1692" spans="1:18" x14ac:dyDescent="0.25">
      <c r="A1692" s="170">
        <v>44496</v>
      </c>
      <c r="B1692" s="116">
        <v>1733.8</v>
      </c>
      <c r="C1692" s="116">
        <v>1728.7</v>
      </c>
      <c r="D1692" s="116">
        <v>1701.4</v>
      </c>
      <c r="E1692" s="116">
        <v>1706</v>
      </c>
      <c r="F1692" s="116">
        <v>1728.7</v>
      </c>
      <c r="G1692">
        <v>133751</v>
      </c>
      <c r="H1692" s="116"/>
      <c r="I1692" s="116"/>
      <c r="L1692" s="170">
        <v>44496</v>
      </c>
      <c r="M1692" s="116">
        <v>1728.95</v>
      </c>
      <c r="N1692" s="116">
        <v>1734.15</v>
      </c>
      <c r="O1692" s="116">
        <v>1701.15</v>
      </c>
      <c r="P1692" s="116">
        <v>1709.1</v>
      </c>
      <c r="Q1692" s="116">
        <v>1728.95</v>
      </c>
      <c r="R1692">
        <v>5090259</v>
      </c>
    </row>
    <row r="1693" spans="1:18" x14ac:dyDescent="0.25">
      <c r="A1693" s="170">
        <v>44497</v>
      </c>
      <c r="B1693" s="116">
        <v>1724.45</v>
      </c>
      <c r="C1693" s="116">
        <v>1704</v>
      </c>
      <c r="D1693" s="116">
        <v>1693</v>
      </c>
      <c r="E1693" s="116">
        <v>1720</v>
      </c>
      <c r="F1693" s="116">
        <v>1704</v>
      </c>
      <c r="G1693">
        <v>81871</v>
      </c>
      <c r="H1693" s="116"/>
      <c r="I1693" s="116"/>
      <c r="L1693" s="170">
        <v>44497</v>
      </c>
      <c r="M1693" s="116">
        <v>1703.9</v>
      </c>
      <c r="N1693" s="116">
        <v>1724.75</v>
      </c>
      <c r="O1693" s="116">
        <v>1692.05</v>
      </c>
      <c r="P1693" s="116">
        <v>1719.35</v>
      </c>
      <c r="Q1693" s="116">
        <v>1703.9</v>
      </c>
      <c r="R1693">
        <v>5329972</v>
      </c>
    </row>
    <row r="1694" spans="1:18" x14ac:dyDescent="0.25">
      <c r="A1694" s="170">
        <v>44498</v>
      </c>
      <c r="B1694" s="116">
        <v>1712.95</v>
      </c>
      <c r="C1694" s="116">
        <v>1668.6</v>
      </c>
      <c r="D1694" s="116">
        <v>1661.25</v>
      </c>
      <c r="E1694" s="116">
        <v>1690.3</v>
      </c>
      <c r="F1694" s="116">
        <v>1668.6</v>
      </c>
      <c r="G1694">
        <v>182488</v>
      </c>
      <c r="H1694" s="116"/>
      <c r="I1694" s="116"/>
      <c r="L1694" s="170">
        <v>44498</v>
      </c>
      <c r="M1694" s="116">
        <v>1667.75</v>
      </c>
      <c r="N1694" s="116">
        <v>1712.6</v>
      </c>
      <c r="O1694" s="116">
        <v>1661.05</v>
      </c>
      <c r="P1694" s="116">
        <v>1699</v>
      </c>
      <c r="Q1694" s="116">
        <v>1667.75</v>
      </c>
      <c r="R1694">
        <v>5875091</v>
      </c>
    </row>
    <row r="1695" spans="1:18" x14ac:dyDescent="0.25">
      <c r="A1695" s="170">
        <v>44501</v>
      </c>
      <c r="B1695" s="116">
        <v>1706.5</v>
      </c>
      <c r="C1695" s="116">
        <v>1699.95</v>
      </c>
      <c r="D1695" s="116">
        <v>1674.2</v>
      </c>
      <c r="E1695" s="116">
        <v>1674.2</v>
      </c>
      <c r="F1695" s="116">
        <v>1699.95</v>
      </c>
      <c r="G1695">
        <v>137820</v>
      </c>
      <c r="H1695" s="116"/>
      <c r="I1695" s="116"/>
      <c r="L1695" s="170">
        <v>44501</v>
      </c>
      <c r="M1695" s="116">
        <v>1700.05</v>
      </c>
      <c r="N1695" s="116">
        <v>1707.2</v>
      </c>
      <c r="O1695" s="116">
        <v>1676</v>
      </c>
      <c r="P1695" s="116">
        <v>1677.5</v>
      </c>
      <c r="Q1695" s="116">
        <v>1700.05</v>
      </c>
      <c r="R1695">
        <v>3636806</v>
      </c>
    </row>
    <row r="1696" spans="1:18" x14ac:dyDescent="0.25">
      <c r="A1696" s="170">
        <v>44502</v>
      </c>
      <c r="B1696" s="116">
        <v>1706.35</v>
      </c>
      <c r="C1696" s="116">
        <v>1697.85</v>
      </c>
      <c r="D1696" s="116">
        <v>1687.2</v>
      </c>
      <c r="E1696" s="116">
        <v>1701.8</v>
      </c>
      <c r="F1696" s="116">
        <v>1697.85</v>
      </c>
      <c r="G1696">
        <v>79031</v>
      </c>
      <c r="H1696" s="116"/>
      <c r="I1696" s="116"/>
      <c r="L1696" s="170">
        <v>44502</v>
      </c>
      <c r="M1696" s="116">
        <v>1697.9</v>
      </c>
      <c r="N1696" s="116">
        <v>1706.45</v>
      </c>
      <c r="O1696" s="116">
        <v>1686.35</v>
      </c>
      <c r="P1696" s="116">
        <v>1695</v>
      </c>
      <c r="Q1696" s="116">
        <v>1697.9</v>
      </c>
      <c r="R1696">
        <v>3471772</v>
      </c>
    </row>
    <row r="1697" spans="1:18" x14ac:dyDescent="0.25">
      <c r="A1697" s="170">
        <v>44503</v>
      </c>
      <c r="B1697" s="116">
        <v>1717.45</v>
      </c>
      <c r="C1697" s="116">
        <v>1702.6</v>
      </c>
      <c r="D1697" s="116">
        <v>1699.6</v>
      </c>
      <c r="E1697" s="116">
        <v>1708</v>
      </c>
      <c r="F1697" s="116">
        <v>1702.6</v>
      </c>
      <c r="G1697">
        <v>56125</v>
      </c>
      <c r="H1697" s="116"/>
      <c r="I1697" s="116"/>
      <c r="L1697" s="170">
        <v>44503</v>
      </c>
      <c r="M1697" s="116">
        <v>1702.5</v>
      </c>
      <c r="N1697" s="116">
        <v>1717.45</v>
      </c>
      <c r="O1697" s="116">
        <v>1699</v>
      </c>
      <c r="P1697" s="116">
        <v>1709</v>
      </c>
      <c r="Q1697" s="116">
        <v>1702.5</v>
      </c>
      <c r="R1697">
        <v>3530713</v>
      </c>
    </row>
    <row r="1698" spans="1:18" x14ac:dyDescent="0.25">
      <c r="A1698" s="170">
        <v>44504</v>
      </c>
      <c r="B1698" s="116">
        <v>1715.85</v>
      </c>
      <c r="C1698" s="116">
        <v>1709.4</v>
      </c>
      <c r="D1698" s="116">
        <v>1705</v>
      </c>
      <c r="E1698" s="116">
        <v>1715.85</v>
      </c>
      <c r="F1698" s="116">
        <v>1709.4</v>
      </c>
      <c r="G1698">
        <v>48618</v>
      </c>
      <c r="H1698" s="116"/>
      <c r="I1698" s="116"/>
      <c r="L1698" s="170">
        <v>44504</v>
      </c>
      <c r="M1698" s="116">
        <v>1708.7</v>
      </c>
      <c r="N1698" s="116">
        <v>1717</v>
      </c>
      <c r="O1698" s="116">
        <v>1705</v>
      </c>
      <c r="P1698" s="116">
        <v>1715</v>
      </c>
      <c r="Q1698" s="116">
        <v>1708.7</v>
      </c>
      <c r="R1698">
        <v>483407</v>
      </c>
    </row>
    <row r="1699" spans="1:18" x14ac:dyDescent="0.25">
      <c r="A1699" s="170">
        <v>44508</v>
      </c>
      <c r="B1699" s="116">
        <v>1740</v>
      </c>
      <c r="C1699" s="116">
        <v>1737.65</v>
      </c>
      <c r="D1699" s="116">
        <v>1703.1</v>
      </c>
      <c r="E1699" s="116">
        <v>1727</v>
      </c>
      <c r="F1699" s="116">
        <v>1737.65</v>
      </c>
      <c r="G1699">
        <v>186291</v>
      </c>
      <c r="H1699" s="116"/>
      <c r="I1699" s="116"/>
      <c r="L1699" s="170">
        <v>44508</v>
      </c>
      <c r="M1699" s="116">
        <v>1737.5</v>
      </c>
      <c r="N1699" s="116">
        <v>1741</v>
      </c>
      <c r="O1699" s="116">
        <v>1703</v>
      </c>
      <c r="P1699" s="116">
        <v>1730</v>
      </c>
      <c r="Q1699" s="116">
        <v>1737.5</v>
      </c>
      <c r="R1699">
        <v>5245903</v>
      </c>
    </row>
    <row r="1700" spans="1:18" x14ac:dyDescent="0.25">
      <c r="A1700" s="170">
        <v>44509</v>
      </c>
      <c r="B1700" s="116">
        <v>1749.8</v>
      </c>
      <c r="C1700" s="116">
        <v>1742.4</v>
      </c>
      <c r="D1700" s="116">
        <v>1726.15</v>
      </c>
      <c r="E1700" s="116">
        <v>1737</v>
      </c>
      <c r="F1700" s="116">
        <v>1742.4</v>
      </c>
      <c r="G1700">
        <v>196905</v>
      </c>
      <c r="H1700" s="116"/>
      <c r="I1700" s="116"/>
      <c r="L1700" s="170">
        <v>44509</v>
      </c>
      <c r="M1700" s="116">
        <v>1742.5</v>
      </c>
      <c r="N1700" s="116">
        <v>1750</v>
      </c>
      <c r="O1700" s="116">
        <v>1726</v>
      </c>
      <c r="P1700" s="116">
        <v>1734.75</v>
      </c>
      <c r="Q1700" s="116">
        <v>1742.5</v>
      </c>
      <c r="R1700">
        <v>4016134</v>
      </c>
    </row>
    <row r="1701" spans="1:18" x14ac:dyDescent="0.25">
      <c r="A1701" s="170">
        <v>44510</v>
      </c>
      <c r="B1701" s="116">
        <v>1750.9</v>
      </c>
      <c r="C1701" s="116">
        <v>1738.2</v>
      </c>
      <c r="D1701" s="116">
        <v>1723.25</v>
      </c>
      <c r="E1701" s="116">
        <v>1734.7</v>
      </c>
      <c r="F1701" s="116">
        <v>1738.2</v>
      </c>
      <c r="G1701">
        <v>55312</v>
      </c>
      <c r="H1701" s="116"/>
      <c r="I1701" s="116"/>
      <c r="L1701" s="170">
        <v>44510</v>
      </c>
      <c r="M1701" s="116">
        <v>1740.15</v>
      </c>
      <c r="N1701" s="116">
        <v>1750.95</v>
      </c>
      <c r="O1701" s="116">
        <v>1721.95</v>
      </c>
      <c r="P1701" s="116">
        <v>1726</v>
      </c>
      <c r="Q1701" s="116">
        <v>1740.15</v>
      </c>
      <c r="R1701">
        <v>4780368</v>
      </c>
    </row>
    <row r="1702" spans="1:18" x14ac:dyDescent="0.25">
      <c r="A1702" s="170">
        <v>44511</v>
      </c>
      <c r="B1702" s="116">
        <v>1740</v>
      </c>
      <c r="C1702" s="116">
        <v>1732.55</v>
      </c>
      <c r="D1702" s="116">
        <v>1710</v>
      </c>
      <c r="E1702" s="116">
        <v>1735</v>
      </c>
      <c r="F1702" s="116">
        <v>1732.55</v>
      </c>
      <c r="G1702">
        <v>55354</v>
      </c>
      <c r="H1702" s="116"/>
      <c r="I1702" s="116"/>
      <c r="L1702" s="170">
        <v>44511</v>
      </c>
      <c r="M1702" s="116">
        <v>1733.3</v>
      </c>
      <c r="N1702" s="116">
        <v>1739.75</v>
      </c>
      <c r="O1702" s="116">
        <v>1709</v>
      </c>
      <c r="P1702" s="116">
        <v>1732.95</v>
      </c>
      <c r="Q1702" s="116">
        <v>1733.3</v>
      </c>
      <c r="R1702">
        <v>4731349</v>
      </c>
    </row>
    <row r="1703" spans="1:18" x14ac:dyDescent="0.25">
      <c r="A1703" s="170">
        <v>44512</v>
      </c>
      <c r="B1703" s="116">
        <v>1782.4</v>
      </c>
      <c r="C1703" s="116">
        <v>1780</v>
      </c>
      <c r="D1703" s="116">
        <v>1738.3</v>
      </c>
      <c r="E1703" s="116">
        <v>1747</v>
      </c>
      <c r="F1703" s="116">
        <v>1780</v>
      </c>
      <c r="G1703">
        <v>200754</v>
      </c>
      <c r="H1703" s="116"/>
      <c r="I1703" s="116"/>
      <c r="L1703" s="170">
        <v>44512</v>
      </c>
      <c r="M1703" s="116">
        <v>1780.2</v>
      </c>
      <c r="N1703" s="116">
        <v>1782.85</v>
      </c>
      <c r="O1703" s="116">
        <v>1738.05</v>
      </c>
      <c r="P1703" s="116">
        <v>1743</v>
      </c>
      <c r="Q1703" s="116">
        <v>1780.2</v>
      </c>
      <c r="R1703">
        <v>5069009</v>
      </c>
    </row>
    <row r="1704" spans="1:18" x14ac:dyDescent="0.25">
      <c r="A1704" s="170">
        <v>44515</v>
      </c>
      <c r="B1704" s="116">
        <v>1800</v>
      </c>
      <c r="C1704" s="116">
        <v>1785.55</v>
      </c>
      <c r="D1704" s="116">
        <v>1776</v>
      </c>
      <c r="E1704" s="116">
        <v>1780.9</v>
      </c>
      <c r="F1704" s="116">
        <v>1785.55</v>
      </c>
      <c r="G1704">
        <v>352605</v>
      </c>
      <c r="H1704" s="116"/>
      <c r="I1704" s="116"/>
      <c r="L1704" s="170">
        <v>44515</v>
      </c>
      <c r="M1704" s="116">
        <v>1787.15</v>
      </c>
      <c r="N1704" s="116">
        <v>1800</v>
      </c>
      <c r="O1704" s="116">
        <v>1775.5</v>
      </c>
      <c r="P1704" s="116">
        <v>1782.1</v>
      </c>
      <c r="Q1704" s="116">
        <v>1787.15</v>
      </c>
      <c r="R1704">
        <v>4354074</v>
      </c>
    </row>
    <row r="1705" spans="1:18" x14ac:dyDescent="0.25">
      <c r="A1705" s="170">
        <v>44516</v>
      </c>
      <c r="B1705" s="116">
        <v>1808.65</v>
      </c>
      <c r="C1705" s="116">
        <v>1790.6</v>
      </c>
      <c r="D1705" s="116">
        <v>1777.25</v>
      </c>
      <c r="E1705" s="116">
        <v>1787</v>
      </c>
      <c r="F1705" s="116">
        <v>1790.6</v>
      </c>
      <c r="G1705">
        <v>111056</v>
      </c>
      <c r="H1705" s="116"/>
      <c r="I1705" s="116"/>
      <c r="L1705" s="170">
        <v>44516</v>
      </c>
      <c r="M1705" s="116">
        <v>1792.3</v>
      </c>
      <c r="N1705" s="116">
        <v>1808.95</v>
      </c>
      <c r="O1705" s="116">
        <v>1777</v>
      </c>
      <c r="P1705" s="116">
        <v>1790</v>
      </c>
      <c r="Q1705" s="116">
        <v>1792.3</v>
      </c>
      <c r="R1705">
        <v>6034233</v>
      </c>
    </row>
    <row r="1706" spans="1:18" x14ac:dyDescent="0.25">
      <c r="A1706" s="170">
        <v>44517</v>
      </c>
      <c r="B1706" s="116">
        <v>1802</v>
      </c>
      <c r="C1706" s="116">
        <v>1788.05</v>
      </c>
      <c r="D1706" s="116">
        <v>1781.1</v>
      </c>
      <c r="E1706" s="116">
        <v>1792.3</v>
      </c>
      <c r="F1706" s="116">
        <v>1788.05</v>
      </c>
      <c r="G1706">
        <v>53172</v>
      </c>
      <c r="H1706" s="116"/>
      <c r="I1706" s="116"/>
      <c r="L1706" s="170">
        <v>44517</v>
      </c>
      <c r="M1706" s="116">
        <v>1787.45</v>
      </c>
      <c r="N1706" s="116">
        <v>1802</v>
      </c>
      <c r="O1706" s="116">
        <v>1780.7</v>
      </c>
      <c r="P1706" s="116">
        <v>1792.55</v>
      </c>
      <c r="Q1706" s="116">
        <v>1787.45</v>
      </c>
      <c r="R1706">
        <v>4732492</v>
      </c>
    </row>
    <row r="1707" spans="1:18" x14ac:dyDescent="0.25">
      <c r="A1707" s="170">
        <v>44518</v>
      </c>
      <c r="B1707" s="116">
        <v>1789.3</v>
      </c>
      <c r="C1707" s="116">
        <v>1780.7</v>
      </c>
      <c r="D1707" s="116">
        <v>1759.05</v>
      </c>
      <c r="E1707" s="116">
        <v>1782</v>
      </c>
      <c r="F1707" s="116">
        <v>1780.7</v>
      </c>
      <c r="G1707">
        <v>258308</v>
      </c>
      <c r="H1707" s="116"/>
      <c r="I1707" s="116"/>
      <c r="L1707" s="170">
        <v>44518</v>
      </c>
      <c r="M1707" s="116">
        <v>1779.4</v>
      </c>
      <c r="N1707" s="116">
        <v>1789.45</v>
      </c>
      <c r="O1707" s="116">
        <v>1759</v>
      </c>
      <c r="P1707" s="116">
        <v>1781.6</v>
      </c>
      <c r="Q1707" s="116">
        <v>1779.4</v>
      </c>
      <c r="R1707">
        <v>4326924</v>
      </c>
    </row>
    <row r="1708" spans="1:18" x14ac:dyDescent="0.25">
      <c r="A1708" s="170">
        <v>44522</v>
      </c>
      <c r="B1708" s="116">
        <v>1785</v>
      </c>
      <c r="C1708" s="116">
        <v>1758.5</v>
      </c>
      <c r="D1708" s="116">
        <v>1751</v>
      </c>
      <c r="E1708" s="116">
        <v>1781</v>
      </c>
      <c r="F1708" s="116">
        <v>1758.5</v>
      </c>
      <c r="G1708">
        <v>435693</v>
      </c>
      <c r="H1708" s="116"/>
      <c r="I1708" s="116"/>
      <c r="L1708" s="170">
        <v>44522</v>
      </c>
      <c r="M1708" s="116">
        <v>1759.4</v>
      </c>
      <c r="N1708" s="116">
        <v>1785.4</v>
      </c>
      <c r="O1708" s="116">
        <v>1751.15</v>
      </c>
      <c r="P1708" s="116">
        <v>1784</v>
      </c>
      <c r="Q1708" s="116">
        <v>1759.4</v>
      </c>
      <c r="R1708">
        <v>6621839</v>
      </c>
    </row>
    <row r="1709" spans="1:18" x14ac:dyDescent="0.25">
      <c r="A1709" s="170">
        <v>44523</v>
      </c>
      <c r="B1709" s="116">
        <v>1747.05</v>
      </c>
      <c r="C1709" s="116">
        <v>1732.25</v>
      </c>
      <c r="D1709" s="116">
        <v>1710.75</v>
      </c>
      <c r="E1709" s="116">
        <v>1738.5</v>
      </c>
      <c r="F1709" s="116">
        <v>1732.25</v>
      </c>
      <c r="G1709">
        <v>103577</v>
      </c>
      <c r="H1709" s="116"/>
      <c r="I1709" s="116"/>
      <c r="L1709" s="170">
        <v>44523</v>
      </c>
      <c r="M1709" s="116">
        <v>1736.9</v>
      </c>
      <c r="N1709" s="116">
        <v>1747.25</v>
      </c>
      <c r="O1709" s="116">
        <v>1710</v>
      </c>
      <c r="P1709" s="116">
        <v>1735.1</v>
      </c>
      <c r="Q1709" s="116">
        <v>1736.9</v>
      </c>
      <c r="R1709">
        <v>8436160</v>
      </c>
    </row>
    <row r="1710" spans="1:18" x14ac:dyDescent="0.25">
      <c r="A1710" s="170">
        <v>44524</v>
      </c>
      <c r="B1710" s="116">
        <v>1740.05</v>
      </c>
      <c r="C1710" s="116">
        <v>1697.5</v>
      </c>
      <c r="D1710" s="116">
        <v>1689</v>
      </c>
      <c r="E1710" s="116">
        <v>1740</v>
      </c>
      <c r="F1710" s="116">
        <v>1697.5</v>
      </c>
      <c r="G1710">
        <v>247618</v>
      </c>
      <c r="H1710" s="116"/>
      <c r="I1710" s="116"/>
      <c r="L1710" s="170">
        <v>44524</v>
      </c>
      <c r="M1710" s="116">
        <v>1696</v>
      </c>
      <c r="N1710" s="116">
        <v>1740.5</v>
      </c>
      <c r="O1710" s="116">
        <v>1688</v>
      </c>
      <c r="P1710" s="116">
        <v>1740</v>
      </c>
      <c r="Q1710" s="116">
        <v>1696</v>
      </c>
      <c r="R1710">
        <v>7333061</v>
      </c>
    </row>
    <row r="1711" spans="1:18" x14ac:dyDescent="0.25">
      <c r="A1711" s="170">
        <v>44525</v>
      </c>
      <c r="B1711" s="116">
        <v>1725.85</v>
      </c>
      <c r="C1711" s="116">
        <v>1722.45</v>
      </c>
      <c r="D1711" s="116">
        <v>1698.65</v>
      </c>
      <c r="E1711" s="116">
        <v>1700</v>
      </c>
      <c r="F1711" s="116">
        <v>1722.45</v>
      </c>
      <c r="G1711">
        <v>216694</v>
      </c>
      <c r="H1711" s="116"/>
      <c r="I1711" s="116"/>
      <c r="L1711" s="170">
        <v>44525</v>
      </c>
      <c r="M1711" s="116">
        <v>1722.4</v>
      </c>
      <c r="N1711" s="116">
        <v>1726.2</v>
      </c>
      <c r="O1711" s="116">
        <v>1696.95</v>
      </c>
      <c r="P1711" s="116">
        <v>1700</v>
      </c>
      <c r="Q1711" s="116">
        <v>1722.4</v>
      </c>
      <c r="R1711">
        <v>4476260</v>
      </c>
    </row>
    <row r="1712" spans="1:18" x14ac:dyDescent="0.25">
      <c r="A1712" s="170">
        <v>44526</v>
      </c>
      <c r="B1712" s="116">
        <v>1718.1</v>
      </c>
      <c r="C1712" s="116">
        <v>1690.45</v>
      </c>
      <c r="D1712" s="116">
        <v>1683</v>
      </c>
      <c r="E1712" s="116">
        <v>1705.45</v>
      </c>
      <c r="F1712" s="116">
        <v>1690.45</v>
      </c>
      <c r="G1712">
        <v>450767</v>
      </c>
      <c r="H1712" s="116"/>
      <c r="I1712" s="116"/>
      <c r="L1712" s="170">
        <v>44526</v>
      </c>
      <c r="M1712" s="116">
        <v>1691.65</v>
      </c>
      <c r="N1712" s="116">
        <v>1718.35</v>
      </c>
      <c r="O1712" s="116">
        <v>1684</v>
      </c>
      <c r="P1712" s="116">
        <v>1702.55</v>
      </c>
      <c r="Q1712" s="116">
        <v>1691.65</v>
      </c>
      <c r="R1712">
        <v>4494181</v>
      </c>
    </row>
    <row r="1713" spans="1:18" x14ac:dyDescent="0.25">
      <c r="A1713" s="170">
        <v>44529</v>
      </c>
      <c r="B1713" s="116">
        <v>1711.9</v>
      </c>
      <c r="C1713" s="116">
        <v>1696.85</v>
      </c>
      <c r="D1713" s="116">
        <v>1669.55</v>
      </c>
      <c r="E1713" s="116">
        <v>1680</v>
      </c>
      <c r="F1713" s="116">
        <v>1696.85</v>
      </c>
      <c r="G1713">
        <v>108307</v>
      </c>
      <c r="H1713" s="116"/>
      <c r="I1713" s="116"/>
      <c r="L1713" s="170">
        <v>44529</v>
      </c>
      <c r="M1713" s="116">
        <v>1696.35</v>
      </c>
      <c r="N1713" s="116">
        <v>1712</v>
      </c>
      <c r="O1713" s="116">
        <v>1669.15</v>
      </c>
      <c r="P1713" s="116">
        <v>1691</v>
      </c>
      <c r="Q1713" s="116">
        <v>1696.35</v>
      </c>
      <c r="R1713">
        <v>3942776</v>
      </c>
    </row>
    <row r="1714" spans="1:18" x14ac:dyDescent="0.25">
      <c r="A1714" s="170">
        <v>44530</v>
      </c>
      <c r="B1714" s="116">
        <v>1729.9</v>
      </c>
      <c r="C1714" s="116">
        <v>1714.45</v>
      </c>
      <c r="D1714" s="116">
        <v>1700</v>
      </c>
      <c r="E1714" s="116">
        <v>1700</v>
      </c>
      <c r="F1714" s="116">
        <v>1714.45</v>
      </c>
      <c r="G1714">
        <v>227763</v>
      </c>
      <c r="H1714" s="116"/>
      <c r="I1714" s="116"/>
      <c r="L1714" s="170">
        <v>44530</v>
      </c>
      <c r="M1714" s="116">
        <v>1712.65</v>
      </c>
      <c r="N1714" s="116">
        <v>1729.9</v>
      </c>
      <c r="O1714" s="116">
        <v>1700.05</v>
      </c>
      <c r="P1714" s="116">
        <v>1704.55</v>
      </c>
      <c r="Q1714" s="116">
        <v>1712.65</v>
      </c>
      <c r="R1714">
        <v>14808963</v>
      </c>
    </row>
    <row r="1715" spans="1:18" x14ac:dyDescent="0.25">
      <c r="A1715" s="170">
        <v>44531</v>
      </c>
      <c r="B1715" s="116">
        <v>1741.4</v>
      </c>
      <c r="C1715" s="116">
        <v>1715.5</v>
      </c>
      <c r="D1715" s="116">
        <v>1713.45</v>
      </c>
      <c r="E1715" s="116">
        <v>1715</v>
      </c>
      <c r="F1715" s="116">
        <v>1715.5</v>
      </c>
      <c r="G1715">
        <v>292079</v>
      </c>
      <c r="H1715" s="116"/>
      <c r="I1715" s="116"/>
      <c r="L1715" s="170">
        <v>44531</v>
      </c>
      <c r="M1715" s="116">
        <v>1714.9</v>
      </c>
      <c r="N1715" s="116">
        <v>1741.9</v>
      </c>
      <c r="O1715" s="116">
        <v>1713</v>
      </c>
      <c r="P1715" s="116">
        <v>1715</v>
      </c>
      <c r="Q1715" s="116">
        <v>1714.9</v>
      </c>
      <c r="R1715">
        <v>5193264</v>
      </c>
    </row>
    <row r="1716" spans="1:18" x14ac:dyDescent="0.25">
      <c r="A1716" s="170">
        <v>44532</v>
      </c>
      <c r="B1716" s="116">
        <v>1750</v>
      </c>
      <c r="C1716" s="116">
        <v>1748.25</v>
      </c>
      <c r="D1716" s="116">
        <v>1713</v>
      </c>
      <c r="E1716" s="116">
        <v>1715</v>
      </c>
      <c r="F1716" s="116">
        <v>1748.25</v>
      </c>
      <c r="G1716">
        <v>239513</v>
      </c>
      <c r="H1716" s="116"/>
      <c r="I1716" s="116"/>
      <c r="L1716" s="170">
        <v>44532</v>
      </c>
      <c r="M1716" s="116">
        <v>1748.25</v>
      </c>
      <c r="N1716" s="116">
        <v>1750.5</v>
      </c>
      <c r="O1716" s="116">
        <v>1711.35</v>
      </c>
      <c r="P1716" s="116">
        <v>1715</v>
      </c>
      <c r="Q1716" s="116">
        <v>1748.25</v>
      </c>
      <c r="R1716">
        <v>5559574</v>
      </c>
    </row>
    <row r="1717" spans="1:18" x14ac:dyDescent="0.25">
      <c r="A1717" s="170">
        <v>44533</v>
      </c>
      <c r="B1717" s="116">
        <v>1786.7</v>
      </c>
      <c r="C1717" s="116">
        <v>1734.9</v>
      </c>
      <c r="D1717" s="116">
        <v>1732.2</v>
      </c>
      <c r="E1717" s="116">
        <v>1762</v>
      </c>
      <c r="F1717" s="116">
        <v>1734.9</v>
      </c>
      <c r="G1717">
        <v>1114743</v>
      </c>
      <c r="H1717" s="116"/>
      <c r="I1717" s="116"/>
      <c r="L1717" s="170">
        <v>44533</v>
      </c>
      <c r="M1717" s="116">
        <v>1735.55</v>
      </c>
      <c r="N1717" s="116">
        <v>1786.65</v>
      </c>
      <c r="O1717" s="116">
        <v>1732.55</v>
      </c>
      <c r="P1717" s="116">
        <v>1771.1</v>
      </c>
      <c r="Q1717" s="116">
        <v>1735.55</v>
      </c>
      <c r="R1717">
        <v>6754012</v>
      </c>
    </row>
    <row r="1718" spans="1:18" x14ac:dyDescent="0.25">
      <c r="A1718" s="170">
        <v>44536</v>
      </c>
      <c r="B1718" s="116">
        <v>1732.7</v>
      </c>
      <c r="C1718" s="116">
        <v>1693.65</v>
      </c>
      <c r="D1718" s="116">
        <v>1690</v>
      </c>
      <c r="E1718" s="116">
        <v>1732</v>
      </c>
      <c r="F1718" s="116">
        <v>1693.65</v>
      </c>
      <c r="G1718">
        <v>127555</v>
      </c>
      <c r="H1718" s="116"/>
      <c r="I1718" s="116"/>
      <c r="L1718" s="170">
        <v>44536</v>
      </c>
      <c r="M1718" s="116">
        <v>1695.3</v>
      </c>
      <c r="N1718" s="116">
        <v>1733.95</v>
      </c>
      <c r="O1718" s="116">
        <v>1691.5</v>
      </c>
      <c r="P1718" s="116">
        <v>1730</v>
      </c>
      <c r="Q1718" s="116">
        <v>1695.3</v>
      </c>
      <c r="R1718">
        <v>3991449</v>
      </c>
    </row>
    <row r="1719" spans="1:18" x14ac:dyDescent="0.25">
      <c r="A1719" s="170">
        <v>44537</v>
      </c>
      <c r="B1719" s="116">
        <v>1724.95</v>
      </c>
      <c r="C1719" s="116">
        <v>1712.25</v>
      </c>
      <c r="D1719" s="116">
        <v>1694.5</v>
      </c>
      <c r="E1719" s="116">
        <v>1705</v>
      </c>
      <c r="F1719" s="116">
        <v>1712.25</v>
      </c>
      <c r="G1719">
        <v>53639</v>
      </c>
      <c r="H1719" s="116"/>
      <c r="I1719" s="116"/>
      <c r="L1719" s="170">
        <v>44537</v>
      </c>
      <c r="M1719" s="116">
        <v>1711.65</v>
      </c>
      <c r="N1719" s="116">
        <v>1724.9</v>
      </c>
      <c r="O1719" s="116">
        <v>1694</v>
      </c>
      <c r="P1719" s="116">
        <v>1701.1</v>
      </c>
      <c r="Q1719" s="116">
        <v>1711.65</v>
      </c>
      <c r="R1719">
        <v>4202122</v>
      </c>
    </row>
    <row r="1720" spans="1:18" x14ac:dyDescent="0.25">
      <c r="A1720" s="170">
        <v>44538</v>
      </c>
      <c r="B1720" s="116">
        <v>1759.6</v>
      </c>
      <c r="C1720" s="116">
        <v>1752.9</v>
      </c>
      <c r="D1720" s="116">
        <v>1724</v>
      </c>
      <c r="E1720" s="116">
        <v>1724</v>
      </c>
      <c r="F1720" s="116">
        <v>1752.9</v>
      </c>
      <c r="G1720">
        <v>589498</v>
      </c>
      <c r="H1720" s="116"/>
      <c r="I1720" s="116"/>
      <c r="L1720" s="170">
        <v>44538</v>
      </c>
      <c r="M1720" s="116">
        <v>1753.35</v>
      </c>
      <c r="N1720" s="116">
        <v>1759.8</v>
      </c>
      <c r="O1720" s="116">
        <v>1732.6</v>
      </c>
      <c r="P1720" s="116">
        <v>1733</v>
      </c>
      <c r="Q1720" s="116">
        <v>1753.35</v>
      </c>
      <c r="R1720">
        <v>3029169</v>
      </c>
    </row>
    <row r="1721" spans="1:18" x14ac:dyDescent="0.25">
      <c r="A1721" s="170">
        <v>44539</v>
      </c>
      <c r="B1721" s="116">
        <v>1769.3</v>
      </c>
      <c r="C1721" s="116">
        <v>1762.7</v>
      </c>
      <c r="D1721" s="116">
        <v>1742</v>
      </c>
      <c r="E1721" s="116">
        <v>1758</v>
      </c>
      <c r="F1721" s="116">
        <v>1762.7</v>
      </c>
      <c r="G1721">
        <v>62660</v>
      </c>
      <c r="H1721" s="116"/>
      <c r="I1721" s="116"/>
      <c r="L1721" s="170">
        <v>44539</v>
      </c>
      <c r="M1721" s="116">
        <v>1763.45</v>
      </c>
      <c r="N1721" s="116">
        <v>1769.4</v>
      </c>
      <c r="O1721" s="116">
        <v>1742</v>
      </c>
      <c r="P1721" s="116">
        <v>1759</v>
      </c>
      <c r="Q1721" s="116">
        <v>1763.45</v>
      </c>
      <c r="R1721">
        <v>2082171</v>
      </c>
    </row>
    <row r="1722" spans="1:18" x14ac:dyDescent="0.25">
      <c r="A1722" s="170">
        <v>44540</v>
      </c>
      <c r="B1722" s="116">
        <v>1763.8</v>
      </c>
      <c r="C1722" s="116">
        <v>1758.65</v>
      </c>
      <c r="D1722" s="116">
        <v>1746.05</v>
      </c>
      <c r="E1722" s="116">
        <v>1757</v>
      </c>
      <c r="F1722" s="116">
        <v>1758.65</v>
      </c>
      <c r="G1722">
        <v>43057</v>
      </c>
      <c r="H1722" s="116"/>
      <c r="I1722" s="116"/>
      <c r="L1722" s="170">
        <v>44540</v>
      </c>
      <c r="M1722" s="116">
        <v>1759.25</v>
      </c>
      <c r="N1722" s="116">
        <v>1763.75</v>
      </c>
      <c r="O1722" s="116">
        <v>1746</v>
      </c>
      <c r="P1722" s="116">
        <v>1760</v>
      </c>
      <c r="Q1722" s="116">
        <v>1759.25</v>
      </c>
      <c r="R1722">
        <v>1823469</v>
      </c>
    </row>
    <row r="1723" spans="1:18" x14ac:dyDescent="0.25">
      <c r="A1723" s="170">
        <v>44543</v>
      </c>
      <c r="B1723" s="116">
        <v>1772.5</v>
      </c>
      <c r="C1723" s="116">
        <v>1744.9</v>
      </c>
      <c r="D1723" s="116">
        <v>1739.25</v>
      </c>
      <c r="E1723" s="116">
        <v>1765</v>
      </c>
      <c r="F1723" s="116">
        <v>1744.9</v>
      </c>
      <c r="G1723">
        <v>68935</v>
      </c>
      <c r="H1723" s="116"/>
      <c r="I1723" s="116"/>
      <c r="L1723" s="170">
        <v>44543</v>
      </c>
      <c r="M1723" s="116">
        <v>1744.65</v>
      </c>
      <c r="N1723" s="116">
        <v>1771.35</v>
      </c>
      <c r="O1723" s="116">
        <v>1738.8</v>
      </c>
      <c r="P1723" s="116">
        <v>1767.05</v>
      </c>
      <c r="Q1723" s="116">
        <v>1744.65</v>
      </c>
      <c r="R1723">
        <v>4040584</v>
      </c>
    </row>
    <row r="1724" spans="1:18" x14ac:dyDescent="0.25">
      <c r="A1724" s="170">
        <v>44544</v>
      </c>
      <c r="B1724" s="116">
        <v>1759.45</v>
      </c>
      <c r="C1724" s="116">
        <v>1752.15</v>
      </c>
      <c r="D1724" s="116">
        <v>1711</v>
      </c>
      <c r="E1724" s="116">
        <v>1730</v>
      </c>
      <c r="F1724" s="116">
        <v>1752.15</v>
      </c>
      <c r="G1724">
        <v>101606</v>
      </c>
      <c r="H1724" s="116"/>
      <c r="I1724" s="116"/>
      <c r="L1724" s="170">
        <v>44544</v>
      </c>
      <c r="M1724" s="116">
        <v>1752.15</v>
      </c>
      <c r="N1724" s="116">
        <v>1763</v>
      </c>
      <c r="O1724" s="116">
        <v>1710.35</v>
      </c>
      <c r="P1724" s="116">
        <v>1730.9</v>
      </c>
      <c r="Q1724" s="116">
        <v>1752.15</v>
      </c>
      <c r="R1724">
        <v>4768144</v>
      </c>
    </row>
    <row r="1725" spans="1:18" x14ac:dyDescent="0.25">
      <c r="A1725" s="170">
        <v>44545</v>
      </c>
      <c r="B1725" s="116">
        <v>1748</v>
      </c>
      <c r="C1725" s="116">
        <v>1733.5</v>
      </c>
      <c r="D1725" s="116">
        <v>1721.8</v>
      </c>
      <c r="E1725" s="116">
        <v>1748</v>
      </c>
      <c r="F1725" s="116">
        <v>1733.5</v>
      </c>
      <c r="G1725">
        <v>119137</v>
      </c>
      <c r="H1725" s="116"/>
      <c r="I1725" s="116"/>
      <c r="L1725" s="170">
        <v>44545</v>
      </c>
      <c r="M1725" s="116">
        <v>1734.2</v>
      </c>
      <c r="N1725" s="116">
        <v>1747.95</v>
      </c>
      <c r="O1725" s="116">
        <v>1721.2</v>
      </c>
      <c r="P1725" s="116">
        <v>1745</v>
      </c>
      <c r="Q1725" s="116">
        <v>1734.2</v>
      </c>
      <c r="R1725">
        <v>3053149</v>
      </c>
    </row>
    <row r="1726" spans="1:18" x14ac:dyDescent="0.25">
      <c r="A1726" s="170">
        <v>44546</v>
      </c>
      <c r="B1726" s="116">
        <v>1777.75</v>
      </c>
      <c r="C1726" s="116">
        <v>1771.4</v>
      </c>
      <c r="D1726" s="116">
        <v>1753</v>
      </c>
      <c r="E1726" s="116">
        <v>1753</v>
      </c>
      <c r="F1726" s="116">
        <v>1771.4</v>
      </c>
      <c r="G1726">
        <v>155806</v>
      </c>
      <c r="H1726" s="116"/>
      <c r="I1726" s="116"/>
      <c r="L1726" s="170">
        <v>44546</v>
      </c>
      <c r="M1726" s="116">
        <v>1771.6</v>
      </c>
      <c r="N1726" s="116">
        <v>1777.6</v>
      </c>
      <c r="O1726" s="116">
        <v>1758</v>
      </c>
      <c r="P1726" s="116">
        <v>1762.65</v>
      </c>
      <c r="Q1726" s="116">
        <v>1771.6</v>
      </c>
      <c r="R1726">
        <v>4481031</v>
      </c>
    </row>
    <row r="1727" spans="1:18" x14ac:dyDescent="0.25">
      <c r="A1727" s="170">
        <v>44547</v>
      </c>
      <c r="B1727" s="116">
        <v>1842</v>
      </c>
      <c r="C1727" s="116">
        <v>1821.7</v>
      </c>
      <c r="D1727" s="116">
        <v>1806.2</v>
      </c>
      <c r="E1727" s="116">
        <v>1815.4</v>
      </c>
      <c r="F1727" s="116">
        <v>1821.7</v>
      </c>
      <c r="G1727">
        <v>503657</v>
      </c>
      <c r="H1727" s="116"/>
      <c r="I1727" s="116"/>
      <c r="L1727" s="170">
        <v>44547</v>
      </c>
      <c r="M1727" s="116">
        <v>1820.85</v>
      </c>
      <c r="N1727" s="116">
        <v>1842</v>
      </c>
      <c r="O1727" s="116">
        <v>1806.75</v>
      </c>
      <c r="P1727" s="116">
        <v>1820</v>
      </c>
      <c r="Q1727" s="116">
        <v>1820.85</v>
      </c>
      <c r="R1727">
        <v>18887243</v>
      </c>
    </row>
    <row r="1728" spans="1:18" x14ac:dyDescent="0.25">
      <c r="A1728" s="170">
        <v>44550</v>
      </c>
      <c r="B1728" s="116">
        <v>1830</v>
      </c>
      <c r="C1728" s="116">
        <v>1798.7</v>
      </c>
      <c r="D1728" s="116">
        <v>1786.75</v>
      </c>
      <c r="E1728" s="116">
        <v>1806</v>
      </c>
      <c r="F1728" s="116">
        <v>1798.7</v>
      </c>
      <c r="G1728">
        <v>314664</v>
      </c>
      <c r="H1728" s="116"/>
      <c r="I1728" s="116"/>
      <c r="L1728" s="170">
        <v>44550</v>
      </c>
      <c r="M1728" s="116">
        <v>1798.9</v>
      </c>
      <c r="N1728" s="116">
        <v>1829.65</v>
      </c>
      <c r="O1728" s="116">
        <v>1787.3</v>
      </c>
      <c r="P1728" s="116">
        <v>1801.7</v>
      </c>
      <c r="Q1728" s="116">
        <v>1798.9</v>
      </c>
      <c r="R1728">
        <v>5773891</v>
      </c>
    </row>
    <row r="1729" spans="1:18" x14ac:dyDescent="0.25">
      <c r="A1729" s="170">
        <v>44551</v>
      </c>
      <c r="B1729" s="116">
        <v>1838.5</v>
      </c>
      <c r="C1729" s="116">
        <v>1812.5</v>
      </c>
      <c r="D1729" s="116">
        <v>1800</v>
      </c>
      <c r="E1729" s="116">
        <v>1800</v>
      </c>
      <c r="F1729" s="116">
        <v>1812.5</v>
      </c>
      <c r="G1729">
        <v>92781</v>
      </c>
      <c r="H1729" s="116"/>
      <c r="I1729" s="116"/>
      <c r="L1729" s="170">
        <v>44551</v>
      </c>
      <c r="M1729" s="116">
        <v>1811.6</v>
      </c>
      <c r="N1729" s="116">
        <v>1838</v>
      </c>
      <c r="O1729" s="116">
        <v>1801</v>
      </c>
      <c r="P1729" s="116">
        <v>1801</v>
      </c>
      <c r="Q1729" s="116">
        <v>1811.6</v>
      </c>
      <c r="R1729">
        <v>5353584</v>
      </c>
    </row>
    <row r="1730" spans="1:18" x14ac:dyDescent="0.25">
      <c r="A1730" s="170">
        <v>44552</v>
      </c>
      <c r="B1730" s="116">
        <v>1829.9</v>
      </c>
      <c r="C1730" s="116">
        <v>1824.45</v>
      </c>
      <c r="D1730" s="116">
        <v>1812.4</v>
      </c>
      <c r="E1730" s="116">
        <v>1829.9</v>
      </c>
      <c r="F1730" s="116">
        <v>1824.45</v>
      </c>
      <c r="G1730">
        <v>150627</v>
      </c>
      <c r="H1730" s="116"/>
      <c r="I1730" s="116"/>
      <c r="L1730" s="170">
        <v>44552</v>
      </c>
      <c r="M1730" s="116">
        <v>1824.7</v>
      </c>
      <c r="N1730" s="116">
        <v>1829.15</v>
      </c>
      <c r="O1730" s="116">
        <v>1812.35</v>
      </c>
      <c r="P1730" s="116">
        <v>1825</v>
      </c>
      <c r="Q1730" s="116">
        <v>1824.7</v>
      </c>
      <c r="R1730">
        <v>4156428</v>
      </c>
    </row>
    <row r="1731" spans="1:18" x14ac:dyDescent="0.25">
      <c r="A1731" s="170">
        <v>44553</v>
      </c>
      <c r="B1731" s="116">
        <v>1861.65</v>
      </c>
      <c r="C1731" s="116">
        <v>1856.8</v>
      </c>
      <c r="D1731" s="116">
        <v>1827.05</v>
      </c>
      <c r="E1731" s="116">
        <v>1830</v>
      </c>
      <c r="F1731" s="116">
        <v>1856.8</v>
      </c>
      <c r="G1731">
        <v>165540</v>
      </c>
      <c r="H1731" s="116"/>
      <c r="I1731" s="116"/>
      <c r="L1731" s="170">
        <v>44553</v>
      </c>
      <c r="M1731" s="116">
        <v>1857.6</v>
      </c>
      <c r="N1731" s="116">
        <v>1861.6</v>
      </c>
      <c r="O1731" s="116">
        <v>1827</v>
      </c>
      <c r="P1731" s="116">
        <v>1831.25</v>
      </c>
      <c r="Q1731" s="116">
        <v>1857.6</v>
      </c>
      <c r="R1731">
        <v>4112933</v>
      </c>
    </row>
    <row r="1732" spans="1:18" x14ac:dyDescent="0.25">
      <c r="A1732" s="170">
        <v>44554</v>
      </c>
      <c r="B1732" s="116">
        <v>1913</v>
      </c>
      <c r="C1732" s="116">
        <v>1863.65</v>
      </c>
      <c r="D1732" s="116">
        <v>1854.2</v>
      </c>
      <c r="E1732" s="116">
        <v>1871.95</v>
      </c>
      <c r="F1732" s="116">
        <v>1863.65</v>
      </c>
      <c r="G1732">
        <v>135134</v>
      </c>
      <c r="H1732" s="116"/>
      <c r="I1732" s="116"/>
      <c r="L1732" s="170">
        <v>44554</v>
      </c>
      <c r="M1732" s="116">
        <v>1863.5</v>
      </c>
      <c r="N1732" s="116">
        <v>1875.75</v>
      </c>
      <c r="O1732" s="116">
        <v>1854</v>
      </c>
      <c r="P1732" s="116">
        <v>1872.95</v>
      </c>
      <c r="Q1732" s="116">
        <v>1863.5</v>
      </c>
      <c r="R1732">
        <v>3780347</v>
      </c>
    </row>
    <row r="1733" spans="1:18" x14ac:dyDescent="0.25">
      <c r="A1733" s="170">
        <v>44557</v>
      </c>
      <c r="B1733" s="116">
        <v>1874.25</v>
      </c>
      <c r="C1733" s="116">
        <v>1866.25</v>
      </c>
      <c r="D1733" s="116">
        <v>1845</v>
      </c>
      <c r="E1733" s="116">
        <v>1859</v>
      </c>
      <c r="F1733" s="116">
        <v>1866.25</v>
      </c>
      <c r="G1733">
        <v>160685</v>
      </c>
      <c r="H1733" s="116"/>
      <c r="I1733" s="116"/>
      <c r="L1733" s="170">
        <v>44557</v>
      </c>
      <c r="M1733" s="116">
        <v>1866.15</v>
      </c>
      <c r="N1733" s="116">
        <v>1874.5</v>
      </c>
      <c r="O1733" s="116">
        <v>1845.05</v>
      </c>
      <c r="P1733" s="116">
        <v>1860</v>
      </c>
      <c r="Q1733" s="116">
        <v>1866.15</v>
      </c>
      <c r="R1733">
        <v>2647733</v>
      </c>
    </row>
    <row r="1734" spans="1:18" x14ac:dyDescent="0.25">
      <c r="A1734" s="170">
        <v>44558</v>
      </c>
      <c r="B1734" s="116">
        <v>1895</v>
      </c>
      <c r="C1734" s="116">
        <v>1887.45</v>
      </c>
      <c r="D1734" s="116">
        <v>1875</v>
      </c>
      <c r="E1734" s="116">
        <v>1875</v>
      </c>
      <c r="F1734" s="116">
        <v>1887.45</v>
      </c>
      <c r="G1734">
        <v>166972</v>
      </c>
      <c r="H1734" s="116"/>
      <c r="I1734" s="116"/>
      <c r="L1734" s="170">
        <v>44558</v>
      </c>
      <c r="M1734" s="116">
        <v>1888</v>
      </c>
      <c r="N1734" s="116">
        <v>1895.9</v>
      </c>
      <c r="O1734" s="116">
        <v>1878.4</v>
      </c>
      <c r="P1734" s="116">
        <v>1880.7</v>
      </c>
      <c r="Q1734" s="116">
        <v>1888</v>
      </c>
      <c r="R1734">
        <v>3340933</v>
      </c>
    </row>
    <row r="1735" spans="1:18" x14ac:dyDescent="0.25">
      <c r="A1735" s="170">
        <v>44559</v>
      </c>
      <c r="B1735" s="116">
        <v>1893.2</v>
      </c>
      <c r="C1735" s="116">
        <v>1885.05</v>
      </c>
      <c r="D1735" s="116">
        <v>1876.65</v>
      </c>
      <c r="E1735" s="116">
        <v>1884.95</v>
      </c>
      <c r="F1735" s="116">
        <v>1885.05</v>
      </c>
      <c r="G1735">
        <v>165221</v>
      </c>
      <c r="H1735" s="116"/>
      <c r="I1735" s="116"/>
      <c r="L1735" s="170">
        <v>44559</v>
      </c>
      <c r="M1735" s="116">
        <v>1885.55</v>
      </c>
      <c r="N1735" s="116">
        <v>1893.8</v>
      </c>
      <c r="O1735" s="116">
        <v>1876.4</v>
      </c>
      <c r="P1735" s="116">
        <v>1883.5</v>
      </c>
      <c r="Q1735" s="116">
        <v>1885.55</v>
      </c>
      <c r="R1735">
        <v>3236635</v>
      </c>
    </row>
    <row r="1736" spans="1:18" x14ac:dyDescent="0.25">
      <c r="A1736" s="170">
        <v>44560</v>
      </c>
      <c r="B1736" s="116">
        <v>1909.2</v>
      </c>
      <c r="C1736" s="116">
        <v>1892.65</v>
      </c>
      <c r="D1736" s="116">
        <v>1875</v>
      </c>
      <c r="E1736" s="116">
        <v>1884.45</v>
      </c>
      <c r="F1736" s="116">
        <v>1892.65</v>
      </c>
      <c r="G1736">
        <v>218918</v>
      </c>
      <c r="H1736" s="116"/>
      <c r="I1736" s="116"/>
      <c r="L1736" s="170">
        <v>44560</v>
      </c>
      <c r="M1736" s="116">
        <v>1892.85</v>
      </c>
      <c r="N1736" s="116">
        <v>1909.8</v>
      </c>
      <c r="O1736" s="116">
        <v>1874.35</v>
      </c>
      <c r="P1736" s="116">
        <v>1884.5</v>
      </c>
      <c r="Q1736" s="116">
        <v>1892.85</v>
      </c>
      <c r="R1736">
        <v>4584738</v>
      </c>
    </row>
    <row r="1737" spans="1:18" x14ac:dyDescent="0.25">
      <c r="A1737" s="170">
        <v>44561</v>
      </c>
      <c r="B1737" s="116">
        <v>1898.5</v>
      </c>
      <c r="C1737" s="116">
        <v>1889.65</v>
      </c>
      <c r="D1737" s="116">
        <v>1872</v>
      </c>
      <c r="E1737" s="116">
        <v>1888.1</v>
      </c>
      <c r="F1737" s="116">
        <v>1889.65</v>
      </c>
      <c r="G1737">
        <v>151059</v>
      </c>
      <c r="H1737" s="116"/>
      <c r="I1737" s="116"/>
      <c r="L1737" s="170">
        <v>44561</v>
      </c>
      <c r="M1737" s="116">
        <v>1887.75</v>
      </c>
      <c r="N1737" s="116">
        <v>1898.35</v>
      </c>
      <c r="O1737" s="116">
        <v>1871.65</v>
      </c>
      <c r="P1737" s="116">
        <v>1890</v>
      </c>
      <c r="Q1737" s="116">
        <v>1887.75</v>
      </c>
      <c r="R1737">
        <v>4619420</v>
      </c>
    </row>
    <row r="1738" spans="1:18" x14ac:dyDescent="0.25">
      <c r="A1738" s="170">
        <v>44564</v>
      </c>
      <c r="B1738" s="116">
        <v>1914</v>
      </c>
      <c r="C1738" s="116">
        <v>1897.15</v>
      </c>
      <c r="D1738" s="116">
        <v>1888.95</v>
      </c>
      <c r="E1738" s="116">
        <v>1890</v>
      </c>
      <c r="F1738" s="116">
        <v>1897.15</v>
      </c>
      <c r="G1738">
        <v>324129</v>
      </c>
      <c r="H1738" s="116"/>
      <c r="I1738" s="116"/>
      <c r="L1738" s="170">
        <v>44564</v>
      </c>
      <c r="M1738" s="116">
        <v>1898.45</v>
      </c>
      <c r="N1738" s="116">
        <v>1914.05</v>
      </c>
      <c r="O1738" s="116">
        <v>1887.75</v>
      </c>
      <c r="P1738" s="116">
        <v>1887.75</v>
      </c>
      <c r="Q1738" s="116">
        <v>1898.45</v>
      </c>
      <c r="R1738">
        <v>3329616</v>
      </c>
    </row>
    <row r="1739" spans="1:18" x14ac:dyDescent="0.25">
      <c r="A1739" s="170">
        <v>44565</v>
      </c>
      <c r="B1739" s="116">
        <v>1906</v>
      </c>
      <c r="C1739" s="116">
        <v>1896.25</v>
      </c>
      <c r="D1739" s="116">
        <v>1878</v>
      </c>
      <c r="E1739" s="116">
        <v>1899</v>
      </c>
      <c r="F1739" s="116">
        <v>1896.25</v>
      </c>
      <c r="G1739">
        <v>328891</v>
      </c>
      <c r="H1739" s="116"/>
      <c r="I1739" s="116"/>
      <c r="L1739" s="170">
        <v>44565</v>
      </c>
      <c r="M1739" s="116">
        <v>1899.15</v>
      </c>
      <c r="N1739" s="116">
        <v>1906.65</v>
      </c>
      <c r="O1739" s="116">
        <v>1878</v>
      </c>
      <c r="P1739" s="116">
        <v>1898.45</v>
      </c>
      <c r="Q1739" s="116">
        <v>1899.15</v>
      </c>
      <c r="R1739">
        <v>3921999</v>
      </c>
    </row>
    <row r="1740" spans="1:18" x14ac:dyDescent="0.25">
      <c r="A1740" s="170">
        <v>44566</v>
      </c>
      <c r="B1740" s="116">
        <v>1900.8</v>
      </c>
      <c r="C1740" s="116">
        <v>1844.95</v>
      </c>
      <c r="D1740" s="116">
        <v>1840</v>
      </c>
      <c r="E1740" s="116">
        <v>1896</v>
      </c>
      <c r="F1740" s="116">
        <v>1844.95</v>
      </c>
      <c r="G1740">
        <v>169297</v>
      </c>
      <c r="H1740" s="116"/>
      <c r="I1740" s="116"/>
      <c r="L1740" s="170">
        <v>44566</v>
      </c>
      <c r="M1740" s="116">
        <v>1844.65</v>
      </c>
      <c r="N1740" s="116">
        <v>1902.9</v>
      </c>
      <c r="O1740" s="116">
        <v>1840</v>
      </c>
      <c r="P1740" s="116">
        <v>1900</v>
      </c>
      <c r="Q1740" s="116">
        <v>1844.65</v>
      </c>
      <c r="R1740">
        <v>6995719</v>
      </c>
    </row>
    <row r="1741" spans="1:18" x14ac:dyDescent="0.25">
      <c r="A1741" s="170">
        <v>44567</v>
      </c>
      <c r="B1741" s="116">
        <v>1827.15</v>
      </c>
      <c r="C1741" s="116">
        <v>1818.2</v>
      </c>
      <c r="D1741" s="116">
        <v>1800</v>
      </c>
      <c r="E1741" s="116">
        <v>1827.15</v>
      </c>
      <c r="F1741" s="116">
        <v>1818.2</v>
      </c>
      <c r="G1741">
        <v>498350</v>
      </c>
      <c r="H1741" s="116"/>
      <c r="I1741" s="116"/>
      <c r="L1741" s="170">
        <v>44567</v>
      </c>
      <c r="M1741" s="116">
        <v>1817.8</v>
      </c>
      <c r="N1741" s="116">
        <v>1828</v>
      </c>
      <c r="O1741" s="116">
        <v>1800</v>
      </c>
      <c r="P1741" s="116">
        <v>1828</v>
      </c>
      <c r="Q1741" s="116">
        <v>1817.8</v>
      </c>
      <c r="R1741">
        <v>6449205</v>
      </c>
    </row>
    <row r="1742" spans="1:18" x14ac:dyDescent="0.25">
      <c r="A1742" s="170">
        <v>44568</v>
      </c>
      <c r="B1742" s="116">
        <v>1835.8</v>
      </c>
      <c r="C1742" s="116">
        <v>1813.15</v>
      </c>
      <c r="D1742" s="116">
        <v>1808</v>
      </c>
      <c r="E1742" s="116">
        <v>1817.8</v>
      </c>
      <c r="F1742" s="116">
        <v>1813.15</v>
      </c>
      <c r="G1742">
        <v>296361</v>
      </c>
      <c r="H1742" s="116"/>
      <c r="I1742" s="116"/>
      <c r="L1742" s="170">
        <v>44568</v>
      </c>
      <c r="M1742" s="116">
        <v>1814.3</v>
      </c>
      <c r="N1742" s="116">
        <v>1836</v>
      </c>
      <c r="O1742" s="116">
        <v>1806.8</v>
      </c>
      <c r="P1742" s="116">
        <v>1815.45</v>
      </c>
      <c r="Q1742" s="116">
        <v>1814.3</v>
      </c>
      <c r="R1742">
        <v>4834389</v>
      </c>
    </row>
    <row r="1743" spans="1:18" x14ac:dyDescent="0.25">
      <c r="A1743" s="170">
        <v>44571</v>
      </c>
      <c r="B1743" s="116">
        <v>1869.5</v>
      </c>
      <c r="C1743" s="116">
        <v>1851.1</v>
      </c>
      <c r="D1743" s="116">
        <v>1813.8</v>
      </c>
      <c r="E1743" s="116">
        <v>1815.05</v>
      </c>
      <c r="F1743" s="116">
        <v>1851.1</v>
      </c>
      <c r="G1743">
        <v>246641</v>
      </c>
      <c r="H1743" s="116"/>
      <c r="I1743" s="116"/>
      <c r="L1743" s="170">
        <v>44571</v>
      </c>
      <c r="M1743" s="116">
        <v>1850.75</v>
      </c>
      <c r="N1743" s="116">
        <v>1869.9</v>
      </c>
      <c r="O1743" s="116">
        <v>1813</v>
      </c>
      <c r="P1743" s="116">
        <v>1815</v>
      </c>
      <c r="Q1743" s="116">
        <v>1850.75</v>
      </c>
      <c r="R1743">
        <v>7857560</v>
      </c>
    </row>
    <row r="1744" spans="1:18" x14ac:dyDescent="0.25">
      <c r="A1744" s="170">
        <v>44572</v>
      </c>
      <c r="B1744" s="116">
        <v>1869.95</v>
      </c>
      <c r="C1744" s="116">
        <v>1856.05</v>
      </c>
      <c r="D1744" s="116">
        <v>1850.75</v>
      </c>
      <c r="E1744" s="116">
        <v>1852</v>
      </c>
      <c r="F1744" s="116">
        <v>1856.05</v>
      </c>
      <c r="G1744">
        <v>182510</v>
      </c>
      <c r="H1744" s="116"/>
      <c r="I1744" s="116"/>
      <c r="L1744" s="170">
        <v>44572</v>
      </c>
      <c r="M1744" s="116">
        <v>1855.6</v>
      </c>
      <c r="N1744" s="116">
        <v>1870</v>
      </c>
      <c r="O1744" s="116">
        <v>1850.15</v>
      </c>
      <c r="P1744" s="116">
        <v>1855</v>
      </c>
      <c r="Q1744" s="116">
        <v>1855.6</v>
      </c>
      <c r="R1744">
        <v>5142287</v>
      </c>
    </row>
    <row r="1745" spans="1:18" x14ac:dyDescent="0.25">
      <c r="A1745" s="170">
        <v>44573</v>
      </c>
      <c r="B1745" s="116">
        <v>1889</v>
      </c>
      <c r="C1745" s="116">
        <v>1877.6</v>
      </c>
      <c r="D1745" s="116">
        <v>1860.6</v>
      </c>
      <c r="E1745" s="116">
        <v>1873</v>
      </c>
      <c r="F1745" s="116">
        <v>1877.6</v>
      </c>
      <c r="G1745">
        <v>293646</v>
      </c>
      <c r="H1745" s="116"/>
      <c r="I1745" s="116"/>
      <c r="L1745" s="170">
        <v>44573</v>
      </c>
      <c r="M1745" s="116">
        <v>1877.45</v>
      </c>
      <c r="N1745" s="116">
        <v>1889</v>
      </c>
      <c r="O1745" s="116">
        <v>1860</v>
      </c>
      <c r="P1745" s="116">
        <v>1868.9</v>
      </c>
      <c r="Q1745" s="116">
        <v>1877.45</v>
      </c>
      <c r="R1745">
        <v>5362535</v>
      </c>
    </row>
    <row r="1746" spans="1:18" x14ac:dyDescent="0.25">
      <c r="A1746" s="170">
        <v>44574</v>
      </c>
      <c r="B1746" s="116">
        <v>1912</v>
      </c>
      <c r="C1746" s="116">
        <v>1897</v>
      </c>
      <c r="D1746" s="116">
        <v>1867.55</v>
      </c>
      <c r="E1746" s="116">
        <v>1882.4</v>
      </c>
      <c r="F1746" s="116">
        <v>1897</v>
      </c>
      <c r="G1746">
        <v>632205</v>
      </c>
      <c r="H1746" s="116"/>
      <c r="I1746" s="116"/>
      <c r="L1746" s="170">
        <v>44574</v>
      </c>
      <c r="M1746" s="116">
        <v>1896.8</v>
      </c>
      <c r="N1746" s="116">
        <v>1912.5</v>
      </c>
      <c r="O1746" s="116">
        <v>1866.35</v>
      </c>
      <c r="P1746" s="116">
        <v>1905</v>
      </c>
      <c r="Q1746" s="116">
        <v>1896.8</v>
      </c>
      <c r="R1746">
        <v>14277630</v>
      </c>
    </row>
    <row r="1747" spans="1:18" x14ac:dyDescent="0.25">
      <c r="A1747" s="170">
        <v>44575</v>
      </c>
      <c r="B1747" s="116">
        <v>1932.95</v>
      </c>
      <c r="C1747" s="116">
        <v>1928.2</v>
      </c>
      <c r="D1747" s="116">
        <v>1879</v>
      </c>
      <c r="E1747" s="116">
        <v>1879</v>
      </c>
      <c r="F1747" s="116">
        <v>1928.2</v>
      </c>
      <c r="G1747">
        <v>421856</v>
      </c>
      <c r="H1747" s="116"/>
      <c r="I1747" s="116"/>
      <c r="L1747" s="170">
        <v>44575</v>
      </c>
      <c r="M1747" s="116">
        <v>1929.35</v>
      </c>
      <c r="N1747" s="116">
        <v>1933</v>
      </c>
      <c r="O1747" s="116">
        <v>1881</v>
      </c>
      <c r="P1747" s="116">
        <v>1882</v>
      </c>
      <c r="Q1747" s="116">
        <v>1929.35</v>
      </c>
      <c r="R1747">
        <v>7688506</v>
      </c>
    </row>
    <row r="1748" spans="1:18" x14ac:dyDescent="0.25">
      <c r="A1748" s="170">
        <v>44578</v>
      </c>
      <c r="B1748" s="116">
        <v>1953.7</v>
      </c>
      <c r="C1748" s="116">
        <v>1939.35</v>
      </c>
      <c r="D1748" s="116">
        <v>1931.15</v>
      </c>
      <c r="E1748" s="116">
        <v>1935</v>
      </c>
      <c r="F1748" s="116">
        <v>1939.35</v>
      </c>
      <c r="G1748">
        <v>111197</v>
      </c>
      <c r="H1748" s="116"/>
      <c r="I1748" s="116"/>
      <c r="L1748" s="170">
        <v>44578</v>
      </c>
      <c r="M1748" s="116">
        <v>1939.5</v>
      </c>
      <c r="N1748" s="116">
        <v>1953.9</v>
      </c>
      <c r="O1748" s="116">
        <v>1930.5</v>
      </c>
      <c r="P1748" s="116">
        <v>1938.55</v>
      </c>
      <c r="Q1748" s="116">
        <v>1939.5</v>
      </c>
      <c r="R1748">
        <v>5262464</v>
      </c>
    </row>
    <row r="1749" spans="1:18" x14ac:dyDescent="0.25">
      <c r="A1749" s="170">
        <v>44579</v>
      </c>
      <c r="B1749" s="116">
        <v>1944</v>
      </c>
      <c r="C1749" s="116">
        <v>1920.95</v>
      </c>
      <c r="D1749" s="116">
        <v>1912</v>
      </c>
      <c r="E1749" s="116">
        <v>1930</v>
      </c>
      <c r="F1749" s="116">
        <v>1920.95</v>
      </c>
      <c r="G1749">
        <v>59778</v>
      </c>
      <c r="H1749" s="116"/>
      <c r="I1749" s="116"/>
      <c r="L1749" s="170">
        <v>44579</v>
      </c>
      <c r="M1749" s="116">
        <v>1920.75</v>
      </c>
      <c r="N1749" s="116">
        <v>1945</v>
      </c>
      <c r="O1749" s="116">
        <v>1911.45</v>
      </c>
      <c r="P1749" s="116">
        <v>1922.1</v>
      </c>
      <c r="Q1749" s="116">
        <v>1920.75</v>
      </c>
      <c r="R1749">
        <v>3690315</v>
      </c>
    </row>
    <row r="1750" spans="1:18" x14ac:dyDescent="0.25">
      <c r="A1750" s="170">
        <v>44580</v>
      </c>
      <c r="B1750" s="116">
        <v>1918.5</v>
      </c>
      <c r="C1750" s="116">
        <v>1867.7</v>
      </c>
      <c r="D1750" s="116">
        <v>1864.25</v>
      </c>
      <c r="E1750" s="116">
        <v>1918.5</v>
      </c>
      <c r="F1750" s="116">
        <v>1867.7</v>
      </c>
      <c r="G1750">
        <v>269890</v>
      </c>
      <c r="H1750" s="116"/>
      <c r="I1750" s="116"/>
      <c r="L1750" s="170">
        <v>44580</v>
      </c>
      <c r="M1750" s="116">
        <v>1867.05</v>
      </c>
      <c r="N1750" s="116">
        <v>1916</v>
      </c>
      <c r="O1750" s="116">
        <v>1862.85</v>
      </c>
      <c r="P1750" s="116">
        <v>1916</v>
      </c>
      <c r="Q1750" s="116">
        <v>1867.05</v>
      </c>
      <c r="R1750">
        <v>5747770</v>
      </c>
    </row>
    <row r="1751" spans="1:18" x14ac:dyDescent="0.25">
      <c r="A1751" s="170">
        <v>44581</v>
      </c>
      <c r="B1751" s="116">
        <v>1854</v>
      </c>
      <c r="C1751" s="116">
        <v>1824.15</v>
      </c>
      <c r="D1751" s="116">
        <v>1815.9</v>
      </c>
      <c r="E1751" s="116">
        <v>1854</v>
      </c>
      <c r="F1751" s="116">
        <v>1824.15</v>
      </c>
      <c r="G1751">
        <v>234368</v>
      </c>
      <c r="H1751" s="116"/>
      <c r="I1751" s="116"/>
      <c r="L1751" s="170">
        <v>44581</v>
      </c>
      <c r="M1751" s="116">
        <v>1823.7</v>
      </c>
      <c r="N1751" s="116">
        <v>1848</v>
      </c>
      <c r="O1751" s="116">
        <v>1815.5</v>
      </c>
      <c r="P1751" s="116">
        <v>1844</v>
      </c>
      <c r="Q1751" s="116">
        <v>1823.7</v>
      </c>
      <c r="R1751">
        <v>5533463</v>
      </c>
    </row>
    <row r="1752" spans="1:18" x14ac:dyDescent="0.25">
      <c r="A1752" s="170">
        <v>44582</v>
      </c>
      <c r="B1752" s="116">
        <v>1808.3</v>
      </c>
      <c r="C1752" s="116">
        <v>1786.05</v>
      </c>
      <c r="D1752" s="116">
        <v>1776.3</v>
      </c>
      <c r="E1752" s="116">
        <v>1800</v>
      </c>
      <c r="F1752" s="116">
        <v>1786.05</v>
      </c>
      <c r="G1752">
        <v>339253</v>
      </c>
      <c r="H1752" s="116"/>
      <c r="I1752" s="116"/>
      <c r="L1752" s="170">
        <v>44582</v>
      </c>
      <c r="M1752" s="116">
        <v>1785.7</v>
      </c>
      <c r="N1752" s="116">
        <v>1808</v>
      </c>
      <c r="O1752" s="116">
        <v>1776</v>
      </c>
      <c r="P1752" s="116">
        <v>1795</v>
      </c>
      <c r="Q1752" s="116">
        <v>1785.7</v>
      </c>
      <c r="R1752">
        <v>8252758</v>
      </c>
    </row>
    <row r="1753" spans="1:18" x14ac:dyDescent="0.25">
      <c r="A1753" s="170">
        <v>44585</v>
      </c>
      <c r="B1753" s="116">
        <v>1770</v>
      </c>
      <c r="C1753" s="116">
        <v>1736.9</v>
      </c>
      <c r="D1753" s="116">
        <v>1728.45</v>
      </c>
      <c r="E1753" s="116">
        <v>1770</v>
      </c>
      <c r="F1753" s="116">
        <v>1736.9</v>
      </c>
      <c r="G1753">
        <v>464704</v>
      </c>
      <c r="H1753" s="116"/>
      <c r="I1753" s="116"/>
      <c r="L1753" s="170">
        <v>44585</v>
      </c>
      <c r="M1753" s="116">
        <v>1736.8</v>
      </c>
      <c r="N1753" s="116">
        <v>1768.65</v>
      </c>
      <c r="O1753" s="116">
        <v>1728</v>
      </c>
      <c r="P1753" s="116">
        <v>1765</v>
      </c>
      <c r="Q1753" s="116">
        <v>1736.8</v>
      </c>
      <c r="R1753">
        <v>7116712</v>
      </c>
    </row>
    <row r="1754" spans="1:18" x14ac:dyDescent="0.25">
      <c r="A1754" s="170">
        <v>44586</v>
      </c>
      <c r="B1754" s="116">
        <v>1739.95</v>
      </c>
      <c r="C1754" s="116">
        <v>1722.1</v>
      </c>
      <c r="D1754" s="116">
        <v>1700.55</v>
      </c>
      <c r="E1754" s="116">
        <v>1725</v>
      </c>
      <c r="F1754" s="116">
        <v>1722.1</v>
      </c>
      <c r="G1754">
        <v>375359</v>
      </c>
      <c r="H1754" s="116"/>
      <c r="I1754" s="116"/>
      <c r="L1754" s="170">
        <v>44586</v>
      </c>
      <c r="M1754" s="116">
        <v>1722.15</v>
      </c>
      <c r="N1754" s="116">
        <v>1740</v>
      </c>
      <c r="O1754" s="116">
        <v>1700.5</v>
      </c>
      <c r="P1754" s="116">
        <v>1726.6</v>
      </c>
      <c r="Q1754" s="116">
        <v>1722.15</v>
      </c>
      <c r="R1754">
        <v>9137653</v>
      </c>
    </row>
    <row r="1755" spans="1:18" x14ac:dyDescent="0.25">
      <c r="A1755" s="170">
        <v>44588</v>
      </c>
      <c r="B1755" s="116">
        <v>1704</v>
      </c>
      <c r="C1755" s="116">
        <v>1678.5</v>
      </c>
      <c r="D1755" s="116">
        <v>1665.05</v>
      </c>
      <c r="E1755" s="116">
        <v>1704</v>
      </c>
      <c r="F1755" s="116">
        <v>1678.5</v>
      </c>
      <c r="G1755">
        <v>281782</v>
      </c>
      <c r="H1755" s="116"/>
      <c r="I1755" s="116"/>
      <c r="L1755" s="170">
        <v>44588</v>
      </c>
      <c r="M1755" s="116">
        <v>1678.6</v>
      </c>
      <c r="N1755" s="116">
        <v>1709.7</v>
      </c>
      <c r="O1755" s="116">
        <v>1665</v>
      </c>
      <c r="P1755" s="116">
        <v>1702</v>
      </c>
      <c r="Q1755" s="116">
        <v>1678.6</v>
      </c>
      <c r="R1755">
        <v>11231734</v>
      </c>
    </row>
    <row r="1756" spans="1:18" x14ac:dyDescent="0.25">
      <c r="A1756" s="170">
        <v>44589</v>
      </c>
      <c r="B1756" s="116">
        <v>1727.1</v>
      </c>
      <c r="C1756" s="116">
        <v>1685.25</v>
      </c>
      <c r="D1756" s="116">
        <v>1680</v>
      </c>
      <c r="E1756" s="116">
        <v>1685</v>
      </c>
      <c r="F1756" s="116">
        <v>1685.25</v>
      </c>
      <c r="G1756">
        <v>246907</v>
      </c>
      <c r="H1756" s="116"/>
      <c r="I1756" s="116"/>
      <c r="L1756" s="170">
        <v>44589</v>
      </c>
      <c r="M1756" s="116">
        <v>1686.2</v>
      </c>
      <c r="N1756" s="116">
        <v>1727.55</v>
      </c>
      <c r="O1756" s="116">
        <v>1679.5</v>
      </c>
      <c r="P1756" s="116">
        <v>1681</v>
      </c>
      <c r="Q1756" s="116">
        <v>1686.2</v>
      </c>
      <c r="R1756">
        <v>10998502</v>
      </c>
    </row>
    <row r="1757" spans="1:18" x14ac:dyDescent="0.25">
      <c r="A1757" s="170">
        <v>44592</v>
      </c>
      <c r="B1757" s="116">
        <v>1749.65</v>
      </c>
      <c r="C1757" s="116">
        <v>1736.7</v>
      </c>
      <c r="D1757" s="116">
        <v>1714.65</v>
      </c>
      <c r="E1757" s="116">
        <v>1719.45</v>
      </c>
      <c r="F1757" s="116">
        <v>1736.7</v>
      </c>
      <c r="G1757">
        <v>139255</v>
      </c>
      <c r="H1757" s="116"/>
      <c r="I1757" s="116"/>
      <c r="L1757" s="170">
        <v>44592</v>
      </c>
      <c r="M1757" s="116">
        <v>1736.2</v>
      </c>
      <c r="N1757" s="116">
        <v>1749.5</v>
      </c>
      <c r="O1757" s="116">
        <v>1715.35</v>
      </c>
      <c r="P1757" s="116">
        <v>1718</v>
      </c>
      <c r="Q1757" s="116">
        <v>1736.2</v>
      </c>
      <c r="R1757">
        <v>8788872</v>
      </c>
    </row>
    <row r="1758" spans="1:18" x14ac:dyDescent="0.25">
      <c r="A1758" s="170">
        <v>44593</v>
      </c>
      <c r="B1758" s="116">
        <v>1780</v>
      </c>
      <c r="C1758" s="116">
        <v>1772.15</v>
      </c>
      <c r="D1758" s="116">
        <v>1735</v>
      </c>
      <c r="E1758" s="116">
        <v>1763</v>
      </c>
      <c r="F1758" s="116">
        <v>1772.15</v>
      </c>
      <c r="G1758">
        <v>351475</v>
      </c>
      <c r="H1758" s="116"/>
      <c r="I1758" s="116"/>
      <c r="L1758" s="170">
        <v>44593</v>
      </c>
      <c r="M1758" s="116">
        <v>1772.05</v>
      </c>
      <c r="N1758" s="116">
        <v>1780</v>
      </c>
      <c r="O1758" s="116">
        <v>1734.7</v>
      </c>
      <c r="P1758" s="116">
        <v>1766.1</v>
      </c>
      <c r="Q1758" s="116">
        <v>1772.05</v>
      </c>
      <c r="R1758">
        <v>5119935</v>
      </c>
    </row>
    <row r="1759" spans="1:18" x14ac:dyDescent="0.25">
      <c r="A1759" s="170">
        <v>44594</v>
      </c>
      <c r="B1759" s="116">
        <v>1792.95</v>
      </c>
      <c r="C1759" s="116">
        <v>1788.1</v>
      </c>
      <c r="D1759" s="116">
        <v>1771.55</v>
      </c>
      <c r="E1759" s="116">
        <v>1780</v>
      </c>
      <c r="F1759" s="116">
        <v>1788.1</v>
      </c>
      <c r="G1759">
        <v>316328</v>
      </c>
      <c r="H1759" s="116"/>
      <c r="I1759" s="116"/>
      <c r="L1759" s="170">
        <v>44594</v>
      </c>
      <c r="M1759" s="116">
        <v>1787.1</v>
      </c>
      <c r="N1759" s="116">
        <v>1792.8</v>
      </c>
      <c r="O1759" s="116">
        <v>1772</v>
      </c>
      <c r="P1759" s="116">
        <v>1789</v>
      </c>
      <c r="Q1759" s="116">
        <v>1787.1</v>
      </c>
      <c r="R1759">
        <v>4253717</v>
      </c>
    </row>
    <row r="1760" spans="1:18" x14ac:dyDescent="0.25">
      <c r="A1760" s="170">
        <v>44595</v>
      </c>
      <c r="B1760" s="116">
        <v>1779.9</v>
      </c>
      <c r="C1760" s="116">
        <v>1738.7</v>
      </c>
      <c r="D1760" s="116">
        <v>1733.7</v>
      </c>
      <c r="E1760" s="116">
        <v>1779.9</v>
      </c>
      <c r="F1760" s="116">
        <v>1738.7</v>
      </c>
      <c r="G1760">
        <v>281493</v>
      </c>
      <c r="H1760" s="116"/>
      <c r="I1760" s="116"/>
      <c r="L1760" s="170">
        <v>44595</v>
      </c>
      <c r="M1760" s="116">
        <v>1738.55</v>
      </c>
      <c r="N1760" s="116">
        <v>1779</v>
      </c>
      <c r="O1760" s="116">
        <v>1734</v>
      </c>
      <c r="P1760" s="116">
        <v>1779</v>
      </c>
      <c r="Q1760" s="116">
        <v>1738.55</v>
      </c>
      <c r="R1760">
        <v>3832922</v>
      </c>
    </row>
    <row r="1761" spans="1:18" x14ac:dyDescent="0.25">
      <c r="A1761" s="170">
        <v>44596</v>
      </c>
      <c r="B1761" s="116">
        <v>1754</v>
      </c>
      <c r="C1761" s="116">
        <v>1740.95</v>
      </c>
      <c r="D1761" s="116">
        <v>1710.3</v>
      </c>
      <c r="E1761" s="116">
        <v>1725</v>
      </c>
      <c r="F1761" s="116">
        <v>1740.95</v>
      </c>
      <c r="G1761">
        <v>219991</v>
      </c>
      <c r="H1761" s="116"/>
      <c r="I1761" s="116"/>
      <c r="L1761" s="170">
        <v>44596</v>
      </c>
      <c r="M1761" s="116">
        <v>1741.1</v>
      </c>
      <c r="N1761" s="116">
        <v>1753.95</v>
      </c>
      <c r="O1761" s="116">
        <v>1710.15</v>
      </c>
      <c r="P1761" s="116">
        <v>1732</v>
      </c>
      <c r="Q1761" s="116">
        <v>1741.1</v>
      </c>
      <c r="R1761">
        <v>4700077</v>
      </c>
    </row>
    <row r="1762" spans="1:18" x14ac:dyDescent="0.25">
      <c r="A1762" s="170">
        <v>44599</v>
      </c>
      <c r="B1762" s="116">
        <v>1732.3</v>
      </c>
      <c r="C1762" s="116">
        <v>1714.85</v>
      </c>
      <c r="D1762" s="116">
        <v>1696</v>
      </c>
      <c r="E1762" s="116">
        <v>1725</v>
      </c>
      <c r="F1762" s="116">
        <v>1714.85</v>
      </c>
      <c r="G1762">
        <v>146147</v>
      </c>
      <c r="H1762" s="116"/>
      <c r="I1762" s="116"/>
      <c r="L1762" s="170">
        <v>44599</v>
      </c>
      <c r="M1762" s="116">
        <v>1715</v>
      </c>
      <c r="N1762" s="116">
        <v>1732</v>
      </c>
      <c r="O1762" s="116">
        <v>1695.4</v>
      </c>
      <c r="P1762" s="116">
        <v>1722.2</v>
      </c>
      <c r="Q1762" s="116">
        <v>1715</v>
      </c>
      <c r="R1762">
        <v>4310209</v>
      </c>
    </row>
    <row r="1763" spans="1:18" x14ac:dyDescent="0.25">
      <c r="A1763" s="170">
        <v>44600</v>
      </c>
      <c r="B1763" s="116">
        <v>1724.7</v>
      </c>
      <c r="C1763" s="116">
        <v>1716.55</v>
      </c>
      <c r="D1763" s="116">
        <v>1696</v>
      </c>
      <c r="E1763" s="116">
        <v>1712</v>
      </c>
      <c r="F1763" s="116">
        <v>1716.55</v>
      </c>
      <c r="G1763">
        <v>143574</v>
      </c>
      <c r="H1763" s="116"/>
      <c r="I1763" s="116"/>
      <c r="L1763" s="170">
        <v>44600</v>
      </c>
      <c r="M1763" s="116">
        <v>1717.3</v>
      </c>
      <c r="N1763" s="116">
        <v>1725</v>
      </c>
      <c r="O1763" s="116">
        <v>1696</v>
      </c>
      <c r="P1763" s="116">
        <v>1710</v>
      </c>
      <c r="Q1763" s="116">
        <v>1717.3</v>
      </c>
      <c r="R1763">
        <v>6053401</v>
      </c>
    </row>
    <row r="1764" spans="1:18" x14ac:dyDescent="0.25">
      <c r="A1764" s="170">
        <v>44601</v>
      </c>
      <c r="B1764" s="116">
        <v>1742.8</v>
      </c>
      <c r="C1764" s="116">
        <v>1737.5</v>
      </c>
      <c r="D1764" s="116">
        <v>1725.05</v>
      </c>
      <c r="E1764" s="116">
        <v>1730</v>
      </c>
      <c r="F1764" s="116">
        <v>1737.5</v>
      </c>
      <c r="G1764">
        <v>48350</v>
      </c>
      <c r="H1764" s="116"/>
      <c r="I1764" s="116"/>
      <c r="L1764" s="170">
        <v>44601</v>
      </c>
      <c r="M1764" s="116">
        <v>1737.3</v>
      </c>
      <c r="N1764" s="116">
        <v>1743</v>
      </c>
      <c r="O1764" s="116">
        <v>1725</v>
      </c>
      <c r="P1764" s="116">
        <v>1735</v>
      </c>
      <c r="Q1764" s="116">
        <v>1737.3</v>
      </c>
      <c r="R1764">
        <v>3867244</v>
      </c>
    </row>
    <row r="1765" spans="1:18" x14ac:dyDescent="0.25">
      <c r="A1765" s="170">
        <v>44602</v>
      </c>
      <c r="B1765" s="116">
        <v>1774</v>
      </c>
      <c r="C1765" s="116">
        <v>1768.85</v>
      </c>
      <c r="D1765" s="116">
        <v>1749</v>
      </c>
      <c r="E1765" s="116">
        <v>1757</v>
      </c>
      <c r="F1765" s="116">
        <v>1768.85</v>
      </c>
      <c r="G1765">
        <v>235437</v>
      </c>
      <c r="H1765" s="116"/>
      <c r="I1765" s="116"/>
      <c r="L1765" s="170">
        <v>44602</v>
      </c>
      <c r="M1765" s="116">
        <v>1769.6</v>
      </c>
      <c r="N1765" s="116">
        <v>1773.9</v>
      </c>
      <c r="O1765" s="116">
        <v>1748.75</v>
      </c>
      <c r="P1765" s="116">
        <v>1755.65</v>
      </c>
      <c r="Q1765" s="116">
        <v>1769.6</v>
      </c>
      <c r="R1765">
        <v>4334630</v>
      </c>
    </row>
    <row r="1766" spans="1:18" x14ac:dyDescent="0.25">
      <c r="A1766" s="170">
        <v>44603</v>
      </c>
      <c r="B1766" s="116">
        <v>1748.35</v>
      </c>
      <c r="C1766" s="116">
        <v>1721</v>
      </c>
      <c r="D1766" s="116">
        <v>1713.25</v>
      </c>
      <c r="E1766" s="116">
        <v>1740</v>
      </c>
      <c r="F1766" s="116">
        <v>1721</v>
      </c>
      <c r="G1766">
        <v>203337</v>
      </c>
      <c r="H1766" s="116"/>
      <c r="I1766" s="116"/>
      <c r="L1766" s="170">
        <v>44603</v>
      </c>
      <c r="M1766" s="116">
        <v>1721.35</v>
      </c>
      <c r="N1766" s="116">
        <v>1745.95</v>
      </c>
      <c r="O1766" s="116">
        <v>1713</v>
      </c>
      <c r="P1766" s="116">
        <v>1740</v>
      </c>
      <c r="Q1766" s="116">
        <v>1721.35</v>
      </c>
      <c r="R1766">
        <v>7551371</v>
      </c>
    </row>
    <row r="1767" spans="1:18" x14ac:dyDescent="0.25">
      <c r="A1767" s="170">
        <v>44606</v>
      </c>
      <c r="B1767" s="116">
        <v>1718.45</v>
      </c>
      <c r="C1767" s="116">
        <v>1683</v>
      </c>
      <c r="D1767" s="116">
        <v>1678.4</v>
      </c>
      <c r="E1767" s="116">
        <v>1690</v>
      </c>
      <c r="F1767" s="116">
        <v>1683</v>
      </c>
      <c r="G1767">
        <v>169432</v>
      </c>
      <c r="H1767" s="116"/>
      <c r="I1767" s="116"/>
      <c r="L1767" s="170">
        <v>44606</v>
      </c>
      <c r="M1767" s="116">
        <v>1682.2</v>
      </c>
      <c r="N1767" s="116">
        <v>1718.55</v>
      </c>
      <c r="O1767" s="116">
        <v>1678.25</v>
      </c>
      <c r="P1767" s="116">
        <v>1690</v>
      </c>
      <c r="Q1767" s="116">
        <v>1682.2</v>
      </c>
      <c r="R1767">
        <v>7459637</v>
      </c>
    </row>
    <row r="1768" spans="1:18" x14ac:dyDescent="0.25">
      <c r="A1768" s="170">
        <v>44607</v>
      </c>
      <c r="B1768" s="116">
        <v>1746</v>
      </c>
      <c r="C1768" s="116">
        <v>1738.25</v>
      </c>
      <c r="D1768" s="116">
        <v>1691</v>
      </c>
      <c r="E1768" s="116">
        <v>1695</v>
      </c>
      <c r="F1768" s="116">
        <v>1738.25</v>
      </c>
      <c r="G1768">
        <v>599584</v>
      </c>
      <c r="H1768" s="116"/>
      <c r="I1768" s="116"/>
      <c r="L1768" s="170">
        <v>44607</v>
      </c>
      <c r="M1768" s="116">
        <v>1738.25</v>
      </c>
      <c r="N1768" s="116">
        <v>1746.75</v>
      </c>
      <c r="O1768" s="116">
        <v>1690.45</v>
      </c>
      <c r="P1768" s="116">
        <v>1699</v>
      </c>
      <c r="Q1768" s="116">
        <v>1738.25</v>
      </c>
      <c r="R1768">
        <v>4669915</v>
      </c>
    </row>
    <row r="1769" spans="1:18" x14ac:dyDescent="0.25">
      <c r="A1769" s="170">
        <v>44608</v>
      </c>
      <c r="B1769" s="116">
        <v>1755.1</v>
      </c>
      <c r="C1769" s="116">
        <v>1732.75</v>
      </c>
      <c r="D1769" s="116">
        <v>1727.2</v>
      </c>
      <c r="E1769" s="116">
        <v>1739.95</v>
      </c>
      <c r="F1769" s="116">
        <v>1732.75</v>
      </c>
      <c r="G1769">
        <v>198350</v>
      </c>
      <c r="H1769" s="116"/>
      <c r="I1769" s="116"/>
      <c r="L1769" s="170">
        <v>44608</v>
      </c>
      <c r="M1769" s="116">
        <v>1733.3</v>
      </c>
      <c r="N1769" s="116">
        <v>1755.45</v>
      </c>
      <c r="O1769" s="116">
        <v>1726.85</v>
      </c>
      <c r="P1769" s="116">
        <v>1738.25</v>
      </c>
      <c r="Q1769" s="116">
        <v>1733.3</v>
      </c>
      <c r="R1769">
        <v>5350642</v>
      </c>
    </row>
    <row r="1770" spans="1:18" x14ac:dyDescent="0.25">
      <c r="A1770" s="170">
        <v>44609</v>
      </c>
      <c r="B1770" s="116">
        <v>1747.4</v>
      </c>
      <c r="C1770" s="116">
        <v>1725.35</v>
      </c>
      <c r="D1770" s="116">
        <v>1720.5</v>
      </c>
      <c r="E1770" s="116">
        <v>1747</v>
      </c>
      <c r="F1770" s="116">
        <v>1725.35</v>
      </c>
      <c r="G1770">
        <v>127749</v>
      </c>
      <c r="H1770" s="116"/>
      <c r="I1770" s="116"/>
      <c r="L1770" s="170">
        <v>44609</v>
      </c>
      <c r="M1770" s="116">
        <v>1724.8</v>
      </c>
      <c r="N1770" s="116">
        <v>1749</v>
      </c>
      <c r="O1770" s="116">
        <v>1720.3</v>
      </c>
      <c r="P1770" s="116">
        <v>1744</v>
      </c>
      <c r="Q1770" s="116">
        <v>1724.8</v>
      </c>
      <c r="R1770">
        <v>3937950</v>
      </c>
    </row>
    <row r="1771" spans="1:18" x14ac:dyDescent="0.25">
      <c r="A1771" s="170">
        <v>44610</v>
      </c>
      <c r="B1771" s="116">
        <v>1722.5</v>
      </c>
      <c r="C1771" s="116">
        <v>1707.1</v>
      </c>
      <c r="D1771" s="116">
        <v>1703.3</v>
      </c>
      <c r="E1771" s="116">
        <v>1703.3</v>
      </c>
      <c r="F1771" s="116">
        <v>1707.1</v>
      </c>
      <c r="G1771">
        <v>265062</v>
      </c>
      <c r="H1771" s="116"/>
      <c r="I1771" s="116"/>
      <c r="L1771" s="170">
        <v>44610</v>
      </c>
      <c r="M1771" s="116">
        <v>1706.95</v>
      </c>
      <c r="N1771" s="116">
        <v>1722.5</v>
      </c>
      <c r="O1771" s="116">
        <v>1703.5</v>
      </c>
      <c r="P1771" s="116">
        <v>1710</v>
      </c>
      <c r="Q1771" s="116">
        <v>1706.95</v>
      </c>
      <c r="R1771">
        <v>5602215</v>
      </c>
    </row>
    <row r="1772" spans="1:18" x14ac:dyDescent="0.25">
      <c r="A1772" s="170">
        <v>44613</v>
      </c>
      <c r="B1772" s="116">
        <v>1737</v>
      </c>
      <c r="C1772" s="116">
        <v>1730.6</v>
      </c>
      <c r="D1772" s="116">
        <v>1691.15</v>
      </c>
      <c r="E1772" s="116">
        <v>1698</v>
      </c>
      <c r="F1772" s="116">
        <v>1730.6</v>
      </c>
      <c r="G1772">
        <v>202580</v>
      </c>
      <c r="H1772" s="116"/>
      <c r="I1772" s="116"/>
      <c r="L1772" s="170">
        <v>44613</v>
      </c>
      <c r="M1772" s="116">
        <v>1730.7</v>
      </c>
      <c r="N1772" s="116">
        <v>1737.3</v>
      </c>
      <c r="O1772" s="116">
        <v>1691.5</v>
      </c>
      <c r="P1772" s="116">
        <v>1701</v>
      </c>
      <c r="Q1772" s="116">
        <v>1730.7</v>
      </c>
      <c r="R1772">
        <v>5120890</v>
      </c>
    </row>
    <row r="1773" spans="1:18" x14ac:dyDescent="0.25">
      <c r="A1773" s="170">
        <v>44614</v>
      </c>
      <c r="B1773" s="116">
        <v>1750</v>
      </c>
      <c r="C1773" s="116">
        <v>1734.15</v>
      </c>
      <c r="D1773" s="116">
        <v>1690.05</v>
      </c>
      <c r="E1773" s="116">
        <v>1690.05</v>
      </c>
      <c r="F1773" s="116">
        <v>1734.15</v>
      </c>
      <c r="G1773">
        <v>207717</v>
      </c>
      <c r="H1773" s="116"/>
      <c r="I1773" s="116"/>
      <c r="L1773" s="170">
        <v>44614</v>
      </c>
      <c r="M1773" s="116">
        <v>1734.35</v>
      </c>
      <c r="N1773" s="116">
        <v>1751</v>
      </c>
      <c r="O1773" s="116">
        <v>1691.05</v>
      </c>
      <c r="P1773" s="116">
        <v>1699.9</v>
      </c>
      <c r="Q1773" s="116">
        <v>1734.35</v>
      </c>
      <c r="R1773">
        <v>8878515</v>
      </c>
    </row>
    <row r="1774" spans="1:18" x14ac:dyDescent="0.25">
      <c r="A1774" s="170">
        <v>44615</v>
      </c>
      <c r="B1774" s="116">
        <v>1758</v>
      </c>
      <c r="C1774" s="116">
        <v>1743.35</v>
      </c>
      <c r="D1774" s="116">
        <v>1733.65</v>
      </c>
      <c r="E1774" s="116">
        <v>1750</v>
      </c>
      <c r="F1774" s="116">
        <v>1743.35</v>
      </c>
      <c r="G1774">
        <v>212440</v>
      </c>
      <c r="H1774" s="116"/>
      <c r="I1774" s="116"/>
      <c r="L1774" s="170">
        <v>44615</v>
      </c>
      <c r="M1774" s="116">
        <v>1742.85</v>
      </c>
      <c r="N1774" s="116">
        <v>1758.25</v>
      </c>
      <c r="O1774" s="116">
        <v>1733.4</v>
      </c>
      <c r="P1774" s="116">
        <v>1750</v>
      </c>
      <c r="Q1774" s="116">
        <v>1742.85</v>
      </c>
      <c r="R1774">
        <v>5478811</v>
      </c>
    </row>
    <row r="1775" spans="1:18" x14ac:dyDescent="0.25">
      <c r="A1775" s="170">
        <v>44616</v>
      </c>
      <c r="B1775" s="116">
        <v>1714.7</v>
      </c>
      <c r="C1775" s="116">
        <v>1677.5</v>
      </c>
      <c r="D1775" s="116">
        <v>1670.15</v>
      </c>
      <c r="E1775" s="116">
        <v>1682</v>
      </c>
      <c r="F1775" s="116">
        <v>1677.5</v>
      </c>
      <c r="G1775">
        <v>731809</v>
      </c>
      <c r="H1775" s="116"/>
      <c r="I1775" s="116"/>
      <c r="L1775" s="170">
        <v>44616</v>
      </c>
      <c r="M1775" s="116">
        <v>1678.15</v>
      </c>
      <c r="N1775" s="116">
        <v>1714.95</v>
      </c>
      <c r="O1775" s="116">
        <v>1670.5</v>
      </c>
      <c r="P1775" s="116">
        <v>1690.1</v>
      </c>
      <c r="Q1775" s="116">
        <v>1678.15</v>
      </c>
      <c r="R1775">
        <v>13592379</v>
      </c>
    </row>
    <row r="1776" spans="1:18" x14ac:dyDescent="0.25">
      <c r="A1776" s="170">
        <v>44617</v>
      </c>
      <c r="B1776" s="116">
        <v>1718.9</v>
      </c>
      <c r="C1776" s="116">
        <v>1693.9</v>
      </c>
      <c r="D1776" s="116">
        <v>1677.2</v>
      </c>
      <c r="E1776" s="116">
        <v>1706</v>
      </c>
      <c r="F1776" s="116">
        <v>1693.9</v>
      </c>
      <c r="G1776">
        <v>2867333</v>
      </c>
      <c r="H1776" s="116"/>
      <c r="I1776" s="116"/>
      <c r="L1776" s="170">
        <v>44617</v>
      </c>
      <c r="M1776" s="116">
        <v>1694.6</v>
      </c>
      <c r="N1776" s="116">
        <v>1728.15</v>
      </c>
      <c r="O1776" s="116">
        <v>1677</v>
      </c>
      <c r="P1776" s="116">
        <v>1715</v>
      </c>
      <c r="Q1776" s="116">
        <v>1694.6</v>
      </c>
      <c r="R1776">
        <v>9737281</v>
      </c>
    </row>
    <row r="1777" spans="1:18" x14ac:dyDescent="0.25">
      <c r="A1777" s="170">
        <v>44620</v>
      </c>
      <c r="B1777" s="116">
        <v>1727.95</v>
      </c>
      <c r="C1777" s="116">
        <v>1717.3</v>
      </c>
      <c r="D1777" s="116">
        <v>1665</v>
      </c>
      <c r="E1777" s="116">
        <v>1684</v>
      </c>
      <c r="F1777" s="116">
        <v>1717.3</v>
      </c>
      <c r="G1777">
        <v>135310</v>
      </c>
      <c r="H1777" s="116"/>
      <c r="I1777" s="116"/>
      <c r="L1777" s="170">
        <v>44620</v>
      </c>
      <c r="M1777" s="116">
        <v>1715.6</v>
      </c>
      <c r="N1777" s="116">
        <v>1728.05</v>
      </c>
      <c r="O1777" s="116">
        <v>1665</v>
      </c>
      <c r="P1777" s="116">
        <v>1682.2</v>
      </c>
      <c r="Q1777" s="116">
        <v>1715.6</v>
      </c>
      <c r="R1777">
        <v>15076542</v>
      </c>
    </row>
    <row r="1778" spans="1:18" x14ac:dyDescent="0.25">
      <c r="A1778" s="170">
        <v>44622</v>
      </c>
      <c r="B1778" s="116">
        <v>1714.2</v>
      </c>
      <c r="C1778" s="116">
        <v>1703.1</v>
      </c>
      <c r="D1778" s="116">
        <v>1691</v>
      </c>
      <c r="E1778" s="116">
        <v>1710</v>
      </c>
      <c r="F1778" s="116">
        <v>1703.1</v>
      </c>
      <c r="G1778">
        <v>220920</v>
      </c>
      <c r="H1778" s="116"/>
      <c r="I1778" s="116"/>
      <c r="L1778" s="170">
        <v>44622</v>
      </c>
      <c r="M1778" s="116">
        <v>1702.8</v>
      </c>
      <c r="N1778" s="116">
        <v>1714.4</v>
      </c>
      <c r="O1778" s="116">
        <v>1691</v>
      </c>
      <c r="P1778" s="116">
        <v>1710</v>
      </c>
      <c r="Q1778" s="116">
        <v>1702.8</v>
      </c>
      <c r="R1778">
        <v>6771489</v>
      </c>
    </row>
    <row r="1779" spans="1:18" x14ac:dyDescent="0.25">
      <c r="A1779" s="170">
        <v>44623</v>
      </c>
      <c r="B1779" s="116">
        <v>1733.7</v>
      </c>
      <c r="C1779" s="116">
        <v>1720.55</v>
      </c>
      <c r="D1779" s="116">
        <v>1705.6</v>
      </c>
      <c r="E1779" s="116">
        <v>1720</v>
      </c>
      <c r="F1779" s="116">
        <v>1720.55</v>
      </c>
      <c r="G1779">
        <v>343218</v>
      </c>
      <c r="H1779" s="116"/>
      <c r="I1779" s="116"/>
      <c r="L1779" s="170">
        <v>44623</v>
      </c>
      <c r="M1779" s="116">
        <v>1720.85</v>
      </c>
      <c r="N1779" s="116">
        <v>1733.9</v>
      </c>
      <c r="O1779" s="116">
        <v>1705.55</v>
      </c>
      <c r="P1779" s="116">
        <v>1720.2</v>
      </c>
      <c r="Q1779" s="116">
        <v>1720.85</v>
      </c>
      <c r="R1779">
        <v>7344147</v>
      </c>
    </row>
    <row r="1780" spans="1:18" x14ac:dyDescent="0.25">
      <c r="A1780" s="170">
        <v>44624</v>
      </c>
      <c r="B1780" s="116">
        <v>1735.75</v>
      </c>
      <c r="C1780" s="116">
        <v>1723.55</v>
      </c>
      <c r="D1780" s="116">
        <v>1681</v>
      </c>
      <c r="E1780" s="116">
        <v>1697</v>
      </c>
      <c r="F1780" s="116">
        <v>1723.55</v>
      </c>
      <c r="G1780">
        <v>169550</v>
      </c>
      <c r="H1780" s="116"/>
      <c r="I1780" s="116"/>
      <c r="L1780" s="170">
        <v>44624</v>
      </c>
      <c r="M1780" s="116">
        <v>1723.3</v>
      </c>
      <c r="N1780" s="116">
        <v>1736</v>
      </c>
      <c r="O1780" s="116">
        <v>1681</v>
      </c>
      <c r="P1780" s="116">
        <v>1695.25</v>
      </c>
      <c r="Q1780" s="116">
        <v>1723.3</v>
      </c>
      <c r="R1780">
        <v>9074499</v>
      </c>
    </row>
    <row r="1781" spans="1:18" x14ac:dyDescent="0.25">
      <c r="A1781" s="170">
        <v>44627</v>
      </c>
      <c r="B1781" s="116">
        <v>1750.6</v>
      </c>
      <c r="C1781" s="116">
        <v>1739.55</v>
      </c>
      <c r="D1781" s="116">
        <v>1695</v>
      </c>
      <c r="E1781" s="116">
        <v>1695</v>
      </c>
      <c r="F1781" s="116">
        <v>1739.55</v>
      </c>
      <c r="G1781">
        <v>548075</v>
      </c>
      <c r="H1781" s="116"/>
      <c r="I1781" s="116"/>
      <c r="L1781" s="170">
        <v>44627</v>
      </c>
      <c r="M1781" s="116">
        <v>1739.85</v>
      </c>
      <c r="N1781" s="116">
        <v>1751</v>
      </c>
      <c r="O1781" s="116">
        <v>1696</v>
      </c>
      <c r="P1781" s="116">
        <v>1697</v>
      </c>
      <c r="Q1781" s="116">
        <v>1739.85</v>
      </c>
      <c r="R1781">
        <v>9742588</v>
      </c>
    </row>
    <row r="1782" spans="1:18" x14ac:dyDescent="0.25">
      <c r="A1782" s="170">
        <v>44628</v>
      </c>
      <c r="B1782" s="116">
        <v>1800</v>
      </c>
      <c r="C1782" s="116">
        <v>1778.45</v>
      </c>
      <c r="D1782" s="116">
        <v>1715</v>
      </c>
      <c r="E1782" s="116">
        <v>1715</v>
      </c>
      <c r="F1782" s="116">
        <v>1778.45</v>
      </c>
      <c r="G1782">
        <v>294435</v>
      </c>
      <c r="H1782" s="116"/>
      <c r="I1782" s="116"/>
      <c r="L1782" s="170">
        <v>44628</v>
      </c>
      <c r="M1782" s="116">
        <v>1778.2</v>
      </c>
      <c r="N1782" s="116">
        <v>1800</v>
      </c>
      <c r="O1782" s="116">
        <v>1718.45</v>
      </c>
      <c r="P1782" s="116">
        <v>1718.45</v>
      </c>
      <c r="Q1782" s="116">
        <v>1778.2</v>
      </c>
      <c r="R1782">
        <v>10984500</v>
      </c>
    </row>
    <row r="1783" spans="1:18" x14ac:dyDescent="0.25">
      <c r="A1783" s="170">
        <v>44629</v>
      </c>
      <c r="B1783" s="116">
        <v>1831</v>
      </c>
      <c r="C1783" s="116">
        <v>1813.45</v>
      </c>
      <c r="D1783" s="116">
        <v>1788.95</v>
      </c>
      <c r="E1783" s="116">
        <v>1794</v>
      </c>
      <c r="F1783" s="116">
        <v>1813.45</v>
      </c>
      <c r="G1783">
        <v>2826476</v>
      </c>
      <c r="H1783" s="116"/>
      <c r="I1783" s="116"/>
      <c r="L1783" s="170">
        <v>44629</v>
      </c>
      <c r="M1783" s="116">
        <v>1813.35</v>
      </c>
      <c r="N1783" s="116">
        <v>1831.6</v>
      </c>
      <c r="O1783" s="116">
        <v>1791</v>
      </c>
      <c r="P1783" s="116">
        <v>1791</v>
      </c>
      <c r="Q1783" s="116">
        <v>1813.35</v>
      </c>
      <c r="R1783">
        <v>10193515</v>
      </c>
    </row>
    <row r="1784" spans="1:18" x14ac:dyDescent="0.25">
      <c r="A1784" s="170">
        <v>44630</v>
      </c>
      <c r="B1784" s="116">
        <v>1847.7</v>
      </c>
      <c r="C1784" s="116">
        <v>1824.8</v>
      </c>
      <c r="D1784" s="116">
        <v>1810.1</v>
      </c>
      <c r="E1784" s="116">
        <v>1838</v>
      </c>
      <c r="F1784" s="116">
        <v>1824.8</v>
      </c>
      <c r="G1784">
        <v>334472</v>
      </c>
      <c r="H1784" s="116"/>
      <c r="I1784" s="116"/>
      <c r="L1784" s="170">
        <v>44630</v>
      </c>
      <c r="M1784" s="116">
        <v>1825.9</v>
      </c>
      <c r="N1784" s="116">
        <v>1844.75</v>
      </c>
      <c r="O1784" s="116">
        <v>1810.2</v>
      </c>
      <c r="P1784" s="116">
        <v>1844.75</v>
      </c>
      <c r="Q1784" s="116">
        <v>1825.9</v>
      </c>
      <c r="R1784">
        <v>6547182</v>
      </c>
    </row>
    <row r="1785" spans="1:18" x14ac:dyDescent="0.25">
      <c r="A1785" s="170">
        <v>44631</v>
      </c>
      <c r="B1785" s="116">
        <v>1833</v>
      </c>
      <c r="C1785" s="116">
        <v>1822.3</v>
      </c>
      <c r="D1785" s="116">
        <v>1811.25</v>
      </c>
      <c r="E1785" s="116">
        <v>1814</v>
      </c>
      <c r="F1785" s="116">
        <v>1822.3</v>
      </c>
      <c r="G1785">
        <v>170330</v>
      </c>
      <c r="H1785" s="116"/>
      <c r="I1785" s="116"/>
      <c r="L1785" s="170">
        <v>44631</v>
      </c>
      <c r="M1785" s="116">
        <v>1822</v>
      </c>
      <c r="N1785" s="116">
        <v>1831.4</v>
      </c>
      <c r="O1785" s="116">
        <v>1811</v>
      </c>
      <c r="P1785" s="116">
        <v>1814</v>
      </c>
      <c r="Q1785" s="116">
        <v>1822</v>
      </c>
      <c r="R1785">
        <v>4758657</v>
      </c>
    </row>
    <row r="1786" spans="1:18" x14ac:dyDescent="0.25">
      <c r="A1786" s="170">
        <v>44634</v>
      </c>
      <c r="B1786" s="116">
        <v>1894.7</v>
      </c>
      <c r="C1786" s="116">
        <v>1890.8</v>
      </c>
      <c r="D1786" s="116">
        <v>1827</v>
      </c>
      <c r="E1786" s="116">
        <v>1827</v>
      </c>
      <c r="F1786" s="116">
        <v>1890.8</v>
      </c>
      <c r="G1786">
        <v>442681</v>
      </c>
      <c r="H1786" s="116"/>
      <c r="I1786" s="116"/>
      <c r="L1786" s="170">
        <v>44634</v>
      </c>
      <c r="M1786" s="116">
        <v>1890.7</v>
      </c>
      <c r="N1786" s="116">
        <v>1895</v>
      </c>
      <c r="O1786" s="116">
        <v>1831.55</v>
      </c>
      <c r="P1786" s="116">
        <v>1831.55</v>
      </c>
      <c r="Q1786" s="116">
        <v>1890.7</v>
      </c>
      <c r="R1786">
        <v>10289724</v>
      </c>
    </row>
    <row r="1787" spans="1:18" x14ac:dyDescent="0.25">
      <c r="A1787" s="170">
        <v>44635</v>
      </c>
      <c r="B1787" s="116">
        <v>1893</v>
      </c>
      <c r="C1787" s="116">
        <v>1839.15</v>
      </c>
      <c r="D1787" s="116">
        <v>1830</v>
      </c>
      <c r="E1787" s="116">
        <v>1893</v>
      </c>
      <c r="F1787" s="116">
        <v>1839.15</v>
      </c>
      <c r="G1787">
        <v>319474</v>
      </c>
      <c r="H1787" s="116"/>
      <c r="I1787" s="116"/>
      <c r="L1787" s="170">
        <v>44635</v>
      </c>
      <c r="M1787" s="116">
        <v>1839.3</v>
      </c>
      <c r="N1787" s="116">
        <v>1888.35</v>
      </c>
      <c r="O1787" s="116">
        <v>1830</v>
      </c>
      <c r="P1787" s="116">
        <v>1888.35</v>
      </c>
      <c r="Q1787" s="116">
        <v>1839.3</v>
      </c>
      <c r="R1787">
        <v>7140443</v>
      </c>
    </row>
    <row r="1788" spans="1:18" x14ac:dyDescent="0.25">
      <c r="A1788" s="170">
        <v>44636</v>
      </c>
      <c r="B1788" s="116">
        <v>1893.9</v>
      </c>
      <c r="C1788" s="116">
        <v>1888.65</v>
      </c>
      <c r="D1788" s="116">
        <v>1851</v>
      </c>
      <c r="E1788" s="116">
        <v>1873</v>
      </c>
      <c r="F1788" s="116">
        <v>1888.65</v>
      </c>
      <c r="G1788">
        <v>197005</v>
      </c>
      <c r="H1788" s="116"/>
      <c r="I1788" s="116"/>
      <c r="L1788" s="170">
        <v>44636</v>
      </c>
      <c r="M1788" s="116">
        <v>1889.4</v>
      </c>
      <c r="N1788" s="116">
        <v>1893.95</v>
      </c>
      <c r="O1788" s="116">
        <v>1849</v>
      </c>
      <c r="P1788" s="116">
        <v>1865</v>
      </c>
      <c r="Q1788" s="116">
        <v>1889.4</v>
      </c>
      <c r="R1788">
        <v>5233979</v>
      </c>
    </row>
    <row r="1789" spans="1:18" x14ac:dyDescent="0.25">
      <c r="A1789" s="170">
        <v>44637</v>
      </c>
      <c r="B1789" s="116">
        <v>1924</v>
      </c>
      <c r="C1789" s="116">
        <v>1854.4</v>
      </c>
      <c r="D1789" s="116">
        <v>1833.85</v>
      </c>
      <c r="E1789" s="116">
        <v>1922.6</v>
      </c>
      <c r="F1789" s="116">
        <v>1854.4</v>
      </c>
      <c r="G1789">
        <v>299253</v>
      </c>
      <c r="H1789" s="116"/>
      <c r="I1789" s="116"/>
      <c r="L1789" s="170">
        <v>44637</v>
      </c>
      <c r="M1789" s="116">
        <v>1854.6</v>
      </c>
      <c r="N1789" s="116">
        <v>1923.3</v>
      </c>
      <c r="O1789" s="116">
        <v>1833.05</v>
      </c>
      <c r="P1789" s="116">
        <v>1923.3</v>
      </c>
      <c r="Q1789" s="116">
        <v>1854.6</v>
      </c>
      <c r="R1789">
        <v>17731459</v>
      </c>
    </row>
    <row r="1790" spans="1:18" x14ac:dyDescent="0.25">
      <c r="A1790" s="170">
        <v>44641</v>
      </c>
      <c r="B1790" s="116">
        <v>1886.55</v>
      </c>
      <c r="C1790" s="116">
        <v>1852.6</v>
      </c>
      <c r="D1790" s="116">
        <v>1841.5</v>
      </c>
      <c r="E1790" s="116">
        <v>1876</v>
      </c>
      <c r="F1790" s="116">
        <v>1852.6</v>
      </c>
      <c r="G1790">
        <v>356094</v>
      </c>
      <c r="H1790" s="116"/>
      <c r="I1790" s="116"/>
      <c r="L1790" s="170">
        <v>44641</v>
      </c>
      <c r="M1790" s="116">
        <v>1853.05</v>
      </c>
      <c r="N1790" s="116">
        <v>1886.9</v>
      </c>
      <c r="O1790" s="116">
        <v>1841.1</v>
      </c>
      <c r="P1790" s="116">
        <v>1861</v>
      </c>
      <c r="Q1790" s="116">
        <v>1853.05</v>
      </c>
      <c r="R1790">
        <v>8362085</v>
      </c>
    </row>
    <row r="1791" spans="1:18" x14ac:dyDescent="0.25">
      <c r="A1791" s="170">
        <v>44642</v>
      </c>
      <c r="B1791" s="116">
        <v>1889.9</v>
      </c>
      <c r="C1791" s="116">
        <v>1887.3</v>
      </c>
      <c r="D1791" s="116">
        <v>1840</v>
      </c>
      <c r="E1791" s="116">
        <v>1854.7</v>
      </c>
      <c r="F1791" s="116">
        <v>1887.3</v>
      </c>
      <c r="G1791">
        <v>152591</v>
      </c>
      <c r="H1791" s="116"/>
      <c r="I1791" s="116"/>
      <c r="L1791" s="170">
        <v>44642</v>
      </c>
      <c r="M1791" s="116">
        <v>1887.4</v>
      </c>
      <c r="N1791" s="116">
        <v>1890</v>
      </c>
      <c r="O1791" s="116">
        <v>1839</v>
      </c>
      <c r="P1791" s="116">
        <v>1850</v>
      </c>
      <c r="Q1791" s="116">
        <v>1887.4</v>
      </c>
      <c r="R1791">
        <v>5709382</v>
      </c>
    </row>
    <row r="1792" spans="1:18" x14ac:dyDescent="0.25">
      <c r="A1792" s="170">
        <v>44643</v>
      </c>
      <c r="B1792" s="116">
        <v>1900</v>
      </c>
      <c r="C1792" s="116">
        <v>1871.85</v>
      </c>
      <c r="D1792" s="116">
        <v>1857.1</v>
      </c>
      <c r="E1792" s="116">
        <v>1896.15</v>
      </c>
      <c r="F1792" s="116">
        <v>1871.85</v>
      </c>
      <c r="G1792">
        <v>175874</v>
      </c>
      <c r="H1792" s="116"/>
      <c r="I1792" s="116"/>
      <c r="L1792" s="170">
        <v>44643</v>
      </c>
      <c r="M1792" s="116">
        <v>1872.4</v>
      </c>
      <c r="N1792" s="116">
        <v>1900</v>
      </c>
      <c r="O1792" s="116">
        <v>1857</v>
      </c>
      <c r="P1792" s="116">
        <v>1897</v>
      </c>
      <c r="Q1792" s="116">
        <v>1872.4</v>
      </c>
      <c r="R1792">
        <v>6192824</v>
      </c>
    </row>
    <row r="1793" spans="1:18" x14ac:dyDescent="0.25">
      <c r="A1793" s="170">
        <v>44644</v>
      </c>
      <c r="B1793" s="116">
        <v>1894.1</v>
      </c>
      <c r="C1793" s="116">
        <v>1886.85</v>
      </c>
      <c r="D1793" s="116">
        <v>1853</v>
      </c>
      <c r="E1793" s="116">
        <v>1853</v>
      </c>
      <c r="F1793" s="116">
        <v>1886.85</v>
      </c>
      <c r="G1793">
        <v>82466</v>
      </c>
      <c r="H1793" s="116"/>
      <c r="I1793" s="116"/>
      <c r="L1793" s="170">
        <v>44644</v>
      </c>
      <c r="M1793" s="116">
        <v>1886.7</v>
      </c>
      <c r="N1793" s="116">
        <v>1894.6</v>
      </c>
      <c r="O1793" s="116">
        <v>1856.15</v>
      </c>
      <c r="P1793" s="116">
        <v>1856.15</v>
      </c>
      <c r="Q1793" s="116">
        <v>1886.7</v>
      </c>
      <c r="R1793">
        <v>3784303</v>
      </c>
    </row>
    <row r="1794" spans="1:18" x14ac:dyDescent="0.25">
      <c r="A1794" s="170">
        <v>44645</v>
      </c>
      <c r="B1794" s="116">
        <v>1894.8</v>
      </c>
      <c r="C1794" s="116">
        <v>1876.4</v>
      </c>
      <c r="D1794" s="116">
        <v>1858</v>
      </c>
      <c r="E1794" s="116">
        <v>1887</v>
      </c>
      <c r="F1794" s="116">
        <v>1876.4</v>
      </c>
      <c r="G1794">
        <v>220204</v>
      </c>
      <c r="H1794" s="116"/>
      <c r="I1794" s="116"/>
      <c r="L1794" s="170">
        <v>44645</v>
      </c>
      <c r="M1794" s="116">
        <v>1876.55</v>
      </c>
      <c r="N1794" s="116">
        <v>1894</v>
      </c>
      <c r="O1794" s="116">
        <v>1858</v>
      </c>
      <c r="P1794" s="116">
        <v>1892</v>
      </c>
      <c r="Q1794" s="116">
        <v>1876.55</v>
      </c>
      <c r="R1794">
        <v>3438588</v>
      </c>
    </row>
    <row r="1795" spans="1:18" x14ac:dyDescent="0.25">
      <c r="A1795" s="170">
        <v>44648</v>
      </c>
      <c r="B1795" s="116">
        <v>1880.4</v>
      </c>
      <c r="C1795" s="116">
        <v>1873.45</v>
      </c>
      <c r="D1795" s="116">
        <v>1853</v>
      </c>
      <c r="E1795" s="116">
        <v>1873.8</v>
      </c>
      <c r="F1795" s="116">
        <v>1873.45</v>
      </c>
      <c r="G1795">
        <v>174343</v>
      </c>
      <c r="H1795" s="116"/>
      <c r="I1795" s="116"/>
      <c r="L1795" s="170">
        <v>44648</v>
      </c>
      <c r="M1795" s="116">
        <v>1873.9</v>
      </c>
      <c r="N1795" s="116">
        <v>1880.9</v>
      </c>
      <c r="O1795" s="116">
        <v>1852.65</v>
      </c>
      <c r="P1795" s="116">
        <v>1866</v>
      </c>
      <c r="Q1795" s="116">
        <v>1873.9</v>
      </c>
      <c r="R1795">
        <v>4008555</v>
      </c>
    </row>
    <row r="1796" spans="1:18" x14ac:dyDescent="0.25">
      <c r="A1796" s="170">
        <v>44649</v>
      </c>
      <c r="B1796" s="116">
        <v>1889.35</v>
      </c>
      <c r="C1796" s="116">
        <v>1885.9</v>
      </c>
      <c r="D1796" s="116">
        <v>1860.6</v>
      </c>
      <c r="E1796" s="116">
        <v>1872.9</v>
      </c>
      <c r="F1796" s="116">
        <v>1885.9</v>
      </c>
      <c r="G1796">
        <v>249709</v>
      </c>
      <c r="H1796" s="116"/>
      <c r="I1796" s="116"/>
      <c r="L1796" s="170">
        <v>44649</v>
      </c>
      <c r="M1796" s="116">
        <v>1886</v>
      </c>
      <c r="N1796" s="116">
        <v>1889.4</v>
      </c>
      <c r="O1796" s="116">
        <v>1860.55</v>
      </c>
      <c r="P1796" s="116">
        <v>1873.9</v>
      </c>
      <c r="Q1796" s="116">
        <v>1886</v>
      </c>
      <c r="R1796">
        <v>3917785</v>
      </c>
    </row>
    <row r="1797" spans="1:18" x14ac:dyDescent="0.25">
      <c r="A1797" s="170">
        <v>44650</v>
      </c>
      <c r="B1797" s="116">
        <v>1918.5</v>
      </c>
      <c r="C1797" s="116">
        <v>1917.7</v>
      </c>
      <c r="D1797" s="116">
        <v>1895.2</v>
      </c>
      <c r="E1797" s="116">
        <v>1907</v>
      </c>
      <c r="F1797" s="116">
        <v>1917.7</v>
      </c>
      <c r="G1797">
        <v>628590</v>
      </c>
      <c r="H1797" s="116"/>
      <c r="I1797" s="116"/>
      <c r="L1797" s="170">
        <v>44650</v>
      </c>
      <c r="M1797" s="116">
        <v>1903.95</v>
      </c>
      <c r="N1797" s="116">
        <v>1919</v>
      </c>
      <c r="O1797" s="116">
        <v>1895</v>
      </c>
      <c r="P1797" s="116">
        <v>1910</v>
      </c>
      <c r="Q1797" s="116">
        <v>1903.95</v>
      </c>
      <c r="R1797">
        <v>7795839</v>
      </c>
    </row>
    <row r="1798" spans="1:18" x14ac:dyDescent="0.25">
      <c r="A1798" s="170">
        <v>44651</v>
      </c>
      <c r="B1798" s="116">
        <v>1912.9</v>
      </c>
      <c r="C1798" s="116">
        <v>1907.2</v>
      </c>
      <c r="D1798" s="116">
        <v>1894.3</v>
      </c>
      <c r="E1798" s="116">
        <v>1908</v>
      </c>
      <c r="F1798" s="116">
        <v>1907.2</v>
      </c>
      <c r="G1798">
        <v>181774</v>
      </c>
      <c r="H1798" s="116"/>
      <c r="I1798" s="116"/>
      <c r="L1798" s="170">
        <v>44651</v>
      </c>
      <c r="M1798" s="116">
        <v>1906.85</v>
      </c>
      <c r="N1798" s="116">
        <v>1913</v>
      </c>
      <c r="O1798" s="116">
        <v>1894.2</v>
      </c>
      <c r="P1798" s="116">
        <v>1900</v>
      </c>
      <c r="Q1798" s="116">
        <v>1906.85</v>
      </c>
      <c r="R1798">
        <v>5399145</v>
      </c>
    </row>
    <row r="1799" spans="1:18" x14ac:dyDescent="0.25">
      <c r="A1799" s="170">
        <v>44652</v>
      </c>
      <c r="B1799" s="116">
        <v>1909.95</v>
      </c>
      <c r="C1799" s="116">
        <v>1902.35</v>
      </c>
      <c r="D1799" s="116">
        <v>1878.95</v>
      </c>
      <c r="E1799" s="116">
        <v>1894</v>
      </c>
      <c r="F1799" s="116">
        <v>1902.35</v>
      </c>
      <c r="G1799">
        <v>189288</v>
      </c>
      <c r="H1799" s="116"/>
      <c r="I1799" s="116"/>
      <c r="L1799" s="170">
        <v>44652</v>
      </c>
      <c r="M1799" s="116">
        <v>1903.55</v>
      </c>
      <c r="N1799" s="116">
        <v>1910.3</v>
      </c>
      <c r="O1799" s="116">
        <v>1878.3</v>
      </c>
      <c r="P1799" s="116">
        <v>1886.85</v>
      </c>
      <c r="Q1799" s="116">
        <v>1903.55</v>
      </c>
      <c r="R1799">
        <v>6171518</v>
      </c>
    </row>
    <row r="1800" spans="1:18" x14ac:dyDescent="0.25">
      <c r="A1800" s="170">
        <v>44655</v>
      </c>
      <c r="B1800" s="116">
        <v>1895.2</v>
      </c>
      <c r="C1800" s="116">
        <v>1882.45</v>
      </c>
      <c r="D1800" s="116">
        <v>1873.5</v>
      </c>
      <c r="E1800" s="116">
        <v>1895.2</v>
      </c>
      <c r="F1800" s="116">
        <v>1882.45</v>
      </c>
      <c r="G1800">
        <v>296103</v>
      </c>
      <c r="H1800" s="116"/>
      <c r="I1800" s="116"/>
      <c r="L1800" s="170">
        <v>44655</v>
      </c>
      <c r="M1800" s="116">
        <v>1882.95</v>
      </c>
      <c r="N1800" s="116">
        <v>1893</v>
      </c>
      <c r="O1800" s="116">
        <v>1873</v>
      </c>
      <c r="P1800" s="116">
        <v>1889.75</v>
      </c>
      <c r="Q1800" s="116">
        <v>1882.95</v>
      </c>
      <c r="R1800">
        <v>7364074</v>
      </c>
    </row>
    <row r="1801" spans="1:18" x14ac:dyDescent="0.25">
      <c r="A1801" s="170">
        <v>44656</v>
      </c>
      <c r="B1801" s="116">
        <v>1889.75</v>
      </c>
      <c r="C1801" s="116">
        <v>1861.1</v>
      </c>
      <c r="D1801" s="116">
        <v>1857.2</v>
      </c>
      <c r="E1801" s="116">
        <v>1886</v>
      </c>
      <c r="F1801" s="116">
        <v>1861.1</v>
      </c>
      <c r="G1801">
        <v>189838</v>
      </c>
      <c r="H1801" s="116"/>
      <c r="I1801" s="116"/>
      <c r="L1801" s="170">
        <v>44656</v>
      </c>
      <c r="M1801" s="116">
        <v>1861.1</v>
      </c>
      <c r="N1801" s="116">
        <v>1889.6</v>
      </c>
      <c r="O1801" s="116">
        <v>1857.15</v>
      </c>
      <c r="P1801" s="116">
        <v>1883.8</v>
      </c>
      <c r="Q1801" s="116">
        <v>1861.1</v>
      </c>
      <c r="R1801">
        <v>5472024</v>
      </c>
    </row>
    <row r="1802" spans="1:18" x14ac:dyDescent="0.25">
      <c r="A1802" s="170">
        <v>44657</v>
      </c>
      <c r="B1802" s="116">
        <v>1856.95</v>
      </c>
      <c r="C1802" s="116">
        <v>1828.45</v>
      </c>
      <c r="D1802" s="116">
        <v>1822.1</v>
      </c>
      <c r="E1802" s="116">
        <v>1853.1</v>
      </c>
      <c r="F1802" s="116">
        <v>1828.45</v>
      </c>
      <c r="G1802">
        <v>270222</v>
      </c>
      <c r="H1802" s="116"/>
      <c r="I1802" s="116"/>
      <c r="L1802" s="170">
        <v>44657</v>
      </c>
      <c r="M1802" s="116">
        <v>1828.85</v>
      </c>
      <c r="N1802" s="116">
        <v>1857.5</v>
      </c>
      <c r="O1802" s="116">
        <v>1822.15</v>
      </c>
      <c r="P1802" s="116">
        <v>1855</v>
      </c>
      <c r="Q1802" s="116">
        <v>1828.85</v>
      </c>
      <c r="R1802">
        <v>5407453</v>
      </c>
    </row>
    <row r="1803" spans="1:18" x14ac:dyDescent="0.25">
      <c r="A1803" s="170">
        <v>44658</v>
      </c>
      <c r="B1803" s="116">
        <v>1828</v>
      </c>
      <c r="C1803" s="116">
        <v>1811.5</v>
      </c>
      <c r="D1803" s="116">
        <v>1807.8</v>
      </c>
      <c r="E1803" s="116">
        <v>1825</v>
      </c>
      <c r="F1803" s="116">
        <v>1811.5</v>
      </c>
      <c r="G1803">
        <v>185022</v>
      </c>
      <c r="H1803" s="116"/>
      <c r="I1803" s="116"/>
      <c r="L1803" s="170">
        <v>44658</v>
      </c>
      <c r="M1803" s="116">
        <v>1811</v>
      </c>
      <c r="N1803" s="116">
        <v>1828.15</v>
      </c>
      <c r="O1803" s="116">
        <v>1807.55</v>
      </c>
      <c r="P1803" s="116">
        <v>1821.05</v>
      </c>
      <c r="Q1803" s="116">
        <v>1811</v>
      </c>
      <c r="R1803">
        <v>5797544</v>
      </c>
    </row>
    <row r="1804" spans="1:18" x14ac:dyDescent="0.25">
      <c r="A1804" s="170">
        <v>44659</v>
      </c>
      <c r="B1804" s="116">
        <v>1838</v>
      </c>
      <c r="C1804" s="116">
        <v>1815.1</v>
      </c>
      <c r="D1804" s="116">
        <v>1808.4</v>
      </c>
      <c r="E1804" s="116">
        <v>1823.7</v>
      </c>
      <c r="F1804" s="116">
        <v>1815.1</v>
      </c>
      <c r="G1804">
        <v>188138</v>
      </c>
      <c r="H1804" s="116"/>
      <c r="I1804" s="116"/>
      <c r="L1804" s="170">
        <v>44659</v>
      </c>
      <c r="M1804" s="116">
        <v>1814.6</v>
      </c>
      <c r="N1804" s="116">
        <v>1838</v>
      </c>
      <c r="O1804" s="116">
        <v>1808</v>
      </c>
      <c r="P1804" s="116">
        <v>1823</v>
      </c>
      <c r="Q1804" s="116">
        <v>1814.6</v>
      </c>
      <c r="R1804">
        <v>5131446</v>
      </c>
    </row>
    <row r="1805" spans="1:18" x14ac:dyDescent="0.25">
      <c r="A1805" s="170">
        <v>44662</v>
      </c>
      <c r="B1805" s="116">
        <v>1818.95</v>
      </c>
      <c r="C1805" s="116">
        <v>1766.65</v>
      </c>
      <c r="D1805" s="116">
        <v>1763</v>
      </c>
      <c r="E1805" s="116">
        <v>1818.95</v>
      </c>
      <c r="F1805" s="116">
        <v>1766.65</v>
      </c>
      <c r="G1805">
        <v>556339</v>
      </c>
      <c r="H1805" s="116"/>
      <c r="I1805" s="116"/>
      <c r="L1805" s="170">
        <v>44662</v>
      </c>
      <c r="M1805" s="116">
        <v>1766.55</v>
      </c>
      <c r="N1805" s="116">
        <v>1814</v>
      </c>
      <c r="O1805" s="116">
        <v>1762.55</v>
      </c>
      <c r="P1805" s="116">
        <v>1814</v>
      </c>
      <c r="Q1805" s="116">
        <v>1766.55</v>
      </c>
      <c r="R1805">
        <v>8248407</v>
      </c>
    </row>
    <row r="1806" spans="1:18" x14ac:dyDescent="0.25">
      <c r="A1806" s="170">
        <v>44663</v>
      </c>
      <c r="B1806" s="116">
        <v>1759</v>
      </c>
      <c r="C1806" s="116">
        <v>1741.45</v>
      </c>
      <c r="D1806" s="116">
        <v>1727.5</v>
      </c>
      <c r="E1806" s="116">
        <v>1759</v>
      </c>
      <c r="F1806" s="116">
        <v>1741.45</v>
      </c>
      <c r="G1806">
        <v>324512</v>
      </c>
      <c r="H1806" s="116"/>
      <c r="I1806" s="116"/>
      <c r="L1806" s="170">
        <v>44663</v>
      </c>
      <c r="M1806" s="116">
        <v>1742.45</v>
      </c>
      <c r="N1806" s="116">
        <v>1757.5</v>
      </c>
      <c r="O1806" s="116">
        <v>1727.75</v>
      </c>
      <c r="P1806" s="116">
        <v>1757.5</v>
      </c>
      <c r="Q1806" s="116">
        <v>1742.45</v>
      </c>
      <c r="R1806">
        <v>6456184</v>
      </c>
    </row>
    <row r="1807" spans="1:18" x14ac:dyDescent="0.25">
      <c r="A1807" s="170">
        <v>44664</v>
      </c>
      <c r="B1807" s="116">
        <v>1759.45</v>
      </c>
      <c r="C1807" s="116">
        <v>1748.65</v>
      </c>
      <c r="D1807" s="116">
        <v>1732.25</v>
      </c>
      <c r="E1807" s="116">
        <v>1759.45</v>
      </c>
      <c r="F1807" s="116">
        <v>1748.65</v>
      </c>
      <c r="G1807">
        <v>201207</v>
      </c>
      <c r="H1807" s="116"/>
      <c r="I1807" s="116"/>
      <c r="L1807" s="170">
        <v>44664</v>
      </c>
      <c r="M1807" s="116">
        <v>1748.55</v>
      </c>
      <c r="N1807" s="116">
        <v>1757.5</v>
      </c>
      <c r="O1807" s="116">
        <v>1732</v>
      </c>
      <c r="P1807" s="116">
        <v>1754.95</v>
      </c>
      <c r="Q1807" s="116">
        <v>1748.55</v>
      </c>
      <c r="R1807">
        <v>6257693</v>
      </c>
    </row>
    <row r="1808" spans="1:18" x14ac:dyDescent="0.25">
      <c r="A1808" s="170">
        <v>44669</v>
      </c>
      <c r="B1808" s="116">
        <v>1650.9</v>
      </c>
      <c r="C1808" s="116">
        <v>1621.45</v>
      </c>
      <c r="D1808" s="116">
        <v>1592.05</v>
      </c>
      <c r="E1808" s="116">
        <v>1608</v>
      </c>
      <c r="F1808" s="116">
        <v>1621.45</v>
      </c>
      <c r="G1808">
        <v>1544805</v>
      </c>
      <c r="H1808" s="116"/>
      <c r="I1808" s="116"/>
      <c r="L1808" s="170">
        <v>44669</v>
      </c>
      <c r="M1808" s="116">
        <v>1621.4</v>
      </c>
      <c r="N1808" s="116">
        <v>1650</v>
      </c>
      <c r="O1808" s="116">
        <v>1590</v>
      </c>
      <c r="P1808" s="116">
        <v>1605.5</v>
      </c>
      <c r="Q1808" s="116">
        <v>1621.4</v>
      </c>
      <c r="R1808">
        <v>30523965</v>
      </c>
    </row>
    <row r="1809" spans="1:18" x14ac:dyDescent="0.25">
      <c r="A1809" s="170">
        <v>44670</v>
      </c>
      <c r="B1809" s="116">
        <v>1644</v>
      </c>
      <c r="C1809" s="116">
        <v>1563.95</v>
      </c>
      <c r="D1809" s="116">
        <v>1550.4</v>
      </c>
      <c r="E1809" s="116">
        <v>1644</v>
      </c>
      <c r="F1809" s="116">
        <v>1563.95</v>
      </c>
      <c r="G1809">
        <v>982805</v>
      </c>
      <c r="H1809" s="116"/>
      <c r="I1809" s="116"/>
      <c r="L1809" s="170">
        <v>44670</v>
      </c>
      <c r="M1809" s="116">
        <v>1562</v>
      </c>
      <c r="N1809" s="116">
        <v>1636.65</v>
      </c>
      <c r="O1809" s="116">
        <v>1550</v>
      </c>
      <c r="P1809" s="116">
        <v>1636.65</v>
      </c>
      <c r="Q1809" s="116">
        <v>1562</v>
      </c>
      <c r="R1809">
        <v>17044923</v>
      </c>
    </row>
    <row r="1810" spans="1:18" x14ac:dyDescent="0.25">
      <c r="A1810" s="170">
        <v>44671</v>
      </c>
      <c r="B1810" s="116">
        <v>1596</v>
      </c>
      <c r="C1810" s="116">
        <v>1587.85</v>
      </c>
      <c r="D1810" s="116">
        <v>1563.15</v>
      </c>
      <c r="E1810" s="116">
        <v>1575</v>
      </c>
      <c r="F1810" s="116">
        <v>1587.85</v>
      </c>
      <c r="G1810">
        <v>590406</v>
      </c>
      <c r="H1810" s="116"/>
      <c r="I1810" s="116"/>
      <c r="L1810" s="170">
        <v>44671</v>
      </c>
      <c r="M1810" s="116">
        <v>1587.7</v>
      </c>
      <c r="N1810" s="116">
        <v>1596.3</v>
      </c>
      <c r="O1810" s="116">
        <v>1563</v>
      </c>
      <c r="P1810" s="116">
        <v>1575</v>
      </c>
      <c r="Q1810" s="116">
        <v>1587.7</v>
      </c>
      <c r="R1810">
        <v>10678747</v>
      </c>
    </row>
    <row r="1811" spans="1:18" x14ac:dyDescent="0.25">
      <c r="A1811" s="170">
        <v>44672</v>
      </c>
      <c r="B1811" s="116">
        <v>1626.6</v>
      </c>
      <c r="C1811" s="116">
        <v>1618.5</v>
      </c>
      <c r="D1811" s="116">
        <v>1589.2</v>
      </c>
      <c r="E1811" s="116">
        <v>1595.05</v>
      </c>
      <c r="F1811" s="116">
        <v>1618.5</v>
      </c>
      <c r="G1811">
        <v>338163</v>
      </c>
      <c r="H1811" s="116"/>
      <c r="I1811" s="116"/>
      <c r="L1811" s="170">
        <v>44672</v>
      </c>
      <c r="M1811" s="116">
        <v>1618.8</v>
      </c>
      <c r="N1811" s="116">
        <v>1627.2</v>
      </c>
      <c r="O1811" s="116">
        <v>1589.25</v>
      </c>
      <c r="P1811" s="116">
        <v>1595</v>
      </c>
      <c r="Q1811" s="116">
        <v>1618.8</v>
      </c>
      <c r="R1811">
        <v>7766514</v>
      </c>
    </row>
    <row r="1812" spans="1:18" x14ac:dyDescent="0.25">
      <c r="A1812" s="170">
        <v>44673</v>
      </c>
      <c r="B1812" s="116">
        <v>1617</v>
      </c>
      <c r="C1812" s="116">
        <v>1585.7</v>
      </c>
      <c r="D1812" s="116">
        <v>1583</v>
      </c>
      <c r="E1812" s="116">
        <v>1617</v>
      </c>
      <c r="F1812" s="116">
        <v>1585.7</v>
      </c>
      <c r="G1812">
        <v>226730</v>
      </c>
      <c r="H1812" s="116"/>
      <c r="I1812" s="116"/>
      <c r="L1812" s="170">
        <v>44673</v>
      </c>
      <c r="M1812" s="116">
        <v>1585.45</v>
      </c>
      <c r="N1812" s="116">
        <v>1610.7</v>
      </c>
      <c r="O1812" s="116">
        <v>1582.4</v>
      </c>
      <c r="P1812" s="116">
        <v>1604.35</v>
      </c>
      <c r="Q1812" s="116">
        <v>1585.45</v>
      </c>
      <c r="R1812">
        <v>8134245</v>
      </c>
    </row>
    <row r="1813" spans="1:18" x14ac:dyDescent="0.25">
      <c r="A1813" s="170">
        <v>44676</v>
      </c>
      <c r="B1813" s="116">
        <v>1575.7</v>
      </c>
      <c r="C1813" s="116">
        <v>1561.45</v>
      </c>
      <c r="D1813" s="116">
        <v>1554.1</v>
      </c>
      <c r="E1813" s="116">
        <v>1575.7</v>
      </c>
      <c r="F1813" s="116">
        <v>1561.45</v>
      </c>
      <c r="G1813">
        <v>450340</v>
      </c>
      <c r="H1813" s="116"/>
      <c r="I1813" s="116"/>
      <c r="L1813" s="170">
        <v>44676</v>
      </c>
      <c r="M1813" s="116">
        <v>1561.1</v>
      </c>
      <c r="N1813" s="116">
        <v>1572.8</v>
      </c>
      <c r="O1813" s="116">
        <v>1554.1</v>
      </c>
      <c r="P1813" s="116">
        <v>1572.8</v>
      </c>
      <c r="Q1813" s="116">
        <v>1561.1</v>
      </c>
      <c r="R1813">
        <v>7000570</v>
      </c>
    </row>
    <row r="1814" spans="1:18" x14ac:dyDescent="0.25">
      <c r="A1814" s="170">
        <v>44677</v>
      </c>
      <c r="B1814" s="116">
        <v>1592</v>
      </c>
      <c r="C1814" s="116">
        <v>1579.75</v>
      </c>
      <c r="D1814" s="116">
        <v>1567</v>
      </c>
      <c r="E1814" s="116">
        <v>1574.2</v>
      </c>
      <c r="F1814" s="116">
        <v>1579.75</v>
      </c>
      <c r="G1814">
        <v>344815</v>
      </c>
      <c r="H1814" s="116"/>
      <c r="I1814" s="116"/>
      <c r="L1814" s="170">
        <v>44677</v>
      </c>
      <c r="M1814" s="116">
        <v>1581</v>
      </c>
      <c r="N1814" s="116">
        <v>1592</v>
      </c>
      <c r="O1814" s="116">
        <v>1566.55</v>
      </c>
      <c r="P1814" s="116">
        <v>1577.2</v>
      </c>
      <c r="Q1814" s="116">
        <v>1581</v>
      </c>
      <c r="R1814">
        <v>5345435</v>
      </c>
    </row>
    <row r="1815" spans="1:18" x14ac:dyDescent="0.25">
      <c r="A1815" s="170">
        <v>44678</v>
      </c>
      <c r="B1815" s="116">
        <v>1579.4</v>
      </c>
      <c r="C1815" s="116">
        <v>1553.2</v>
      </c>
      <c r="D1815" s="116">
        <v>1550.5</v>
      </c>
      <c r="E1815" s="116">
        <v>1579.4</v>
      </c>
      <c r="F1815" s="116">
        <v>1553.2</v>
      </c>
      <c r="G1815">
        <v>149612</v>
      </c>
      <c r="H1815" s="116"/>
      <c r="I1815" s="116"/>
      <c r="L1815" s="170">
        <v>44678</v>
      </c>
      <c r="M1815" s="116">
        <v>1552.8</v>
      </c>
      <c r="N1815" s="116">
        <v>1572.75</v>
      </c>
      <c r="O1815" s="116">
        <v>1550.35</v>
      </c>
      <c r="P1815" s="116">
        <v>1572.75</v>
      </c>
      <c r="Q1815" s="116">
        <v>1552.8</v>
      </c>
      <c r="R1815">
        <v>8819356</v>
      </c>
    </row>
    <row r="1816" spans="1:18" x14ac:dyDescent="0.25">
      <c r="A1816" s="170">
        <v>44679</v>
      </c>
      <c r="B1816" s="116">
        <v>1601.4</v>
      </c>
      <c r="C1816" s="116">
        <v>1583.3</v>
      </c>
      <c r="D1816" s="116">
        <v>1557.9</v>
      </c>
      <c r="E1816" s="116">
        <v>1567.7</v>
      </c>
      <c r="F1816" s="116">
        <v>1583.3</v>
      </c>
      <c r="G1816">
        <v>325991</v>
      </c>
      <c r="H1816" s="116"/>
      <c r="I1816" s="116"/>
      <c r="L1816" s="170">
        <v>44679</v>
      </c>
      <c r="M1816" s="116">
        <v>1582.6</v>
      </c>
      <c r="N1816" s="116">
        <v>1601.8</v>
      </c>
      <c r="O1816" s="116">
        <v>1557.45</v>
      </c>
      <c r="P1816" s="116">
        <v>1570</v>
      </c>
      <c r="Q1816" s="116">
        <v>1582.6</v>
      </c>
      <c r="R1816">
        <v>9245177</v>
      </c>
    </row>
    <row r="1817" spans="1:18" x14ac:dyDescent="0.25">
      <c r="A1817" s="170">
        <v>44680</v>
      </c>
      <c r="B1817" s="116">
        <v>1597.4</v>
      </c>
      <c r="C1817" s="116">
        <v>1567.9</v>
      </c>
      <c r="D1817" s="116">
        <v>1561.1</v>
      </c>
      <c r="E1817" s="116">
        <v>1591.65</v>
      </c>
      <c r="F1817" s="116">
        <v>1567.9</v>
      </c>
      <c r="G1817">
        <v>213470</v>
      </c>
      <c r="H1817" s="116"/>
      <c r="I1817" s="116"/>
      <c r="L1817" s="170">
        <v>44680</v>
      </c>
      <c r="M1817" s="116">
        <v>1567.55</v>
      </c>
      <c r="N1817" s="116">
        <v>1597.3</v>
      </c>
      <c r="O1817" s="116">
        <v>1560.8</v>
      </c>
      <c r="P1817" s="116">
        <v>1590</v>
      </c>
      <c r="Q1817" s="116">
        <v>1567.55</v>
      </c>
      <c r="R1817">
        <v>9831395</v>
      </c>
    </row>
    <row r="1818" spans="1:18" x14ac:dyDescent="0.25">
      <c r="A1818" s="170">
        <v>44683</v>
      </c>
      <c r="B1818" s="116">
        <v>1552.25</v>
      </c>
      <c r="C1818" s="116">
        <v>1541.25</v>
      </c>
      <c r="D1818" s="116">
        <v>1530.6</v>
      </c>
      <c r="E1818" s="116">
        <v>1551</v>
      </c>
      <c r="F1818" s="116">
        <v>1541.25</v>
      </c>
      <c r="G1818">
        <v>443393</v>
      </c>
      <c r="H1818" s="116"/>
      <c r="I1818" s="116"/>
      <c r="L1818" s="170">
        <v>44683</v>
      </c>
      <c r="M1818" s="116">
        <v>1541</v>
      </c>
      <c r="N1818" s="116">
        <v>1552.75</v>
      </c>
      <c r="O1818" s="116">
        <v>1531</v>
      </c>
      <c r="P1818" s="116">
        <v>1550.9</v>
      </c>
      <c r="Q1818" s="116">
        <v>1541</v>
      </c>
      <c r="R1818">
        <v>7072627</v>
      </c>
    </row>
    <row r="1819" spans="1:18" x14ac:dyDescent="0.25">
      <c r="A1819" s="170">
        <v>44685</v>
      </c>
      <c r="B1819" s="116">
        <v>1569.95</v>
      </c>
      <c r="C1819" s="116">
        <v>1535.95</v>
      </c>
      <c r="D1819" s="116">
        <v>1530.5</v>
      </c>
      <c r="E1819" s="116">
        <v>1545</v>
      </c>
      <c r="F1819" s="116">
        <v>1535.95</v>
      </c>
      <c r="G1819">
        <v>3945408</v>
      </c>
      <c r="H1819" s="116"/>
      <c r="I1819" s="116"/>
      <c r="L1819" s="170">
        <v>44685</v>
      </c>
      <c r="M1819" s="116">
        <v>1535.55</v>
      </c>
      <c r="N1819" s="116">
        <v>1570</v>
      </c>
      <c r="O1819" s="116">
        <v>1530.15</v>
      </c>
      <c r="P1819" s="116">
        <v>1547.25</v>
      </c>
      <c r="Q1819" s="116">
        <v>1535.55</v>
      </c>
      <c r="R1819">
        <v>6220959</v>
      </c>
    </row>
    <row r="1820" spans="1:18" x14ac:dyDescent="0.25">
      <c r="A1820" s="170">
        <v>44686</v>
      </c>
      <c r="B1820" s="116">
        <v>1589.25</v>
      </c>
      <c r="C1820" s="116">
        <v>1585.25</v>
      </c>
      <c r="D1820" s="116">
        <v>1557.55</v>
      </c>
      <c r="E1820" s="116">
        <v>1558.45</v>
      </c>
      <c r="F1820" s="116">
        <v>1585.25</v>
      </c>
      <c r="G1820">
        <v>316159</v>
      </c>
      <c r="H1820" s="116"/>
      <c r="I1820" s="116"/>
      <c r="L1820" s="170">
        <v>44686</v>
      </c>
      <c r="M1820" s="116">
        <v>1585.15</v>
      </c>
      <c r="N1820" s="116">
        <v>1589.4</v>
      </c>
      <c r="O1820" s="116">
        <v>1557.45</v>
      </c>
      <c r="P1820" s="116">
        <v>1560.05</v>
      </c>
      <c r="Q1820" s="116">
        <v>1585.15</v>
      </c>
      <c r="R1820">
        <v>6144870</v>
      </c>
    </row>
    <row r="1821" spans="1:18" x14ac:dyDescent="0.25">
      <c r="A1821" s="170">
        <v>44687</v>
      </c>
      <c r="B1821" s="116">
        <v>1556.55</v>
      </c>
      <c r="C1821" s="116">
        <v>1543.45</v>
      </c>
      <c r="D1821" s="116">
        <v>1535.1</v>
      </c>
      <c r="E1821" s="116">
        <v>1543</v>
      </c>
      <c r="F1821" s="116">
        <v>1543.45</v>
      </c>
      <c r="G1821">
        <v>329628</v>
      </c>
      <c r="H1821" s="116"/>
      <c r="I1821" s="116"/>
      <c r="L1821" s="170">
        <v>44687</v>
      </c>
      <c r="M1821" s="116">
        <v>1542.85</v>
      </c>
      <c r="N1821" s="116">
        <v>1561.85</v>
      </c>
      <c r="O1821" s="116">
        <v>1535.05</v>
      </c>
      <c r="P1821" s="116">
        <v>1550</v>
      </c>
      <c r="Q1821" s="116">
        <v>1542.85</v>
      </c>
      <c r="R1821">
        <v>6171472</v>
      </c>
    </row>
    <row r="1822" spans="1:18" x14ac:dyDescent="0.25">
      <c r="A1822" s="170">
        <v>44690</v>
      </c>
      <c r="B1822" s="116">
        <v>1586.4</v>
      </c>
      <c r="C1822" s="116">
        <v>1570.2</v>
      </c>
      <c r="D1822" s="116">
        <v>1522.4</v>
      </c>
      <c r="E1822" s="116">
        <v>1530.4</v>
      </c>
      <c r="F1822" s="116">
        <v>1570.2</v>
      </c>
      <c r="G1822">
        <v>428275</v>
      </c>
      <c r="H1822" s="116"/>
      <c r="I1822" s="116"/>
      <c r="L1822" s="170">
        <v>44690</v>
      </c>
      <c r="M1822" s="116">
        <v>1570.35</v>
      </c>
      <c r="N1822" s="116">
        <v>1586.8</v>
      </c>
      <c r="O1822" s="116">
        <v>1522.15</v>
      </c>
      <c r="P1822" s="116">
        <v>1540</v>
      </c>
      <c r="Q1822" s="116">
        <v>1570.35</v>
      </c>
      <c r="R1822">
        <v>6832202</v>
      </c>
    </row>
    <row r="1823" spans="1:18" x14ac:dyDescent="0.25">
      <c r="A1823" s="170">
        <v>44691</v>
      </c>
      <c r="B1823" s="116">
        <v>1569.95</v>
      </c>
      <c r="C1823" s="116">
        <v>1553.6</v>
      </c>
      <c r="D1823" s="116">
        <v>1546.25</v>
      </c>
      <c r="E1823" s="116">
        <v>1561</v>
      </c>
      <c r="F1823" s="116">
        <v>1553.6</v>
      </c>
      <c r="G1823">
        <v>272693</v>
      </c>
      <c r="H1823" s="116"/>
      <c r="I1823" s="116"/>
      <c r="L1823" s="170">
        <v>44691</v>
      </c>
      <c r="M1823" s="116">
        <v>1553</v>
      </c>
      <c r="N1823" s="116">
        <v>1569.15</v>
      </c>
      <c r="O1823" s="116">
        <v>1546.05</v>
      </c>
      <c r="P1823" s="116">
        <v>1558</v>
      </c>
      <c r="Q1823" s="116">
        <v>1553</v>
      </c>
      <c r="R1823">
        <v>6212545</v>
      </c>
    </row>
    <row r="1824" spans="1:18" x14ac:dyDescent="0.25">
      <c r="A1824" s="170">
        <v>44692</v>
      </c>
      <c r="B1824" s="116">
        <v>1553</v>
      </c>
      <c r="C1824" s="116">
        <v>1527.2</v>
      </c>
      <c r="D1824" s="116">
        <v>1511.55</v>
      </c>
      <c r="E1824" s="116">
        <v>1553</v>
      </c>
      <c r="F1824" s="116">
        <v>1527.2</v>
      </c>
      <c r="G1824">
        <v>419339</v>
      </c>
      <c r="H1824" s="116"/>
      <c r="I1824" s="116"/>
      <c r="L1824" s="170">
        <v>44692</v>
      </c>
      <c r="M1824" s="116">
        <v>1526.75</v>
      </c>
      <c r="N1824" s="116">
        <v>1549.95</v>
      </c>
      <c r="O1824" s="116">
        <v>1511.6</v>
      </c>
      <c r="P1824" s="116">
        <v>1549.95</v>
      </c>
      <c r="Q1824" s="116">
        <v>1526.75</v>
      </c>
      <c r="R1824">
        <v>7846080</v>
      </c>
    </row>
    <row r="1825" spans="1:18" x14ac:dyDescent="0.25">
      <c r="A1825" s="170">
        <v>44693</v>
      </c>
      <c r="B1825" s="116">
        <v>1527.2</v>
      </c>
      <c r="C1825" s="116">
        <v>1509.25</v>
      </c>
      <c r="D1825" s="116">
        <v>1504.9</v>
      </c>
      <c r="E1825" s="116">
        <v>1515</v>
      </c>
      <c r="F1825" s="116">
        <v>1509.25</v>
      </c>
      <c r="G1825">
        <v>359063</v>
      </c>
      <c r="H1825" s="116"/>
      <c r="I1825" s="116"/>
      <c r="L1825" s="170">
        <v>44693</v>
      </c>
      <c r="M1825" s="116">
        <v>1508.8</v>
      </c>
      <c r="N1825" s="116">
        <v>1527.5</v>
      </c>
      <c r="O1825" s="116">
        <v>1504.3</v>
      </c>
      <c r="P1825" s="116">
        <v>1514</v>
      </c>
      <c r="Q1825" s="116">
        <v>1508.8</v>
      </c>
      <c r="R1825">
        <v>7034979</v>
      </c>
    </row>
    <row r="1826" spans="1:18" x14ac:dyDescent="0.25">
      <c r="A1826" s="170">
        <v>44694</v>
      </c>
      <c r="B1826" s="116">
        <v>1529</v>
      </c>
      <c r="C1826" s="116">
        <v>1503.35</v>
      </c>
      <c r="D1826" s="116">
        <v>1498.3</v>
      </c>
      <c r="E1826" s="116">
        <v>1520</v>
      </c>
      <c r="F1826" s="116">
        <v>1503.35</v>
      </c>
      <c r="G1826">
        <v>277270</v>
      </c>
      <c r="H1826" s="116"/>
      <c r="I1826" s="116"/>
      <c r="L1826" s="170">
        <v>44694</v>
      </c>
      <c r="M1826" s="116">
        <v>1504.4</v>
      </c>
      <c r="N1826" s="116">
        <v>1529.25</v>
      </c>
      <c r="O1826" s="116">
        <v>1498.1</v>
      </c>
      <c r="P1826" s="116">
        <v>1519.3</v>
      </c>
      <c r="Q1826" s="116">
        <v>1504.4</v>
      </c>
      <c r="R1826">
        <v>6723761</v>
      </c>
    </row>
    <row r="1827" spans="1:18" x14ac:dyDescent="0.25">
      <c r="A1827" s="170">
        <v>44697</v>
      </c>
      <c r="B1827" s="116">
        <v>1512.75</v>
      </c>
      <c r="C1827" s="116">
        <v>1489.25</v>
      </c>
      <c r="D1827" s="116">
        <v>1478.65</v>
      </c>
      <c r="E1827" s="116">
        <v>1506.15</v>
      </c>
      <c r="F1827" s="116">
        <v>1489.25</v>
      </c>
      <c r="G1827">
        <v>152285</v>
      </c>
      <c r="H1827" s="116"/>
      <c r="I1827" s="116"/>
      <c r="L1827" s="170">
        <v>44697</v>
      </c>
      <c r="M1827" s="116">
        <v>1489.1</v>
      </c>
      <c r="N1827" s="116">
        <v>1511.85</v>
      </c>
      <c r="O1827" s="116">
        <v>1478.65</v>
      </c>
      <c r="P1827" s="116">
        <v>1510</v>
      </c>
      <c r="Q1827" s="116">
        <v>1489.1</v>
      </c>
      <c r="R1827">
        <v>6145331</v>
      </c>
    </row>
    <row r="1828" spans="1:18" x14ac:dyDescent="0.25">
      <c r="A1828" s="170">
        <v>44698</v>
      </c>
      <c r="B1828" s="116">
        <v>1524.8</v>
      </c>
      <c r="C1828" s="116">
        <v>1518.65</v>
      </c>
      <c r="D1828" s="116">
        <v>1480.25</v>
      </c>
      <c r="E1828" s="116">
        <v>1494.8</v>
      </c>
      <c r="F1828" s="116">
        <v>1518.65</v>
      </c>
      <c r="G1828">
        <v>512886</v>
      </c>
      <c r="H1828" s="116"/>
      <c r="I1828" s="116"/>
      <c r="L1828" s="170">
        <v>44698</v>
      </c>
      <c r="M1828" s="116">
        <v>1518.45</v>
      </c>
      <c r="N1828" s="116">
        <v>1525</v>
      </c>
      <c r="O1828" s="116">
        <v>1480.9</v>
      </c>
      <c r="P1828" s="116">
        <v>1494.9</v>
      </c>
      <c r="Q1828" s="116">
        <v>1518.45</v>
      </c>
      <c r="R1828">
        <v>6516378</v>
      </c>
    </row>
    <row r="1829" spans="1:18" x14ac:dyDescent="0.25">
      <c r="A1829" s="170">
        <v>44699</v>
      </c>
      <c r="B1829" s="116">
        <v>1549.8</v>
      </c>
      <c r="C1829" s="116">
        <v>1509.7</v>
      </c>
      <c r="D1829" s="116">
        <v>1505.2</v>
      </c>
      <c r="E1829" s="116">
        <v>1524</v>
      </c>
      <c r="F1829" s="116">
        <v>1509.7</v>
      </c>
      <c r="G1829">
        <v>201642</v>
      </c>
      <c r="H1829" s="116"/>
      <c r="I1829" s="116"/>
      <c r="L1829" s="170">
        <v>44699</v>
      </c>
      <c r="M1829" s="116">
        <v>1509.2</v>
      </c>
      <c r="N1829" s="116">
        <v>1549.7</v>
      </c>
      <c r="O1829" s="116">
        <v>1505.3</v>
      </c>
      <c r="P1829" s="116">
        <v>1522</v>
      </c>
      <c r="Q1829" s="116">
        <v>1509.2</v>
      </c>
      <c r="R1829">
        <v>6594126</v>
      </c>
    </row>
    <row r="1830" spans="1:18" x14ac:dyDescent="0.25">
      <c r="A1830" s="170">
        <v>44700</v>
      </c>
      <c r="B1830" s="116">
        <v>1481</v>
      </c>
      <c r="C1830" s="116">
        <v>1427.2</v>
      </c>
      <c r="D1830" s="116">
        <v>1417.7</v>
      </c>
      <c r="E1830" s="116">
        <v>1480</v>
      </c>
      <c r="F1830" s="116">
        <v>1427.2</v>
      </c>
      <c r="G1830">
        <v>923880</v>
      </c>
      <c r="H1830" s="116"/>
      <c r="I1830" s="116"/>
      <c r="L1830" s="170">
        <v>44700</v>
      </c>
      <c r="M1830" s="116">
        <v>1427.15</v>
      </c>
      <c r="N1830" s="116">
        <v>1484.7</v>
      </c>
      <c r="O1830" s="116">
        <v>1417.65</v>
      </c>
      <c r="P1830" s="116">
        <v>1481</v>
      </c>
      <c r="Q1830" s="116">
        <v>1427.15</v>
      </c>
      <c r="R1830">
        <v>16561140</v>
      </c>
    </row>
    <row r="1831" spans="1:18" x14ac:dyDescent="0.25">
      <c r="A1831" s="170">
        <v>44701</v>
      </c>
      <c r="B1831" s="116">
        <v>1466.9</v>
      </c>
      <c r="C1831" s="116">
        <v>1455.5</v>
      </c>
      <c r="D1831" s="116">
        <v>1447</v>
      </c>
      <c r="E1831" s="116">
        <v>1452</v>
      </c>
      <c r="F1831" s="116">
        <v>1455.5</v>
      </c>
      <c r="G1831">
        <v>438612</v>
      </c>
      <c r="H1831" s="116"/>
      <c r="I1831" s="116"/>
      <c r="L1831" s="170">
        <v>44701</v>
      </c>
      <c r="M1831" s="116">
        <v>1455.15</v>
      </c>
      <c r="N1831" s="116">
        <v>1466.75</v>
      </c>
      <c r="O1831" s="116">
        <v>1446.7</v>
      </c>
      <c r="P1831" s="116">
        <v>1453</v>
      </c>
      <c r="Q1831" s="116">
        <v>1455.15</v>
      </c>
      <c r="R1831">
        <v>10488908</v>
      </c>
    </row>
    <row r="1832" spans="1:18" x14ac:dyDescent="0.25">
      <c r="A1832" s="170">
        <v>44704</v>
      </c>
      <c r="B1832" s="116">
        <v>1487.85</v>
      </c>
      <c r="C1832" s="116">
        <v>1468.7</v>
      </c>
      <c r="D1832" s="116">
        <v>1450.05</v>
      </c>
      <c r="E1832" s="116">
        <v>1458.5</v>
      </c>
      <c r="F1832" s="116">
        <v>1468.7</v>
      </c>
      <c r="G1832">
        <v>247852</v>
      </c>
      <c r="H1832" s="116"/>
      <c r="I1832" s="116"/>
      <c r="L1832" s="170">
        <v>44704</v>
      </c>
      <c r="M1832" s="116">
        <v>1468.4</v>
      </c>
      <c r="N1832" s="116">
        <v>1488</v>
      </c>
      <c r="O1832" s="116">
        <v>1450.05</v>
      </c>
      <c r="P1832" s="116">
        <v>1455.1</v>
      </c>
      <c r="Q1832" s="116">
        <v>1468.4</v>
      </c>
      <c r="R1832">
        <v>5887569</v>
      </c>
    </row>
    <row r="1833" spans="1:18" x14ac:dyDescent="0.25">
      <c r="A1833" s="170">
        <v>44705</v>
      </c>
      <c r="B1833" s="116">
        <v>1470</v>
      </c>
      <c r="C1833" s="116">
        <v>1441.2</v>
      </c>
      <c r="D1833" s="116">
        <v>1435.3</v>
      </c>
      <c r="E1833" s="116">
        <v>1470</v>
      </c>
      <c r="F1833" s="116">
        <v>1441.2</v>
      </c>
      <c r="G1833">
        <v>342935</v>
      </c>
      <c r="H1833" s="116"/>
      <c r="I1833" s="116"/>
      <c r="L1833" s="170">
        <v>44705</v>
      </c>
      <c r="M1833" s="116">
        <v>1441</v>
      </c>
      <c r="N1833" s="116">
        <v>1469.55</v>
      </c>
      <c r="O1833" s="116">
        <v>1435.25</v>
      </c>
      <c r="P1833" s="116">
        <v>1468.6</v>
      </c>
      <c r="Q1833" s="116">
        <v>1441</v>
      </c>
      <c r="R1833">
        <v>5693167</v>
      </c>
    </row>
    <row r="1834" spans="1:18" x14ac:dyDescent="0.25">
      <c r="A1834" s="170">
        <v>44706</v>
      </c>
      <c r="B1834" s="116">
        <v>1442.85</v>
      </c>
      <c r="C1834" s="116">
        <v>1411.45</v>
      </c>
      <c r="D1834" s="116">
        <v>1399.5</v>
      </c>
      <c r="E1834" s="116">
        <v>1434</v>
      </c>
      <c r="F1834" s="116">
        <v>1411.45</v>
      </c>
      <c r="G1834">
        <v>512060</v>
      </c>
      <c r="H1834" s="116"/>
      <c r="I1834" s="116"/>
      <c r="L1834" s="170">
        <v>44706</v>
      </c>
      <c r="M1834" s="116">
        <v>1410.45</v>
      </c>
      <c r="N1834" s="116">
        <v>1442.5</v>
      </c>
      <c r="O1834" s="116">
        <v>1399.25</v>
      </c>
      <c r="P1834" s="116">
        <v>1435</v>
      </c>
      <c r="Q1834" s="116">
        <v>1410.45</v>
      </c>
      <c r="R1834">
        <v>9630092</v>
      </c>
    </row>
    <row r="1835" spans="1:18" x14ac:dyDescent="0.25">
      <c r="A1835" s="170">
        <v>44707</v>
      </c>
      <c r="B1835" s="116">
        <v>1430</v>
      </c>
      <c r="C1835" s="116">
        <v>1423.8</v>
      </c>
      <c r="D1835" s="116">
        <v>1407</v>
      </c>
      <c r="E1835" s="116">
        <v>1410</v>
      </c>
      <c r="F1835" s="116">
        <v>1423.8</v>
      </c>
      <c r="G1835">
        <v>602222</v>
      </c>
      <c r="H1835" s="116"/>
      <c r="I1835" s="116"/>
      <c r="L1835" s="170">
        <v>44707</v>
      </c>
      <c r="M1835" s="116">
        <v>1423.95</v>
      </c>
      <c r="N1835" s="116">
        <v>1430</v>
      </c>
      <c r="O1835" s="116">
        <v>1407.05</v>
      </c>
      <c r="P1835" s="116">
        <v>1418</v>
      </c>
      <c r="Q1835" s="116">
        <v>1423.95</v>
      </c>
      <c r="R1835">
        <v>13040065</v>
      </c>
    </row>
    <row r="1836" spans="1:18" x14ac:dyDescent="0.25">
      <c r="A1836" s="170">
        <v>44708</v>
      </c>
      <c r="B1836" s="116">
        <v>1467</v>
      </c>
      <c r="C1836" s="116">
        <v>1460.85</v>
      </c>
      <c r="D1836" s="116">
        <v>1437.3</v>
      </c>
      <c r="E1836" s="116">
        <v>1450</v>
      </c>
      <c r="F1836" s="116">
        <v>1460.85</v>
      </c>
      <c r="G1836">
        <v>478492</v>
      </c>
      <c r="H1836" s="116"/>
      <c r="I1836" s="116"/>
      <c r="L1836" s="170">
        <v>44708</v>
      </c>
      <c r="M1836" s="116">
        <v>1461.35</v>
      </c>
      <c r="N1836" s="116">
        <v>1467</v>
      </c>
      <c r="O1836" s="116">
        <v>1437.4</v>
      </c>
      <c r="P1836" s="116">
        <v>1443.95</v>
      </c>
      <c r="Q1836" s="116">
        <v>1461.35</v>
      </c>
      <c r="R1836">
        <v>8284860</v>
      </c>
    </row>
    <row r="1837" spans="1:18" x14ac:dyDescent="0.25">
      <c r="A1837" s="170">
        <v>44711</v>
      </c>
      <c r="B1837" s="116">
        <v>1530</v>
      </c>
      <c r="C1837" s="116">
        <v>1527.55</v>
      </c>
      <c r="D1837" s="116">
        <v>1486.8</v>
      </c>
      <c r="E1837" s="116">
        <v>1490.1</v>
      </c>
      <c r="F1837" s="116">
        <v>1527.55</v>
      </c>
      <c r="G1837">
        <v>393178</v>
      </c>
      <c r="H1837" s="116"/>
      <c r="I1837" s="116"/>
      <c r="L1837" s="170">
        <v>44711</v>
      </c>
      <c r="M1837" s="116">
        <v>1526.8</v>
      </c>
      <c r="N1837" s="116">
        <v>1530</v>
      </c>
      <c r="O1837" s="116">
        <v>1485</v>
      </c>
      <c r="P1837" s="116">
        <v>1487</v>
      </c>
      <c r="Q1837" s="116">
        <v>1526.8</v>
      </c>
      <c r="R1837">
        <v>10904213</v>
      </c>
    </row>
    <row r="1838" spans="1:18" x14ac:dyDescent="0.25">
      <c r="A1838" s="170">
        <v>44712</v>
      </c>
      <c r="B1838" s="116">
        <v>1517.5</v>
      </c>
      <c r="C1838" s="116">
        <v>1503.95</v>
      </c>
      <c r="D1838" s="116">
        <v>1488.7</v>
      </c>
      <c r="E1838" s="116">
        <v>1513</v>
      </c>
      <c r="F1838" s="116">
        <v>1503.95</v>
      </c>
      <c r="G1838">
        <v>370875</v>
      </c>
      <c r="H1838" s="116"/>
      <c r="I1838" s="116"/>
      <c r="L1838" s="170">
        <v>44712</v>
      </c>
      <c r="M1838" s="116">
        <v>1503.6</v>
      </c>
      <c r="N1838" s="116">
        <v>1518</v>
      </c>
      <c r="O1838" s="116">
        <v>1488.15</v>
      </c>
      <c r="P1838" s="116">
        <v>1510.7</v>
      </c>
      <c r="Q1838" s="116">
        <v>1503.6</v>
      </c>
      <c r="R1838">
        <v>16033857</v>
      </c>
    </row>
    <row r="1839" spans="1:18" x14ac:dyDescent="0.25">
      <c r="A1839" s="170">
        <v>44713</v>
      </c>
      <c r="B1839" s="116">
        <v>1514</v>
      </c>
      <c r="C1839" s="116">
        <v>1478.9</v>
      </c>
      <c r="D1839" s="116">
        <v>1471.6</v>
      </c>
      <c r="E1839" s="116">
        <v>1505.15</v>
      </c>
      <c r="F1839" s="116">
        <v>1478.9</v>
      </c>
      <c r="G1839">
        <v>435128</v>
      </c>
      <c r="H1839" s="116"/>
      <c r="I1839" s="116"/>
      <c r="L1839" s="170">
        <v>44713</v>
      </c>
      <c r="M1839" s="116">
        <v>1478.55</v>
      </c>
      <c r="N1839" s="116">
        <v>1514.75</v>
      </c>
      <c r="O1839" s="116">
        <v>1472.1</v>
      </c>
      <c r="P1839" s="116">
        <v>1513</v>
      </c>
      <c r="Q1839" s="116">
        <v>1478.55</v>
      </c>
      <c r="R1839">
        <v>8738508</v>
      </c>
    </row>
    <row r="1840" spans="1:18" x14ac:dyDescent="0.25">
      <c r="A1840" s="170">
        <v>44714</v>
      </c>
      <c r="B1840" s="116">
        <v>1513.8</v>
      </c>
      <c r="C1840" s="116">
        <v>1507.9</v>
      </c>
      <c r="D1840" s="116">
        <v>1475.6</v>
      </c>
      <c r="E1840" s="116">
        <v>1485.55</v>
      </c>
      <c r="F1840" s="116">
        <v>1507.9</v>
      </c>
      <c r="G1840">
        <v>378526</v>
      </c>
      <c r="H1840" s="116"/>
      <c r="I1840" s="116"/>
      <c r="L1840" s="170">
        <v>44714</v>
      </c>
      <c r="M1840" s="116">
        <v>1508</v>
      </c>
      <c r="N1840" s="116">
        <v>1513.85</v>
      </c>
      <c r="O1840" s="116">
        <v>1475.6</v>
      </c>
      <c r="P1840" s="116">
        <v>1484</v>
      </c>
      <c r="Q1840" s="116">
        <v>1508</v>
      </c>
      <c r="R1840">
        <v>7205840</v>
      </c>
    </row>
    <row r="1841" spans="1:18" x14ac:dyDescent="0.25">
      <c r="A1841" s="170">
        <v>44715</v>
      </c>
      <c r="B1841" s="116">
        <v>1555.05</v>
      </c>
      <c r="C1841" s="116">
        <v>1522</v>
      </c>
      <c r="D1841" s="116">
        <v>1518.5</v>
      </c>
      <c r="E1841" s="116">
        <v>1524.9</v>
      </c>
      <c r="F1841" s="116">
        <v>1522</v>
      </c>
      <c r="G1841">
        <v>253715</v>
      </c>
      <c r="H1841" s="116"/>
      <c r="I1841" s="116"/>
      <c r="L1841" s="170">
        <v>44715</v>
      </c>
      <c r="M1841" s="116">
        <v>1521.7</v>
      </c>
      <c r="N1841" s="116">
        <v>1555</v>
      </c>
      <c r="O1841" s="116">
        <v>1518</v>
      </c>
      <c r="P1841" s="116">
        <v>1524.9</v>
      </c>
      <c r="Q1841" s="116">
        <v>1521.7</v>
      </c>
      <c r="R1841">
        <v>9395707</v>
      </c>
    </row>
    <row r="1842" spans="1:18" x14ac:dyDescent="0.25">
      <c r="A1842" s="170">
        <v>44718</v>
      </c>
      <c r="B1842" s="116">
        <v>1536.6</v>
      </c>
      <c r="C1842" s="116">
        <v>1530.35</v>
      </c>
      <c r="D1842" s="116">
        <v>1493.05</v>
      </c>
      <c r="E1842" s="116">
        <v>1521</v>
      </c>
      <c r="F1842" s="116">
        <v>1530.35</v>
      </c>
      <c r="G1842">
        <v>208431</v>
      </c>
      <c r="H1842" s="116"/>
      <c r="I1842" s="116"/>
      <c r="L1842" s="170">
        <v>44718</v>
      </c>
      <c r="M1842" s="116">
        <v>1530.05</v>
      </c>
      <c r="N1842" s="116">
        <v>1536.6</v>
      </c>
      <c r="O1842" s="116">
        <v>1493</v>
      </c>
      <c r="P1842" s="116">
        <v>1516</v>
      </c>
      <c r="Q1842" s="116">
        <v>1530.05</v>
      </c>
      <c r="R1842">
        <v>6624883</v>
      </c>
    </row>
    <row r="1843" spans="1:18" x14ac:dyDescent="0.25">
      <c r="A1843" s="170">
        <v>44719</v>
      </c>
      <c r="B1843" s="116">
        <v>1519</v>
      </c>
      <c r="C1843" s="116">
        <v>1507.25</v>
      </c>
      <c r="D1843" s="116">
        <v>1503</v>
      </c>
      <c r="E1843" s="116">
        <v>1518</v>
      </c>
      <c r="F1843" s="116">
        <v>1507.25</v>
      </c>
      <c r="G1843">
        <v>239963</v>
      </c>
      <c r="H1843" s="116"/>
      <c r="I1843" s="116"/>
      <c r="L1843" s="170">
        <v>44719</v>
      </c>
      <c r="M1843" s="116">
        <v>1506.7</v>
      </c>
      <c r="N1843" s="116">
        <v>1519.85</v>
      </c>
      <c r="O1843" s="116">
        <v>1502.6</v>
      </c>
      <c r="P1843" s="116">
        <v>1519.85</v>
      </c>
      <c r="Q1843" s="116">
        <v>1506.7</v>
      </c>
      <c r="R1843">
        <v>4904592</v>
      </c>
    </row>
    <row r="1844" spans="1:18" x14ac:dyDescent="0.25">
      <c r="A1844" s="170">
        <v>44720</v>
      </c>
      <c r="B1844" s="116">
        <v>1523</v>
      </c>
      <c r="C1844" s="116">
        <v>1499.95</v>
      </c>
      <c r="D1844" s="116">
        <v>1492.3</v>
      </c>
      <c r="E1844" s="116">
        <v>1523</v>
      </c>
      <c r="F1844" s="116">
        <v>1499.95</v>
      </c>
      <c r="G1844">
        <v>189312</v>
      </c>
      <c r="H1844" s="116"/>
      <c r="I1844" s="116"/>
      <c r="L1844" s="170">
        <v>44720</v>
      </c>
      <c r="M1844" s="116">
        <v>1500</v>
      </c>
      <c r="N1844" s="116">
        <v>1520.2</v>
      </c>
      <c r="O1844" s="116">
        <v>1492</v>
      </c>
      <c r="P1844" s="116">
        <v>1520.2</v>
      </c>
      <c r="Q1844" s="116">
        <v>1500</v>
      </c>
      <c r="R1844">
        <v>4697608</v>
      </c>
    </row>
    <row r="1845" spans="1:18" x14ac:dyDescent="0.25">
      <c r="A1845" s="170">
        <v>44721</v>
      </c>
      <c r="B1845" s="116">
        <v>1517</v>
      </c>
      <c r="C1845" s="116">
        <v>1514.6</v>
      </c>
      <c r="D1845" s="116">
        <v>1482</v>
      </c>
      <c r="E1845" s="116">
        <v>1487.8</v>
      </c>
      <c r="F1845" s="116">
        <v>1514.6</v>
      </c>
      <c r="G1845">
        <v>283441</v>
      </c>
      <c r="H1845" s="116"/>
      <c r="I1845" s="116"/>
      <c r="L1845" s="170">
        <v>44721</v>
      </c>
      <c r="M1845" s="116">
        <v>1515</v>
      </c>
      <c r="N1845" s="116">
        <v>1516.95</v>
      </c>
      <c r="O1845" s="116">
        <v>1481.5</v>
      </c>
      <c r="P1845" s="116">
        <v>1485</v>
      </c>
      <c r="Q1845" s="116">
        <v>1515</v>
      </c>
      <c r="R1845">
        <v>4361061</v>
      </c>
    </row>
    <row r="1846" spans="1:18" x14ac:dyDescent="0.25">
      <c r="A1846" s="170">
        <v>44722</v>
      </c>
      <c r="B1846" s="116">
        <v>1492.65</v>
      </c>
      <c r="C1846" s="116">
        <v>1477.15</v>
      </c>
      <c r="D1846" s="116">
        <v>1474.1</v>
      </c>
      <c r="E1846" s="116">
        <v>1485</v>
      </c>
      <c r="F1846" s="116">
        <v>1477.15</v>
      </c>
      <c r="G1846">
        <v>375471</v>
      </c>
      <c r="H1846" s="116"/>
      <c r="I1846" s="116"/>
      <c r="L1846" s="170">
        <v>44722</v>
      </c>
      <c r="M1846" s="116">
        <v>1476.8</v>
      </c>
      <c r="N1846" s="116">
        <v>1493.95</v>
      </c>
      <c r="O1846" s="116">
        <v>1473.6</v>
      </c>
      <c r="P1846" s="116">
        <v>1486.1</v>
      </c>
      <c r="Q1846" s="116">
        <v>1476.8</v>
      </c>
      <c r="R1846">
        <v>6516436</v>
      </c>
    </row>
    <row r="1847" spans="1:18" x14ac:dyDescent="0.25">
      <c r="A1847" s="170">
        <v>44725</v>
      </c>
      <c r="B1847" s="116">
        <v>1445</v>
      </c>
      <c r="C1847" s="116">
        <v>1424.2</v>
      </c>
      <c r="D1847" s="116">
        <v>1412.3</v>
      </c>
      <c r="E1847" s="116">
        <v>1444</v>
      </c>
      <c r="F1847" s="116">
        <v>1424.2</v>
      </c>
      <c r="G1847">
        <v>450915</v>
      </c>
      <c r="H1847" s="116"/>
      <c r="I1847" s="116"/>
      <c r="L1847" s="170">
        <v>44725</v>
      </c>
      <c r="M1847" s="116">
        <v>1424.5</v>
      </c>
      <c r="N1847" s="116">
        <v>1443.6</v>
      </c>
      <c r="O1847" s="116">
        <v>1411.7</v>
      </c>
      <c r="P1847" s="116">
        <v>1443.6</v>
      </c>
      <c r="Q1847" s="116">
        <v>1424.5</v>
      </c>
      <c r="R1847">
        <v>6987685</v>
      </c>
    </row>
    <row r="1848" spans="1:18" x14ac:dyDescent="0.25">
      <c r="A1848" s="170">
        <v>44726</v>
      </c>
      <c r="B1848" s="116">
        <v>1448.95</v>
      </c>
      <c r="C1848" s="116">
        <v>1440.25</v>
      </c>
      <c r="D1848" s="116">
        <v>1404</v>
      </c>
      <c r="E1848" s="116">
        <v>1407.05</v>
      </c>
      <c r="F1848" s="116">
        <v>1440.25</v>
      </c>
      <c r="G1848">
        <v>342024</v>
      </c>
      <c r="H1848" s="116"/>
      <c r="I1848" s="116"/>
      <c r="L1848" s="170">
        <v>44726</v>
      </c>
      <c r="M1848" s="116">
        <v>1440.55</v>
      </c>
      <c r="N1848" s="116">
        <v>1448.9</v>
      </c>
      <c r="O1848" s="116">
        <v>1403.15</v>
      </c>
      <c r="P1848" s="116">
        <v>1410</v>
      </c>
      <c r="Q1848" s="116">
        <v>1440.55</v>
      </c>
      <c r="R1848">
        <v>6090247</v>
      </c>
    </row>
    <row r="1849" spans="1:18" x14ac:dyDescent="0.25">
      <c r="A1849" s="170">
        <v>44727</v>
      </c>
      <c r="B1849" s="116">
        <v>1446.25</v>
      </c>
      <c r="C1849" s="116">
        <v>1421.65</v>
      </c>
      <c r="D1849" s="116">
        <v>1418.45</v>
      </c>
      <c r="E1849" s="116">
        <v>1440</v>
      </c>
      <c r="F1849" s="116">
        <v>1421.65</v>
      </c>
      <c r="G1849">
        <v>201434</v>
      </c>
      <c r="H1849" s="116"/>
      <c r="I1849" s="116"/>
      <c r="L1849" s="170">
        <v>44727</v>
      </c>
      <c r="M1849" s="116">
        <v>1422.2</v>
      </c>
      <c r="N1849" s="116">
        <v>1446.4</v>
      </c>
      <c r="O1849" s="116">
        <v>1418.85</v>
      </c>
      <c r="P1849" s="116">
        <v>1440.2</v>
      </c>
      <c r="Q1849" s="116">
        <v>1422.2</v>
      </c>
      <c r="R1849">
        <v>4651958</v>
      </c>
    </row>
    <row r="1850" spans="1:18" x14ac:dyDescent="0.25">
      <c r="A1850" s="170">
        <v>44728</v>
      </c>
      <c r="B1850" s="116">
        <v>1444.8</v>
      </c>
      <c r="C1850" s="116">
        <v>1397.15</v>
      </c>
      <c r="D1850" s="116">
        <v>1392.15</v>
      </c>
      <c r="E1850" s="116">
        <v>1440</v>
      </c>
      <c r="F1850" s="116">
        <v>1397.15</v>
      </c>
      <c r="G1850">
        <v>372499</v>
      </c>
      <c r="H1850" s="116"/>
      <c r="I1850" s="116"/>
      <c r="L1850" s="170">
        <v>44728</v>
      </c>
      <c r="M1850" s="116">
        <v>1397.2</v>
      </c>
      <c r="N1850" s="116">
        <v>1443.75</v>
      </c>
      <c r="O1850" s="116">
        <v>1392</v>
      </c>
      <c r="P1850" s="116">
        <v>1438</v>
      </c>
      <c r="Q1850" s="116">
        <v>1397.2</v>
      </c>
      <c r="R1850">
        <v>6641772</v>
      </c>
    </row>
    <row r="1851" spans="1:18" x14ac:dyDescent="0.25">
      <c r="A1851" s="170">
        <v>44729</v>
      </c>
      <c r="B1851" s="116">
        <v>1397.05</v>
      </c>
      <c r="C1851" s="116">
        <v>1387.65</v>
      </c>
      <c r="D1851" s="116">
        <v>1367.2</v>
      </c>
      <c r="E1851" s="116">
        <v>1394.95</v>
      </c>
      <c r="F1851" s="116">
        <v>1387.65</v>
      </c>
      <c r="G1851">
        <v>299853</v>
      </c>
      <c r="H1851" s="116"/>
      <c r="I1851" s="116"/>
      <c r="L1851" s="170">
        <v>44729</v>
      </c>
      <c r="M1851" s="116">
        <v>1387.3</v>
      </c>
      <c r="N1851" s="116">
        <v>1396.95</v>
      </c>
      <c r="O1851" s="116">
        <v>1367.15</v>
      </c>
      <c r="P1851" s="116">
        <v>1391.05</v>
      </c>
      <c r="Q1851" s="116">
        <v>1387.3</v>
      </c>
      <c r="R1851">
        <v>9692047</v>
      </c>
    </row>
    <row r="1852" spans="1:18" x14ac:dyDescent="0.25">
      <c r="A1852" s="170">
        <v>44732</v>
      </c>
      <c r="B1852" s="116">
        <v>1423</v>
      </c>
      <c r="C1852" s="116">
        <v>1414.75</v>
      </c>
      <c r="D1852" s="116">
        <v>1382.1</v>
      </c>
      <c r="E1852" s="116">
        <v>1389</v>
      </c>
      <c r="F1852" s="116">
        <v>1414.75</v>
      </c>
      <c r="G1852">
        <v>271497</v>
      </c>
      <c r="H1852" s="116"/>
      <c r="I1852" s="116"/>
      <c r="L1852" s="170">
        <v>44732</v>
      </c>
      <c r="M1852" s="116">
        <v>1414.15</v>
      </c>
      <c r="N1852" s="116">
        <v>1422.35</v>
      </c>
      <c r="O1852" s="116">
        <v>1382</v>
      </c>
      <c r="P1852" s="116">
        <v>1390.05</v>
      </c>
      <c r="Q1852" s="116">
        <v>1414.15</v>
      </c>
      <c r="R1852">
        <v>4595194</v>
      </c>
    </row>
    <row r="1853" spans="1:18" x14ac:dyDescent="0.25">
      <c r="A1853" s="170">
        <v>44733</v>
      </c>
      <c r="B1853" s="116">
        <v>1455.55</v>
      </c>
      <c r="C1853" s="116">
        <v>1450</v>
      </c>
      <c r="D1853" s="116">
        <v>1420</v>
      </c>
      <c r="E1853" s="116">
        <v>1420</v>
      </c>
      <c r="F1853" s="116">
        <v>1450</v>
      </c>
      <c r="G1853">
        <v>372219</v>
      </c>
      <c r="H1853" s="116"/>
      <c r="I1853" s="116"/>
      <c r="L1853" s="170">
        <v>44733</v>
      </c>
      <c r="M1853" s="116">
        <v>1449.9</v>
      </c>
      <c r="N1853" s="116">
        <v>1456</v>
      </c>
      <c r="O1853" s="116">
        <v>1422.75</v>
      </c>
      <c r="P1853" s="116">
        <v>1424</v>
      </c>
      <c r="Q1853" s="116">
        <v>1449.9</v>
      </c>
      <c r="R1853">
        <v>6270787</v>
      </c>
    </row>
    <row r="1854" spans="1:18" x14ac:dyDescent="0.25">
      <c r="A1854" s="170">
        <v>44734</v>
      </c>
      <c r="B1854" s="116">
        <v>1459.3</v>
      </c>
      <c r="C1854" s="116">
        <v>1437.35</v>
      </c>
      <c r="D1854" s="116">
        <v>1435</v>
      </c>
      <c r="E1854" s="116">
        <v>1435</v>
      </c>
      <c r="F1854" s="116">
        <v>1437.35</v>
      </c>
      <c r="G1854">
        <v>243450</v>
      </c>
      <c r="H1854" s="116"/>
      <c r="I1854" s="116"/>
      <c r="L1854" s="170">
        <v>44734</v>
      </c>
      <c r="M1854" s="116">
        <v>1437.25</v>
      </c>
      <c r="N1854" s="116">
        <v>1459.6</v>
      </c>
      <c r="O1854" s="116">
        <v>1435</v>
      </c>
      <c r="P1854" s="116">
        <v>1436.05</v>
      </c>
      <c r="Q1854" s="116">
        <v>1437.25</v>
      </c>
      <c r="R1854">
        <v>6253366</v>
      </c>
    </row>
    <row r="1855" spans="1:18" x14ac:dyDescent="0.25">
      <c r="A1855" s="170">
        <v>44735</v>
      </c>
      <c r="B1855" s="116">
        <v>1458.75</v>
      </c>
      <c r="C1855" s="116">
        <v>1453.2</v>
      </c>
      <c r="D1855" s="116">
        <v>1433.85</v>
      </c>
      <c r="E1855" s="116">
        <v>1439.8</v>
      </c>
      <c r="F1855" s="116">
        <v>1453.2</v>
      </c>
      <c r="G1855">
        <v>305346</v>
      </c>
      <c r="H1855" s="116"/>
      <c r="I1855" s="116"/>
      <c r="L1855" s="170">
        <v>44735</v>
      </c>
      <c r="M1855" s="116">
        <v>1452.45</v>
      </c>
      <c r="N1855" s="116">
        <v>1458</v>
      </c>
      <c r="O1855" s="116">
        <v>1433</v>
      </c>
      <c r="P1855" s="116">
        <v>1439.8</v>
      </c>
      <c r="Q1855" s="116">
        <v>1452.45</v>
      </c>
      <c r="R1855">
        <v>6254281</v>
      </c>
    </row>
    <row r="1856" spans="1:18" x14ac:dyDescent="0.25">
      <c r="A1856" s="170">
        <v>44736</v>
      </c>
      <c r="B1856" s="116">
        <v>1469</v>
      </c>
      <c r="C1856" s="116">
        <v>1442.05</v>
      </c>
      <c r="D1856" s="116">
        <v>1428.8</v>
      </c>
      <c r="E1856" s="116">
        <v>1459.95</v>
      </c>
      <c r="F1856" s="116">
        <v>1442.05</v>
      </c>
      <c r="G1856">
        <v>208215</v>
      </c>
      <c r="H1856" s="116"/>
      <c r="I1856" s="116"/>
      <c r="L1856" s="170">
        <v>44736</v>
      </c>
      <c r="M1856" s="116">
        <v>1441.1</v>
      </c>
      <c r="N1856" s="116">
        <v>1467.5</v>
      </c>
      <c r="O1856" s="116">
        <v>1428.9</v>
      </c>
      <c r="P1856" s="116">
        <v>1458</v>
      </c>
      <c r="Q1856" s="116">
        <v>1441.1</v>
      </c>
      <c r="R1856">
        <v>6114340</v>
      </c>
    </row>
    <row r="1857" spans="1:18" x14ac:dyDescent="0.25">
      <c r="A1857" s="170">
        <v>44739</v>
      </c>
      <c r="B1857" s="116">
        <v>1484.1</v>
      </c>
      <c r="C1857" s="116">
        <v>1474.55</v>
      </c>
      <c r="D1857" s="116">
        <v>1465.3</v>
      </c>
      <c r="E1857" s="116">
        <v>1470</v>
      </c>
      <c r="F1857" s="116">
        <v>1474.55</v>
      </c>
      <c r="G1857">
        <v>220528</v>
      </c>
      <c r="H1857" s="116"/>
      <c r="I1857" s="116"/>
      <c r="L1857" s="170">
        <v>44739</v>
      </c>
      <c r="M1857" s="116">
        <v>1474.6</v>
      </c>
      <c r="N1857" s="116">
        <v>1484</v>
      </c>
      <c r="O1857" s="116">
        <v>1465.15</v>
      </c>
      <c r="P1857" s="116">
        <v>1468.05</v>
      </c>
      <c r="Q1857" s="116">
        <v>1474.6</v>
      </c>
      <c r="R1857">
        <v>4511097</v>
      </c>
    </row>
    <row r="1858" spans="1:18" x14ac:dyDescent="0.25">
      <c r="A1858" s="170">
        <v>44740</v>
      </c>
      <c r="B1858" s="116">
        <v>1485.9</v>
      </c>
      <c r="C1858" s="116">
        <v>1480.25</v>
      </c>
      <c r="D1858" s="116">
        <v>1453</v>
      </c>
      <c r="E1858" s="116">
        <v>1459.4</v>
      </c>
      <c r="F1858" s="116">
        <v>1480.25</v>
      </c>
      <c r="G1858">
        <v>65629</v>
      </c>
      <c r="H1858" s="116"/>
      <c r="I1858" s="116"/>
      <c r="L1858" s="170">
        <v>44740</v>
      </c>
      <c r="M1858" s="116">
        <v>1480.15</v>
      </c>
      <c r="N1858" s="116">
        <v>1488.25</v>
      </c>
      <c r="O1858" s="116">
        <v>1453</v>
      </c>
      <c r="P1858" s="116">
        <v>1469</v>
      </c>
      <c r="Q1858" s="116">
        <v>1480.15</v>
      </c>
      <c r="R1858">
        <v>4412178</v>
      </c>
    </row>
    <row r="1859" spans="1:18" x14ac:dyDescent="0.25">
      <c r="A1859" s="170">
        <v>44741</v>
      </c>
      <c r="B1859" s="116">
        <v>1477.2</v>
      </c>
      <c r="C1859" s="116">
        <v>1463.7</v>
      </c>
      <c r="D1859" s="116">
        <v>1457.9</v>
      </c>
      <c r="E1859" s="116">
        <v>1466.7</v>
      </c>
      <c r="F1859" s="116">
        <v>1463.7</v>
      </c>
      <c r="G1859">
        <v>258252</v>
      </c>
      <c r="H1859" s="116"/>
      <c r="I1859" s="116"/>
      <c r="L1859" s="170">
        <v>44741</v>
      </c>
      <c r="M1859" s="116">
        <v>1463.25</v>
      </c>
      <c r="N1859" s="116">
        <v>1477</v>
      </c>
      <c r="O1859" s="116">
        <v>1457</v>
      </c>
      <c r="P1859" s="116">
        <v>1464.7</v>
      </c>
      <c r="Q1859" s="116">
        <v>1463.25</v>
      </c>
      <c r="R1859">
        <v>5060038</v>
      </c>
    </row>
    <row r="1860" spans="1:18" x14ac:dyDescent="0.25">
      <c r="A1860" s="170">
        <v>44742</v>
      </c>
      <c r="B1860" s="116">
        <v>1481.9</v>
      </c>
      <c r="C1860" s="116">
        <v>1461.2</v>
      </c>
      <c r="D1860" s="116">
        <v>1455.15</v>
      </c>
      <c r="E1860" s="116">
        <v>1462.95</v>
      </c>
      <c r="F1860" s="116">
        <v>1461.2</v>
      </c>
      <c r="G1860">
        <v>400032</v>
      </c>
      <c r="H1860" s="116"/>
      <c r="I1860" s="116"/>
      <c r="L1860" s="170">
        <v>44742</v>
      </c>
      <c r="M1860" s="116">
        <v>1461.9</v>
      </c>
      <c r="N1860" s="116">
        <v>1482</v>
      </c>
      <c r="O1860" s="116">
        <v>1455</v>
      </c>
      <c r="P1860" s="116">
        <v>1465.05</v>
      </c>
      <c r="Q1860" s="116">
        <v>1461.9</v>
      </c>
      <c r="R1860">
        <v>9165177</v>
      </c>
    </row>
    <row r="1861" spans="1:18" x14ac:dyDescent="0.25">
      <c r="A1861" s="170">
        <v>44743</v>
      </c>
      <c r="B1861" s="116">
        <v>1484.7</v>
      </c>
      <c r="C1861" s="116">
        <v>1478.05</v>
      </c>
      <c r="D1861" s="116">
        <v>1442.25</v>
      </c>
      <c r="E1861" s="116">
        <v>1453.7</v>
      </c>
      <c r="F1861" s="116">
        <v>1478.05</v>
      </c>
      <c r="G1861">
        <v>107464</v>
      </c>
      <c r="H1861" s="116"/>
      <c r="I1861" s="116"/>
      <c r="L1861" s="170">
        <v>44743</v>
      </c>
      <c r="M1861" s="116">
        <v>1479.4</v>
      </c>
      <c r="N1861" s="116">
        <v>1485</v>
      </c>
      <c r="O1861" s="116">
        <v>1442.35</v>
      </c>
      <c r="P1861" s="116">
        <v>1454</v>
      </c>
      <c r="Q1861" s="116">
        <v>1479.4</v>
      </c>
      <c r="R1861">
        <v>4651635</v>
      </c>
    </row>
    <row r="1862" spans="1:18" x14ac:dyDescent="0.25">
      <c r="A1862" s="170">
        <v>44746</v>
      </c>
      <c r="B1862" s="116">
        <v>1492.05</v>
      </c>
      <c r="C1862" s="116">
        <v>1487.75</v>
      </c>
      <c r="D1862" s="116">
        <v>1461.8</v>
      </c>
      <c r="E1862" s="116">
        <v>1482</v>
      </c>
      <c r="F1862" s="116">
        <v>1487.75</v>
      </c>
      <c r="G1862">
        <v>120316</v>
      </c>
      <c r="H1862" s="116"/>
      <c r="I1862" s="116"/>
      <c r="L1862" s="170">
        <v>44746</v>
      </c>
      <c r="M1862" s="116">
        <v>1488</v>
      </c>
      <c r="N1862" s="116">
        <v>1492.25</v>
      </c>
      <c r="O1862" s="116">
        <v>1462</v>
      </c>
      <c r="P1862" s="116">
        <v>1480.25</v>
      </c>
      <c r="Q1862" s="116">
        <v>1488</v>
      </c>
      <c r="R1862">
        <v>4800224</v>
      </c>
    </row>
    <row r="1863" spans="1:18" x14ac:dyDescent="0.25">
      <c r="A1863" s="170">
        <v>44747</v>
      </c>
      <c r="B1863" s="116">
        <v>1509.9</v>
      </c>
      <c r="C1863" s="116">
        <v>1476.35</v>
      </c>
      <c r="D1863" s="116">
        <v>1472.1</v>
      </c>
      <c r="E1863" s="116">
        <v>1497</v>
      </c>
      <c r="F1863" s="116">
        <v>1476.35</v>
      </c>
      <c r="G1863">
        <v>195891</v>
      </c>
      <c r="H1863" s="116"/>
      <c r="I1863" s="116"/>
      <c r="L1863" s="170">
        <v>44747</v>
      </c>
      <c r="M1863" s="116">
        <v>1475.95</v>
      </c>
      <c r="N1863" s="116">
        <v>1509.95</v>
      </c>
      <c r="O1863" s="116">
        <v>1472</v>
      </c>
      <c r="P1863" s="116">
        <v>1498.8</v>
      </c>
      <c r="Q1863" s="116">
        <v>1475.95</v>
      </c>
      <c r="R1863">
        <v>7379669</v>
      </c>
    </row>
    <row r="1864" spans="1:18" x14ac:dyDescent="0.25">
      <c r="A1864" s="170">
        <v>44748</v>
      </c>
      <c r="B1864" s="116">
        <v>1500</v>
      </c>
      <c r="C1864" s="116">
        <v>1491.95</v>
      </c>
      <c r="D1864" s="116">
        <v>1470.1</v>
      </c>
      <c r="E1864" s="116">
        <v>1482</v>
      </c>
      <c r="F1864" s="116">
        <v>1491.95</v>
      </c>
      <c r="G1864">
        <v>284538</v>
      </c>
      <c r="H1864" s="116"/>
      <c r="I1864" s="116"/>
      <c r="L1864" s="170">
        <v>44748</v>
      </c>
      <c r="M1864" s="116">
        <v>1491.65</v>
      </c>
      <c r="N1864" s="116">
        <v>1500</v>
      </c>
      <c r="O1864" s="116">
        <v>1470</v>
      </c>
      <c r="P1864" s="116">
        <v>1482.2</v>
      </c>
      <c r="Q1864" s="116">
        <v>1491.65</v>
      </c>
      <c r="R1864">
        <v>5209162</v>
      </c>
    </row>
    <row r="1865" spans="1:18" x14ac:dyDescent="0.25">
      <c r="A1865" s="170">
        <v>44749</v>
      </c>
      <c r="B1865" s="116">
        <v>1514</v>
      </c>
      <c r="C1865" s="116">
        <v>1498.75</v>
      </c>
      <c r="D1865" s="116">
        <v>1495.5</v>
      </c>
      <c r="E1865" s="116">
        <v>1498.95</v>
      </c>
      <c r="F1865" s="116">
        <v>1498.75</v>
      </c>
      <c r="G1865">
        <v>256360</v>
      </c>
      <c r="H1865" s="116"/>
      <c r="I1865" s="116"/>
      <c r="L1865" s="170">
        <v>44749</v>
      </c>
      <c r="M1865" s="116">
        <v>1498.7</v>
      </c>
      <c r="N1865" s="116">
        <v>1513.95</v>
      </c>
      <c r="O1865" s="116">
        <v>1495.7</v>
      </c>
      <c r="P1865" s="116">
        <v>1503.05</v>
      </c>
      <c r="Q1865" s="116">
        <v>1498.7</v>
      </c>
      <c r="R1865">
        <v>3323472</v>
      </c>
    </row>
    <row r="1866" spans="1:18" x14ac:dyDescent="0.25">
      <c r="A1866" s="170">
        <v>44750</v>
      </c>
      <c r="B1866" s="116">
        <v>1516.2</v>
      </c>
      <c r="C1866" s="116">
        <v>1514</v>
      </c>
      <c r="D1866" s="116">
        <v>1499.95</v>
      </c>
      <c r="E1866" s="116">
        <v>1515</v>
      </c>
      <c r="F1866" s="116">
        <v>1514</v>
      </c>
      <c r="G1866">
        <v>215034</v>
      </c>
      <c r="H1866" s="116"/>
      <c r="I1866" s="116"/>
      <c r="L1866" s="170">
        <v>44750</v>
      </c>
      <c r="M1866" s="116">
        <v>1514.45</v>
      </c>
      <c r="N1866" s="116">
        <v>1516.95</v>
      </c>
      <c r="O1866" s="116">
        <v>1499.95</v>
      </c>
      <c r="P1866" s="116">
        <v>1515</v>
      </c>
      <c r="Q1866" s="116">
        <v>1514.45</v>
      </c>
      <c r="R1866">
        <v>3652582</v>
      </c>
    </row>
    <row r="1867" spans="1:18" x14ac:dyDescent="0.25">
      <c r="A1867" s="170">
        <v>44753</v>
      </c>
      <c r="B1867" s="116">
        <v>1507</v>
      </c>
      <c r="C1867" s="116">
        <v>1472.8</v>
      </c>
      <c r="D1867" s="116">
        <v>1467</v>
      </c>
      <c r="E1867" s="116">
        <v>1507</v>
      </c>
      <c r="F1867" s="116">
        <v>1472.8</v>
      </c>
      <c r="G1867">
        <v>249390</v>
      </c>
      <c r="H1867" s="116"/>
      <c r="I1867" s="116"/>
      <c r="L1867" s="170">
        <v>44753</v>
      </c>
      <c r="M1867" s="116">
        <v>1473.15</v>
      </c>
      <c r="N1867" s="116">
        <v>1499.9</v>
      </c>
      <c r="O1867" s="116">
        <v>1466.4</v>
      </c>
      <c r="P1867" s="116">
        <v>1495</v>
      </c>
      <c r="Q1867" s="116">
        <v>1473.15</v>
      </c>
      <c r="R1867">
        <v>4702815</v>
      </c>
    </row>
    <row r="1868" spans="1:18" x14ac:dyDescent="0.25">
      <c r="A1868" s="170">
        <v>44754</v>
      </c>
      <c r="B1868" s="116">
        <v>1468.6</v>
      </c>
      <c r="C1868" s="116">
        <v>1438.5</v>
      </c>
      <c r="D1868" s="116">
        <v>1436</v>
      </c>
      <c r="E1868" s="116">
        <v>1467.9</v>
      </c>
      <c r="F1868" s="116">
        <v>1438.5</v>
      </c>
      <c r="G1868">
        <v>190479</v>
      </c>
      <c r="H1868" s="116"/>
      <c r="I1868" s="116"/>
      <c r="L1868" s="170">
        <v>44754</v>
      </c>
      <c r="M1868" s="116">
        <v>1438.6</v>
      </c>
      <c r="N1868" s="116">
        <v>1468.6</v>
      </c>
      <c r="O1868" s="116">
        <v>1436</v>
      </c>
      <c r="P1868" s="116">
        <v>1461.8</v>
      </c>
      <c r="Q1868" s="116">
        <v>1438.6</v>
      </c>
      <c r="R1868">
        <v>4710356</v>
      </c>
    </row>
    <row r="1869" spans="1:18" x14ac:dyDescent="0.25">
      <c r="A1869" s="170">
        <v>44755</v>
      </c>
      <c r="B1869" s="116">
        <v>1460.1</v>
      </c>
      <c r="C1869" s="116">
        <v>1444.95</v>
      </c>
      <c r="D1869" s="116">
        <v>1438.6</v>
      </c>
      <c r="E1869" s="116">
        <v>1449</v>
      </c>
      <c r="F1869" s="116">
        <v>1444.95</v>
      </c>
      <c r="G1869">
        <v>156442</v>
      </c>
      <c r="H1869" s="116"/>
      <c r="I1869" s="116"/>
      <c r="L1869" s="170">
        <v>44755</v>
      </c>
      <c r="M1869" s="116">
        <v>1444.45</v>
      </c>
      <c r="N1869" s="116">
        <v>1460</v>
      </c>
      <c r="O1869" s="116">
        <v>1438.6</v>
      </c>
      <c r="P1869" s="116">
        <v>1450</v>
      </c>
      <c r="Q1869" s="116">
        <v>1444.45</v>
      </c>
      <c r="R1869">
        <v>5264025</v>
      </c>
    </row>
    <row r="1870" spans="1:18" x14ac:dyDescent="0.25">
      <c r="A1870" s="170">
        <v>44756</v>
      </c>
      <c r="B1870" s="116">
        <v>1453.2</v>
      </c>
      <c r="C1870" s="116">
        <v>1429.1</v>
      </c>
      <c r="D1870" s="116">
        <v>1413.9</v>
      </c>
      <c r="E1870" s="116">
        <v>1451.8</v>
      </c>
      <c r="F1870" s="116">
        <v>1429.1</v>
      </c>
      <c r="G1870">
        <v>282798</v>
      </c>
      <c r="H1870" s="116"/>
      <c r="I1870" s="116"/>
      <c r="L1870" s="170">
        <v>44756</v>
      </c>
      <c r="M1870" s="116">
        <v>1428.85</v>
      </c>
      <c r="N1870" s="116">
        <v>1452.95</v>
      </c>
      <c r="O1870" s="116">
        <v>1414</v>
      </c>
      <c r="P1870" s="116">
        <v>1451</v>
      </c>
      <c r="Q1870" s="116">
        <v>1428.85</v>
      </c>
      <c r="R1870">
        <v>6157606</v>
      </c>
    </row>
    <row r="1871" spans="1:18" x14ac:dyDescent="0.25">
      <c r="A1871" s="170">
        <v>44757</v>
      </c>
      <c r="B1871" s="116">
        <v>1443.5</v>
      </c>
      <c r="C1871" s="116">
        <v>1430.5</v>
      </c>
      <c r="D1871" s="116">
        <v>1410.9</v>
      </c>
      <c r="E1871" s="116">
        <v>1440.05</v>
      </c>
      <c r="F1871" s="116">
        <v>1430.5</v>
      </c>
      <c r="G1871">
        <v>227996</v>
      </c>
      <c r="H1871" s="116"/>
      <c r="I1871" s="116"/>
      <c r="L1871" s="170">
        <v>44757</v>
      </c>
      <c r="M1871" s="116">
        <v>1430.35</v>
      </c>
      <c r="N1871" s="116">
        <v>1446</v>
      </c>
      <c r="O1871" s="116">
        <v>1410.65</v>
      </c>
      <c r="P1871" s="116">
        <v>1446</v>
      </c>
      <c r="Q1871" s="116">
        <v>1430.35</v>
      </c>
      <c r="R1871">
        <v>5620018</v>
      </c>
    </row>
    <row r="1872" spans="1:18" x14ac:dyDescent="0.25">
      <c r="A1872" s="170">
        <v>44760</v>
      </c>
      <c r="B1872" s="116">
        <v>1492.9</v>
      </c>
      <c r="C1872" s="116">
        <v>1490.05</v>
      </c>
      <c r="D1872" s="116">
        <v>1447.25</v>
      </c>
      <c r="E1872" s="116">
        <v>1447.25</v>
      </c>
      <c r="F1872" s="116">
        <v>1490.05</v>
      </c>
      <c r="G1872">
        <v>4992077</v>
      </c>
      <c r="H1872" s="116"/>
      <c r="I1872" s="116"/>
      <c r="L1872" s="170">
        <v>44760</v>
      </c>
      <c r="M1872" s="116">
        <v>1489.9</v>
      </c>
      <c r="N1872" s="116">
        <v>1493.6</v>
      </c>
      <c r="O1872" s="116">
        <v>1448.05</v>
      </c>
      <c r="P1872" s="116">
        <v>1450</v>
      </c>
      <c r="Q1872" s="116">
        <v>1489.9</v>
      </c>
      <c r="R1872">
        <v>5835171</v>
      </c>
    </row>
    <row r="1873" spans="1:18" x14ac:dyDescent="0.25">
      <c r="A1873" s="170">
        <v>44761</v>
      </c>
      <c r="B1873" s="116">
        <v>1486.55</v>
      </c>
      <c r="C1873" s="116">
        <v>1484.9</v>
      </c>
      <c r="D1873" s="116">
        <v>1470.55</v>
      </c>
      <c r="E1873" s="116">
        <v>1475</v>
      </c>
      <c r="F1873" s="116">
        <v>1484.9</v>
      </c>
      <c r="G1873">
        <v>259370</v>
      </c>
      <c r="H1873" s="116"/>
      <c r="I1873" s="116"/>
      <c r="L1873" s="170">
        <v>44761</v>
      </c>
      <c r="M1873" s="116">
        <v>1484.15</v>
      </c>
      <c r="N1873" s="116">
        <v>1486.85</v>
      </c>
      <c r="O1873" s="116">
        <v>1470.1</v>
      </c>
      <c r="P1873" s="116">
        <v>1471.55</v>
      </c>
      <c r="Q1873" s="116">
        <v>1484.15</v>
      </c>
      <c r="R1873">
        <v>3418540</v>
      </c>
    </row>
    <row r="1874" spans="1:18" x14ac:dyDescent="0.25">
      <c r="A1874" s="170">
        <v>44762</v>
      </c>
      <c r="B1874" s="116">
        <v>1525</v>
      </c>
      <c r="C1874" s="116">
        <v>1514.95</v>
      </c>
      <c r="D1874" s="116">
        <v>1499.05</v>
      </c>
      <c r="E1874" s="116">
        <v>1501.95</v>
      </c>
      <c r="F1874" s="116">
        <v>1514.95</v>
      </c>
      <c r="G1874">
        <v>329440</v>
      </c>
      <c r="H1874" s="116"/>
      <c r="I1874" s="116"/>
      <c r="L1874" s="170">
        <v>44762</v>
      </c>
      <c r="M1874" s="116">
        <v>1515.3</v>
      </c>
      <c r="N1874" s="116">
        <v>1525.8</v>
      </c>
      <c r="O1874" s="116">
        <v>1500</v>
      </c>
      <c r="P1874" s="116">
        <v>1501.25</v>
      </c>
      <c r="Q1874" s="116">
        <v>1515.3</v>
      </c>
      <c r="R1874">
        <v>5079392</v>
      </c>
    </row>
    <row r="1875" spans="1:18" x14ac:dyDescent="0.25">
      <c r="A1875" s="170">
        <v>44763</v>
      </c>
      <c r="B1875" s="116">
        <v>1535</v>
      </c>
      <c r="C1875" s="116">
        <v>1532.85</v>
      </c>
      <c r="D1875" s="116">
        <v>1503</v>
      </c>
      <c r="E1875" s="116">
        <v>1520</v>
      </c>
      <c r="F1875" s="116">
        <v>1532.85</v>
      </c>
      <c r="G1875">
        <v>135852</v>
      </c>
      <c r="H1875" s="116"/>
      <c r="I1875" s="116"/>
      <c r="L1875" s="170">
        <v>44763</v>
      </c>
      <c r="M1875" s="116">
        <v>1532.9</v>
      </c>
      <c r="N1875" s="116">
        <v>1535.45</v>
      </c>
      <c r="O1875" s="116">
        <v>1503.1</v>
      </c>
      <c r="P1875" s="116">
        <v>1517</v>
      </c>
      <c r="Q1875" s="116">
        <v>1532.9</v>
      </c>
      <c r="R1875">
        <v>5008061</v>
      </c>
    </row>
    <row r="1876" spans="1:18" x14ac:dyDescent="0.25">
      <c r="A1876" s="170">
        <v>44764</v>
      </c>
      <c r="B1876" s="116">
        <v>1539.8</v>
      </c>
      <c r="C1876" s="116">
        <v>1506.3</v>
      </c>
      <c r="D1876" s="116">
        <v>1492.8</v>
      </c>
      <c r="E1876" s="116">
        <v>1530.2</v>
      </c>
      <c r="F1876" s="116">
        <v>1506.3</v>
      </c>
      <c r="G1876">
        <v>235933</v>
      </c>
      <c r="H1876" s="116"/>
      <c r="I1876" s="116"/>
      <c r="L1876" s="170">
        <v>44764</v>
      </c>
      <c r="M1876" s="116">
        <v>1506.3</v>
      </c>
      <c r="N1876" s="116">
        <v>1540</v>
      </c>
      <c r="O1876" s="116">
        <v>1492.15</v>
      </c>
      <c r="P1876" s="116">
        <v>1534</v>
      </c>
      <c r="Q1876" s="116">
        <v>1506.3</v>
      </c>
      <c r="R1876">
        <v>7020642</v>
      </c>
    </row>
    <row r="1877" spans="1:18" x14ac:dyDescent="0.25">
      <c r="A1877" s="170">
        <v>44767</v>
      </c>
      <c r="B1877" s="116">
        <v>1516.95</v>
      </c>
      <c r="C1877" s="116">
        <v>1502.85</v>
      </c>
      <c r="D1877" s="116">
        <v>1478.35</v>
      </c>
      <c r="E1877" s="116">
        <v>1478.35</v>
      </c>
      <c r="F1877" s="116">
        <v>1502.85</v>
      </c>
      <c r="G1877">
        <v>271825</v>
      </c>
      <c r="H1877" s="116"/>
      <c r="I1877" s="116"/>
      <c r="L1877" s="170">
        <v>44767</v>
      </c>
      <c r="M1877" s="116">
        <v>1503.6</v>
      </c>
      <c r="N1877" s="116">
        <v>1517.15</v>
      </c>
      <c r="O1877" s="116">
        <v>1480.1</v>
      </c>
      <c r="P1877" s="116">
        <v>1480.1</v>
      </c>
      <c r="Q1877" s="116">
        <v>1503.6</v>
      </c>
      <c r="R1877">
        <v>7859626</v>
      </c>
    </row>
    <row r="1878" spans="1:18" x14ac:dyDescent="0.25">
      <c r="A1878" s="170">
        <v>44768</v>
      </c>
      <c r="B1878" s="116">
        <v>1501.4</v>
      </c>
      <c r="C1878" s="116">
        <v>1451.8</v>
      </c>
      <c r="D1878" s="116">
        <v>1445.2</v>
      </c>
      <c r="E1878" s="116">
        <v>1501.4</v>
      </c>
      <c r="F1878" s="116">
        <v>1451.8</v>
      </c>
      <c r="G1878">
        <v>411822</v>
      </c>
      <c r="H1878" s="116"/>
      <c r="I1878" s="116"/>
      <c r="L1878" s="170">
        <v>44768</v>
      </c>
      <c r="M1878" s="116">
        <v>1451.15</v>
      </c>
      <c r="N1878" s="116">
        <v>1496.65</v>
      </c>
      <c r="O1878" s="116">
        <v>1445</v>
      </c>
      <c r="P1878" s="116">
        <v>1496.65</v>
      </c>
      <c r="Q1878" s="116">
        <v>1451.15</v>
      </c>
      <c r="R1878">
        <v>7268273</v>
      </c>
    </row>
    <row r="1879" spans="1:18" x14ac:dyDescent="0.25">
      <c r="A1879" s="170">
        <v>44769</v>
      </c>
      <c r="B1879" s="116">
        <v>1472.8</v>
      </c>
      <c r="C1879" s="116">
        <v>1471.2</v>
      </c>
      <c r="D1879" s="116">
        <v>1444.55</v>
      </c>
      <c r="E1879" s="116">
        <v>1451</v>
      </c>
      <c r="F1879" s="116">
        <v>1471.2</v>
      </c>
      <c r="G1879">
        <v>316526</v>
      </c>
      <c r="H1879" s="116"/>
      <c r="I1879" s="116"/>
      <c r="L1879" s="170">
        <v>44769</v>
      </c>
      <c r="M1879" s="116">
        <v>1471.05</v>
      </c>
      <c r="N1879" s="116">
        <v>1473</v>
      </c>
      <c r="O1879" s="116">
        <v>1445</v>
      </c>
      <c r="P1879" s="116">
        <v>1451</v>
      </c>
      <c r="Q1879" s="116">
        <v>1471.05</v>
      </c>
      <c r="R1879">
        <v>4517285</v>
      </c>
    </row>
    <row r="1880" spans="1:18" x14ac:dyDescent="0.25">
      <c r="A1880" s="170">
        <v>44770</v>
      </c>
      <c r="B1880" s="116">
        <v>1523.8</v>
      </c>
      <c r="C1880" s="116">
        <v>1517.45</v>
      </c>
      <c r="D1880" s="116">
        <v>1489.65</v>
      </c>
      <c r="E1880" s="116">
        <v>1491</v>
      </c>
      <c r="F1880" s="116">
        <v>1517.45</v>
      </c>
      <c r="G1880">
        <v>496273</v>
      </c>
      <c r="H1880" s="116"/>
      <c r="I1880" s="116"/>
      <c r="L1880" s="170">
        <v>44770</v>
      </c>
      <c r="M1880" s="116">
        <v>1517.4</v>
      </c>
      <c r="N1880" s="116">
        <v>1524.45</v>
      </c>
      <c r="O1880" s="116">
        <v>1489.85</v>
      </c>
      <c r="P1880" s="116">
        <v>1496.4</v>
      </c>
      <c r="Q1880" s="116">
        <v>1517.4</v>
      </c>
      <c r="R1880">
        <v>6636841</v>
      </c>
    </row>
    <row r="1881" spans="1:18" x14ac:dyDescent="0.25">
      <c r="A1881" s="170">
        <v>44771</v>
      </c>
      <c r="B1881" s="116">
        <v>1555</v>
      </c>
      <c r="C1881" s="116">
        <v>1549.6</v>
      </c>
      <c r="D1881" s="116">
        <v>1528</v>
      </c>
      <c r="E1881" s="116">
        <v>1531</v>
      </c>
      <c r="F1881" s="116">
        <v>1549.6</v>
      </c>
      <c r="G1881">
        <v>372147</v>
      </c>
      <c r="H1881" s="116"/>
      <c r="I1881" s="116"/>
      <c r="L1881" s="170">
        <v>44771</v>
      </c>
      <c r="M1881" s="116">
        <v>1549.7</v>
      </c>
      <c r="N1881" s="116">
        <v>1555.7</v>
      </c>
      <c r="O1881" s="116">
        <v>1528</v>
      </c>
      <c r="P1881" s="116">
        <v>1532.8</v>
      </c>
      <c r="Q1881" s="116">
        <v>1549.7</v>
      </c>
      <c r="R1881">
        <v>7009465</v>
      </c>
    </row>
    <row r="1882" spans="1:18" x14ac:dyDescent="0.25">
      <c r="A1882" s="170">
        <v>44774</v>
      </c>
      <c r="B1882" s="116">
        <v>1570</v>
      </c>
      <c r="C1882" s="116">
        <v>1550.6</v>
      </c>
      <c r="D1882" s="116">
        <v>1537.7</v>
      </c>
      <c r="E1882" s="116">
        <v>1570</v>
      </c>
      <c r="F1882" s="116">
        <v>1550.6</v>
      </c>
      <c r="G1882">
        <v>4624163</v>
      </c>
      <c r="H1882" s="116"/>
      <c r="I1882" s="116"/>
      <c r="L1882" s="170">
        <v>44774</v>
      </c>
      <c r="M1882" s="116">
        <v>1551.05</v>
      </c>
      <c r="N1882" s="116">
        <v>1564</v>
      </c>
      <c r="O1882" s="116">
        <v>1537.9</v>
      </c>
      <c r="P1882" s="116">
        <v>1564</v>
      </c>
      <c r="Q1882" s="116">
        <v>1551.05</v>
      </c>
      <c r="R1882">
        <v>2983249</v>
      </c>
    </row>
    <row r="1883" spans="1:18" x14ac:dyDescent="0.25">
      <c r="A1883" s="170">
        <v>44775</v>
      </c>
      <c r="B1883" s="116">
        <v>1549</v>
      </c>
      <c r="C1883" s="116">
        <v>1542.9</v>
      </c>
      <c r="D1883" s="116">
        <v>1528.65</v>
      </c>
      <c r="E1883" s="116">
        <v>1549</v>
      </c>
      <c r="F1883" s="116">
        <v>1542.9</v>
      </c>
      <c r="G1883">
        <v>77041</v>
      </c>
      <c r="H1883" s="116"/>
      <c r="I1883" s="116"/>
      <c r="L1883" s="170">
        <v>44775</v>
      </c>
      <c r="M1883" s="116">
        <v>1543.6</v>
      </c>
      <c r="N1883" s="116">
        <v>1547</v>
      </c>
      <c r="O1883" s="116">
        <v>1528.35</v>
      </c>
      <c r="P1883" s="116">
        <v>1546.55</v>
      </c>
      <c r="Q1883" s="116">
        <v>1543.6</v>
      </c>
      <c r="R1883">
        <v>4374635</v>
      </c>
    </row>
    <row r="1884" spans="1:18" x14ac:dyDescent="0.25">
      <c r="A1884" s="170">
        <v>44776</v>
      </c>
      <c r="B1884" s="116">
        <v>1570</v>
      </c>
      <c r="C1884" s="116">
        <v>1565.15</v>
      </c>
      <c r="D1884" s="116">
        <v>1540.3</v>
      </c>
      <c r="E1884" s="116">
        <v>1544</v>
      </c>
      <c r="F1884" s="116">
        <v>1565.15</v>
      </c>
      <c r="G1884">
        <v>141963</v>
      </c>
      <c r="H1884" s="116"/>
      <c r="I1884" s="116"/>
      <c r="L1884" s="170">
        <v>44776</v>
      </c>
      <c r="M1884" s="116">
        <v>1566.1</v>
      </c>
      <c r="N1884" s="116">
        <v>1570</v>
      </c>
      <c r="O1884" s="116">
        <v>1539.9</v>
      </c>
      <c r="P1884" s="116">
        <v>1549</v>
      </c>
      <c r="Q1884" s="116">
        <v>1566.1</v>
      </c>
      <c r="R1884">
        <v>6011955</v>
      </c>
    </row>
    <row r="1885" spans="1:18" x14ac:dyDescent="0.25">
      <c r="A1885" s="170">
        <v>44777</v>
      </c>
      <c r="B1885" s="116">
        <v>1603.7</v>
      </c>
      <c r="C1885" s="116">
        <v>1599.65</v>
      </c>
      <c r="D1885" s="116">
        <v>1574.9</v>
      </c>
      <c r="E1885" s="116">
        <v>1583</v>
      </c>
      <c r="F1885" s="116">
        <v>1599.65</v>
      </c>
      <c r="G1885">
        <v>230784</v>
      </c>
      <c r="H1885" s="116"/>
      <c r="I1885" s="116"/>
      <c r="L1885" s="170">
        <v>44777</v>
      </c>
      <c r="M1885" s="116">
        <v>1599.9</v>
      </c>
      <c r="N1885" s="116">
        <v>1603.85</v>
      </c>
      <c r="O1885" s="116">
        <v>1574.95</v>
      </c>
      <c r="P1885" s="116">
        <v>1587.5</v>
      </c>
      <c r="Q1885" s="116">
        <v>1599.9</v>
      </c>
      <c r="R1885">
        <v>7402209</v>
      </c>
    </row>
    <row r="1886" spans="1:18" x14ac:dyDescent="0.25">
      <c r="A1886" s="170">
        <v>44778</v>
      </c>
      <c r="B1886" s="116">
        <v>1625.6</v>
      </c>
      <c r="C1886" s="116">
        <v>1616.55</v>
      </c>
      <c r="D1886" s="116">
        <v>1603.65</v>
      </c>
      <c r="E1886" s="116">
        <v>1610</v>
      </c>
      <c r="F1886" s="116">
        <v>1616.55</v>
      </c>
      <c r="G1886">
        <v>109383</v>
      </c>
      <c r="H1886" s="116"/>
      <c r="I1886" s="116"/>
      <c r="L1886" s="170">
        <v>44778</v>
      </c>
      <c r="M1886" s="116">
        <v>1616.65</v>
      </c>
      <c r="N1886" s="116">
        <v>1625.7</v>
      </c>
      <c r="O1886" s="116">
        <v>1602.3</v>
      </c>
      <c r="P1886" s="116">
        <v>1608.4</v>
      </c>
      <c r="Q1886" s="116">
        <v>1616.65</v>
      </c>
      <c r="R1886">
        <v>5361971</v>
      </c>
    </row>
    <row r="1887" spans="1:18" x14ac:dyDescent="0.25">
      <c r="A1887" s="170">
        <v>44781</v>
      </c>
      <c r="B1887" s="116">
        <v>1621.85</v>
      </c>
      <c r="C1887" s="116">
        <v>1619.1</v>
      </c>
      <c r="D1887" s="116">
        <v>1596</v>
      </c>
      <c r="E1887" s="116">
        <v>1616.1</v>
      </c>
      <c r="F1887" s="116">
        <v>1619.1</v>
      </c>
      <c r="G1887">
        <v>176232</v>
      </c>
      <c r="H1887" s="116"/>
      <c r="I1887" s="116"/>
      <c r="L1887" s="170">
        <v>44781</v>
      </c>
      <c r="M1887" s="116">
        <v>1619.4</v>
      </c>
      <c r="N1887" s="116">
        <v>1622</v>
      </c>
      <c r="O1887" s="116">
        <v>1596</v>
      </c>
      <c r="P1887" s="116">
        <v>1617</v>
      </c>
      <c r="Q1887" s="116">
        <v>1619.4</v>
      </c>
      <c r="R1887">
        <v>3763409</v>
      </c>
    </row>
    <row r="1888" spans="1:18" x14ac:dyDescent="0.25">
      <c r="A1888" s="170">
        <v>44783</v>
      </c>
      <c r="B1888" s="116">
        <v>1620.25</v>
      </c>
      <c r="C1888" s="116">
        <v>1601.4</v>
      </c>
      <c r="D1888" s="116">
        <v>1588.5</v>
      </c>
      <c r="E1888" s="116">
        <v>1619</v>
      </c>
      <c r="F1888" s="116">
        <v>1601.4</v>
      </c>
      <c r="G1888">
        <v>222406</v>
      </c>
      <c r="H1888" s="116"/>
      <c r="I1888" s="116"/>
      <c r="L1888" s="170">
        <v>44783</v>
      </c>
      <c r="M1888" s="116">
        <v>1602.45</v>
      </c>
      <c r="N1888" s="116">
        <v>1621.2</v>
      </c>
      <c r="O1888" s="116">
        <v>1588.1</v>
      </c>
      <c r="P1888" s="116">
        <v>1621.2</v>
      </c>
      <c r="Q1888" s="116">
        <v>1602.45</v>
      </c>
      <c r="R1888">
        <v>4423829</v>
      </c>
    </row>
    <row r="1889" spans="1:18" x14ac:dyDescent="0.25">
      <c r="A1889" s="170">
        <v>44784</v>
      </c>
      <c r="B1889" s="116">
        <v>1631</v>
      </c>
      <c r="C1889" s="116">
        <v>1619.7</v>
      </c>
      <c r="D1889" s="116">
        <v>1616.15</v>
      </c>
      <c r="E1889" s="116">
        <v>1625</v>
      </c>
      <c r="F1889" s="116">
        <v>1619.7</v>
      </c>
      <c r="G1889">
        <v>196646</v>
      </c>
      <c r="H1889" s="116"/>
      <c r="I1889" s="116"/>
      <c r="L1889" s="170">
        <v>44784</v>
      </c>
      <c r="M1889" s="116">
        <v>1619.95</v>
      </c>
      <c r="N1889" s="116">
        <v>1631.35</v>
      </c>
      <c r="O1889" s="116">
        <v>1616</v>
      </c>
      <c r="P1889" s="116">
        <v>1630</v>
      </c>
      <c r="Q1889" s="116">
        <v>1619.95</v>
      </c>
      <c r="R1889">
        <v>3462090</v>
      </c>
    </row>
    <row r="1890" spans="1:18" x14ac:dyDescent="0.25">
      <c r="A1890" s="170">
        <v>44785</v>
      </c>
      <c r="B1890" s="116">
        <v>1613.7</v>
      </c>
      <c r="C1890" s="116">
        <v>1594.5</v>
      </c>
      <c r="D1890" s="116">
        <v>1590</v>
      </c>
      <c r="E1890" s="116">
        <v>1610.55</v>
      </c>
      <c r="F1890" s="116">
        <v>1594.5</v>
      </c>
      <c r="G1890">
        <v>211754</v>
      </c>
      <c r="H1890" s="116"/>
      <c r="I1890" s="116"/>
      <c r="L1890" s="170">
        <v>44785</v>
      </c>
      <c r="M1890" s="116">
        <v>1594.1</v>
      </c>
      <c r="N1890" s="116">
        <v>1614</v>
      </c>
      <c r="O1890" s="116">
        <v>1590.15</v>
      </c>
      <c r="P1890" s="116">
        <v>1613.3</v>
      </c>
      <c r="Q1890" s="116">
        <v>1594.1</v>
      </c>
      <c r="R1890">
        <v>3562286</v>
      </c>
    </row>
    <row r="1891" spans="1:18" x14ac:dyDescent="0.25">
      <c r="A1891" s="170">
        <v>44789</v>
      </c>
      <c r="B1891" s="116">
        <v>1608.45</v>
      </c>
      <c r="C1891" s="116">
        <v>1595.8</v>
      </c>
      <c r="D1891" s="116">
        <v>1591.1</v>
      </c>
      <c r="E1891" s="116">
        <v>1601.2</v>
      </c>
      <c r="F1891" s="116">
        <v>1595.8</v>
      </c>
      <c r="G1891">
        <v>140346</v>
      </c>
      <c r="H1891" s="116"/>
      <c r="I1891" s="116"/>
      <c r="L1891" s="170">
        <v>44789</v>
      </c>
      <c r="M1891" s="116">
        <v>1596.45</v>
      </c>
      <c r="N1891" s="116">
        <v>1609</v>
      </c>
      <c r="O1891" s="116">
        <v>1591.1</v>
      </c>
      <c r="P1891" s="116">
        <v>1609</v>
      </c>
      <c r="Q1891" s="116">
        <v>1596.45</v>
      </c>
      <c r="R1891">
        <v>3004430</v>
      </c>
    </row>
    <row r="1892" spans="1:18" x14ac:dyDescent="0.25">
      <c r="A1892" s="170">
        <v>44790</v>
      </c>
      <c r="B1892" s="116">
        <v>1612</v>
      </c>
      <c r="C1892" s="116">
        <v>1606.75</v>
      </c>
      <c r="D1892" s="116">
        <v>1585.45</v>
      </c>
      <c r="E1892" s="116">
        <v>1594</v>
      </c>
      <c r="F1892" s="116">
        <v>1606.75</v>
      </c>
      <c r="G1892">
        <v>170965</v>
      </c>
      <c r="H1892" s="116"/>
      <c r="I1892" s="116"/>
      <c r="L1892" s="170">
        <v>44790</v>
      </c>
      <c r="M1892" s="116">
        <v>1606.25</v>
      </c>
      <c r="N1892" s="116">
        <v>1612</v>
      </c>
      <c r="O1892" s="116">
        <v>1585</v>
      </c>
      <c r="P1892" s="116">
        <v>1596.45</v>
      </c>
      <c r="Q1892" s="116">
        <v>1606.25</v>
      </c>
      <c r="R1892">
        <v>4067324</v>
      </c>
    </row>
    <row r="1893" spans="1:18" x14ac:dyDescent="0.25">
      <c r="A1893" s="170">
        <v>44791</v>
      </c>
      <c r="B1893" s="116">
        <v>1600</v>
      </c>
      <c r="C1893" s="116">
        <v>1582.7</v>
      </c>
      <c r="D1893" s="116">
        <v>1574</v>
      </c>
      <c r="E1893" s="116">
        <v>1589</v>
      </c>
      <c r="F1893" s="116">
        <v>1582.7</v>
      </c>
      <c r="G1893">
        <v>310886</v>
      </c>
      <c r="H1893" s="116"/>
      <c r="I1893" s="116"/>
      <c r="L1893" s="170">
        <v>44791</v>
      </c>
      <c r="M1893" s="116">
        <v>1582.95</v>
      </c>
      <c r="N1893" s="116">
        <v>1598.2</v>
      </c>
      <c r="O1893" s="116">
        <v>1574</v>
      </c>
      <c r="P1893" s="116">
        <v>1594.1</v>
      </c>
      <c r="Q1893" s="116">
        <v>1582.95</v>
      </c>
      <c r="R1893">
        <v>4635706</v>
      </c>
    </row>
    <row r="1894" spans="1:18" x14ac:dyDescent="0.25">
      <c r="A1894" s="170">
        <v>44792</v>
      </c>
      <c r="B1894" s="116">
        <v>1604.7</v>
      </c>
      <c r="C1894" s="116">
        <v>1597.4</v>
      </c>
      <c r="D1894" s="116">
        <v>1584</v>
      </c>
      <c r="E1894" s="116">
        <v>1584</v>
      </c>
      <c r="F1894" s="116">
        <v>1597.4</v>
      </c>
      <c r="G1894">
        <v>239068</v>
      </c>
      <c r="H1894" s="116"/>
      <c r="I1894" s="116"/>
      <c r="L1894" s="170">
        <v>44792</v>
      </c>
      <c r="M1894" s="116">
        <v>1597.1</v>
      </c>
      <c r="N1894" s="116">
        <v>1604.9</v>
      </c>
      <c r="O1894" s="116">
        <v>1585.1</v>
      </c>
      <c r="P1894" s="116">
        <v>1585.3</v>
      </c>
      <c r="Q1894" s="116">
        <v>1597.1</v>
      </c>
      <c r="R1894">
        <v>4739884</v>
      </c>
    </row>
    <row r="1895" spans="1:18" x14ac:dyDescent="0.25">
      <c r="A1895" s="170">
        <v>44795</v>
      </c>
      <c r="B1895" s="116">
        <v>1599.55</v>
      </c>
      <c r="C1895" s="116">
        <v>1575.45</v>
      </c>
      <c r="D1895" s="116">
        <v>1573.85</v>
      </c>
      <c r="E1895" s="116">
        <v>1585</v>
      </c>
      <c r="F1895" s="116">
        <v>1575.45</v>
      </c>
      <c r="G1895">
        <v>367105</v>
      </c>
      <c r="H1895" s="116"/>
      <c r="I1895" s="116"/>
      <c r="L1895" s="170">
        <v>44795</v>
      </c>
      <c r="M1895" s="116">
        <v>1575.65</v>
      </c>
      <c r="N1895" s="116">
        <v>1599</v>
      </c>
      <c r="O1895" s="116">
        <v>1574</v>
      </c>
      <c r="P1895" s="116">
        <v>1586</v>
      </c>
      <c r="Q1895" s="116">
        <v>1575.65</v>
      </c>
      <c r="R1895">
        <v>3950555</v>
      </c>
    </row>
    <row r="1896" spans="1:18" x14ac:dyDescent="0.25">
      <c r="A1896" s="170">
        <v>44796</v>
      </c>
      <c r="B1896" s="116">
        <v>1554.85</v>
      </c>
      <c r="C1896" s="116">
        <v>1542.55</v>
      </c>
      <c r="D1896" s="116">
        <v>1533</v>
      </c>
      <c r="E1896" s="116">
        <v>1546.55</v>
      </c>
      <c r="F1896" s="116">
        <v>1542.55</v>
      </c>
      <c r="G1896">
        <v>166691</v>
      </c>
      <c r="H1896" s="116"/>
      <c r="I1896" s="116"/>
      <c r="L1896" s="170">
        <v>44796</v>
      </c>
      <c r="M1896" s="116">
        <v>1542.4</v>
      </c>
      <c r="N1896" s="116">
        <v>1554.5</v>
      </c>
      <c r="O1896" s="116">
        <v>1533</v>
      </c>
      <c r="P1896" s="116">
        <v>1548</v>
      </c>
      <c r="Q1896" s="116">
        <v>1542.4</v>
      </c>
      <c r="R1896">
        <v>5551574</v>
      </c>
    </row>
    <row r="1897" spans="1:18" x14ac:dyDescent="0.25">
      <c r="A1897" s="170">
        <v>44797</v>
      </c>
      <c r="B1897" s="116">
        <v>1546</v>
      </c>
      <c r="C1897" s="116">
        <v>1537.3</v>
      </c>
      <c r="D1897" s="116">
        <v>1531.15</v>
      </c>
      <c r="E1897" s="116">
        <v>1537</v>
      </c>
      <c r="F1897" s="116">
        <v>1537.3</v>
      </c>
      <c r="G1897">
        <v>165619</v>
      </c>
      <c r="H1897" s="116"/>
      <c r="I1897" s="116"/>
      <c r="L1897" s="170">
        <v>44797</v>
      </c>
      <c r="M1897" s="116">
        <v>1537.5</v>
      </c>
      <c r="N1897" s="116">
        <v>1546</v>
      </c>
      <c r="O1897" s="116">
        <v>1531</v>
      </c>
      <c r="P1897" s="116">
        <v>1535</v>
      </c>
      <c r="Q1897" s="116">
        <v>1537.5</v>
      </c>
      <c r="R1897">
        <v>2888426</v>
      </c>
    </row>
    <row r="1898" spans="1:18" x14ac:dyDescent="0.25">
      <c r="A1898" s="170">
        <v>44798</v>
      </c>
      <c r="B1898" s="116">
        <v>1549</v>
      </c>
      <c r="C1898" s="116">
        <v>1518.85</v>
      </c>
      <c r="D1898" s="116">
        <v>1514</v>
      </c>
      <c r="E1898" s="116">
        <v>1545.35</v>
      </c>
      <c r="F1898" s="116">
        <v>1518.85</v>
      </c>
      <c r="G1898">
        <v>290522</v>
      </c>
      <c r="H1898" s="116"/>
      <c r="I1898" s="116"/>
      <c r="L1898" s="170">
        <v>44798</v>
      </c>
      <c r="M1898" s="116">
        <v>1518.15</v>
      </c>
      <c r="N1898" s="116">
        <v>1548.7</v>
      </c>
      <c r="O1898" s="116">
        <v>1513.75</v>
      </c>
      <c r="P1898" s="116">
        <v>1548</v>
      </c>
      <c r="Q1898" s="116">
        <v>1518.15</v>
      </c>
      <c r="R1898">
        <v>4331088</v>
      </c>
    </row>
    <row r="1899" spans="1:18" x14ac:dyDescent="0.25">
      <c r="A1899" s="170">
        <v>44799</v>
      </c>
      <c r="B1899" s="116">
        <v>1544.05</v>
      </c>
      <c r="C1899" s="116">
        <v>1521.85</v>
      </c>
      <c r="D1899" s="116">
        <v>1518.05</v>
      </c>
      <c r="E1899" s="116">
        <v>1536</v>
      </c>
      <c r="F1899" s="116">
        <v>1521.85</v>
      </c>
      <c r="G1899">
        <v>188877</v>
      </c>
      <c r="H1899" s="116"/>
      <c r="I1899" s="116"/>
      <c r="L1899" s="170">
        <v>44799</v>
      </c>
      <c r="M1899" s="116">
        <v>1521.55</v>
      </c>
      <c r="N1899" s="116">
        <v>1544.95</v>
      </c>
      <c r="O1899" s="116">
        <v>1517.45</v>
      </c>
      <c r="P1899" s="116">
        <v>1535.15</v>
      </c>
      <c r="Q1899" s="116">
        <v>1521.55</v>
      </c>
      <c r="R1899">
        <v>3079136</v>
      </c>
    </row>
    <row r="1900" spans="1:18" x14ac:dyDescent="0.25">
      <c r="A1900" s="170">
        <v>44802</v>
      </c>
      <c r="B1900" s="116">
        <v>1468.85</v>
      </c>
      <c r="C1900" s="116">
        <v>1462</v>
      </c>
      <c r="D1900" s="116">
        <v>1450</v>
      </c>
      <c r="E1900" s="116">
        <v>1453.35</v>
      </c>
      <c r="F1900" s="116">
        <v>1462</v>
      </c>
      <c r="G1900">
        <v>528271</v>
      </c>
      <c r="H1900" s="116"/>
      <c r="I1900" s="116"/>
      <c r="L1900" s="170">
        <v>44802</v>
      </c>
      <c r="M1900" s="116">
        <v>1461.75</v>
      </c>
      <c r="N1900" s="116">
        <v>1468.55</v>
      </c>
      <c r="O1900" s="116">
        <v>1450</v>
      </c>
      <c r="P1900" s="116">
        <v>1468.55</v>
      </c>
      <c r="Q1900" s="116">
        <v>1461.75</v>
      </c>
      <c r="R1900">
        <v>8079050</v>
      </c>
    </row>
    <row r="1901" spans="1:18" x14ac:dyDescent="0.25">
      <c r="A1901" s="170">
        <v>44803</v>
      </c>
      <c r="B1901" s="116">
        <v>1495.95</v>
      </c>
      <c r="C1901" s="116">
        <v>1493.2</v>
      </c>
      <c r="D1901" s="116">
        <v>1466</v>
      </c>
      <c r="E1901" s="116">
        <v>1470</v>
      </c>
      <c r="F1901" s="116">
        <v>1493.2</v>
      </c>
      <c r="G1901">
        <v>229104</v>
      </c>
      <c r="H1901" s="116"/>
      <c r="I1901" s="116"/>
      <c r="L1901" s="170">
        <v>44803</v>
      </c>
      <c r="M1901" s="116">
        <v>1492.95</v>
      </c>
      <c r="N1901" s="116">
        <v>1496.1</v>
      </c>
      <c r="O1901" s="116">
        <v>1466</v>
      </c>
      <c r="P1901" s="116">
        <v>1473.1</v>
      </c>
      <c r="Q1901" s="116">
        <v>1492.95</v>
      </c>
      <c r="R1901">
        <v>6725875</v>
      </c>
    </row>
    <row r="1902" spans="1:18" x14ac:dyDescent="0.25">
      <c r="A1902" s="170">
        <v>44805</v>
      </c>
      <c r="B1902" s="116">
        <v>1468.2</v>
      </c>
      <c r="C1902" s="116">
        <v>1464.4</v>
      </c>
      <c r="D1902" s="116">
        <v>1451.5</v>
      </c>
      <c r="E1902" s="116">
        <v>1465</v>
      </c>
      <c r="F1902" s="116">
        <v>1464.4</v>
      </c>
      <c r="G1902">
        <v>587058</v>
      </c>
      <c r="H1902" s="116"/>
      <c r="I1902" s="116"/>
      <c r="L1902" s="170">
        <v>44805</v>
      </c>
      <c r="M1902" s="116">
        <v>1464.2</v>
      </c>
      <c r="N1902" s="116">
        <v>1468.1</v>
      </c>
      <c r="O1902" s="116">
        <v>1451.05</v>
      </c>
      <c r="P1902" s="116">
        <v>1460.05</v>
      </c>
      <c r="Q1902" s="116">
        <v>1464.2</v>
      </c>
      <c r="R1902">
        <v>8140604</v>
      </c>
    </row>
    <row r="1903" spans="1:18" x14ac:dyDescent="0.25">
      <c r="A1903" s="170">
        <v>44806</v>
      </c>
      <c r="B1903" s="116">
        <v>1480</v>
      </c>
      <c r="C1903" s="116">
        <v>1452.9</v>
      </c>
      <c r="D1903" s="116">
        <v>1448.3</v>
      </c>
      <c r="E1903" s="116">
        <v>1480</v>
      </c>
      <c r="F1903" s="116">
        <v>1452.9</v>
      </c>
      <c r="G1903">
        <v>233311</v>
      </c>
      <c r="H1903" s="116"/>
      <c r="I1903" s="116"/>
      <c r="L1903" s="170">
        <v>44806</v>
      </c>
      <c r="M1903" s="116">
        <v>1453</v>
      </c>
      <c r="N1903" s="116">
        <v>1478</v>
      </c>
      <c r="O1903" s="116">
        <v>1448</v>
      </c>
      <c r="P1903" s="116">
        <v>1478</v>
      </c>
      <c r="Q1903" s="116">
        <v>1453</v>
      </c>
      <c r="R1903">
        <v>5175653</v>
      </c>
    </row>
    <row r="1904" spans="1:18" x14ac:dyDescent="0.25">
      <c r="A1904" s="170">
        <v>44809</v>
      </c>
      <c r="B1904" s="116">
        <v>1467</v>
      </c>
      <c r="C1904" s="116">
        <v>1460.85</v>
      </c>
      <c r="D1904" s="116">
        <v>1447</v>
      </c>
      <c r="E1904" s="116">
        <v>1451</v>
      </c>
      <c r="F1904" s="116">
        <v>1460.85</v>
      </c>
      <c r="G1904">
        <v>78902</v>
      </c>
      <c r="H1904" s="116"/>
      <c r="I1904" s="116"/>
      <c r="L1904" s="170">
        <v>44809</v>
      </c>
      <c r="M1904" s="116">
        <v>1461.3</v>
      </c>
      <c r="N1904" s="116">
        <v>1467</v>
      </c>
      <c r="O1904" s="116">
        <v>1446.35</v>
      </c>
      <c r="P1904" s="116">
        <v>1451</v>
      </c>
      <c r="Q1904" s="116">
        <v>1461.3</v>
      </c>
      <c r="R1904">
        <v>3669352</v>
      </c>
    </row>
    <row r="1905" spans="1:18" x14ac:dyDescent="0.25">
      <c r="A1905" s="170">
        <v>44810</v>
      </c>
      <c r="B1905" s="116">
        <v>1469.7</v>
      </c>
      <c r="C1905" s="116">
        <v>1455.35</v>
      </c>
      <c r="D1905" s="116">
        <v>1446</v>
      </c>
      <c r="E1905" s="116">
        <v>1461.55</v>
      </c>
      <c r="F1905" s="116">
        <v>1455.35</v>
      </c>
      <c r="G1905">
        <v>103737</v>
      </c>
      <c r="H1905" s="116"/>
      <c r="I1905" s="116"/>
      <c r="L1905" s="170">
        <v>44810</v>
      </c>
      <c r="M1905" s="116">
        <v>1455.1</v>
      </c>
      <c r="N1905" s="116">
        <v>1470</v>
      </c>
      <c r="O1905" s="116">
        <v>1445.45</v>
      </c>
      <c r="P1905" s="116">
        <v>1461.3</v>
      </c>
      <c r="Q1905" s="116">
        <v>1455.1</v>
      </c>
      <c r="R1905">
        <v>3428442</v>
      </c>
    </row>
    <row r="1906" spans="1:18" x14ac:dyDescent="0.25">
      <c r="A1906" s="170">
        <v>44811</v>
      </c>
      <c r="B1906" s="116">
        <v>1465.75</v>
      </c>
      <c r="C1906" s="116">
        <v>1457.8</v>
      </c>
      <c r="D1906" s="116">
        <v>1437.3</v>
      </c>
      <c r="E1906" s="116">
        <v>1442</v>
      </c>
      <c r="F1906" s="116">
        <v>1457.8</v>
      </c>
      <c r="G1906">
        <v>198388</v>
      </c>
      <c r="H1906" s="116"/>
      <c r="I1906" s="116"/>
      <c r="L1906" s="170">
        <v>44811</v>
      </c>
      <c r="M1906" s="116">
        <v>1457.65</v>
      </c>
      <c r="N1906" s="116">
        <v>1465.75</v>
      </c>
      <c r="O1906" s="116">
        <v>1438.05</v>
      </c>
      <c r="P1906" s="116">
        <v>1440</v>
      </c>
      <c r="Q1906" s="116">
        <v>1457.65</v>
      </c>
      <c r="R1906">
        <v>3600574</v>
      </c>
    </row>
    <row r="1907" spans="1:18" x14ac:dyDescent="0.25">
      <c r="A1907" s="170">
        <v>44812</v>
      </c>
      <c r="B1907" s="116">
        <v>1480</v>
      </c>
      <c r="C1907" s="116">
        <v>1475.95</v>
      </c>
      <c r="D1907" s="116">
        <v>1464</v>
      </c>
      <c r="E1907" s="116">
        <v>1472</v>
      </c>
      <c r="F1907" s="116">
        <v>1475.95</v>
      </c>
      <c r="G1907">
        <v>270704</v>
      </c>
      <c r="H1907" s="116"/>
      <c r="I1907" s="116"/>
      <c r="L1907" s="170">
        <v>44812</v>
      </c>
      <c r="M1907" s="116">
        <v>1475.9</v>
      </c>
      <c r="N1907" s="116">
        <v>1481.1</v>
      </c>
      <c r="O1907" s="116">
        <v>1463.6</v>
      </c>
      <c r="P1907" s="116">
        <v>1475</v>
      </c>
      <c r="Q1907" s="116">
        <v>1475.9</v>
      </c>
      <c r="R1907">
        <v>4061475</v>
      </c>
    </row>
    <row r="1908" spans="1:18" x14ac:dyDescent="0.25">
      <c r="A1908" s="170">
        <v>44813</v>
      </c>
      <c r="B1908" s="116">
        <v>1519.8</v>
      </c>
      <c r="C1908" s="116">
        <v>1511.85</v>
      </c>
      <c r="D1908" s="116">
        <v>1480</v>
      </c>
      <c r="E1908" s="116">
        <v>1489.1</v>
      </c>
      <c r="F1908" s="116">
        <v>1511.85</v>
      </c>
      <c r="G1908">
        <v>353238</v>
      </c>
      <c r="H1908" s="116"/>
      <c r="I1908" s="116"/>
      <c r="L1908" s="170">
        <v>44813</v>
      </c>
      <c r="M1908" s="116">
        <v>1511.65</v>
      </c>
      <c r="N1908" s="116">
        <v>1520</v>
      </c>
      <c r="O1908" s="116">
        <v>1480</v>
      </c>
      <c r="P1908" s="116">
        <v>1488</v>
      </c>
      <c r="Q1908" s="116">
        <v>1511.65</v>
      </c>
      <c r="R1908">
        <v>4816910</v>
      </c>
    </row>
    <row r="1909" spans="1:18" x14ac:dyDescent="0.25">
      <c r="A1909" s="170">
        <v>44816</v>
      </c>
      <c r="B1909" s="116">
        <v>1545</v>
      </c>
      <c r="C1909" s="116">
        <v>1535.6</v>
      </c>
      <c r="D1909" s="116">
        <v>1523.55</v>
      </c>
      <c r="E1909" s="116">
        <v>1525</v>
      </c>
      <c r="F1909" s="116">
        <v>1535.6</v>
      </c>
      <c r="G1909">
        <v>379152</v>
      </c>
      <c r="H1909" s="116"/>
      <c r="I1909" s="116"/>
      <c r="L1909" s="170">
        <v>44816</v>
      </c>
      <c r="M1909" s="116">
        <v>1536.2</v>
      </c>
      <c r="N1909" s="116">
        <v>1545.9</v>
      </c>
      <c r="O1909" s="116">
        <v>1521.15</v>
      </c>
      <c r="P1909" s="116">
        <v>1525.8</v>
      </c>
      <c r="Q1909" s="116">
        <v>1536.2</v>
      </c>
      <c r="R1909">
        <v>5494819</v>
      </c>
    </row>
    <row r="1910" spans="1:18" x14ac:dyDescent="0.25">
      <c r="A1910" s="170">
        <v>44817</v>
      </c>
      <c r="B1910" s="116">
        <v>1553</v>
      </c>
      <c r="C1910" s="116">
        <v>1545</v>
      </c>
      <c r="D1910" s="116">
        <v>1541.1</v>
      </c>
      <c r="E1910" s="116">
        <v>1552</v>
      </c>
      <c r="F1910" s="116">
        <v>1545</v>
      </c>
      <c r="G1910">
        <v>108803</v>
      </c>
      <c r="H1910" s="116"/>
      <c r="I1910" s="116"/>
      <c r="L1910" s="170">
        <v>44817</v>
      </c>
      <c r="M1910" s="116">
        <v>1544.95</v>
      </c>
      <c r="N1910" s="116">
        <v>1553</v>
      </c>
      <c r="O1910" s="116">
        <v>1541.3</v>
      </c>
      <c r="P1910" s="116">
        <v>1551.9</v>
      </c>
      <c r="Q1910" s="116">
        <v>1544.95</v>
      </c>
      <c r="R1910">
        <v>4947158</v>
      </c>
    </row>
    <row r="1911" spans="1:18" x14ac:dyDescent="0.25">
      <c r="A1911" s="170">
        <v>44818</v>
      </c>
      <c r="B1911" s="116">
        <v>1500</v>
      </c>
      <c r="C1911" s="116">
        <v>1475</v>
      </c>
      <c r="D1911" s="116">
        <v>1471.1</v>
      </c>
      <c r="E1911" s="116">
        <v>1500</v>
      </c>
      <c r="F1911" s="116">
        <v>1475</v>
      </c>
      <c r="G1911">
        <v>760994</v>
      </c>
      <c r="H1911" s="116"/>
      <c r="I1911" s="116"/>
      <c r="L1911" s="170">
        <v>44818</v>
      </c>
      <c r="M1911" s="116">
        <v>1475.4</v>
      </c>
      <c r="N1911" s="116">
        <v>1498.95</v>
      </c>
      <c r="O1911" s="116">
        <v>1472</v>
      </c>
      <c r="P1911" s="116">
        <v>1497</v>
      </c>
      <c r="Q1911" s="116">
        <v>1475.4</v>
      </c>
      <c r="R1911">
        <v>14332197</v>
      </c>
    </row>
    <row r="1912" spans="1:18" x14ac:dyDescent="0.25">
      <c r="A1912" s="170">
        <v>44819</v>
      </c>
      <c r="B1912" s="116">
        <v>1475.25</v>
      </c>
      <c r="C1912" s="116">
        <v>1432.05</v>
      </c>
      <c r="D1912" s="116">
        <v>1429.4</v>
      </c>
      <c r="E1912" s="116">
        <v>1473.35</v>
      </c>
      <c r="F1912" s="116">
        <v>1432.05</v>
      </c>
      <c r="G1912">
        <v>365222</v>
      </c>
      <c r="H1912" s="116"/>
      <c r="I1912" s="116"/>
      <c r="L1912" s="170">
        <v>44819</v>
      </c>
      <c r="M1912" s="116">
        <v>1432.8</v>
      </c>
      <c r="N1912" s="116">
        <v>1475.2</v>
      </c>
      <c r="O1912" s="116">
        <v>1429.05</v>
      </c>
      <c r="P1912" s="116">
        <v>1475</v>
      </c>
      <c r="Q1912" s="116">
        <v>1432.8</v>
      </c>
      <c r="R1912">
        <v>12784100</v>
      </c>
    </row>
    <row r="1913" spans="1:18" x14ac:dyDescent="0.25">
      <c r="A1913" s="170">
        <v>44820</v>
      </c>
      <c r="B1913" s="116">
        <v>1425</v>
      </c>
      <c r="C1913" s="116">
        <v>1379.15</v>
      </c>
      <c r="D1913" s="116">
        <v>1368.6</v>
      </c>
      <c r="E1913" s="116">
        <v>1425</v>
      </c>
      <c r="F1913" s="116">
        <v>1379.15</v>
      </c>
      <c r="G1913">
        <v>460272</v>
      </c>
      <c r="H1913" s="116"/>
      <c r="I1913" s="116"/>
      <c r="L1913" s="170">
        <v>44820</v>
      </c>
      <c r="M1913" s="116">
        <v>1377.05</v>
      </c>
      <c r="N1913" s="116">
        <v>1425</v>
      </c>
      <c r="O1913" s="116">
        <v>1368.35</v>
      </c>
      <c r="P1913" s="116">
        <v>1425</v>
      </c>
      <c r="Q1913" s="116">
        <v>1377.05</v>
      </c>
      <c r="R1913">
        <v>20464045</v>
      </c>
    </row>
    <row r="1914" spans="1:18" x14ac:dyDescent="0.25">
      <c r="A1914" s="170">
        <v>44823</v>
      </c>
      <c r="B1914" s="116">
        <v>1406</v>
      </c>
      <c r="C1914" s="116">
        <v>1390.3</v>
      </c>
      <c r="D1914" s="116">
        <v>1380.6</v>
      </c>
      <c r="E1914" s="116">
        <v>1386</v>
      </c>
      <c r="F1914" s="116">
        <v>1390.3</v>
      </c>
      <c r="G1914">
        <v>3366848</v>
      </c>
      <c r="H1914" s="116"/>
      <c r="I1914" s="116"/>
      <c r="L1914" s="170">
        <v>44823</v>
      </c>
      <c r="M1914" s="116">
        <v>1390.3</v>
      </c>
      <c r="N1914" s="116">
        <v>1406</v>
      </c>
      <c r="O1914" s="116">
        <v>1380.6</v>
      </c>
      <c r="P1914" s="116">
        <v>1392</v>
      </c>
      <c r="Q1914" s="116">
        <v>1390.3</v>
      </c>
      <c r="R1914">
        <v>6595241</v>
      </c>
    </row>
    <row r="1915" spans="1:18" x14ac:dyDescent="0.25">
      <c r="A1915" s="170">
        <v>44824</v>
      </c>
      <c r="B1915" s="116">
        <v>1413.85</v>
      </c>
      <c r="C1915" s="116">
        <v>1388.35</v>
      </c>
      <c r="D1915" s="116">
        <v>1385.2</v>
      </c>
      <c r="E1915" s="116">
        <v>1412</v>
      </c>
      <c r="F1915" s="116">
        <v>1388.35</v>
      </c>
      <c r="G1915">
        <v>315713</v>
      </c>
      <c r="H1915" s="116"/>
      <c r="I1915" s="116"/>
      <c r="L1915" s="170">
        <v>44824</v>
      </c>
      <c r="M1915" s="116">
        <v>1388.55</v>
      </c>
      <c r="N1915" s="116">
        <v>1413.55</v>
      </c>
      <c r="O1915" s="116">
        <v>1385.1</v>
      </c>
      <c r="P1915" s="116">
        <v>1407.95</v>
      </c>
      <c r="Q1915" s="116">
        <v>1388.55</v>
      </c>
      <c r="R1915">
        <v>7219797</v>
      </c>
    </row>
    <row r="1916" spans="1:18" x14ac:dyDescent="0.25">
      <c r="A1916" s="170">
        <v>44825</v>
      </c>
      <c r="B1916" s="116">
        <v>1388.45</v>
      </c>
      <c r="C1916" s="116">
        <v>1376.55</v>
      </c>
      <c r="D1916" s="116">
        <v>1368.6</v>
      </c>
      <c r="E1916" s="116">
        <v>1381</v>
      </c>
      <c r="F1916" s="116">
        <v>1376.55</v>
      </c>
      <c r="G1916">
        <v>177927</v>
      </c>
      <c r="H1916" s="116"/>
      <c r="I1916" s="116"/>
      <c r="L1916" s="170">
        <v>44825</v>
      </c>
      <c r="M1916" s="116">
        <v>1377.25</v>
      </c>
      <c r="N1916" s="116">
        <v>1388.8</v>
      </c>
      <c r="O1916" s="116">
        <v>1368.4</v>
      </c>
      <c r="P1916" s="116">
        <v>1379.9</v>
      </c>
      <c r="Q1916" s="116">
        <v>1377.25</v>
      </c>
      <c r="R1916">
        <v>7917054</v>
      </c>
    </row>
    <row r="1917" spans="1:18" x14ac:dyDescent="0.25">
      <c r="A1917" s="170">
        <v>44826</v>
      </c>
      <c r="B1917" s="116">
        <v>1383.75</v>
      </c>
      <c r="C1917" s="116">
        <v>1367.8</v>
      </c>
      <c r="D1917" s="116">
        <v>1360.05</v>
      </c>
      <c r="E1917" s="116">
        <v>1376</v>
      </c>
      <c r="F1917" s="116">
        <v>1367.8</v>
      </c>
      <c r="G1917">
        <v>188598</v>
      </c>
      <c r="H1917" s="116"/>
      <c r="I1917" s="116"/>
      <c r="L1917" s="170">
        <v>44826</v>
      </c>
      <c r="M1917" s="116">
        <v>1367.95</v>
      </c>
      <c r="N1917" s="116">
        <v>1383.95</v>
      </c>
      <c r="O1917" s="116">
        <v>1360</v>
      </c>
      <c r="P1917" s="116">
        <v>1366.35</v>
      </c>
      <c r="Q1917" s="116">
        <v>1367.95</v>
      </c>
      <c r="R1917">
        <v>9168498</v>
      </c>
    </row>
    <row r="1918" spans="1:18" x14ac:dyDescent="0.25">
      <c r="A1918" s="170">
        <v>44827</v>
      </c>
      <c r="B1918" s="116">
        <v>1394.6</v>
      </c>
      <c r="C1918" s="116">
        <v>1365.25</v>
      </c>
      <c r="D1918" s="116">
        <v>1362</v>
      </c>
      <c r="E1918" s="116">
        <v>1367.8</v>
      </c>
      <c r="F1918" s="116">
        <v>1365.25</v>
      </c>
      <c r="G1918">
        <v>256758</v>
      </c>
      <c r="H1918" s="116"/>
      <c r="I1918" s="116"/>
      <c r="L1918" s="170">
        <v>44827</v>
      </c>
      <c r="M1918" s="116">
        <v>1365.45</v>
      </c>
      <c r="N1918" s="116">
        <v>1394.8</v>
      </c>
      <c r="O1918" s="116">
        <v>1362</v>
      </c>
      <c r="P1918" s="116">
        <v>1367.5</v>
      </c>
      <c r="Q1918" s="116">
        <v>1365.45</v>
      </c>
      <c r="R1918">
        <v>10426200</v>
      </c>
    </row>
    <row r="1919" spans="1:18" x14ac:dyDescent="0.25">
      <c r="A1919" s="170">
        <v>44830</v>
      </c>
      <c r="B1919" s="116">
        <v>1398.9</v>
      </c>
      <c r="C1919" s="116">
        <v>1379.75</v>
      </c>
      <c r="D1919" s="116">
        <v>1355.5</v>
      </c>
      <c r="E1919" s="116">
        <v>1363.5</v>
      </c>
      <c r="F1919" s="116">
        <v>1379.75</v>
      </c>
      <c r="G1919">
        <v>623407</v>
      </c>
      <c r="H1919" s="116"/>
      <c r="I1919" s="116"/>
      <c r="L1919" s="170">
        <v>44830</v>
      </c>
      <c r="M1919" s="116">
        <v>1380.25</v>
      </c>
      <c r="N1919" s="116">
        <v>1399.45</v>
      </c>
      <c r="O1919" s="116">
        <v>1355</v>
      </c>
      <c r="P1919" s="116">
        <v>1360</v>
      </c>
      <c r="Q1919" s="116">
        <v>1380.25</v>
      </c>
      <c r="R1919">
        <v>9414587</v>
      </c>
    </row>
    <row r="1920" spans="1:18" x14ac:dyDescent="0.25">
      <c r="A1920" s="170">
        <v>44831</v>
      </c>
      <c r="B1920" s="116">
        <v>1406</v>
      </c>
      <c r="C1920" s="116">
        <v>1392.2</v>
      </c>
      <c r="D1920" s="116">
        <v>1378.8</v>
      </c>
      <c r="E1920" s="116">
        <v>1395</v>
      </c>
      <c r="F1920" s="116">
        <v>1392.2</v>
      </c>
      <c r="G1920">
        <v>512764</v>
      </c>
      <c r="H1920" s="116"/>
      <c r="I1920" s="116"/>
      <c r="L1920" s="170">
        <v>44831</v>
      </c>
      <c r="M1920" s="116">
        <v>1393.55</v>
      </c>
      <c r="N1920" s="116">
        <v>1406.5</v>
      </c>
      <c r="O1920" s="116">
        <v>1378</v>
      </c>
      <c r="P1920" s="116">
        <v>1393.45</v>
      </c>
      <c r="Q1920" s="116">
        <v>1393.55</v>
      </c>
      <c r="R1920">
        <v>8561254</v>
      </c>
    </row>
    <row r="1921" spans="1:18" x14ac:dyDescent="0.25">
      <c r="A1921" s="170">
        <v>44832</v>
      </c>
      <c r="B1921" s="116">
        <v>1405.7</v>
      </c>
      <c r="C1921" s="116">
        <v>1394.45</v>
      </c>
      <c r="D1921" s="116">
        <v>1378</v>
      </c>
      <c r="E1921" s="116">
        <v>1381.9</v>
      </c>
      <c r="F1921" s="116">
        <v>1394.45</v>
      </c>
      <c r="G1921">
        <v>306804</v>
      </c>
      <c r="H1921" s="116"/>
      <c r="I1921" s="116"/>
      <c r="L1921" s="170">
        <v>44832</v>
      </c>
      <c r="M1921" s="116">
        <v>1394.7</v>
      </c>
      <c r="N1921" s="116">
        <v>1405.85</v>
      </c>
      <c r="O1921" s="116">
        <v>1377</v>
      </c>
      <c r="P1921" s="116">
        <v>1379</v>
      </c>
      <c r="Q1921" s="116">
        <v>1394.7</v>
      </c>
      <c r="R1921">
        <v>7022098</v>
      </c>
    </row>
    <row r="1922" spans="1:18" x14ac:dyDescent="0.25">
      <c r="A1922" s="170">
        <v>44833</v>
      </c>
      <c r="B1922" s="116">
        <v>1409.25</v>
      </c>
      <c r="C1922" s="116">
        <v>1397.55</v>
      </c>
      <c r="D1922" s="116">
        <v>1393</v>
      </c>
      <c r="E1922" s="116">
        <v>1406</v>
      </c>
      <c r="F1922" s="116">
        <v>1397.55</v>
      </c>
      <c r="G1922">
        <v>159708</v>
      </c>
      <c r="H1922" s="116"/>
      <c r="I1922" s="116"/>
      <c r="L1922" s="170">
        <v>44833</v>
      </c>
      <c r="M1922" s="116">
        <v>1398.65</v>
      </c>
      <c r="N1922" s="116">
        <v>1409.85</v>
      </c>
      <c r="O1922" s="116">
        <v>1393</v>
      </c>
      <c r="P1922" s="116">
        <v>1404.9</v>
      </c>
      <c r="Q1922" s="116">
        <v>1398.65</v>
      </c>
      <c r="R1922">
        <v>6119965</v>
      </c>
    </row>
    <row r="1923" spans="1:18" x14ac:dyDescent="0.25">
      <c r="A1923" s="170">
        <v>44834</v>
      </c>
      <c r="B1923" s="116">
        <v>1419.7</v>
      </c>
      <c r="C1923" s="116">
        <v>1413.1</v>
      </c>
      <c r="D1923" s="116">
        <v>1376</v>
      </c>
      <c r="E1923" s="116">
        <v>1386.05</v>
      </c>
      <c r="F1923" s="116">
        <v>1413.1</v>
      </c>
      <c r="G1923">
        <v>192317</v>
      </c>
      <c r="H1923" s="116"/>
      <c r="I1923" s="116"/>
      <c r="L1923" s="170">
        <v>44834</v>
      </c>
      <c r="M1923" s="116">
        <v>1413.45</v>
      </c>
      <c r="N1923" s="116">
        <v>1419.3</v>
      </c>
      <c r="O1923" s="116">
        <v>1376</v>
      </c>
      <c r="P1923" s="116">
        <v>1388.95</v>
      </c>
      <c r="Q1923" s="116">
        <v>1413.45</v>
      </c>
      <c r="R1923">
        <v>8120130</v>
      </c>
    </row>
    <row r="1924" spans="1:18" x14ac:dyDescent="0.25">
      <c r="A1924" s="170">
        <v>44837</v>
      </c>
      <c r="B1924" s="116">
        <v>1411</v>
      </c>
      <c r="C1924" s="116">
        <v>1394</v>
      </c>
      <c r="D1924" s="116">
        <v>1387</v>
      </c>
      <c r="E1924" s="116">
        <v>1411</v>
      </c>
      <c r="F1924" s="116">
        <v>1394</v>
      </c>
      <c r="G1924">
        <v>160174</v>
      </c>
      <c r="H1924" s="116"/>
      <c r="I1924" s="116"/>
      <c r="L1924" s="170">
        <v>44837</v>
      </c>
      <c r="M1924" s="116">
        <v>1393.75</v>
      </c>
      <c r="N1924" s="116">
        <v>1412</v>
      </c>
      <c r="O1924" s="116">
        <v>1386</v>
      </c>
      <c r="P1924" s="116">
        <v>1412</v>
      </c>
      <c r="Q1924" s="116">
        <v>1393.75</v>
      </c>
      <c r="R1924">
        <v>4943169</v>
      </c>
    </row>
    <row r="1925" spans="1:18" x14ac:dyDescent="0.25">
      <c r="A1925" s="170">
        <v>44838</v>
      </c>
      <c r="B1925" s="116">
        <v>1432.2</v>
      </c>
      <c r="C1925" s="116">
        <v>1429.8</v>
      </c>
      <c r="D1925" s="116">
        <v>1414</v>
      </c>
      <c r="E1925" s="116">
        <v>1419</v>
      </c>
      <c r="F1925" s="116">
        <v>1429.8</v>
      </c>
      <c r="G1925">
        <v>175235</v>
      </c>
      <c r="H1925" s="116"/>
      <c r="I1925" s="116"/>
      <c r="L1925" s="170">
        <v>44838</v>
      </c>
      <c r="M1925" s="116">
        <v>1429.4</v>
      </c>
      <c r="N1925" s="116">
        <v>1432.25</v>
      </c>
      <c r="O1925" s="116">
        <v>1414</v>
      </c>
      <c r="P1925" s="116">
        <v>1419.7</v>
      </c>
      <c r="Q1925" s="116">
        <v>1429.4</v>
      </c>
      <c r="R1925">
        <v>6631341</v>
      </c>
    </row>
    <row r="1926" spans="1:18" x14ac:dyDescent="0.25">
      <c r="A1926" s="170">
        <v>44840</v>
      </c>
      <c r="B1926" s="116">
        <v>1459.4</v>
      </c>
      <c r="C1926" s="116">
        <v>1454.95</v>
      </c>
      <c r="D1926" s="116">
        <v>1441</v>
      </c>
      <c r="E1926" s="116">
        <v>1441</v>
      </c>
      <c r="F1926" s="116">
        <v>1454.95</v>
      </c>
      <c r="G1926">
        <v>363380</v>
      </c>
      <c r="H1926" s="116"/>
      <c r="I1926" s="116"/>
      <c r="L1926" s="170">
        <v>44840</v>
      </c>
      <c r="M1926" s="116">
        <v>1455.15</v>
      </c>
      <c r="N1926" s="116">
        <v>1459.8</v>
      </c>
      <c r="O1926" s="116">
        <v>1444.1</v>
      </c>
      <c r="P1926" s="116">
        <v>1445</v>
      </c>
      <c r="Q1926" s="116">
        <v>1455.15</v>
      </c>
      <c r="R1926">
        <v>6180672</v>
      </c>
    </row>
    <row r="1927" spans="1:18" x14ac:dyDescent="0.25">
      <c r="A1927" s="170">
        <v>44841</v>
      </c>
      <c r="B1927" s="116">
        <v>1457.2</v>
      </c>
      <c r="C1927" s="116">
        <v>1451.75</v>
      </c>
      <c r="D1927" s="116">
        <v>1440.9</v>
      </c>
      <c r="E1927" s="116">
        <v>1450</v>
      </c>
      <c r="F1927" s="116">
        <v>1451.75</v>
      </c>
      <c r="G1927">
        <v>73041</v>
      </c>
      <c r="H1927" s="116"/>
      <c r="I1927" s="116"/>
      <c r="L1927" s="170">
        <v>44841</v>
      </c>
      <c r="M1927" s="116">
        <v>1451.2</v>
      </c>
      <c r="N1927" s="116">
        <v>1457.85</v>
      </c>
      <c r="O1927" s="116">
        <v>1440.15</v>
      </c>
      <c r="P1927" s="116">
        <v>1446.35</v>
      </c>
      <c r="Q1927" s="116">
        <v>1451.2</v>
      </c>
      <c r="R1927">
        <v>3994466</v>
      </c>
    </row>
    <row r="1928" spans="1:18" x14ac:dyDescent="0.25">
      <c r="A1928" s="170">
        <v>44844</v>
      </c>
      <c r="B1928" s="116">
        <v>1465</v>
      </c>
      <c r="C1928" s="116">
        <v>1462.7</v>
      </c>
      <c r="D1928" s="116">
        <v>1423.35</v>
      </c>
      <c r="E1928" s="116">
        <v>1423.35</v>
      </c>
      <c r="F1928" s="116">
        <v>1462.7</v>
      </c>
      <c r="G1928">
        <v>238452</v>
      </c>
      <c r="H1928" s="116"/>
      <c r="I1928" s="116"/>
      <c r="L1928" s="170">
        <v>44844</v>
      </c>
      <c r="M1928" s="116">
        <v>1462.65</v>
      </c>
      <c r="N1928" s="116">
        <v>1465</v>
      </c>
      <c r="O1928" s="116">
        <v>1426.35</v>
      </c>
      <c r="P1928" s="116">
        <v>1426.35</v>
      </c>
      <c r="Q1928" s="116">
        <v>1462.65</v>
      </c>
      <c r="R1928">
        <v>5274677</v>
      </c>
    </row>
    <row r="1929" spans="1:18" x14ac:dyDescent="0.25">
      <c r="A1929" s="170">
        <v>44845</v>
      </c>
      <c r="B1929" s="116">
        <v>1479</v>
      </c>
      <c r="C1929" s="116">
        <v>1423.9</v>
      </c>
      <c r="D1929" s="116">
        <v>1420.2</v>
      </c>
      <c r="E1929" s="116">
        <v>1462</v>
      </c>
      <c r="F1929" s="116">
        <v>1423.9</v>
      </c>
      <c r="G1929">
        <v>5673135</v>
      </c>
      <c r="H1929" s="116"/>
      <c r="I1929" s="116"/>
      <c r="L1929" s="170">
        <v>44845</v>
      </c>
      <c r="M1929" s="116">
        <v>1423.8</v>
      </c>
      <c r="N1929" s="116">
        <v>1479.65</v>
      </c>
      <c r="O1929" s="116">
        <v>1420.1</v>
      </c>
      <c r="P1929" s="116">
        <v>1462.65</v>
      </c>
      <c r="Q1929" s="116">
        <v>1423.8</v>
      </c>
      <c r="R1929">
        <v>12824774</v>
      </c>
    </row>
    <row r="1930" spans="1:18" x14ac:dyDescent="0.25">
      <c r="A1930" s="170">
        <v>44846</v>
      </c>
      <c r="B1930" s="116">
        <v>1446</v>
      </c>
      <c r="C1930" s="116">
        <v>1428.85</v>
      </c>
      <c r="D1930" s="116">
        <v>1414.2</v>
      </c>
      <c r="E1930" s="116">
        <v>1446</v>
      </c>
      <c r="F1930" s="116">
        <v>1428.85</v>
      </c>
      <c r="G1930">
        <v>370066</v>
      </c>
      <c r="H1930" s="116"/>
      <c r="I1930" s="116"/>
      <c r="L1930" s="170">
        <v>44846</v>
      </c>
      <c r="M1930" s="116">
        <v>1428.7</v>
      </c>
      <c r="N1930" s="116">
        <v>1441.1</v>
      </c>
      <c r="O1930" s="116">
        <v>1413.55</v>
      </c>
      <c r="P1930" s="116">
        <v>1437</v>
      </c>
      <c r="Q1930" s="116">
        <v>1428.7</v>
      </c>
      <c r="R1930">
        <v>5481467</v>
      </c>
    </row>
    <row r="1931" spans="1:18" x14ac:dyDescent="0.25">
      <c r="A1931" s="170">
        <v>44847</v>
      </c>
      <c r="B1931" s="116">
        <v>1437.6</v>
      </c>
      <c r="C1931" s="116">
        <v>1419.75</v>
      </c>
      <c r="D1931" s="116">
        <v>1415.85</v>
      </c>
      <c r="E1931" s="116">
        <v>1434.45</v>
      </c>
      <c r="F1931" s="116">
        <v>1419.75</v>
      </c>
      <c r="G1931">
        <v>296281</v>
      </c>
      <c r="H1931" s="116"/>
      <c r="I1931" s="116"/>
      <c r="L1931" s="170">
        <v>44847</v>
      </c>
      <c r="M1931" s="116">
        <v>1419.9</v>
      </c>
      <c r="N1931" s="116">
        <v>1437.95</v>
      </c>
      <c r="O1931" s="116">
        <v>1415</v>
      </c>
      <c r="P1931" s="116">
        <v>1431</v>
      </c>
      <c r="Q1931" s="116">
        <v>1419.9</v>
      </c>
      <c r="R1931">
        <v>4821514</v>
      </c>
    </row>
    <row r="1932" spans="1:18" x14ac:dyDescent="0.25">
      <c r="A1932" s="170">
        <v>44848</v>
      </c>
      <c r="B1932" s="116">
        <v>1494</v>
      </c>
      <c r="C1932" s="116">
        <v>1474.05</v>
      </c>
      <c r="D1932" s="116">
        <v>1468</v>
      </c>
      <c r="E1932" s="116">
        <v>1487.7</v>
      </c>
      <c r="F1932" s="116">
        <v>1474.05</v>
      </c>
      <c r="G1932">
        <v>519749</v>
      </c>
      <c r="H1932" s="116"/>
      <c r="I1932" s="116"/>
      <c r="L1932" s="170">
        <v>44848</v>
      </c>
      <c r="M1932" s="116">
        <v>1474.25</v>
      </c>
      <c r="N1932" s="116">
        <v>1494</v>
      </c>
      <c r="O1932" s="116">
        <v>1467.25</v>
      </c>
      <c r="P1932" s="116">
        <v>1485</v>
      </c>
      <c r="Q1932" s="116">
        <v>1474.25</v>
      </c>
      <c r="R1932">
        <v>14990688</v>
      </c>
    </row>
    <row r="1933" spans="1:18" x14ac:dyDescent="0.25">
      <c r="A1933" s="170">
        <v>44851</v>
      </c>
      <c r="B1933" s="116">
        <v>1495</v>
      </c>
      <c r="C1933" s="116">
        <v>1490.2</v>
      </c>
      <c r="D1933" s="116">
        <v>1475</v>
      </c>
      <c r="E1933" s="116">
        <v>1475</v>
      </c>
      <c r="F1933" s="116">
        <v>1490.2</v>
      </c>
      <c r="G1933">
        <v>4245856</v>
      </c>
      <c r="H1933" s="116"/>
      <c r="I1933" s="116"/>
      <c r="L1933" s="170">
        <v>44851</v>
      </c>
      <c r="M1933" s="116">
        <v>1489.95</v>
      </c>
      <c r="N1933" s="116">
        <v>1495</v>
      </c>
      <c r="O1933" s="116">
        <v>1475.5</v>
      </c>
      <c r="P1933" s="116">
        <v>1476.9</v>
      </c>
      <c r="Q1933" s="116">
        <v>1489.95</v>
      </c>
      <c r="R1933">
        <v>4286396</v>
      </c>
    </row>
    <row r="1934" spans="1:18" x14ac:dyDescent="0.25">
      <c r="A1934" s="170">
        <v>44852</v>
      </c>
      <c r="B1934" s="116">
        <v>1510</v>
      </c>
      <c r="C1934" s="116">
        <v>1503.55</v>
      </c>
      <c r="D1934" s="116">
        <v>1497.05</v>
      </c>
      <c r="E1934" s="116">
        <v>1507</v>
      </c>
      <c r="F1934" s="116">
        <v>1503.55</v>
      </c>
      <c r="G1934">
        <v>269762</v>
      </c>
      <c r="H1934" s="116"/>
      <c r="I1934" s="116"/>
      <c r="L1934" s="170">
        <v>44852</v>
      </c>
      <c r="M1934" s="116">
        <v>1503.7</v>
      </c>
      <c r="N1934" s="116">
        <v>1510.95</v>
      </c>
      <c r="O1934" s="116">
        <v>1497.25</v>
      </c>
      <c r="P1934" s="116">
        <v>1510</v>
      </c>
      <c r="Q1934" s="116">
        <v>1503.7</v>
      </c>
      <c r="R1934">
        <v>4692004</v>
      </c>
    </row>
    <row r="1935" spans="1:18" x14ac:dyDescent="0.25">
      <c r="A1935" s="170">
        <v>44853</v>
      </c>
      <c r="B1935" s="116">
        <v>1507.45</v>
      </c>
      <c r="C1935" s="116">
        <v>1485</v>
      </c>
      <c r="D1935" s="116">
        <v>1481.85</v>
      </c>
      <c r="E1935" s="116">
        <v>1507.45</v>
      </c>
      <c r="F1935" s="116">
        <v>1485</v>
      </c>
      <c r="G1935">
        <v>80107</v>
      </c>
      <c r="H1935" s="116"/>
      <c r="I1935" s="116"/>
      <c r="L1935" s="170">
        <v>44853</v>
      </c>
      <c r="M1935" s="116">
        <v>1485.45</v>
      </c>
      <c r="N1935" s="116">
        <v>1504.95</v>
      </c>
      <c r="O1935" s="116">
        <v>1481.3</v>
      </c>
      <c r="P1935" s="116">
        <v>1504</v>
      </c>
      <c r="Q1935" s="116">
        <v>1485.45</v>
      </c>
      <c r="R1935">
        <v>3553171</v>
      </c>
    </row>
    <row r="1936" spans="1:18" x14ac:dyDescent="0.25">
      <c r="A1936" s="170">
        <v>44854</v>
      </c>
      <c r="B1936" s="116">
        <v>1503.9</v>
      </c>
      <c r="C1936" s="116">
        <v>1500.3</v>
      </c>
      <c r="D1936" s="116">
        <v>1476</v>
      </c>
      <c r="E1936" s="116">
        <v>1477</v>
      </c>
      <c r="F1936" s="116">
        <v>1500.3</v>
      </c>
      <c r="G1936">
        <v>74073</v>
      </c>
      <c r="H1936" s="116"/>
      <c r="I1936" s="116"/>
      <c r="L1936" s="170">
        <v>44854</v>
      </c>
      <c r="M1936" s="116">
        <v>1500.9</v>
      </c>
      <c r="N1936" s="116">
        <v>1504</v>
      </c>
      <c r="O1936" s="116">
        <v>1474.2</v>
      </c>
      <c r="P1936" s="116">
        <v>1475</v>
      </c>
      <c r="Q1936" s="116">
        <v>1500.9</v>
      </c>
      <c r="R1936">
        <v>4583939</v>
      </c>
    </row>
    <row r="1937" spans="1:18" x14ac:dyDescent="0.25">
      <c r="A1937" s="170">
        <v>44855</v>
      </c>
      <c r="B1937" s="116">
        <v>1505.9</v>
      </c>
      <c r="C1937" s="116">
        <v>1500.1</v>
      </c>
      <c r="D1937" s="116">
        <v>1491.2</v>
      </c>
      <c r="E1937" s="116">
        <v>1500.9</v>
      </c>
      <c r="F1937" s="116">
        <v>1500.1</v>
      </c>
      <c r="G1937">
        <v>63418</v>
      </c>
      <c r="H1937" s="116"/>
      <c r="I1937" s="116"/>
      <c r="L1937" s="170">
        <v>44855</v>
      </c>
      <c r="M1937" s="116">
        <v>1500.5</v>
      </c>
      <c r="N1937" s="116">
        <v>1506</v>
      </c>
      <c r="O1937" s="116">
        <v>1491.35</v>
      </c>
      <c r="P1937" s="116">
        <v>1500.3</v>
      </c>
      <c r="Q1937" s="116">
        <v>1500.5</v>
      </c>
      <c r="R1937">
        <v>3594485</v>
      </c>
    </row>
    <row r="1938" spans="1:18" x14ac:dyDescent="0.25">
      <c r="A1938" s="170">
        <v>44858</v>
      </c>
      <c r="B1938" s="116">
        <v>1521.8</v>
      </c>
      <c r="C1938" s="116">
        <v>1517.4</v>
      </c>
      <c r="D1938" s="116">
        <v>1511.25</v>
      </c>
      <c r="E1938" s="116">
        <v>1516.05</v>
      </c>
      <c r="F1938" s="116">
        <v>1517.4</v>
      </c>
      <c r="G1938">
        <v>54354</v>
      </c>
      <c r="H1938" s="116"/>
      <c r="I1938" s="116"/>
      <c r="L1938" s="170">
        <v>44858</v>
      </c>
      <c r="M1938" s="116">
        <v>1517.85</v>
      </c>
      <c r="N1938" s="116">
        <v>1521.8</v>
      </c>
      <c r="O1938" s="116">
        <v>1511</v>
      </c>
      <c r="P1938" s="116">
        <v>1518.5</v>
      </c>
      <c r="Q1938" s="116">
        <v>1517.85</v>
      </c>
      <c r="R1938">
        <v>982837</v>
      </c>
    </row>
    <row r="1939" spans="1:18" x14ac:dyDescent="0.25">
      <c r="A1939" s="170">
        <v>44859</v>
      </c>
      <c r="B1939" s="116">
        <v>1532.65</v>
      </c>
      <c r="C1939" s="116">
        <v>1525.75</v>
      </c>
      <c r="D1939" s="116">
        <v>1521.1</v>
      </c>
      <c r="E1939" s="116">
        <v>1525</v>
      </c>
      <c r="F1939" s="116">
        <v>1525.75</v>
      </c>
      <c r="G1939">
        <v>2696093</v>
      </c>
      <c r="H1939" s="116"/>
      <c r="I1939" s="116"/>
      <c r="L1939" s="170">
        <v>44859</v>
      </c>
      <c r="M1939" s="116">
        <v>1526.3</v>
      </c>
      <c r="N1939" s="116">
        <v>1532.9</v>
      </c>
      <c r="O1939" s="116">
        <v>1521.05</v>
      </c>
      <c r="P1939" s="116">
        <v>1528.1</v>
      </c>
      <c r="Q1939" s="116">
        <v>1526.3</v>
      </c>
      <c r="R1939">
        <v>3914341</v>
      </c>
    </row>
    <row r="1940" spans="1:18" x14ac:dyDescent="0.25">
      <c r="A1940" s="170">
        <v>44861</v>
      </c>
      <c r="B1940" s="116">
        <v>1534.6</v>
      </c>
      <c r="C1940" s="116">
        <v>1522.6</v>
      </c>
      <c r="D1940" s="116">
        <v>1513</v>
      </c>
      <c r="E1940" s="116">
        <v>1526.05</v>
      </c>
      <c r="F1940" s="116">
        <v>1522.6</v>
      </c>
      <c r="G1940">
        <v>105720</v>
      </c>
      <c r="H1940" s="116"/>
      <c r="I1940" s="116"/>
      <c r="L1940" s="170">
        <v>44861</v>
      </c>
      <c r="M1940" s="116">
        <v>1523.95</v>
      </c>
      <c r="N1940" s="116">
        <v>1534.9</v>
      </c>
      <c r="O1940" s="116">
        <v>1512.5</v>
      </c>
      <c r="P1940" s="116">
        <v>1530.8</v>
      </c>
      <c r="Q1940" s="116">
        <v>1523.95</v>
      </c>
      <c r="R1940">
        <v>6760137</v>
      </c>
    </row>
    <row r="1941" spans="1:18" x14ac:dyDescent="0.25">
      <c r="A1941" s="170">
        <v>44862</v>
      </c>
      <c r="B1941" s="116">
        <v>1526</v>
      </c>
      <c r="C1941" s="116">
        <v>1512.6</v>
      </c>
      <c r="D1941" s="116">
        <v>1507.4</v>
      </c>
      <c r="E1941" s="116">
        <v>1521</v>
      </c>
      <c r="F1941" s="116">
        <v>1512.6</v>
      </c>
      <c r="G1941">
        <v>48743</v>
      </c>
      <c r="H1941" s="116"/>
      <c r="I1941" s="116"/>
      <c r="L1941" s="170">
        <v>44862</v>
      </c>
      <c r="M1941" s="116">
        <v>1513.25</v>
      </c>
      <c r="N1941" s="116">
        <v>1527.95</v>
      </c>
      <c r="O1941" s="116">
        <v>1507</v>
      </c>
      <c r="P1941" s="116">
        <v>1526</v>
      </c>
      <c r="Q1941" s="116">
        <v>1513.25</v>
      </c>
      <c r="R1941">
        <v>3053981</v>
      </c>
    </row>
    <row r="1942" spans="1:18" x14ac:dyDescent="0.25">
      <c r="A1942" s="170">
        <v>44865</v>
      </c>
      <c r="B1942" s="116">
        <v>1546.2</v>
      </c>
      <c r="C1942" s="116">
        <v>1537.9</v>
      </c>
      <c r="D1942" s="116">
        <v>1522.2</v>
      </c>
      <c r="E1942" s="116">
        <v>1522.2</v>
      </c>
      <c r="F1942" s="116">
        <v>1537.9</v>
      </c>
      <c r="G1942">
        <v>100694</v>
      </c>
      <c r="H1942" s="116"/>
      <c r="I1942" s="116"/>
      <c r="L1942" s="170">
        <v>44865</v>
      </c>
      <c r="M1942" s="116">
        <v>1537.65</v>
      </c>
      <c r="N1942" s="116">
        <v>1546.4</v>
      </c>
      <c r="O1942" s="116">
        <v>1530.25</v>
      </c>
      <c r="P1942" s="116">
        <v>1530.25</v>
      </c>
      <c r="Q1942" s="116">
        <v>1537.65</v>
      </c>
      <c r="R1942">
        <v>4542336</v>
      </c>
    </row>
    <row r="1943" spans="1:18" x14ac:dyDescent="0.25">
      <c r="A1943" s="170">
        <v>44866</v>
      </c>
      <c r="B1943" s="116">
        <v>1574.5</v>
      </c>
      <c r="C1943" s="116">
        <v>1572.75</v>
      </c>
      <c r="D1943" s="116">
        <v>1547.6</v>
      </c>
      <c r="E1943" s="116">
        <v>1550</v>
      </c>
      <c r="F1943" s="116">
        <v>1572.75</v>
      </c>
      <c r="G1943">
        <v>488905</v>
      </c>
      <c r="H1943" s="116"/>
      <c r="I1943" s="116"/>
      <c r="L1943" s="170">
        <v>44866</v>
      </c>
      <c r="M1943" s="116">
        <v>1573</v>
      </c>
      <c r="N1943" s="116">
        <v>1575</v>
      </c>
      <c r="O1943" s="116">
        <v>1547.1</v>
      </c>
      <c r="P1943" s="116">
        <v>1553.05</v>
      </c>
      <c r="Q1943" s="116">
        <v>1573</v>
      </c>
      <c r="R1943">
        <v>4542692</v>
      </c>
    </row>
    <row r="1944" spans="1:18" x14ac:dyDescent="0.25">
      <c r="A1944" s="170">
        <v>44867</v>
      </c>
      <c r="B1944" s="116">
        <v>1574</v>
      </c>
      <c r="C1944" s="116">
        <v>1552.45</v>
      </c>
      <c r="D1944" s="116">
        <v>1545</v>
      </c>
      <c r="E1944" s="116">
        <v>1574</v>
      </c>
      <c r="F1944" s="116">
        <v>1552.45</v>
      </c>
      <c r="G1944">
        <v>75604</v>
      </c>
      <c r="H1944" s="116"/>
      <c r="I1944" s="116"/>
      <c r="L1944" s="170">
        <v>44867</v>
      </c>
      <c r="M1944" s="116">
        <v>1553.3</v>
      </c>
      <c r="N1944" s="116">
        <v>1572.75</v>
      </c>
      <c r="O1944" s="116">
        <v>1545</v>
      </c>
      <c r="P1944" s="116">
        <v>1572</v>
      </c>
      <c r="Q1944" s="116">
        <v>1553.3</v>
      </c>
      <c r="R1944">
        <v>2938906</v>
      </c>
    </row>
    <row r="1945" spans="1:18" x14ac:dyDescent="0.25">
      <c r="A1945" s="170">
        <v>44868</v>
      </c>
      <c r="B1945" s="116">
        <v>1544</v>
      </c>
      <c r="C1945" s="116">
        <v>1530.5</v>
      </c>
      <c r="D1945" s="116">
        <v>1522.25</v>
      </c>
      <c r="E1945" s="116">
        <v>1541</v>
      </c>
      <c r="F1945" s="116">
        <v>1530.5</v>
      </c>
      <c r="G1945">
        <v>79687</v>
      </c>
      <c r="H1945" s="116"/>
      <c r="I1945" s="116"/>
      <c r="L1945" s="170">
        <v>44868</v>
      </c>
      <c r="M1945" s="116">
        <v>1530.75</v>
      </c>
      <c r="N1945" s="116">
        <v>1543.9</v>
      </c>
      <c r="O1945" s="116">
        <v>1521.65</v>
      </c>
      <c r="P1945" s="116">
        <v>1538.75</v>
      </c>
      <c r="Q1945" s="116">
        <v>1530.75</v>
      </c>
      <c r="R1945">
        <v>3174027</v>
      </c>
    </row>
    <row r="1946" spans="1:18" x14ac:dyDescent="0.25">
      <c r="A1946" s="170">
        <v>44869</v>
      </c>
      <c r="B1946" s="116">
        <v>1522.7</v>
      </c>
      <c r="C1946" s="116">
        <v>1513.9</v>
      </c>
      <c r="D1946" s="116">
        <v>1501.25</v>
      </c>
      <c r="E1946" s="116">
        <v>1522.7</v>
      </c>
      <c r="F1946" s="116">
        <v>1513.9</v>
      </c>
      <c r="G1946">
        <v>89276</v>
      </c>
      <c r="H1946" s="116"/>
      <c r="I1946" s="116"/>
      <c r="L1946" s="170">
        <v>44869</v>
      </c>
      <c r="M1946" s="116">
        <v>1514</v>
      </c>
      <c r="N1946" s="116">
        <v>1520.45</v>
      </c>
      <c r="O1946" s="116">
        <v>1501.15</v>
      </c>
      <c r="P1946" s="116">
        <v>1520.45</v>
      </c>
      <c r="Q1946" s="116">
        <v>1514</v>
      </c>
      <c r="R1946">
        <v>4509682</v>
      </c>
    </row>
    <row r="1947" spans="1:18" x14ac:dyDescent="0.25">
      <c r="A1947" s="170">
        <v>44872</v>
      </c>
      <c r="B1947" s="116">
        <v>1526.95</v>
      </c>
      <c r="C1947" s="116">
        <v>1507.05</v>
      </c>
      <c r="D1947" s="116">
        <v>1491</v>
      </c>
      <c r="E1947" s="116">
        <v>1515</v>
      </c>
      <c r="F1947" s="116">
        <v>1507.05</v>
      </c>
      <c r="G1947">
        <v>80924</v>
      </c>
      <c r="H1947" s="116"/>
      <c r="I1947" s="116"/>
      <c r="L1947" s="170">
        <v>44872</v>
      </c>
      <c r="M1947" s="116">
        <v>1507.45</v>
      </c>
      <c r="N1947" s="116">
        <v>1527.9</v>
      </c>
      <c r="O1947" s="116">
        <v>1491.1</v>
      </c>
      <c r="P1947" s="116">
        <v>1521.4</v>
      </c>
      <c r="Q1947" s="116">
        <v>1507.45</v>
      </c>
      <c r="R1947">
        <v>4898592</v>
      </c>
    </row>
    <row r="1948" spans="1:18" x14ac:dyDescent="0.25">
      <c r="A1948" s="170">
        <v>44874</v>
      </c>
      <c r="B1948" s="116">
        <v>1527</v>
      </c>
      <c r="C1948" s="116">
        <v>1510.25</v>
      </c>
      <c r="D1948" s="116">
        <v>1501</v>
      </c>
      <c r="E1948" s="116">
        <v>1527</v>
      </c>
      <c r="F1948" s="116">
        <v>1510.25</v>
      </c>
      <c r="G1948">
        <v>66752</v>
      </c>
      <c r="H1948" s="116"/>
      <c r="I1948" s="116"/>
      <c r="L1948" s="170">
        <v>44874</v>
      </c>
      <c r="M1948" s="116">
        <v>1511.2</v>
      </c>
      <c r="N1948" s="116">
        <v>1529</v>
      </c>
      <c r="O1948" s="116">
        <v>1501.1</v>
      </c>
      <c r="P1948" s="116">
        <v>1529</v>
      </c>
      <c r="Q1948" s="116">
        <v>1511.2</v>
      </c>
      <c r="R1948">
        <v>3334755</v>
      </c>
    </row>
    <row r="1949" spans="1:18" x14ac:dyDescent="0.25">
      <c r="A1949" s="170">
        <v>44875</v>
      </c>
      <c r="B1949" s="116">
        <v>1511.4</v>
      </c>
      <c r="C1949" s="116">
        <v>1502.25</v>
      </c>
      <c r="D1949" s="116">
        <v>1482</v>
      </c>
      <c r="E1949" s="116">
        <v>1482</v>
      </c>
      <c r="F1949" s="116">
        <v>1502.25</v>
      </c>
      <c r="G1949">
        <v>60655</v>
      </c>
      <c r="H1949" s="116"/>
      <c r="I1949" s="116"/>
      <c r="L1949" s="170">
        <v>44875</v>
      </c>
      <c r="M1949" s="116">
        <v>1501.95</v>
      </c>
      <c r="N1949" s="116">
        <v>1512</v>
      </c>
      <c r="O1949" s="116">
        <v>1485</v>
      </c>
      <c r="P1949" s="116">
        <v>1485</v>
      </c>
      <c r="Q1949" s="116">
        <v>1501.95</v>
      </c>
      <c r="R1949">
        <v>3435763</v>
      </c>
    </row>
    <row r="1950" spans="1:18" x14ac:dyDescent="0.25">
      <c r="A1950" s="170">
        <v>44876</v>
      </c>
      <c r="B1950" s="116">
        <v>1573</v>
      </c>
      <c r="C1950" s="116">
        <v>1570.05</v>
      </c>
      <c r="D1950" s="116">
        <v>1535.25</v>
      </c>
      <c r="E1950" s="116">
        <v>1535.25</v>
      </c>
      <c r="F1950" s="116">
        <v>1570.05</v>
      </c>
      <c r="G1950">
        <v>872891</v>
      </c>
      <c r="H1950" s="116"/>
      <c r="I1950" s="116"/>
      <c r="L1950" s="170">
        <v>44876</v>
      </c>
      <c r="M1950" s="116">
        <v>1570.1</v>
      </c>
      <c r="N1950" s="116">
        <v>1573.5</v>
      </c>
      <c r="O1950" s="116">
        <v>1546.65</v>
      </c>
      <c r="P1950" s="116">
        <v>1546.65</v>
      </c>
      <c r="Q1950" s="116">
        <v>1570.1</v>
      </c>
      <c r="R1950">
        <v>7214098</v>
      </c>
    </row>
    <row r="1951" spans="1:18" x14ac:dyDescent="0.25">
      <c r="A1951" s="170">
        <v>44879</v>
      </c>
      <c r="B1951" s="116">
        <v>1591</v>
      </c>
      <c r="C1951" s="116">
        <v>1584</v>
      </c>
      <c r="D1951" s="116">
        <v>1569</v>
      </c>
      <c r="E1951" s="116">
        <v>1572</v>
      </c>
      <c r="F1951" s="116">
        <v>1584</v>
      </c>
      <c r="G1951">
        <v>5033633</v>
      </c>
      <c r="H1951" s="116"/>
      <c r="I1951" s="116"/>
      <c r="L1951" s="170">
        <v>44879</v>
      </c>
      <c r="M1951" s="116">
        <v>1585.3</v>
      </c>
      <c r="N1951" s="116">
        <v>1591.4</v>
      </c>
      <c r="O1951" s="116">
        <v>1568.45</v>
      </c>
      <c r="P1951" s="116">
        <v>1575.15</v>
      </c>
      <c r="Q1951" s="116">
        <v>1585.3</v>
      </c>
      <c r="R1951">
        <v>4908813</v>
      </c>
    </row>
    <row r="1952" spans="1:18" x14ac:dyDescent="0.25">
      <c r="A1952" s="170">
        <v>44880</v>
      </c>
      <c r="B1952" s="116">
        <v>1597.25</v>
      </c>
      <c r="C1952" s="116">
        <v>1593.7</v>
      </c>
      <c r="D1952" s="116">
        <v>1560.05</v>
      </c>
      <c r="E1952" s="116">
        <v>1560.05</v>
      </c>
      <c r="F1952" s="116">
        <v>1593.7</v>
      </c>
      <c r="G1952">
        <v>420847</v>
      </c>
      <c r="H1952" s="116"/>
      <c r="I1952" s="116"/>
      <c r="L1952" s="170">
        <v>44880</v>
      </c>
      <c r="M1952" s="116">
        <v>1594</v>
      </c>
      <c r="N1952" s="116">
        <v>1597.85</v>
      </c>
      <c r="O1952" s="116">
        <v>1572.75</v>
      </c>
      <c r="P1952" s="116">
        <v>1577.85</v>
      </c>
      <c r="Q1952" s="116">
        <v>1594</v>
      </c>
      <c r="R1952">
        <v>3497614</v>
      </c>
    </row>
    <row r="1953" spans="1:18" x14ac:dyDescent="0.25">
      <c r="A1953" s="170">
        <v>44881</v>
      </c>
      <c r="B1953" s="116">
        <v>1608.75</v>
      </c>
      <c r="C1953" s="116">
        <v>1602.2</v>
      </c>
      <c r="D1953" s="116">
        <v>1592.85</v>
      </c>
      <c r="E1953" s="116">
        <v>1594</v>
      </c>
      <c r="F1953" s="116">
        <v>1602.2</v>
      </c>
      <c r="G1953">
        <v>94045</v>
      </c>
      <c r="H1953" s="116"/>
      <c r="I1953" s="116"/>
      <c r="L1953" s="170">
        <v>44881</v>
      </c>
      <c r="M1953" s="116">
        <v>1602.8</v>
      </c>
      <c r="N1953" s="116">
        <v>1609</v>
      </c>
      <c r="O1953" s="116">
        <v>1593.5</v>
      </c>
      <c r="P1953" s="116">
        <v>1597.15</v>
      </c>
      <c r="Q1953" s="116">
        <v>1602.8</v>
      </c>
      <c r="R1953">
        <v>4497697</v>
      </c>
    </row>
    <row r="1954" spans="1:18" x14ac:dyDescent="0.25">
      <c r="A1954" s="170">
        <v>44882</v>
      </c>
      <c r="B1954" s="116">
        <v>1602.95</v>
      </c>
      <c r="C1954" s="116">
        <v>1586.85</v>
      </c>
      <c r="D1954" s="116">
        <v>1583.4</v>
      </c>
      <c r="E1954" s="116">
        <v>1595</v>
      </c>
      <c r="F1954" s="116">
        <v>1586.85</v>
      </c>
      <c r="G1954">
        <v>52234</v>
      </c>
      <c r="H1954" s="116"/>
      <c r="I1954" s="116"/>
      <c r="L1954" s="170">
        <v>44882</v>
      </c>
      <c r="M1954" s="116">
        <v>1587.4</v>
      </c>
      <c r="N1954" s="116">
        <v>1602.8</v>
      </c>
      <c r="O1954" s="116">
        <v>1582.95</v>
      </c>
      <c r="P1954" s="116">
        <v>1597.2</v>
      </c>
      <c r="Q1954" s="116">
        <v>1587.4</v>
      </c>
      <c r="R1954">
        <v>3469515</v>
      </c>
    </row>
    <row r="1955" spans="1:18" x14ac:dyDescent="0.25">
      <c r="A1955" s="170">
        <v>44883</v>
      </c>
      <c r="B1955" s="116">
        <v>1598</v>
      </c>
      <c r="C1955" s="116">
        <v>1592.9</v>
      </c>
      <c r="D1955" s="116">
        <v>1575.85</v>
      </c>
      <c r="E1955" s="116">
        <v>1592</v>
      </c>
      <c r="F1955" s="116">
        <v>1592.9</v>
      </c>
      <c r="G1955">
        <v>50234</v>
      </c>
      <c r="H1955" s="116"/>
      <c r="I1955" s="116"/>
      <c r="L1955" s="170">
        <v>44883</v>
      </c>
      <c r="M1955" s="116">
        <v>1593.4</v>
      </c>
      <c r="N1955" s="116">
        <v>1598</v>
      </c>
      <c r="O1955" s="116">
        <v>1575.5</v>
      </c>
      <c r="P1955" s="116">
        <v>1591.7</v>
      </c>
      <c r="Q1955" s="116">
        <v>1593.4</v>
      </c>
      <c r="R1955">
        <v>3126064</v>
      </c>
    </row>
    <row r="1956" spans="1:18" x14ac:dyDescent="0.25">
      <c r="A1956" s="170">
        <v>44886</v>
      </c>
      <c r="B1956" s="116">
        <v>1589.5</v>
      </c>
      <c r="C1956" s="116">
        <v>1567.2</v>
      </c>
      <c r="D1956" s="116">
        <v>1565</v>
      </c>
      <c r="E1956" s="116">
        <v>1589.5</v>
      </c>
      <c r="F1956" s="116">
        <v>1567.2</v>
      </c>
      <c r="G1956">
        <v>53427</v>
      </c>
      <c r="H1956" s="116"/>
      <c r="I1956" s="116"/>
      <c r="L1956" s="170">
        <v>44886</v>
      </c>
      <c r="M1956" s="116">
        <v>1568.2</v>
      </c>
      <c r="N1956" s="116">
        <v>1587.85</v>
      </c>
      <c r="O1956" s="116">
        <v>1564.05</v>
      </c>
      <c r="P1956" s="116">
        <v>1582.1</v>
      </c>
      <c r="Q1956" s="116">
        <v>1568.2</v>
      </c>
      <c r="R1956">
        <v>3071764</v>
      </c>
    </row>
    <row r="1957" spans="1:18" x14ac:dyDescent="0.25">
      <c r="A1957" s="170">
        <v>44887</v>
      </c>
      <c r="B1957" s="116">
        <v>1587.95</v>
      </c>
      <c r="C1957" s="116">
        <v>1585.6</v>
      </c>
      <c r="D1957" s="116">
        <v>1562.1</v>
      </c>
      <c r="E1957" s="116">
        <v>1567.2</v>
      </c>
      <c r="F1957" s="116">
        <v>1585.6</v>
      </c>
      <c r="G1957">
        <v>60326</v>
      </c>
      <c r="H1957" s="116"/>
      <c r="I1957" s="116"/>
      <c r="L1957" s="170">
        <v>44887</v>
      </c>
      <c r="M1957" s="116">
        <v>1585.05</v>
      </c>
      <c r="N1957" s="116">
        <v>1588</v>
      </c>
      <c r="O1957" s="116">
        <v>1562</v>
      </c>
      <c r="P1957" s="116">
        <v>1569</v>
      </c>
      <c r="Q1957" s="116">
        <v>1585.05</v>
      </c>
      <c r="R1957">
        <v>3399329</v>
      </c>
    </row>
    <row r="1958" spans="1:18" x14ac:dyDescent="0.25">
      <c r="A1958" s="170">
        <v>44888</v>
      </c>
      <c r="B1958" s="116">
        <v>1592</v>
      </c>
      <c r="C1958" s="116">
        <v>1583.4</v>
      </c>
      <c r="D1958" s="116">
        <v>1579.3</v>
      </c>
      <c r="E1958" s="116">
        <v>1592</v>
      </c>
      <c r="F1958" s="116">
        <v>1583.4</v>
      </c>
      <c r="G1958">
        <v>187421</v>
      </c>
      <c r="H1958" s="116"/>
      <c r="I1958" s="116"/>
      <c r="L1958" s="170">
        <v>44888</v>
      </c>
      <c r="M1958" s="116">
        <v>1583.15</v>
      </c>
      <c r="N1958" s="116">
        <v>1592</v>
      </c>
      <c r="O1958" s="116">
        <v>1579.3</v>
      </c>
      <c r="P1958" s="116">
        <v>1588.9</v>
      </c>
      <c r="Q1958" s="116">
        <v>1583.15</v>
      </c>
      <c r="R1958">
        <v>3245067</v>
      </c>
    </row>
    <row r="1959" spans="1:18" x14ac:dyDescent="0.25">
      <c r="A1959" s="170">
        <v>44889</v>
      </c>
      <c r="B1959" s="116">
        <v>1635</v>
      </c>
      <c r="C1959" s="116">
        <v>1629.8</v>
      </c>
      <c r="D1959" s="116">
        <v>1584.6</v>
      </c>
      <c r="E1959" s="116">
        <v>1588</v>
      </c>
      <c r="F1959" s="116">
        <v>1629.8</v>
      </c>
      <c r="G1959">
        <v>554402</v>
      </c>
      <c r="H1959" s="116"/>
      <c r="I1959" s="116"/>
      <c r="L1959" s="170">
        <v>44889</v>
      </c>
      <c r="M1959" s="116">
        <v>1629.8</v>
      </c>
      <c r="N1959" s="116">
        <v>1636</v>
      </c>
      <c r="O1959" s="116">
        <v>1584.75</v>
      </c>
      <c r="P1959" s="116">
        <v>1589</v>
      </c>
      <c r="Q1959" s="116">
        <v>1629.8</v>
      </c>
      <c r="R1959">
        <v>5282215</v>
      </c>
    </row>
    <row r="1960" spans="1:18" x14ac:dyDescent="0.25">
      <c r="A1960" s="170">
        <v>44890</v>
      </c>
      <c r="B1960" s="116">
        <v>1643.9</v>
      </c>
      <c r="C1960" s="116">
        <v>1630.75</v>
      </c>
      <c r="D1960" s="116">
        <v>1608.65</v>
      </c>
      <c r="E1960" s="116">
        <v>1629.8</v>
      </c>
      <c r="F1960" s="116">
        <v>1630.75</v>
      </c>
      <c r="G1960">
        <v>322432</v>
      </c>
      <c r="H1960" s="116"/>
      <c r="I1960" s="116"/>
      <c r="L1960" s="170">
        <v>44890</v>
      </c>
      <c r="M1960" s="116">
        <v>1635.65</v>
      </c>
      <c r="N1960" s="116">
        <v>1644</v>
      </c>
      <c r="O1960" s="116">
        <v>1613.8</v>
      </c>
      <c r="P1960" s="116">
        <v>1631.4</v>
      </c>
      <c r="Q1960" s="116">
        <v>1635.65</v>
      </c>
      <c r="R1960">
        <v>4563255</v>
      </c>
    </row>
    <row r="1961" spans="1:18" x14ac:dyDescent="0.25">
      <c r="A1961" s="170">
        <v>44893</v>
      </c>
      <c r="B1961" s="116">
        <v>1653</v>
      </c>
      <c r="C1961" s="116">
        <v>1623.25</v>
      </c>
      <c r="D1961" s="116">
        <v>1619.85</v>
      </c>
      <c r="E1961" s="116">
        <v>1628</v>
      </c>
      <c r="F1961" s="116">
        <v>1623.25</v>
      </c>
      <c r="G1961">
        <v>81518</v>
      </c>
      <c r="H1961" s="116"/>
      <c r="I1961" s="116"/>
      <c r="L1961" s="170">
        <v>44893</v>
      </c>
      <c r="M1961" s="116">
        <v>1623.4</v>
      </c>
      <c r="N1961" s="116">
        <v>1653.5</v>
      </c>
      <c r="O1961" s="116">
        <v>1620</v>
      </c>
      <c r="P1961" s="116">
        <v>1628</v>
      </c>
      <c r="Q1961" s="116">
        <v>1623.4</v>
      </c>
      <c r="R1961">
        <v>3825766</v>
      </c>
    </row>
    <row r="1962" spans="1:18" x14ac:dyDescent="0.25">
      <c r="A1962" s="170">
        <v>44894</v>
      </c>
      <c r="B1962" s="116">
        <v>1638.4</v>
      </c>
      <c r="C1962" s="116">
        <v>1628.3</v>
      </c>
      <c r="D1962" s="116">
        <v>1615</v>
      </c>
      <c r="E1962" s="116">
        <v>1618.9</v>
      </c>
      <c r="F1962" s="116">
        <v>1628.3</v>
      </c>
      <c r="G1962">
        <v>61629</v>
      </c>
      <c r="H1962" s="116"/>
      <c r="I1962" s="116"/>
      <c r="L1962" s="170">
        <v>44894</v>
      </c>
      <c r="M1962" s="116">
        <v>1629.05</v>
      </c>
      <c r="N1962" s="116">
        <v>1638.75</v>
      </c>
      <c r="O1962" s="116">
        <v>1615.05</v>
      </c>
      <c r="P1962" s="116">
        <v>1621.2</v>
      </c>
      <c r="Q1962" s="116">
        <v>1629.05</v>
      </c>
      <c r="R1962">
        <v>3131710</v>
      </c>
    </row>
    <row r="1963" spans="1:18" x14ac:dyDescent="0.25">
      <c r="A1963" s="170">
        <v>44895</v>
      </c>
      <c r="B1963" s="116">
        <v>1645</v>
      </c>
      <c r="C1963" s="116">
        <v>1632.4</v>
      </c>
      <c r="D1963" s="116">
        <v>1613.7</v>
      </c>
      <c r="E1963" s="116">
        <v>1620</v>
      </c>
      <c r="F1963" s="116">
        <v>1632.4</v>
      </c>
      <c r="G1963">
        <v>116325</v>
      </c>
      <c r="H1963" s="116"/>
      <c r="I1963" s="116"/>
      <c r="L1963" s="170">
        <v>44895</v>
      </c>
      <c r="M1963" s="116">
        <v>1634.95</v>
      </c>
      <c r="N1963" s="116">
        <v>1645.75</v>
      </c>
      <c r="O1963" s="116">
        <v>1613.15</v>
      </c>
      <c r="P1963" s="116">
        <v>1619.95</v>
      </c>
      <c r="Q1963" s="116">
        <v>1634.95</v>
      </c>
      <c r="R1963">
        <v>11868134</v>
      </c>
    </row>
    <row r="1964" spans="1:18" x14ac:dyDescent="0.25">
      <c r="A1964" s="170">
        <v>44896</v>
      </c>
      <c r="B1964" s="116">
        <v>1672.45</v>
      </c>
      <c r="C1964" s="116">
        <v>1657.6</v>
      </c>
      <c r="D1964" s="116">
        <v>1652</v>
      </c>
      <c r="E1964" s="116">
        <v>1652</v>
      </c>
      <c r="F1964" s="116">
        <v>1657.6</v>
      </c>
      <c r="G1964">
        <v>123733</v>
      </c>
      <c r="H1964" s="116"/>
      <c r="I1964" s="116"/>
      <c r="L1964" s="170">
        <v>44896</v>
      </c>
      <c r="M1964" s="116">
        <v>1657.1</v>
      </c>
      <c r="N1964" s="116">
        <v>1672.6</v>
      </c>
      <c r="O1964" s="116">
        <v>1652.3</v>
      </c>
      <c r="P1964" s="116">
        <v>1656.2</v>
      </c>
      <c r="Q1964" s="116">
        <v>1657.1</v>
      </c>
      <c r="R1964">
        <v>5407928</v>
      </c>
    </row>
    <row r="1965" spans="1:18" x14ac:dyDescent="0.25">
      <c r="A1965" s="170">
        <v>44897</v>
      </c>
      <c r="B1965" s="116">
        <v>1661</v>
      </c>
      <c r="C1965" s="116">
        <v>1638.55</v>
      </c>
      <c r="D1965" s="116">
        <v>1634.1</v>
      </c>
      <c r="E1965" s="116">
        <v>1652.2</v>
      </c>
      <c r="F1965" s="116">
        <v>1638.55</v>
      </c>
      <c r="G1965">
        <v>146313</v>
      </c>
      <c r="H1965" s="116"/>
      <c r="I1965" s="116"/>
      <c r="L1965" s="170">
        <v>44897</v>
      </c>
      <c r="M1965" s="116">
        <v>1637.9</v>
      </c>
      <c r="N1965" s="116">
        <v>1661.8</v>
      </c>
      <c r="O1965" s="116">
        <v>1633.95</v>
      </c>
      <c r="P1965" s="116">
        <v>1656</v>
      </c>
      <c r="Q1965" s="116">
        <v>1637.9</v>
      </c>
      <c r="R1965">
        <v>4283343</v>
      </c>
    </row>
    <row r="1966" spans="1:18" x14ac:dyDescent="0.25">
      <c r="A1966" s="170">
        <v>44900</v>
      </c>
      <c r="B1966" s="116">
        <v>1644.5</v>
      </c>
      <c r="C1966" s="116">
        <v>1640.5</v>
      </c>
      <c r="D1966" s="116">
        <v>1623</v>
      </c>
      <c r="E1966" s="116">
        <v>1634.5</v>
      </c>
      <c r="F1966" s="116">
        <v>1640.5</v>
      </c>
      <c r="G1966">
        <v>124491</v>
      </c>
      <c r="H1966" s="116"/>
      <c r="I1966" s="116"/>
      <c r="L1966" s="170">
        <v>44900</v>
      </c>
      <c r="M1966" s="116">
        <v>1639.75</v>
      </c>
      <c r="N1966" s="116">
        <v>1644.85</v>
      </c>
      <c r="O1966" s="116">
        <v>1623.3</v>
      </c>
      <c r="P1966" s="116">
        <v>1638</v>
      </c>
      <c r="Q1966" s="116">
        <v>1639.75</v>
      </c>
      <c r="R1966">
        <v>3824966</v>
      </c>
    </row>
    <row r="1967" spans="1:18" x14ac:dyDescent="0.25">
      <c r="A1967" s="170">
        <v>44901</v>
      </c>
      <c r="B1967" s="116">
        <v>1625</v>
      </c>
      <c r="C1967" s="116">
        <v>1612.85</v>
      </c>
      <c r="D1967" s="116">
        <v>1607.5</v>
      </c>
      <c r="E1967" s="116">
        <v>1621</v>
      </c>
      <c r="F1967" s="116">
        <v>1612.85</v>
      </c>
      <c r="G1967">
        <v>157913</v>
      </c>
      <c r="H1967" s="116"/>
      <c r="I1967" s="116"/>
      <c r="L1967" s="170">
        <v>44901</v>
      </c>
      <c r="M1967" s="116">
        <v>1612.9</v>
      </c>
      <c r="N1967" s="116">
        <v>1626</v>
      </c>
      <c r="O1967" s="116">
        <v>1607.55</v>
      </c>
      <c r="P1967" s="116">
        <v>1625</v>
      </c>
      <c r="Q1967" s="116">
        <v>1612.9</v>
      </c>
      <c r="R1967">
        <v>4822398</v>
      </c>
    </row>
    <row r="1968" spans="1:18" x14ac:dyDescent="0.25">
      <c r="A1968" s="170">
        <v>44902</v>
      </c>
      <c r="B1968" s="116">
        <v>1623.9</v>
      </c>
      <c r="C1968" s="116">
        <v>1605.05</v>
      </c>
      <c r="D1968" s="116">
        <v>1597.25</v>
      </c>
      <c r="E1968" s="116">
        <v>1612.95</v>
      </c>
      <c r="F1968" s="116">
        <v>1605.05</v>
      </c>
      <c r="G1968">
        <v>98339</v>
      </c>
      <c r="H1968" s="116"/>
      <c r="I1968" s="116"/>
      <c r="L1968" s="170">
        <v>44902</v>
      </c>
      <c r="M1968" s="116">
        <v>1605.5</v>
      </c>
      <c r="N1968" s="116">
        <v>1623.8</v>
      </c>
      <c r="O1968" s="116">
        <v>1596.7</v>
      </c>
      <c r="P1968" s="116">
        <v>1608</v>
      </c>
      <c r="Q1968" s="116">
        <v>1605.5</v>
      </c>
      <c r="R1968">
        <v>4898087</v>
      </c>
    </row>
    <row r="1969" spans="1:18" x14ac:dyDescent="0.25">
      <c r="A1969" s="170">
        <v>44903</v>
      </c>
      <c r="B1969" s="116">
        <v>1623.1</v>
      </c>
      <c r="C1969" s="116">
        <v>1619.95</v>
      </c>
      <c r="D1969" s="116">
        <v>1598.4</v>
      </c>
      <c r="E1969" s="116">
        <v>1605.05</v>
      </c>
      <c r="F1969" s="116">
        <v>1619.95</v>
      </c>
      <c r="G1969">
        <v>133271</v>
      </c>
      <c r="H1969" s="116"/>
      <c r="I1969" s="116"/>
      <c r="L1969" s="170">
        <v>44903</v>
      </c>
      <c r="M1969" s="116">
        <v>1620.15</v>
      </c>
      <c r="N1969" s="116">
        <v>1623.9</v>
      </c>
      <c r="O1969" s="116">
        <v>1598.5</v>
      </c>
      <c r="P1969" s="116">
        <v>1605.5</v>
      </c>
      <c r="Q1969" s="116">
        <v>1620.15</v>
      </c>
      <c r="R1969">
        <v>4206837</v>
      </c>
    </row>
    <row r="1970" spans="1:18" x14ac:dyDescent="0.25">
      <c r="A1970" s="170">
        <v>44904</v>
      </c>
      <c r="B1970" s="116">
        <v>1629.9</v>
      </c>
      <c r="C1970" s="116">
        <v>1568.85</v>
      </c>
      <c r="D1970" s="116">
        <v>1562</v>
      </c>
      <c r="E1970" s="116">
        <v>1625</v>
      </c>
      <c r="F1970" s="116">
        <v>1568.85</v>
      </c>
      <c r="G1970">
        <v>305494</v>
      </c>
      <c r="H1970" s="116"/>
      <c r="I1970" s="116"/>
      <c r="L1970" s="170">
        <v>44904</v>
      </c>
      <c r="M1970" s="116">
        <v>1569.3</v>
      </c>
      <c r="N1970" s="116">
        <v>1628</v>
      </c>
      <c r="O1970" s="116">
        <v>1561.1</v>
      </c>
      <c r="P1970" s="116">
        <v>1628</v>
      </c>
      <c r="Q1970" s="116">
        <v>1569.3</v>
      </c>
      <c r="R1970">
        <v>8880658</v>
      </c>
    </row>
    <row r="1971" spans="1:18" x14ac:dyDescent="0.25">
      <c r="A1971" s="170">
        <v>44907</v>
      </c>
      <c r="B1971" s="116">
        <v>1565.6</v>
      </c>
      <c r="C1971" s="116">
        <v>1547.1</v>
      </c>
      <c r="D1971" s="116">
        <v>1530.9</v>
      </c>
      <c r="E1971" s="116">
        <v>1557</v>
      </c>
      <c r="F1971" s="116">
        <v>1547.1</v>
      </c>
      <c r="G1971">
        <v>264702</v>
      </c>
      <c r="H1971" s="116"/>
      <c r="I1971" s="116"/>
      <c r="L1971" s="170">
        <v>44907</v>
      </c>
      <c r="M1971" s="116">
        <v>1547.2</v>
      </c>
      <c r="N1971" s="116">
        <v>1565.95</v>
      </c>
      <c r="O1971" s="116">
        <v>1530.05</v>
      </c>
      <c r="P1971" s="116">
        <v>1550</v>
      </c>
      <c r="Q1971" s="116">
        <v>1547.2</v>
      </c>
      <c r="R1971">
        <v>8037679</v>
      </c>
    </row>
    <row r="1972" spans="1:18" x14ac:dyDescent="0.25">
      <c r="A1972" s="170">
        <v>44908</v>
      </c>
      <c r="B1972" s="116">
        <v>1577.7</v>
      </c>
      <c r="C1972" s="116">
        <v>1572.7</v>
      </c>
      <c r="D1972" s="116">
        <v>1541.6</v>
      </c>
      <c r="E1972" s="116">
        <v>1548</v>
      </c>
      <c r="F1972" s="116">
        <v>1572.7</v>
      </c>
      <c r="G1972">
        <v>86952</v>
      </c>
      <c r="H1972" s="116"/>
      <c r="I1972" s="116"/>
      <c r="L1972" s="170">
        <v>44908</v>
      </c>
      <c r="M1972" s="116">
        <v>1572.15</v>
      </c>
      <c r="N1972" s="116">
        <v>1577.5</v>
      </c>
      <c r="O1972" s="116">
        <v>1541.15</v>
      </c>
      <c r="P1972" s="116">
        <v>1547.2</v>
      </c>
      <c r="Q1972" s="116">
        <v>1572.15</v>
      </c>
      <c r="R1972">
        <v>6135067</v>
      </c>
    </row>
    <row r="1973" spans="1:18" x14ac:dyDescent="0.25">
      <c r="A1973" s="170">
        <v>44909</v>
      </c>
      <c r="B1973" s="116">
        <v>1588.1</v>
      </c>
      <c r="C1973" s="116">
        <v>1580.25</v>
      </c>
      <c r="D1973" s="116">
        <v>1572.2</v>
      </c>
      <c r="E1973" s="116">
        <v>1578</v>
      </c>
      <c r="F1973" s="116">
        <v>1580.25</v>
      </c>
      <c r="G1973">
        <v>327721</v>
      </c>
      <c r="H1973" s="116"/>
      <c r="I1973" s="116"/>
      <c r="L1973" s="170">
        <v>44909</v>
      </c>
      <c r="M1973" s="116">
        <v>1579.4</v>
      </c>
      <c r="N1973" s="116">
        <v>1588.5</v>
      </c>
      <c r="O1973" s="116">
        <v>1573</v>
      </c>
      <c r="P1973" s="116">
        <v>1582</v>
      </c>
      <c r="Q1973" s="116">
        <v>1579.4</v>
      </c>
      <c r="R1973">
        <v>4976020</v>
      </c>
    </row>
    <row r="1974" spans="1:18" x14ac:dyDescent="0.25">
      <c r="A1974" s="170">
        <v>44910</v>
      </c>
      <c r="B1974" s="116">
        <v>1570.45</v>
      </c>
      <c r="C1974" s="116">
        <v>1539.4</v>
      </c>
      <c r="D1974" s="116">
        <v>1535.6</v>
      </c>
      <c r="E1974" s="116">
        <v>1567</v>
      </c>
      <c r="F1974" s="116">
        <v>1539.4</v>
      </c>
      <c r="G1974">
        <v>292813</v>
      </c>
      <c r="H1974" s="116"/>
      <c r="I1974" s="116"/>
      <c r="L1974" s="170">
        <v>44910</v>
      </c>
      <c r="M1974" s="116">
        <v>1540.5</v>
      </c>
      <c r="N1974" s="116">
        <v>1570</v>
      </c>
      <c r="O1974" s="116">
        <v>1535.25</v>
      </c>
      <c r="P1974" s="116">
        <v>1569.3</v>
      </c>
      <c r="Q1974" s="116">
        <v>1540.5</v>
      </c>
      <c r="R1974">
        <v>6443866</v>
      </c>
    </row>
    <row r="1975" spans="1:18" x14ac:dyDescent="0.25">
      <c r="A1975" s="170">
        <v>44911</v>
      </c>
      <c r="B1975" s="116">
        <v>1548.95</v>
      </c>
      <c r="C1975" s="116">
        <v>1522.35</v>
      </c>
      <c r="D1975" s="116">
        <v>1512</v>
      </c>
      <c r="E1975" s="116">
        <v>1529.8</v>
      </c>
      <c r="F1975" s="116">
        <v>1522.35</v>
      </c>
      <c r="G1975">
        <v>223899</v>
      </c>
      <c r="H1975" s="116"/>
      <c r="I1975" s="116"/>
      <c r="L1975" s="170">
        <v>44911</v>
      </c>
      <c r="M1975" s="116">
        <v>1522.2</v>
      </c>
      <c r="N1975" s="116">
        <v>1549.5</v>
      </c>
      <c r="O1975" s="116">
        <v>1512.05</v>
      </c>
      <c r="P1975" s="116">
        <v>1525</v>
      </c>
      <c r="Q1975" s="116">
        <v>1522.2</v>
      </c>
      <c r="R1975">
        <v>9630453</v>
      </c>
    </row>
    <row r="1976" spans="1:18" x14ac:dyDescent="0.25">
      <c r="A1976" s="170">
        <v>44914</v>
      </c>
      <c r="B1976" s="116">
        <v>1516.5</v>
      </c>
      <c r="C1976" s="116">
        <v>1507.6</v>
      </c>
      <c r="D1976" s="116">
        <v>1494.95</v>
      </c>
      <c r="E1976" s="116">
        <v>1515</v>
      </c>
      <c r="F1976" s="116">
        <v>1507.6</v>
      </c>
      <c r="G1976">
        <v>250910</v>
      </c>
      <c r="H1976" s="116"/>
      <c r="I1976" s="116"/>
      <c r="L1976" s="170">
        <v>44914</v>
      </c>
      <c r="M1976" s="116">
        <v>1507.35</v>
      </c>
      <c r="N1976" s="116">
        <v>1516.9</v>
      </c>
      <c r="O1976" s="116">
        <v>1495.05</v>
      </c>
      <c r="P1976" s="116">
        <v>1507.95</v>
      </c>
      <c r="Q1976" s="116">
        <v>1507.35</v>
      </c>
      <c r="R1976">
        <v>6222740</v>
      </c>
    </row>
    <row r="1977" spans="1:18" x14ac:dyDescent="0.25">
      <c r="A1977" s="170">
        <v>44915</v>
      </c>
      <c r="B1977" s="116">
        <v>1517.45</v>
      </c>
      <c r="C1977" s="116">
        <v>1507.5</v>
      </c>
      <c r="D1977" s="116">
        <v>1483</v>
      </c>
      <c r="E1977" s="116">
        <v>1504</v>
      </c>
      <c r="F1977" s="116">
        <v>1507.5</v>
      </c>
      <c r="G1977">
        <v>319447</v>
      </c>
      <c r="H1977" s="116"/>
      <c r="I1977" s="116"/>
      <c r="L1977" s="170">
        <v>44915</v>
      </c>
      <c r="M1977" s="116">
        <v>1507.3</v>
      </c>
      <c r="N1977" s="116">
        <v>1516</v>
      </c>
      <c r="O1977" s="116">
        <v>1482.45</v>
      </c>
      <c r="P1977" s="116">
        <v>1501</v>
      </c>
      <c r="Q1977" s="116">
        <v>1507.3</v>
      </c>
      <c r="R1977">
        <v>7396259</v>
      </c>
    </row>
    <row r="1978" spans="1:18" x14ac:dyDescent="0.25">
      <c r="A1978" s="170">
        <v>44916</v>
      </c>
      <c r="B1978" s="116">
        <v>1520.4</v>
      </c>
      <c r="C1978" s="116">
        <v>1509.8</v>
      </c>
      <c r="D1978" s="116">
        <v>1502.75</v>
      </c>
      <c r="E1978" s="116">
        <v>1513</v>
      </c>
      <c r="F1978" s="116">
        <v>1509.8</v>
      </c>
      <c r="G1978">
        <v>332510</v>
      </c>
      <c r="H1978" s="116"/>
      <c r="I1978" s="116"/>
      <c r="L1978" s="170">
        <v>44916</v>
      </c>
      <c r="M1978" s="116">
        <v>1509.55</v>
      </c>
      <c r="N1978" s="116">
        <v>1521</v>
      </c>
      <c r="O1978" s="116">
        <v>1502.35</v>
      </c>
      <c r="P1978" s="116">
        <v>1515</v>
      </c>
      <c r="Q1978" s="116">
        <v>1509.55</v>
      </c>
      <c r="R1978">
        <v>6236361</v>
      </c>
    </row>
    <row r="1979" spans="1:18" x14ac:dyDescent="0.25">
      <c r="A1979" s="170">
        <v>44917</v>
      </c>
      <c r="B1979" s="116">
        <v>1529</v>
      </c>
      <c r="C1979" s="116">
        <v>1521.05</v>
      </c>
      <c r="D1979" s="116">
        <v>1512.2</v>
      </c>
      <c r="E1979" s="116">
        <v>1517.55</v>
      </c>
      <c r="F1979" s="116">
        <v>1521.05</v>
      </c>
      <c r="G1979">
        <v>368699</v>
      </c>
      <c r="H1979" s="116"/>
      <c r="I1979" s="116"/>
      <c r="L1979" s="170">
        <v>44917</v>
      </c>
      <c r="M1979" s="116">
        <v>1522.05</v>
      </c>
      <c r="N1979" s="116">
        <v>1529.95</v>
      </c>
      <c r="O1979" s="116">
        <v>1511.75</v>
      </c>
      <c r="P1979" s="116">
        <v>1521.5</v>
      </c>
      <c r="Q1979" s="116">
        <v>1522.05</v>
      </c>
      <c r="R1979">
        <v>6302640</v>
      </c>
    </row>
    <row r="1980" spans="1:18" x14ac:dyDescent="0.25">
      <c r="A1980" s="170">
        <v>44918</v>
      </c>
      <c r="B1980" s="116">
        <v>1509.8</v>
      </c>
      <c r="C1980" s="116">
        <v>1497.55</v>
      </c>
      <c r="D1980" s="116">
        <v>1493.6</v>
      </c>
      <c r="E1980" s="116">
        <v>1508</v>
      </c>
      <c r="F1980" s="116">
        <v>1497.55</v>
      </c>
      <c r="G1980">
        <v>230918</v>
      </c>
      <c r="H1980" s="116"/>
      <c r="I1980" s="116"/>
      <c r="L1980" s="170">
        <v>44918</v>
      </c>
      <c r="M1980" s="116">
        <v>1497.1</v>
      </c>
      <c r="N1980" s="116">
        <v>1509.9</v>
      </c>
      <c r="O1980" s="116">
        <v>1493</v>
      </c>
      <c r="P1980" s="116">
        <v>1508.7</v>
      </c>
      <c r="Q1980" s="116">
        <v>1497.1</v>
      </c>
      <c r="R1980">
        <v>6283822</v>
      </c>
    </row>
    <row r="1981" spans="1:18" x14ac:dyDescent="0.25">
      <c r="A1981" s="170">
        <v>44921</v>
      </c>
      <c r="B1981" s="116">
        <v>1509.9</v>
      </c>
      <c r="C1981" s="116">
        <v>1502.25</v>
      </c>
      <c r="D1981" s="116">
        <v>1496.15</v>
      </c>
      <c r="E1981" s="116">
        <v>1497.65</v>
      </c>
      <c r="F1981" s="116">
        <v>1502.25</v>
      </c>
      <c r="G1981">
        <v>334290</v>
      </c>
      <c r="H1981" s="116"/>
      <c r="I1981" s="116"/>
      <c r="L1981" s="170">
        <v>44921</v>
      </c>
      <c r="M1981" s="116">
        <v>1502.4</v>
      </c>
      <c r="N1981" s="116">
        <v>1509.9</v>
      </c>
      <c r="O1981" s="116">
        <v>1496.35</v>
      </c>
      <c r="P1981" s="116">
        <v>1500.5</v>
      </c>
      <c r="Q1981" s="116">
        <v>1502.4</v>
      </c>
      <c r="R1981">
        <v>4115459</v>
      </c>
    </row>
    <row r="1982" spans="1:18" x14ac:dyDescent="0.25">
      <c r="A1982" s="170">
        <v>44922</v>
      </c>
      <c r="B1982" s="116">
        <v>1521.1</v>
      </c>
      <c r="C1982" s="116">
        <v>1515.5</v>
      </c>
      <c r="D1982" s="116">
        <v>1498.15</v>
      </c>
      <c r="E1982" s="116">
        <v>1510</v>
      </c>
      <c r="F1982" s="116">
        <v>1515.5</v>
      </c>
      <c r="G1982">
        <v>116275</v>
      </c>
      <c r="H1982" s="116"/>
      <c r="I1982" s="116"/>
      <c r="L1982" s="170">
        <v>44922</v>
      </c>
      <c r="M1982" s="116">
        <v>1514.85</v>
      </c>
      <c r="N1982" s="116">
        <v>1521.45</v>
      </c>
      <c r="O1982" s="116">
        <v>1497.5</v>
      </c>
      <c r="P1982" s="116">
        <v>1509.95</v>
      </c>
      <c r="Q1982" s="116">
        <v>1514.85</v>
      </c>
      <c r="R1982">
        <v>4860076</v>
      </c>
    </row>
    <row r="1983" spans="1:18" x14ac:dyDescent="0.25">
      <c r="A1983" s="170">
        <v>44923</v>
      </c>
      <c r="B1983" s="116">
        <v>1524.95</v>
      </c>
      <c r="C1983" s="116">
        <v>1510.85</v>
      </c>
      <c r="D1983" s="116">
        <v>1498.85</v>
      </c>
      <c r="E1983" s="116">
        <v>1505</v>
      </c>
      <c r="F1983" s="116">
        <v>1510.85</v>
      </c>
      <c r="G1983">
        <v>209070</v>
      </c>
      <c r="H1983" s="116"/>
      <c r="I1983" s="116"/>
      <c r="L1983" s="170">
        <v>44923</v>
      </c>
      <c r="M1983" s="116">
        <v>1510.15</v>
      </c>
      <c r="N1983" s="116">
        <v>1524.95</v>
      </c>
      <c r="O1983" s="116">
        <v>1498.5</v>
      </c>
      <c r="P1983" s="116">
        <v>1505.1</v>
      </c>
      <c r="Q1983" s="116">
        <v>1510.15</v>
      </c>
      <c r="R1983">
        <v>5029860</v>
      </c>
    </row>
    <row r="1984" spans="1:18" x14ac:dyDescent="0.25">
      <c r="A1984" s="170">
        <v>44924</v>
      </c>
      <c r="B1984" s="116">
        <v>1521</v>
      </c>
      <c r="C1984" s="116">
        <v>1517.5</v>
      </c>
      <c r="D1984" s="116">
        <v>1501.2</v>
      </c>
      <c r="E1984" s="116">
        <v>1502</v>
      </c>
      <c r="F1984" s="116">
        <v>1517.5</v>
      </c>
      <c r="G1984">
        <v>198502</v>
      </c>
      <c r="H1984" s="116"/>
      <c r="I1984" s="116"/>
      <c r="L1984" s="170">
        <v>44924</v>
      </c>
      <c r="M1984" s="116">
        <v>1517.55</v>
      </c>
      <c r="N1984" s="116">
        <v>1521.3</v>
      </c>
      <c r="O1984" s="116">
        <v>1501</v>
      </c>
      <c r="P1984" s="116">
        <v>1504</v>
      </c>
      <c r="Q1984" s="116">
        <v>1517.55</v>
      </c>
      <c r="R1984">
        <v>4624745</v>
      </c>
    </row>
    <row r="1985" spans="1:18" x14ac:dyDescent="0.25">
      <c r="A1985" s="170">
        <v>44925</v>
      </c>
      <c r="B1985" s="116">
        <v>1530</v>
      </c>
      <c r="C1985" s="116">
        <v>1508.7</v>
      </c>
      <c r="D1985" s="116">
        <v>1504</v>
      </c>
      <c r="E1985" s="116">
        <v>1525.15</v>
      </c>
      <c r="F1985" s="116">
        <v>1508.7</v>
      </c>
      <c r="G1985">
        <v>241378</v>
      </c>
      <c r="H1985" s="116"/>
      <c r="I1985" s="116"/>
      <c r="L1985" s="170">
        <v>44925</v>
      </c>
      <c r="M1985" s="116">
        <v>1508.2</v>
      </c>
      <c r="N1985" s="116">
        <v>1530.4</v>
      </c>
      <c r="O1985" s="116">
        <v>1504.05</v>
      </c>
      <c r="P1985" s="116">
        <v>1528</v>
      </c>
      <c r="Q1985" s="116">
        <v>1508.2</v>
      </c>
      <c r="R1985">
        <v>5060544</v>
      </c>
    </row>
    <row r="1986" spans="1:18" x14ac:dyDescent="0.25">
      <c r="A1986" s="170">
        <v>44928</v>
      </c>
      <c r="B1986" s="116">
        <v>1526.3</v>
      </c>
      <c r="C1986" s="116">
        <v>1524.3</v>
      </c>
      <c r="D1986" s="116">
        <v>1505</v>
      </c>
      <c r="E1986" s="116">
        <v>1513</v>
      </c>
      <c r="F1986" s="116">
        <v>1524.3</v>
      </c>
      <c r="G1986">
        <v>137286</v>
      </c>
      <c r="H1986" s="116"/>
      <c r="I1986" s="116"/>
      <c r="L1986" s="170">
        <v>44928</v>
      </c>
      <c r="M1986" s="116">
        <v>1524</v>
      </c>
      <c r="N1986" s="116">
        <v>1526.5</v>
      </c>
      <c r="O1986" s="116">
        <v>1504.05</v>
      </c>
      <c r="P1986" s="116">
        <v>1514</v>
      </c>
      <c r="Q1986" s="116">
        <v>1524</v>
      </c>
      <c r="R1986">
        <v>3801140</v>
      </c>
    </row>
    <row r="1987" spans="1:18" x14ac:dyDescent="0.25">
      <c r="A1987" s="170">
        <v>44929</v>
      </c>
      <c r="B1987" s="116">
        <v>1533</v>
      </c>
      <c r="C1987" s="116">
        <v>1522.55</v>
      </c>
      <c r="D1987" s="116">
        <v>1515.3</v>
      </c>
      <c r="E1987" s="116">
        <v>1521</v>
      </c>
      <c r="F1987" s="116">
        <v>1522.55</v>
      </c>
      <c r="G1987">
        <v>230194</v>
      </c>
      <c r="H1987" s="116"/>
      <c r="I1987" s="116"/>
      <c r="L1987" s="170">
        <v>44929</v>
      </c>
      <c r="M1987" s="116">
        <v>1522.55</v>
      </c>
      <c r="N1987" s="116">
        <v>1532.65</v>
      </c>
      <c r="O1987" s="116">
        <v>1515.1</v>
      </c>
      <c r="P1987" s="116">
        <v>1519.85</v>
      </c>
      <c r="Q1987" s="116">
        <v>1522.55</v>
      </c>
      <c r="R1987">
        <v>4551130</v>
      </c>
    </row>
    <row r="1988" spans="1:18" x14ac:dyDescent="0.25">
      <c r="A1988" s="170">
        <v>44930</v>
      </c>
      <c r="B1988" s="116">
        <v>1522.9</v>
      </c>
      <c r="C1988" s="116">
        <v>1494.9</v>
      </c>
      <c r="D1988" s="116">
        <v>1492.05</v>
      </c>
      <c r="E1988" s="116">
        <v>1522.9</v>
      </c>
      <c r="F1988" s="116">
        <v>1494.9</v>
      </c>
      <c r="G1988">
        <v>337920</v>
      </c>
      <c r="H1988" s="116"/>
      <c r="I1988" s="116"/>
      <c r="L1988" s="170">
        <v>44930</v>
      </c>
      <c r="M1988" s="116">
        <v>1494.8</v>
      </c>
      <c r="N1988" s="116">
        <v>1521</v>
      </c>
      <c r="O1988" s="116">
        <v>1491.1</v>
      </c>
      <c r="P1988" s="116">
        <v>1521</v>
      </c>
      <c r="Q1988" s="116">
        <v>1494.8</v>
      </c>
      <c r="R1988">
        <v>7059590</v>
      </c>
    </row>
    <row r="1989" spans="1:18" x14ac:dyDescent="0.25">
      <c r="A1989" s="170">
        <v>44931</v>
      </c>
      <c r="B1989" s="116">
        <v>1505</v>
      </c>
      <c r="C1989" s="116">
        <v>1475.2</v>
      </c>
      <c r="D1989" s="116">
        <v>1470</v>
      </c>
      <c r="E1989" s="116">
        <v>1501</v>
      </c>
      <c r="F1989" s="116">
        <v>1475.2</v>
      </c>
      <c r="G1989">
        <v>424766</v>
      </c>
      <c r="H1989" s="116"/>
      <c r="I1989" s="116"/>
      <c r="L1989" s="170">
        <v>44931</v>
      </c>
      <c r="M1989" s="116">
        <v>1475.2</v>
      </c>
      <c r="N1989" s="116">
        <v>1505.9</v>
      </c>
      <c r="O1989" s="116">
        <v>1469.25</v>
      </c>
      <c r="P1989" s="116">
        <v>1505.9</v>
      </c>
      <c r="Q1989" s="116">
        <v>1475.2</v>
      </c>
      <c r="R1989">
        <v>9868404</v>
      </c>
    </row>
    <row r="1990" spans="1:18" x14ac:dyDescent="0.25">
      <c r="A1990" s="170">
        <v>44932</v>
      </c>
      <c r="B1990" s="116">
        <v>1474.6</v>
      </c>
      <c r="C1990" s="116">
        <v>1448.85</v>
      </c>
      <c r="D1990" s="116">
        <v>1447</v>
      </c>
      <c r="E1990" s="116">
        <v>1470</v>
      </c>
      <c r="F1990" s="116">
        <v>1448.85</v>
      </c>
      <c r="G1990">
        <v>295849</v>
      </c>
      <c r="H1990" s="116"/>
      <c r="I1990" s="116"/>
      <c r="L1990" s="170">
        <v>44932</v>
      </c>
      <c r="M1990" s="116">
        <v>1448.5</v>
      </c>
      <c r="N1990" s="116">
        <v>1475</v>
      </c>
      <c r="O1990" s="116">
        <v>1446.5</v>
      </c>
      <c r="P1990" s="116">
        <v>1470</v>
      </c>
      <c r="Q1990" s="116">
        <v>1448.5</v>
      </c>
      <c r="R1990">
        <v>6443714</v>
      </c>
    </row>
    <row r="1991" spans="1:18" x14ac:dyDescent="0.25">
      <c r="A1991" s="170">
        <v>44935</v>
      </c>
      <c r="B1991" s="116">
        <v>1489.1</v>
      </c>
      <c r="C1991" s="116">
        <v>1484.5</v>
      </c>
      <c r="D1991" s="116">
        <v>1444</v>
      </c>
      <c r="E1991" s="116">
        <v>1444</v>
      </c>
      <c r="F1991" s="116">
        <v>1484.5</v>
      </c>
      <c r="G1991">
        <v>306433</v>
      </c>
      <c r="H1991" s="116"/>
      <c r="I1991" s="116"/>
      <c r="L1991" s="170">
        <v>44935</v>
      </c>
      <c r="M1991" s="116">
        <v>1484.45</v>
      </c>
      <c r="N1991" s="116">
        <v>1489.35</v>
      </c>
      <c r="O1991" s="116">
        <v>1448.2</v>
      </c>
      <c r="P1991" s="116">
        <v>1448.2</v>
      </c>
      <c r="Q1991" s="116">
        <v>1484.45</v>
      </c>
      <c r="R1991">
        <v>11498717</v>
      </c>
    </row>
    <row r="1992" spans="1:18" x14ac:dyDescent="0.25">
      <c r="A1992" s="170">
        <v>44936</v>
      </c>
      <c r="B1992" s="116">
        <v>1484.4</v>
      </c>
      <c r="C1992" s="116">
        <v>1470.4</v>
      </c>
      <c r="D1992" s="116">
        <v>1454.4</v>
      </c>
      <c r="E1992" s="116">
        <v>1484.4</v>
      </c>
      <c r="F1992" s="116">
        <v>1470.4</v>
      </c>
      <c r="G1992">
        <v>237178</v>
      </c>
      <c r="H1992" s="116"/>
      <c r="I1992" s="116"/>
      <c r="L1992" s="170">
        <v>44936</v>
      </c>
      <c r="M1992" s="116">
        <v>1469.75</v>
      </c>
      <c r="N1992" s="116">
        <v>1483.9</v>
      </c>
      <c r="O1992" s="116">
        <v>1454.05</v>
      </c>
      <c r="P1992" s="116">
        <v>1482</v>
      </c>
      <c r="Q1992" s="116">
        <v>1469.75</v>
      </c>
      <c r="R1992">
        <v>7158624</v>
      </c>
    </row>
    <row r="1993" spans="1:18" x14ac:dyDescent="0.25">
      <c r="A1993" s="170">
        <v>44937</v>
      </c>
      <c r="B1993" s="116">
        <v>1494</v>
      </c>
      <c r="C1993" s="116">
        <v>1471.45</v>
      </c>
      <c r="D1993" s="116">
        <v>1463.4</v>
      </c>
      <c r="E1993" s="116">
        <v>1470</v>
      </c>
      <c r="F1993" s="116">
        <v>1471.45</v>
      </c>
      <c r="G1993">
        <v>300306</v>
      </c>
      <c r="H1993" s="116"/>
      <c r="I1993" s="116"/>
      <c r="L1993" s="170">
        <v>44937</v>
      </c>
      <c r="M1993" s="116">
        <v>1471.25</v>
      </c>
      <c r="N1993" s="116">
        <v>1494</v>
      </c>
      <c r="O1993" s="116">
        <v>1464</v>
      </c>
      <c r="P1993" s="116">
        <v>1470</v>
      </c>
      <c r="Q1993" s="116">
        <v>1471.25</v>
      </c>
      <c r="R1993">
        <v>6173092</v>
      </c>
    </row>
    <row r="1994" spans="1:18" x14ac:dyDescent="0.25">
      <c r="A1994" s="170">
        <v>44938</v>
      </c>
      <c r="B1994" s="116">
        <v>1485</v>
      </c>
      <c r="C1994" s="116">
        <v>1480.55</v>
      </c>
      <c r="D1994" s="116">
        <v>1455.25</v>
      </c>
      <c r="E1994" s="116">
        <v>1482</v>
      </c>
      <c r="F1994" s="116">
        <v>1480.55</v>
      </c>
      <c r="G1994">
        <v>227373</v>
      </c>
      <c r="H1994" s="116"/>
      <c r="I1994" s="116"/>
      <c r="L1994" s="170">
        <v>44938</v>
      </c>
      <c r="M1994" s="116">
        <v>1480.6</v>
      </c>
      <c r="N1994" s="116">
        <v>1485</v>
      </c>
      <c r="O1994" s="116">
        <v>1455</v>
      </c>
      <c r="P1994" s="116">
        <v>1481.95</v>
      </c>
      <c r="Q1994" s="116">
        <v>1480.6</v>
      </c>
      <c r="R1994">
        <v>6591385</v>
      </c>
    </row>
    <row r="1995" spans="1:18" x14ac:dyDescent="0.25">
      <c r="A1995" s="170">
        <v>44939</v>
      </c>
      <c r="B1995" s="116">
        <v>1519.2</v>
      </c>
      <c r="C1995" s="116">
        <v>1503.5</v>
      </c>
      <c r="D1995" s="116">
        <v>1468</v>
      </c>
      <c r="E1995" s="116">
        <v>1489.95</v>
      </c>
      <c r="F1995" s="116">
        <v>1503.5</v>
      </c>
      <c r="G1995">
        <v>284508</v>
      </c>
      <c r="H1995" s="116"/>
      <c r="I1995" s="116"/>
      <c r="L1995" s="170">
        <v>44939</v>
      </c>
      <c r="M1995" s="116">
        <v>1503.65</v>
      </c>
      <c r="N1995" s="116">
        <v>1519.4</v>
      </c>
      <c r="O1995" s="116">
        <v>1468</v>
      </c>
      <c r="P1995" s="116">
        <v>1483.5</v>
      </c>
      <c r="Q1995" s="116">
        <v>1503.65</v>
      </c>
      <c r="R1995">
        <v>11610426</v>
      </c>
    </row>
    <row r="1996" spans="1:18" x14ac:dyDescent="0.25">
      <c r="A1996" s="170">
        <v>44942</v>
      </c>
      <c r="B1996" s="116">
        <v>1528</v>
      </c>
      <c r="C1996" s="116">
        <v>1525.25</v>
      </c>
      <c r="D1996" s="116">
        <v>1502.5</v>
      </c>
      <c r="E1996" s="116">
        <v>1514</v>
      </c>
      <c r="F1996" s="116">
        <v>1525.25</v>
      </c>
      <c r="G1996">
        <v>153469</v>
      </c>
      <c r="H1996" s="116"/>
      <c r="I1996" s="116"/>
      <c r="L1996" s="170">
        <v>44942</v>
      </c>
      <c r="M1996" s="116">
        <v>1525.5</v>
      </c>
      <c r="N1996" s="116">
        <v>1528</v>
      </c>
      <c r="O1996" s="116">
        <v>1502.3</v>
      </c>
      <c r="P1996" s="116">
        <v>1510</v>
      </c>
      <c r="Q1996" s="116">
        <v>1525.5</v>
      </c>
      <c r="R1996">
        <v>6073063</v>
      </c>
    </row>
    <row r="1997" spans="1:18" x14ac:dyDescent="0.25">
      <c r="A1997" s="170">
        <v>44943</v>
      </c>
      <c r="B1997" s="116">
        <v>1542</v>
      </c>
      <c r="C1997" s="116">
        <v>1539.75</v>
      </c>
      <c r="D1997" s="116">
        <v>1525.35</v>
      </c>
      <c r="E1997" s="116">
        <v>1527</v>
      </c>
      <c r="F1997" s="116">
        <v>1539.75</v>
      </c>
      <c r="G1997">
        <v>246785</v>
      </c>
      <c r="H1997" s="116"/>
      <c r="I1997" s="116"/>
      <c r="L1997" s="170">
        <v>44943</v>
      </c>
      <c r="M1997" s="116">
        <v>1539.5</v>
      </c>
      <c r="N1997" s="116">
        <v>1542.2</v>
      </c>
      <c r="O1997" s="116">
        <v>1524</v>
      </c>
      <c r="P1997" s="116">
        <v>1527</v>
      </c>
      <c r="Q1997" s="116">
        <v>1539.5</v>
      </c>
      <c r="R1997">
        <v>5922644</v>
      </c>
    </row>
    <row r="1998" spans="1:18" x14ac:dyDescent="0.25">
      <c r="A1998" s="170">
        <v>44944</v>
      </c>
      <c r="B1998" s="116">
        <v>1551.3</v>
      </c>
      <c r="C1998" s="116">
        <v>1545.05</v>
      </c>
      <c r="D1998" s="116">
        <v>1539.2</v>
      </c>
      <c r="E1998" s="116">
        <v>1547</v>
      </c>
      <c r="F1998" s="116">
        <v>1545.05</v>
      </c>
      <c r="G1998">
        <v>252897</v>
      </c>
      <c r="H1998" s="116"/>
      <c r="I1998" s="116"/>
      <c r="L1998" s="170">
        <v>44944</v>
      </c>
      <c r="M1998" s="116">
        <v>1545.4</v>
      </c>
      <c r="N1998" s="116">
        <v>1551.85</v>
      </c>
      <c r="O1998" s="116">
        <v>1539.6</v>
      </c>
      <c r="P1998" s="116">
        <v>1544.75</v>
      </c>
      <c r="Q1998" s="116">
        <v>1545.4</v>
      </c>
      <c r="R1998">
        <v>5843098</v>
      </c>
    </row>
    <row r="1999" spans="1:18" x14ac:dyDescent="0.25">
      <c r="A1999" s="170">
        <v>44945</v>
      </c>
      <c r="B1999" s="116">
        <v>1549.4</v>
      </c>
      <c r="C1999" s="116">
        <v>1541.3</v>
      </c>
      <c r="D1999" s="116">
        <v>1526</v>
      </c>
      <c r="E1999" s="116">
        <v>1539.8</v>
      </c>
      <c r="F1999" s="116">
        <v>1541.3</v>
      </c>
      <c r="G1999">
        <v>230673</v>
      </c>
      <c r="H1999" s="116"/>
      <c r="I1999" s="116"/>
      <c r="L1999" s="170">
        <v>44945</v>
      </c>
      <c r="M1999" s="116">
        <v>1538.9</v>
      </c>
      <c r="N1999" s="116">
        <v>1549.55</v>
      </c>
      <c r="O1999" s="116">
        <v>1526.15</v>
      </c>
      <c r="P1999" s="116">
        <v>1539.9</v>
      </c>
      <c r="Q1999" s="116">
        <v>1538.9</v>
      </c>
      <c r="R1999">
        <v>6165284</v>
      </c>
    </row>
    <row r="2000" spans="1:18" x14ac:dyDescent="0.25">
      <c r="A2000" s="170">
        <v>44946</v>
      </c>
      <c r="B2000" s="116">
        <v>1544.25</v>
      </c>
      <c r="C2000" s="116">
        <v>1525.45</v>
      </c>
      <c r="D2000" s="116">
        <v>1523.45</v>
      </c>
      <c r="E2000" s="116">
        <v>1539</v>
      </c>
      <c r="F2000" s="116">
        <v>1525.45</v>
      </c>
      <c r="G2000">
        <v>254460</v>
      </c>
      <c r="H2000" s="116"/>
      <c r="I2000" s="116"/>
      <c r="L2000" s="170">
        <v>44946</v>
      </c>
      <c r="M2000" s="116">
        <v>1525.55</v>
      </c>
      <c r="N2000" s="116">
        <v>1545</v>
      </c>
      <c r="O2000" s="116">
        <v>1524</v>
      </c>
      <c r="P2000" s="116">
        <v>1538</v>
      </c>
      <c r="Q2000" s="116">
        <v>1525.55</v>
      </c>
      <c r="R2000">
        <v>6496429</v>
      </c>
    </row>
    <row r="2001" spans="1:18" x14ac:dyDescent="0.25">
      <c r="A2001" s="170">
        <v>44949</v>
      </c>
      <c r="B2001" s="116">
        <v>1552.9</v>
      </c>
      <c r="C2001" s="116">
        <v>1547.8</v>
      </c>
      <c r="D2001" s="116">
        <v>1528.7</v>
      </c>
      <c r="E2001" s="116">
        <v>1534</v>
      </c>
      <c r="F2001" s="116">
        <v>1547.8</v>
      </c>
      <c r="G2001">
        <v>165777</v>
      </c>
      <c r="H2001" s="116"/>
      <c r="I2001" s="116"/>
      <c r="L2001" s="170">
        <v>44949</v>
      </c>
      <c r="M2001" s="116">
        <v>1548</v>
      </c>
      <c r="N2001" s="116">
        <v>1553.3</v>
      </c>
      <c r="O2001" s="116">
        <v>1528.1</v>
      </c>
      <c r="P2001" s="116">
        <v>1535</v>
      </c>
      <c r="Q2001" s="116">
        <v>1548</v>
      </c>
      <c r="R2001">
        <v>4855020</v>
      </c>
    </row>
    <row r="2002" spans="1:18" x14ac:dyDescent="0.25">
      <c r="A2002" s="170">
        <v>44950</v>
      </c>
      <c r="B2002" s="116">
        <v>1568.8</v>
      </c>
      <c r="C2002" s="116">
        <v>1552.35</v>
      </c>
      <c r="D2002" s="116">
        <v>1549.35</v>
      </c>
      <c r="E2002" s="116">
        <v>1558.3</v>
      </c>
      <c r="F2002" s="116">
        <v>1552.35</v>
      </c>
      <c r="G2002">
        <v>659044</v>
      </c>
      <c r="H2002" s="116"/>
      <c r="I2002" s="116"/>
      <c r="L2002" s="170">
        <v>44950</v>
      </c>
      <c r="M2002" s="116">
        <v>1551.9</v>
      </c>
      <c r="N2002" s="116">
        <v>1568.8</v>
      </c>
      <c r="O2002" s="116">
        <v>1549.75</v>
      </c>
      <c r="P2002" s="116">
        <v>1560</v>
      </c>
      <c r="Q2002" s="116">
        <v>1551.9</v>
      </c>
      <c r="R2002">
        <v>5200802</v>
      </c>
    </row>
    <row r="2003" spans="1:18" x14ac:dyDescent="0.25">
      <c r="A2003" s="170">
        <v>44951</v>
      </c>
      <c r="B2003" s="116">
        <v>1555.5</v>
      </c>
      <c r="C2003" s="116">
        <v>1542.9</v>
      </c>
      <c r="D2003" s="116">
        <v>1539</v>
      </c>
      <c r="E2003" s="116">
        <v>1540</v>
      </c>
      <c r="F2003" s="116">
        <v>1542.9</v>
      </c>
      <c r="G2003">
        <v>140057</v>
      </c>
      <c r="H2003" s="116"/>
      <c r="I2003" s="116"/>
      <c r="L2003" s="170">
        <v>44951</v>
      </c>
      <c r="M2003" s="116">
        <v>1543</v>
      </c>
      <c r="N2003" s="116">
        <v>1556</v>
      </c>
      <c r="O2003" s="116">
        <v>1538.75</v>
      </c>
      <c r="P2003" s="116">
        <v>1547</v>
      </c>
      <c r="Q2003" s="116">
        <v>1543</v>
      </c>
      <c r="R2003">
        <v>4158617</v>
      </c>
    </row>
    <row r="2004" spans="1:18" x14ac:dyDescent="0.25">
      <c r="A2004" s="170">
        <v>44953</v>
      </c>
      <c r="B2004" s="116">
        <v>1550.8</v>
      </c>
      <c r="C2004" s="116">
        <v>1518.25</v>
      </c>
      <c r="D2004" s="116">
        <v>1507.65</v>
      </c>
      <c r="E2004" s="116">
        <v>1543</v>
      </c>
      <c r="F2004" s="116">
        <v>1518.25</v>
      </c>
      <c r="G2004">
        <v>1405587</v>
      </c>
      <c r="H2004" s="116"/>
      <c r="I2004" s="116"/>
      <c r="L2004" s="170">
        <v>44953</v>
      </c>
      <c r="M2004" s="116">
        <v>1519.15</v>
      </c>
      <c r="N2004" s="116">
        <v>1550.95</v>
      </c>
      <c r="O2004" s="116">
        <v>1507.4</v>
      </c>
      <c r="P2004" s="116">
        <v>1546</v>
      </c>
      <c r="Q2004" s="116">
        <v>1519.15</v>
      </c>
      <c r="R2004">
        <v>6209955</v>
      </c>
    </row>
    <row r="2005" spans="1:18" x14ac:dyDescent="0.25">
      <c r="A2005" s="170">
        <v>44956</v>
      </c>
      <c r="B2005" s="116">
        <v>1543.75</v>
      </c>
      <c r="C2005" s="116">
        <v>1539.1</v>
      </c>
      <c r="D2005" s="116">
        <v>1520.05</v>
      </c>
      <c r="E2005" s="116">
        <v>1529</v>
      </c>
      <c r="F2005" s="116">
        <v>1539.1</v>
      </c>
      <c r="G2005">
        <v>169179</v>
      </c>
      <c r="H2005" s="116"/>
      <c r="I2005" s="116"/>
      <c r="L2005" s="170">
        <v>44956</v>
      </c>
      <c r="M2005" s="116">
        <v>1538.8</v>
      </c>
      <c r="N2005" s="116">
        <v>1544</v>
      </c>
      <c r="O2005" s="116">
        <v>1520</v>
      </c>
      <c r="P2005" s="116">
        <v>1528.8</v>
      </c>
      <c r="Q2005" s="116">
        <v>1538.8</v>
      </c>
      <c r="R2005">
        <v>6964719</v>
      </c>
    </row>
    <row r="2006" spans="1:18" x14ac:dyDescent="0.25">
      <c r="A2006" s="170">
        <v>44957</v>
      </c>
      <c r="B2006" s="116">
        <v>1547.6</v>
      </c>
      <c r="C2006" s="116">
        <v>1533.15</v>
      </c>
      <c r="D2006" s="116">
        <v>1513</v>
      </c>
      <c r="E2006" s="116">
        <v>1546</v>
      </c>
      <c r="F2006" s="116">
        <v>1533.15</v>
      </c>
      <c r="G2006">
        <v>169268</v>
      </c>
      <c r="H2006" s="116"/>
      <c r="I2006" s="116"/>
      <c r="L2006" s="170">
        <v>44957</v>
      </c>
      <c r="M2006" s="116">
        <v>1533.75</v>
      </c>
      <c r="N2006" s="116">
        <v>1548.9</v>
      </c>
      <c r="O2006" s="116">
        <v>1513</v>
      </c>
      <c r="P2006" s="116">
        <v>1548.9</v>
      </c>
      <c r="Q2006" s="116">
        <v>1533.75</v>
      </c>
      <c r="R2006">
        <v>9448126</v>
      </c>
    </row>
    <row r="2007" spans="1:18" x14ac:dyDescent="0.25">
      <c r="A2007" s="170">
        <v>44958</v>
      </c>
      <c r="B2007" s="116">
        <v>1555</v>
      </c>
      <c r="C2007" s="116">
        <v>1549.45</v>
      </c>
      <c r="D2007" s="116">
        <v>1528.2</v>
      </c>
      <c r="E2007" s="116">
        <v>1540</v>
      </c>
      <c r="F2007" s="116">
        <v>1549.45</v>
      </c>
      <c r="G2007">
        <v>250270</v>
      </c>
      <c r="H2007" s="116"/>
      <c r="I2007" s="116"/>
      <c r="L2007" s="170">
        <v>44958</v>
      </c>
      <c r="M2007" s="116">
        <v>1551.1</v>
      </c>
      <c r="N2007" s="116">
        <v>1555.05</v>
      </c>
      <c r="O2007" s="116">
        <v>1528.05</v>
      </c>
      <c r="P2007" s="116">
        <v>1542.2</v>
      </c>
      <c r="Q2007" s="116">
        <v>1551.1</v>
      </c>
      <c r="R2007">
        <v>6194199</v>
      </c>
    </row>
    <row r="2008" spans="1:18" x14ac:dyDescent="0.25">
      <c r="A2008" s="170">
        <v>44959</v>
      </c>
      <c r="B2008" s="116">
        <v>1586.75</v>
      </c>
      <c r="C2008" s="116">
        <v>1583.3</v>
      </c>
      <c r="D2008" s="116">
        <v>1552.25</v>
      </c>
      <c r="E2008" s="116">
        <v>1553.7</v>
      </c>
      <c r="F2008" s="116">
        <v>1583.3</v>
      </c>
      <c r="G2008">
        <v>196746</v>
      </c>
      <c r="H2008" s="116"/>
      <c r="I2008" s="116"/>
      <c r="L2008" s="170">
        <v>44959</v>
      </c>
      <c r="M2008" s="116">
        <v>1583.75</v>
      </c>
      <c r="N2008" s="116">
        <v>1586.95</v>
      </c>
      <c r="O2008" s="116">
        <v>1552</v>
      </c>
      <c r="P2008" s="116">
        <v>1552</v>
      </c>
      <c r="Q2008" s="116">
        <v>1583.75</v>
      </c>
      <c r="R2008">
        <v>6916834</v>
      </c>
    </row>
    <row r="2009" spans="1:18" x14ac:dyDescent="0.25">
      <c r="A2009" s="170">
        <v>44960</v>
      </c>
      <c r="B2009" s="116">
        <v>1604.4</v>
      </c>
      <c r="C2009" s="116">
        <v>1599.15</v>
      </c>
      <c r="D2009" s="116">
        <v>1573.35</v>
      </c>
      <c r="E2009" s="116">
        <v>1592.25</v>
      </c>
      <c r="F2009" s="116">
        <v>1599.15</v>
      </c>
      <c r="G2009">
        <v>231674</v>
      </c>
      <c r="H2009" s="116"/>
      <c r="I2009" s="116"/>
      <c r="L2009" s="170">
        <v>44960</v>
      </c>
      <c r="M2009" s="116">
        <v>1599.4</v>
      </c>
      <c r="N2009" s="116">
        <v>1604.65</v>
      </c>
      <c r="O2009" s="116">
        <v>1573</v>
      </c>
      <c r="P2009" s="116">
        <v>1597.5</v>
      </c>
      <c r="Q2009" s="116">
        <v>1599.4</v>
      </c>
      <c r="R2009">
        <v>7040194</v>
      </c>
    </row>
    <row r="2010" spans="1:18" x14ac:dyDescent="0.25">
      <c r="A2010" s="170">
        <v>44963</v>
      </c>
      <c r="B2010" s="116">
        <v>1598</v>
      </c>
      <c r="C2010" s="116">
        <v>1570.5</v>
      </c>
      <c r="D2010" s="116">
        <v>1561.9</v>
      </c>
      <c r="E2010" s="116">
        <v>1598</v>
      </c>
      <c r="F2010" s="116">
        <v>1570.5</v>
      </c>
      <c r="G2010">
        <v>173063</v>
      </c>
      <c r="H2010" s="116"/>
      <c r="I2010" s="116"/>
      <c r="L2010" s="170">
        <v>44963</v>
      </c>
      <c r="M2010" s="116">
        <v>1569.85</v>
      </c>
      <c r="N2010" s="116">
        <v>1598</v>
      </c>
      <c r="O2010" s="116">
        <v>1561.6</v>
      </c>
      <c r="P2010" s="116">
        <v>1598</v>
      </c>
      <c r="Q2010" s="116">
        <v>1569.85</v>
      </c>
      <c r="R2010">
        <v>4570612</v>
      </c>
    </row>
    <row r="2011" spans="1:18" x14ac:dyDescent="0.25">
      <c r="A2011" s="170">
        <v>44964</v>
      </c>
      <c r="B2011" s="116">
        <v>1576</v>
      </c>
      <c r="C2011" s="116">
        <v>1562.35</v>
      </c>
      <c r="D2011" s="116">
        <v>1558</v>
      </c>
      <c r="E2011" s="116">
        <v>1561.05</v>
      </c>
      <c r="F2011" s="116">
        <v>1562.35</v>
      </c>
      <c r="G2011">
        <v>202811</v>
      </c>
      <c r="H2011" s="116"/>
      <c r="I2011" s="116"/>
      <c r="L2011" s="170">
        <v>44964</v>
      </c>
      <c r="M2011" s="116">
        <v>1562.4</v>
      </c>
      <c r="N2011" s="116">
        <v>1576.05</v>
      </c>
      <c r="O2011" s="116">
        <v>1555.1</v>
      </c>
      <c r="P2011" s="116">
        <v>1569</v>
      </c>
      <c r="Q2011" s="116">
        <v>1562.4</v>
      </c>
      <c r="R2011">
        <v>4336238</v>
      </c>
    </row>
    <row r="2012" spans="1:18" x14ac:dyDescent="0.25">
      <c r="A2012" s="170">
        <v>44965</v>
      </c>
      <c r="B2012" s="116">
        <v>1602.55</v>
      </c>
      <c r="C2012" s="116">
        <v>1589.7</v>
      </c>
      <c r="D2012" s="116">
        <v>1560.05</v>
      </c>
      <c r="E2012" s="116">
        <v>1560.05</v>
      </c>
      <c r="F2012" s="116">
        <v>1589.7</v>
      </c>
      <c r="G2012">
        <v>194871</v>
      </c>
      <c r="H2012" s="116"/>
      <c r="I2012" s="116"/>
      <c r="L2012" s="170">
        <v>44965</v>
      </c>
      <c r="M2012" s="116">
        <v>1590.5</v>
      </c>
      <c r="N2012" s="116">
        <v>1603</v>
      </c>
      <c r="O2012" s="116">
        <v>1565.5</v>
      </c>
      <c r="P2012" s="116">
        <v>1565.5</v>
      </c>
      <c r="Q2012" s="116">
        <v>1590.5</v>
      </c>
      <c r="R2012">
        <v>7983338</v>
      </c>
    </row>
    <row r="2013" spans="1:18" x14ac:dyDescent="0.25">
      <c r="A2013" s="170">
        <v>44966</v>
      </c>
      <c r="B2013" s="116">
        <v>1620</v>
      </c>
      <c r="C2013" s="116">
        <v>1617.7</v>
      </c>
      <c r="D2013" s="116">
        <v>1586.5</v>
      </c>
      <c r="E2013" s="116">
        <v>1590</v>
      </c>
      <c r="F2013" s="116">
        <v>1617.7</v>
      </c>
      <c r="G2013">
        <v>106748</v>
      </c>
      <c r="H2013" s="116"/>
      <c r="I2013" s="116"/>
      <c r="L2013" s="170">
        <v>44966</v>
      </c>
      <c r="M2013" s="116">
        <v>1617</v>
      </c>
      <c r="N2013" s="116">
        <v>1619.75</v>
      </c>
      <c r="O2013" s="116">
        <v>1586.05</v>
      </c>
      <c r="P2013" s="116">
        <v>1596.2</v>
      </c>
      <c r="Q2013" s="116">
        <v>1617</v>
      </c>
      <c r="R2013">
        <v>6904911</v>
      </c>
    </row>
    <row r="2014" spans="1:18" x14ac:dyDescent="0.25">
      <c r="A2014" s="170">
        <v>44967</v>
      </c>
      <c r="B2014" s="116">
        <v>1616.25</v>
      </c>
      <c r="C2014" s="116">
        <v>1607.95</v>
      </c>
      <c r="D2014" s="116">
        <v>1596.2</v>
      </c>
      <c r="E2014" s="116">
        <v>1610.05</v>
      </c>
      <c r="F2014" s="116">
        <v>1607.95</v>
      </c>
      <c r="G2014">
        <v>337838</v>
      </c>
      <c r="H2014" s="116"/>
      <c r="I2014" s="116"/>
      <c r="L2014" s="170">
        <v>44967</v>
      </c>
      <c r="M2014" s="116">
        <v>1608.55</v>
      </c>
      <c r="N2014" s="116">
        <v>1616.3</v>
      </c>
      <c r="O2014" s="116">
        <v>1596.45</v>
      </c>
      <c r="P2014" s="116">
        <v>1612.95</v>
      </c>
      <c r="Q2014" s="116">
        <v>1608.55</v>
      </c>
      <c r="R2014">
        <v>4786762</v>
      </c>
    </row>
    <row r="2015" spans="1:18" x14ac:dyDescent="0.25">
      <c r="A2015" s="170">
        <v>44970</v>
      </c>
      <c r="B2015" s="116">
        <v>1598</v>
      </c>
      <c r="C2015" s="116">
        <v>1567.4</v>
      </c>
      <c r="D2015" s="116">
        <v>1565.6</v>
      </c>
      <c r="E2015" s="116">
        <v>1598</v>
      </c>
      <c r="F2015" s="116">
        <v>1567.4</v>
      </c>
      <c r="G2015">
        <v>190795</v>
      </c>
      <c r="H2015" s="116"/>
      <c r="I2015" s="116"/>
      <c r="L2015" s="170">
        <v>44970</v>
      </c>
      <c r="M2015" s="116">
        <v>1567.45</v>
      </c>
      <c r="N2015" s="116">
        <v>1597</v>
      </c>
      <c r="O2015" s="116">
        <v>1566</v>
      </c>
      <c r="P2015" s="116">
        <v>1597</v>
      </c>
      <c r="Q2015" s="116">
        <v>1567.45</v>
      </c>
      <c r="R2015">
        <v>4001199</v>
      </c>
    </row>
    <row r="2016" spans="1:18" x14ac:dyDescent="0.25">
      <c r="A2016" s="170">
        <v>44971</v>
      </c>
      <c r="B2016" s="116">
        <v>1595.7</v>
      </c>
      <c r="C2016" s="116">
        <v>1592.65</v>
      </c>
      <c r="D2016" s="116">
        <v>1578.75</v>
      </c>
      <c r="E2016" s="116">
        <v>1582.05</v>
      </c>
      <c r="F2016" s="116">
        <v>1592.65</v>
      </c>
      <c r="G2016">
        <v>263839</v>
      </c>
      <c r="H2016" s="116"/>
      <c r="I2016" s="116"/>
      <c r="L2016" s="170">
        <v>44971</v>
      </c>
      <c r="M2016" s="116">
        <v>1593.25</v>
      </c>
      <c r="N2016" s="116">
        <v>1596</v>
      </c>
      <c r="O2016" s="116">
        <v>1578.15</v>
      </c>
      <c r="P2016" s="116">
        <v>1584.7</v>
      </c>
      <c r="Q2016" s="116">
        <v>1593.25</v>
      </c>
      <c r="R2016">
        <v>5043736</v>
      </c>
    </row>
    <row r="2017" spans="1:18" x14ac:dyDescent="0.25">
      <c r="A2017" s="170">
        <v>44972</v>
      </c>
      <c r="B2017" s="116">
        <v>1599</v>
      </c>
      <c r="C2017" s="116">
        <v>1596.85</v>
      </c>
      <c r="D2017" s="116">
        <v>1576.35</v>
      </c>
      <c r="E2017" s="116">
        <v>1584</v>
      </c>
      <c r="F2017" s="116">
        <v>1596.85</v>
      </c>
      <c r="G2017">
        <v>83405</v>
      </c>
      <c r="H2017" s="116"/>
      <c r="I2017" s="116"/>
      <c r="L2017" s="170">
        <v>44972</v>
      </c>
      <c r="M2017" s="116">
        <v>1597.05</v>
      </c>
      <c r="N2017" s="116">
        <v>1599</v>
      </c>
      <c r="O2017" s="116">
        <v>1576</v>
      </c>
      <c r="P2017" s="116">
        <v>1584</v>
      </c>
      <c r="Q2017" s="116">
        <v>1597.05</v>
      </c>
      <c r="R2017">
        <v>3465747</v>
      </c>
    </row>
    <row r="2018" spans="1:18" x14ac:dyDescent="0.25">
      <c r="A2018" s="170">
        <v>44973</v>
      </c>
      <c r="B2018" s="116">
        <v>1613.95</v>
      </c>
      <c r="C2018" s="116">
        <v>1601.95</v>
      </c>
      <c r="D2018" s="116">
        <v>1598.25</v>
      </c>
      <c r="E2018" s="116">
        <v>1600.1</v>
      </c>
      <c r="F2018" s="116">
        <v>1601.95</v>
      </c>
      <c r="G2018">
        <v>160476</v>
      </c>
      <c r="H2018" s="116"/>
      <c r="I2018" s="116"/>
      <c r="L2018" s="170">
        <v>44973</v>
      </c>
      <c r="M2018" s="116">
        <v>1601.8</v>
      </c>
      <c r="N2018" s="116">
        <v>1614.45</v>
      </c>
      <c r="O2018" s="116">
        <v>1597.85</v>
      </c>
      <c r="P2018" s="116">
        <v>1600</v>
      </c>
      <c r="Q2018" s="116">
        <v>1601.8</v>
      </c>
      <c r="R2018">
        <v>4290289</v>
      </c>
    </row>
    <row r="2019" spans="1:18" x14ac:dyDescent="0.25">
      <c r="A2019" s="170">
        <v>44974</v>
      </c>
      <c r="B2019" s="116">
        <v>1595</v>
      </c>
      <c r="C2019" s="116">
        <v>1583.45</v>
      </c>
      <c r="D2019" s="116">
        <v>1575.3</v>
      </c>
      <c r="E2019" s="116">
        <v>1585</v>
      </c>
      <c r="F2019" s="116">
        <v>1583.45</v>
      </c>
      <c r="G2019">
        <v>217686</v>
      </c>
      <c r="H2019" s="116"/>
      <c r="I2019" s="116"/>
      <c r="L2019" s="170">
        <v>44974</v>
      </c>
      <c r="M2019" s="116">
        <v>1583.8</v>
      </c>
      <c r="N2019" s="116">
        <v>1595</v>
      </c>
      <c r="O2019" s="116">
        <v>1575.5</v>
      </c>
      <c r="P2019" s="116">
        <v>1594</v>
      </c>
      <c r="Q2019" s="116">
        <v>1583.8</v>
      </c>
      <c r="R2019">
        <v>2857734</v>
      </c>
    </row>
    <row r="2020" spans="1:18" x14ac:dyDescent="0.25">
      <c r="A2020" s="170">
        <v>44977</v>
      </c>
      <c r="B2020" s="116">
        <v>1602.45</v>
      </c>
      <c r="C2020" s="116">
        <v>1593.25</v>
      </c>
      <c r="D2020" s="116">
        <v>1582.6</v>
      </c>
      <c r="E2020" s="116">
        <v>1589</v>
      </c>
      <c r="F2020" s="116">
        <v>1593.25</v>
      </c>
      <c r="G2020">
        <v>134312</v>
      </c>
      <c r="H2020" s="116"/>
      <c r="I2020" s="116"/>
      <c r="L2020" s="170">
        <v>44977</v>
      </c>
      <c r="M2020" s="116">
        <v>1592.45</v>
      </c>
      <c r="N2020" s="116">
        <v>1603</v>
      </c>
      <c r="O2020" s="116">
        <v>1582.5</v>
      </c>
      <c r="P2020" s="116">
        <v>1584.95</v>
      </c>
      <c r="Q2020" s="116">
        <v>1592.45</v>
      </c>
      <c r="R2020">
        <v>2417716</v>
      </c>
    </row>
    <row r="2021" spans="1:18" x14ac:dyDescent="0.25">
      <c r="A2021" s="170">
        <v>44978</v>
      </c>
      <c r="B2021" s="116">
        <v>1601.15</v>
      </c>
      <c r="C2021" s="116">
        <v>1579.25</v>
      </c>
      <c r="D2021" s="116">
        <v>1575.9</v>
      </c>
      <c r="E2021" s="116">
        <v>1599</v>
      </c>
      <c r="F2021" s="116">
        <v>1579.25</v>
      </c>
      <c r="G2021">
        <v>243750</v>
      </c>
      <c r="H2021" s="116"/>
      <c r="I2021" s="116"/>
      <c r="L2021" s="170">
        <v>44978</v>
      </c>
      <c r="M2021" s="116">
        <v>1579.5</v>
      </c>
      <c r="N2021" s="116">
        <v>1601.65</v>
      </c>
      <c r="O2021" s="116">
        <v>1576</v>
      </c>
      <c r="P2021" s="116">
        <v>1598.7</v>
      </c>
      <c r="Q2021" s="116">
        <v>1579.5</v>
      </c>
      <c r="R2021">
        <v>2723288</v>
      </c>
    </row>
    <row r="2022" spans="1:18" x14ac:dyDescent="0.25">
      <c r="A2022" s="170">
        <v>44979</v>
      </c>
      <c r="B2022" s="116">
        <v>1575</v>
      </c>
      <c r="C2022" s="116">
        <v>1562.55</v>
      </c>
      <c r="D2022" s="116">
        <v>1556.05</v>
      </c>
      <c r="E2022" s="116">
        <v>1564</v>
      </c>
      <c r="F2022" s="116">
        <v>1562.55</v>
      </c>
      <c r="G2022">
        <v>155848</v>
      </c>
      <c r="H2022" s="116"/>
      <c r="I2022" s="116"/>
      <c r="L2022" s="170">
        <v>44979</v>
      </c>
      <c r="M2022" s="116">
        <v>1561.8</v>
      </c>
      <c r="N2022" s="116">
        <v>1575</v>
      </c>
      <c r="O2022" s="116">
        <v>1555.3</v>
      </c>
      <c r="P2022" s="116">
        <v>1563</v>
      </c>
      <c r="Q2022" s="116">
        <v>1561.8</v>
      </c>
      <c r="R2022">
        <v>3656244</v>
      </c>
    </row>
    <row r="2023" spans="1:18" x14ac:dyDescent="0.25">
      <c r="A2023" s="170">
        <v>44980</v>
      </c>
      <c r="B2023" s="116">
        <v>1570</v>
      </c>
      <c r="C2023" s="116">
        <v>1551.5</v>
      </c>
      <c r="D2023" s="116">
        <v>1548</v>
      </c>
      <c r="E2023" s="116">
        <v>1570</v>
      </c>
      <c r="F2023" s="116">
        <v>1551.5</v>
      </c>
      <c r="G2023">
        <v>220637</v>
      </c>
      <c r="H2023" s="116"/>
      <c r="I2023" s="116"/>
      <c r="L2023" s="170">
        <v>44980</v>
      </c>
      <c r="M2023" s="116">
        <v>1550.7</v>
      </c>
      <c r="N2023" s="116">
        <v>1569.85</v>
      </c>
      <c r="O2023" s="116">
        <v>1548.15</v>
      </c>
      <c r="P2023" s="116">
        <v>1569.85</v>
      </c>
      <c r="Q2023" s="116">
        <v>1550.7</v>
      </c>
      <c r="R2023">
        <v>4766854</v>
      </c>
    </row>
    <row r="2024" spans="1:18" x14ac:dyDescent="0.25">
      <c r="A2024" s="170">
        <v>44981</v>
      </c>
      <c r="B2024" s="116">
        <v>1569</v>
      </c>
      <c r="C2024" s="116">
        <v>1551.45</v>
      </c>
      <c r="D2024" s="116">
        <v>1546.7</v>
      </c>
      <c r="E2024" s="116">
        <v>1555.05</v>
      </c>
      <c r="F2024" s="116">
        <v>1551.45</v>
      </c>
      <c r="G2024">
        <v>327566</v>
      </c>
      <c r="H2024" s="116"/>
      <c r="I2024" s="116"/>
      <c r="L2024" s="170">
        <v>44981</v>
      </c>
      <c r="M2024" s="116">
        <v>1550.65</v>
      </c>
      <c r="N2024" s="116">
        <v>1569</v>
      </c>
      <c r="O2024" s="116">
        <v>1545</v>
      </c>
      <c r="P2024" s="116">
        <v>1560</v>
      </c>
      <c r="Q2024" s="116">
        <v>1550.65</v>
      </c>
      <c r="R2024">
        <v>2790986</v>
      </c>
    </row>
    <row r="2025" spans="1:18" x14ac:dyDescent="0.25">
      <c r="A2025" s="170">
        <v>44984</v>
      </c>
      <c r="B2025" s="116">
        <v>1544.95</v>
      </c>
      <c r="C2025" s="116">
        <v>1509.4</v>
      </c>
      <c r="D2025" s="116">
        <v>1502.05</v>
      </c>
      <c r="E2025" s="116">
        <v>1544.95</v>
      </c>
      <c r="F2025" s="116">
        <v>1509.4</v>
      </c>
      <c r="G2025">
        <v>289455</v>
      </c>
      <c r="H2025" s="116"/>
      <c r="I2025" s="116"/>
      <c r="L2025" s="170">
        <v>44984</v>
      </c>
      <c r="M2025" s="116">
        <v>1509.3</v>
      </c>
      <c r="N2025" s="116">
        <v>1540</v>
      </c>
      <c r="O2025" s="116">
        <v>1502</v>
      </c>
      <c r="P2025" s="116">
        <v>1540</v>
      </c>
      <c r="Q2025" s="116">
        <v>1509.3</v>
      </c>
      <c r="R2025">
        <v>4920268</v>
      </c>
    </row>
    <row r="2026" spans="1:18" x14ac:dyDescent="0.25">
      <c r="A2026" s="170">
        <v>44985</v>
      </c>
      <c r="B2026" s="116">
        <v>1523.8</v>
      </c>
      <c r="C2026" s="116">
        <v>1487.3</v>
      </c>
      <c r="D2026" s="116">
        <v>1481.3</v>
      </c>
      <c r="E2026" s="116">
        <v>1519.4</v>
      </c>
      <c r="F2026" s="116">
        <v>1487.3</v>
      </c>
      <c r="G2026">
        <v>277427</v>
      </c>
      <c r="H2026" s="116"/>
      <c r="I2026" s="116"/>
      <c r="L2026" s="170">
        <v>44985</v>
      </c>
      <c r="M2026" s="116">
        <v>1487.55</v>
      </c>
      <c r="N2026" s="116">
        <v>1524</v>
      </c>
      <c r="O2026" s="116">
        <v>1481.3</v>
      </c>
      <c r="P2026" s="116">
        <v>1515.6</v>
      </c>
      <c r="Q2026" s="116">
        <v>1487.55</v>
      </c>
      <c r="R2026">
        <v>9679811</v>
      </c>
    </row>
    <row r="2027" spans="1:18" x14ac:dyDescent="0.25">
      <c r="A2027" s="170">
        <v>44986</v>
      </c>
      <c r="B2027" s="116">
        <v>1501</v>
      </c>
      <c r="C2027" s="116">
        <v>1496.65</v>
      </c>
      <c r="D2027" s="116">
        <v>1481.75</v>
      </c>
      <c r="E2027" s="116">
        <v>1492</v>
      </c>
      <c r="F2027" s="116">
        <v>1496.65</v>
      </c>
      <c r="G2027">
        <v>179213</v>
      </c>
      <c r="H2027" s="116"/>
      <c r="I2027" s="116"/>
      <c r="L2027" s="170">
        <v>44986</v>
      </c>
      <c r="M2027" s="116">
        <v>1496.05</v>
      </c>
      <c r="N2027" s="116">
        <v>1500.85</v>
      </c>
      <c r="O2027" s="116">
        <v>1481.5</v>
      </c>
      <c r="P2027" s="116">
        <v>1492.4</v>
      </c>
      <c r="Q2027" s="116">
        <v>1496.05</v>
      </c>
      <c r="R2027">
        <v>5125043</v>
      </c>
    </row>
    <row r="2028" spans="1:18" x14ac:dyDescent="0.25">
      <c r="A2028" s="170">
        <v>44987</v>
      </c>
      <c r="B2028" s="116">
        <v>1489.95</v>
      </c>
      <c r="C2028" s="116">
        <v>1472.1</v>
      </c>
      <c r="D2028" s="116">
        <v>1467.9</v>
      </c>
      <c r="E2028" s="116">
        <v>1489.95</v>
      </c>
      <c r="F2028" s="116">
        <v>1472.1</v>
      </c>
      <c r="G2028">
        <v>239355</v>
      </c>
      <c r="H2028" s="116"/>
      <c r="I2028" s="116"/>
      <c r="L2028" s="170">
        <v>44987</v>
      </c>
      <c r="M2028" s="116">
        <v>1472.15</v>
      </c>
      <c r="N2028" s="116">
        <v>1488.6</v>
      </c>
      <c r="O2028" s="116">
        <v>1467.3</v>
      </c>
      <c r="P2028" s="116">
        <v>1485</v>
      </c>
      <c r="Q2028" s="116">
        <v>1472.15</v>
      </c>
      <c r="R2028">
        <v>4644499</v>
      </c>
    </row>
    <row r="2029" spans="1:18" x14ac:dyDescent="0.25">
      <c r="A2029" s="170">
        <v>44988</v>
      </c>
      <c r="B2029" s="116">
        <v>1489</v>
      </c>
      <c r="C2029" s="116">
        <v>1479.8</v>
      </c>
      <c r="D2029" s="116">
        <v>1473.6</v>
      </c>
      <c r="E2029" s="116">
        <v>1489</v>
      </c>
      <c r="F2029" s="116">
        <v>1479.8</v>
      </c>
      <c r="G2029">
        <v>99630</v>
      </c>
      <c r="H2029" s="116"/>
      <c r="I2029" s="116"/>
      <c r="L2029" s="170">
        <v>44988</v>
      </c>
      <c r="M2029" s="116">
        <v>1479.3</v>
      </c>
      <c r="N2029" s="116">
        <v>1489.8</v>
      </c>
      <c r="O2029" s="116">
        <v>1473</v>
      </c>
      <c r="P2029" s="116">
        <v>1486.75</v>
      </c>
      <c r="Q2029" s="116">
        <v>1479.3</v>
      </c>
      <c r="R2029">
        <v>4615015</v>
      </c>
    </row>
    <row r="2030" spans="1:18" x14ac:dyDescent="0.25">
      <c r="A2030" s="170">
        <v>44991</v>
      </c>
      <c r="B2030" s="116">
        <v>1520</v>
      </c>
      <c r="C2030" s="116">
        <v>1507.55</v>
      </c>
      <c r="D2030" s="116">
        <v>1489.9</v>
      </c>
      <c r="E2030" s="116">
        <v>1489.9</v>
      </c>
      <c r="F2030" s="116">
        <v>1507.55</v>
      </c>
      <c r="G2030">
        <v>412843</v>
      </c>
      <c r="H2030" s="116"/>
      <c r="I2030" s="116"/>
      <c r="L2030" s="170">
        <v>44991</v>
      </c>
      <c r="M2030" s="116">
        <v>1507.45</v>
      </c>
      <c r="N2030" s="116">
        <v>1520.4</v>
      </c>
      <c r="O2030" s="116">
        <v>1493.15</v>
      </c>
      <c r="P2030" s="116">
        <v>1494.55</v>
      </c>
      <c r="Q2030" s="116">
        <v>1507.45</v>
      </c>
      <c r="R2030">
        <v>6561742</v>
      </c>
    </row>
    <row r="2031" spans="1:18" x14ac:dyDescent="0.25">
      <c r="A2031" s="170">
        <v>44993</v>
      </c>
      <c r="B2031" s="116">
        <v>1494.75</v>
      </c>
      <c r="C2031" s="116">
        <v>1492.5</v>
      </c>
      <c r="D2031" s="116">
        <v>1481.45</v>
      </c>
      <c r="E2031" s="116">
        <v>1488</v>
      </c>
      <c r="F2031" s="116">
        <v>1492.5</v>
      </c>
      <c r="G2031">
        <v>162872</v>
      </c>
      <c r="H2031" s="116"/>
      <c r="I2031" s="116"/>
      <c r="L2031" s="170">
        <v>44993</v>
      </c>
      <c r="M2031" s="116">
        <v>1492.7</v>
      </c>
      <c r="N2031" s="116">
        <v>1496</v>
      </c>
      <c r="O2031" s="116">
        <v>1481.1</v>
      </c>
      <c r="P2031" s="116">
        <v>1490.55</v>
      </c>
      <c r="Q2031" s="116">
        <v>1492.7</v>
      </c>
      <c r="R2031">
        <v>4137080</v>
      </c>
    </row>
    <row r="2032" spans="1:18" x14ac:dyDescent="0.25">
      <c r="A2032" s="170">
        <v>44994</v>
      </c>
      <c r="B2032" s="116">
        <v>1498.6</v>
      </c>
      <c r="C2032" s="116">
        <v>1480.75</v>
      </c>
      <c r="D2032" s="116">
        <v>1475</v>
      </c>
      <c r="E2032" s="116">
        <v>1495.2</v>
      </c>
      <c r="F2032" s="116">
        <v>1480.75</v>
      </c>
      <c r="G2032">
        <v>111080</v>
      </c>
      <c r="H2032" s="116"/>
      <c r="I2032" s="116"/>
      <c r="L2032" s="170">
        <v>44994</v>
      </c>
      <c r="M2032" s="116">
        <v>1480.4</v>
      </c>
      <c r="N2032" s="116">
        <v>1498.35</v>
      </c>
      <c r="O2032" s="116">
        <v>1474.6</v>
      </c>
      <c r="P2032" s="116">
        <v>1495</v>
      </c>
      <c r="Q2032" s="116">
        <v>1480.4</v>
      </c>
      <c r="R2032">
        <v>5104656</v>
      </c>
    </row>
    <row r="2033" spans="1:18" x14ac:dyDescent="0.25">
      <c r="A2033" s="170">
        <v>44995</v>
      </c>
      <c r="B2033" s="116">
        <v>1474.5</v>
      </c>
      <c r="C2033" s="116">
        <v>1471.35</v>
      </c>
      <c r="D2033" s="116">
        <v>1457.1</v>
      </c>
      <c r="E2033" s="116">
        <v>1460</v>
      </c>
      <c r="F2033" s="116">
        <v>1471.35</v>
      </c>
      <c r="G2033">
        <v>258683</v>
      </c>
      <c r="H2033" s="116"/>
      <c r="I2033" s="116"/>
      <c r="L2033" s="170">
        <v>44995</v>
      </c>
      <c r="M2033" s="116">
        <v>1471.55</v>
      </c>
      <c r="N2033" s="116">
        <v>1474.3</v>
      </c>
      <c r="O2033" s="116">
        <v>1457.65</v>
      </c>
      <c r="P2033" s="116">
        <v>1460</v>
      </c>
      <c r="Q2033" s="116">
        <v>1471.55</v>
      </c>
      <c r="R2033">
        <v>3699580</v>
      </c>
    </row>
    <row r="2034" spans="1:18" x14ac:dyDescent="0.25">
      <c r="A2034" s="170">
        <v>44998</v>
      </c>
      <c r="B2034" s="116">
        <v>1478.35</v>
      </c>
      <c r="C2034" s="116">
        <v>1434.8</v>
      </c>
      <c r="D2034" s="116">
        <v>1428</v>
      </c>
      <c r="E2034" s="116">
        <v>1462</v>
      </c>
      <c r="F2034" s="116">
        <v>1434.8</v>
      </c>
      <c r="G2034">
        <v>273179</v>
      </c>
      <c r="H2034" s="116"/>
      <c r="I2034" s="116"/>
      <c r="L2034" s="170">
        <v>44998</v>
      </c>
      <c r="M2034" s="116">
        <v>1435.1</v>
      </c>
      <c r="N2034" s="116">
        <v>1478.3</v>
      </c>
      <c r="O2034" s="116">
        <v>1428</v>
      </c>
      <c r="P2034" s="116">
        <v>1464.2</v>
      </c>
      <c r="Q2034" s="116">
        <v>1435.1</v>
      </c>
      <c r="R2034">
        <v>8798403</v>
      </c>
    </row>
    <row r="2035" spans="1:18" x14ac:dyDescent="0.25">
      <c r="A2035" s="170">
        <v>44999</v>
      </c>
      <c r="B2035" s="116">
        <v>1448.4</v>
      </c>
      <c r="C2035" s="116">
        <v>1421.05</v>
      </c>
      <c r="D2035" s="116">
        <v>1411.2</v>
      </c>
      <c r="E2035" s="116">
        <v>1439.7</v>
      </c>
      <c r="F2035" s="116">
        <v>1421.05</v>
      </c>
      <c r="G2035">
        <v>819682</v>
      </c>
      <c r="H2035" s="116"/>
      <c r="I2035" s="116"/>
      <c r="L2035" s="170">
        <v>44999</v>
      </c>
      <c r="M2035" s="116">
        <v>1420</v>
      </c>
      <c r="N2035" s="116">
        <v>1448.35</v>
      </c>
      <c r="O2035" s="116">
        <v>1411</v>
      </c>
      <c r="P2035" s="116">
        <v>1441</v>
      </c>
      <c r="Q2035" s="116">
        <v>1420</v>
      </c>
      <c r="R2035">
        <v>7402784</v>
      </c>
    </row>
    <row r="2036" spans="1:18" x14ac:dyDescent="0.25">
      <c r="A2036" s="170">
        <v>45000</v>
      </c>
      <c r="B2036" s="116">
        <v>1441.9</v>
      </c>
      <c r="C2036" s="116">
        <v>1419.35</v>
      </c>
      <c r="D2036" s="116">
        <v>1416.9</v>
      </c>
      <c r="E2036" s="116">
        <v>1435.1</v>
      </c>
      <c r="F2036" s="116">
        <v>1419.35</v>
      </c>
      <c r="G2036">
        <v>419311</v>
      </c>
      <c r="H2036" s="116"/>
      <c r="I2036" s="116"/>
      <c r="L2036" s="170">
        <v>45000</v>
      </c>
      <c r="M2036" s="116">
        <v>1419.65</v>
      </c>
      <c r="N2036" s="116">
        <v>1442.85</v>
      </c>
      <c r="O2036" s="116">
        <v>1416.85</v>
      </c>
      <c r="P2036" s="116">
        <v>1438</v>
      </c>
      <c r="Q2036" s="116">
        <v>1419.65</v>
      </c>
      <c r="R2036">
        <v>7556182</v>
      </c>
    </row>
    <row r="2037" spans="1:18" x14ac:dyDescent="0.25">
      <c r="A2037" s="170">
        <v>45001</v>
      </c>
      <c r="B2037" s="116">
        <v>1416.3</v>
      </c>
      <c r="C2037" s="116">
        <v>1406.2</v>
      </c>
      <c r="D2037" s="116">
        <v>1399.2</v>
      </c>
      <c r="E2037" s="116">
        <v>1413.3</v>
      </c>
      <c r="F2037" s="116">
        <v>1406.2</v>
      </c>
      <c r="G2037">
        <v>205843</v>
      </c>
      <c r="H2037" s="116"/>
      <c r="I2037" s="116"/>
      <c r="L2037" s="170">
        <v>45001</v>
      </c>
      <c r="M2037" s="116">
        <v>1404.1</v>
      </c>
      <c r="N2037" s="116">
        <v>1417.8</v>
      </c>
      <c r="O2037" s="116">
        <v>1398.7</v>
      </c>
      <c r="P2037" s="116">
        <v>1417.8</v>
      </c>
      <c r="Q2037" s="116">
        <v>1404.1</v>
      </c>
      <c r="R2037">
        <v>7323117</v>
      </c>
    </row>
    <row r="2038" spans="1:18" x14ac:dyDescent="0.25">
      <c r="A2038" s="170">
        <v>45002</v>
      </c>
      <c r="B2038" s="116">
        <v>1442.65</v>
      </c>
      <c r="C2038" s="116">
        <v>1420.85</v>
      </c>
      <c r="D2038" s="116">
        <v>1411.6</v>
      </c>
      <c r="E2038" s="116">
        <v>1429</v>
      </c>
      <c r="F2038" s="116">
        <v>1420.85</v>
      </c>
      <c r="G2038">
        <v>248970</v>
      </c>
      <c r="H2038" s="116"/>
      <c r="I2038" s="116"/>
      <c r="L2038" s="170">
        <v>45002</v>
      </c>
      <c r="M2038" s="116">
        <v>1420.7</v>
      </c>
      <c r="N2038" s="116">
        <v>1442.9</v>
      </c>
      <c r="O2038" s="116">
        <v>1411.4</v>
      </c>
      <c r="P2038" s="116">
        <v>1430</v>
      </c>
      <c r="Q2038" s="116">
        <v>1420.7</v>
      </c>
      <c r="R2038">
        <v>9090018</v>
      </c>
    </row>
    <row r="2039" spans="1:18" x14ac:dyDescent="0.25">
      <c r="A2039" s="170">
        <v>45005</v>
      </c>
      <c r="B2039" s="116">
        <v>1419.65</v>
      </c>
      <c r="C2039" s="116">
        <v>1403.8</v>
      </c>
      <c r="D2039" s="116">
        <v>1385.7</v>
      </c>
      <c r="E2039" s="116">
        <v>1418.8</v>
      </c>
      <c r="F2039" s="116">
        <v>1403.8</v>
      </c>
      <c r="G2039">
        <v>241430</v>
      </c>
      <c r="H2039" s="116"/>
      <c r="I2039" s="116"/>
      <c r="L2039" s="170">
        <v>45005</v>
      </c>
      <c r="M2039" s="116">
        <v>1403.65</v>
      </c>
      <c r="N2039" s="116">
        <v>1419.7</v>
      </c>
      <c r="O2039" s="116">
        <v>1384.85</v>
      </c>
      <c r="P2039" s="116">
        <v>1419.7</v>
      </c>
      <c r="Q2039" s="116">
        <v>1403.65</v>
      </c>
      <c r="R2039">
        <v>8221829</v>
      </c>
    </row>
    <row r="2040" spans="1:18" x14ac:dyDescent="0.25">
      <c r="A2040" s="170">
        <v>45006</v>
      </c>
      <c r="B2040" s="116">
        <v>1405.6</v>
      </c>
      <c r="C2040" s="116">
        <v>1391.05</v>
      </c>
      <c r="D2040" s="116">
        <v>1390.05</v>
      </c>
      <c r="E2040" s="116">
        <v>1403.8</v>
      </c>
      <c r="F2040" s="116">
        <v>1391.05</v>
      </c>
      <c r="G2040">
        <v>249700</v>
      </c>
      <c r="H2040" s="116"/>
      <c r="I2040" s="116"/>
      <c r="L2040" s="170">
        <v>45006</v>
      </c>
      <c r="M2040" s="116">
        <v>1390.7</v>
      </c>
      <c r="N2040" s="116">
        <v>1405</v>
      </c>
      <c r="O2040" s="116">
        <v>1390</v>
      </c>
      <c r="P2040" s="116">
        <v>1399</v>
      </c>
      <c r="Q2040" s="116">
        <v>1390.7</v>
      </c>
      <c r="R2040">
        <v>8536755</v>
      </c>
    </row>
    <row r="2041" spans="1:18" x14ac:dyDescent="0.25">
      <c r="A2041" s="170">
        <v>45007</v>
      </c>
      <c r="B2041" s="116">
        <v>1406.65</v>
      </c>
      <c r="C2041" s="116">
        <v>1389.45</v>
      </c>
      <c r="D2041" s="116">
        <v>1382.2</v>
      </c>
      <c r="E2041" s="116">
        <v>1402</v>
      </c>
      <c r="F2041" s="116">
        <v>1389.45</v>
      </c>
      <c r="G2041">
        <v>245458</v>
      </c>
      <c r="H2041" s="116"/>
      <c r="I2041" s="116"/>
      <c r="L2041" s="170">
        <v>45007</v>
      </c>
      <c r="M2041" s="116">
        <v>1389.25</v>
      </c>
      <c r="N2041" s="116">
        <v>1407.25</v>
      </c>
      <c r="O2041" s="116">
        <v>1382.15</v>
      </c>
      <c r="P2041" s="116">
        <v>1403</v>
      </c>
      <c r="Q2041" s="116">
        <v>1389.25</v>
      </c>
      <c r="R2041">
        <v>8356487</v>
      </c>
    </row>
    <row r="2042" spans="1:18" x14ac:dyDescent="0.25">
      <c r="A2042" s="170">
        <v>45008</v>
      </c>
      <c r="B2042" s="116">
        <v>1383.5</v>
      </c>
      <c r="C2042" s="116">
        <v>1374.5</v>
      </c>
      <c r="D2042" s="116">
        <v>1370.4</v>
      </c>
      <c r="E2042" s="116">
        <v>1383.5</v>
      </c>
      <c r="F2042" s="116">
        <v>1374.5</v>
      </c>
      <c r="G2042">
        <v>388367</v>
      </c>
      <c r="H2042" s="116"/>
      <c r="I2042" s="116"/>
      <c r="L2042" s="170">
        <v>45008</v>
      </c>
      <c r="M2042" s="116">
        <v>1374.55</v>
      </c>
      <c r="N2042" s="116">
        <v>1383.95</v>
      </c>
      <c r="O2042" s="116">
        <v>1370</v>
      </c>
      <c r="P2042" s="116">
        <v>1383.95</v>
      </c>
      <c r="Q2042" s="116">
        <v>1374.55</v>
      </c>
      <c r="R2042">
        <v>7607718</v>
      </c>
    </row>
    <row r="2043" spans="1:18" x14ac:dyDescent="0.25">
      <c r="A2043" s="170">
        <v>45009</v>
      </c>
      <c r="B2043" s="116">
        <v>1399</v>
      </c>
      <c r="C2043" s="116">
        <v>1380.45</v>
      </c>
      <c r="D2043" s="116">
        <v>1378</v>
      </c>
      <c r="E2043" s="116">
        <v>1386</v>
      </c>
      <c r="F2043" s="116">
        <v>1380.45</v>
      </c>
      <c r="G2043">
        <v>218191</v>
      </c>
      <c r="H2043" s="116"/>
      <c r="I2043" s="116"/>
      <c r="L2043" s="170">
        <v>45009</v>
      </c>
      <c r="M2043" s="116">
        <v>1380.65</v>
      </c>
      <c r="N2043" s="116">
        <v>1398.95</v>
      </c>
      <c r="O2043" s="116">
        <v>1377.5</v>
      </c>
      <c r="P2043" s="116">
        <v>1388</v>
      </c>
      <c r="Q2043" s="116">
        <v>1380.65</v>
      </c>
      <c r="R2043">
        <v>7559127</v>
      </c>
    </row>
    <row r="2044" spans="1:18" x14ac:dyDescent="0.25">
      <c r="A2044" s="170">
        <v>45012</v>
      </c>
      <c r="B2044" s="116">
        <v>1395.75</v>
      </c>
      <c r="C2044" s="116">
        <v>1388.9</v>
      </c>
      <c r="D2044" s="116">
        <v>1374.05</v>
      </c>
      <c r="E2044" s="116">
        <v>1384</v>
      </c>
      <c r="F2044" s="116">
        <v>1388.9</v>
      </c>
      <c r="G2044">
        <v>92541</v>
      </c>
      <c r="H2044" s="116"/>
      <c r="I2044" s="116"/>
      <c r="L2044" s="170">
        <v>45012</v>
      </c>
      <c r="M2044" s="116">
        <v>1388.95</v>
      </c>
      <c r="N2044" s="116">
        <v>1395.75</v>
      </c>
      <c r="O2044" s="116">
        <v>1374.1</v>
      </c>
      <c r="P2044" s="116">
        <v>1386.25</v>
      </c>
      <c r="Q2044" s="116">
        <v>1388.95</v>
      </c>
      <c r="R2044">
        <v>4170193</v>
      </c>
    </row>
    <row r="2045" spans="1:18" x14ac:dyDescent="0.25">
      <c r="A2045" s="170">
        <v>45013</v>
      </c>
      <c r="B2045" s="116">
        <v>1397.5</v>
      </c>
      <c r="C2045" s="116">
        <v>1377.4</v>
      </c>
      <c r="D2045" s="116">
        <v>1376</v>
      </c>
      <c r="E2045" s="116">
        <v>1391.5</v>
      </c>
      <c r="F2045" s="116">
        <v>1377.4</v>
      </c>
      <c r="G2045">
        <v>133538</v>
      </c>
      <c r="H2045" s="116"/>
      <c r="I2045" s="116"/>
      <c r="L2045" s="170">
        <v>45013</v>
      </c>
      <c r="M2045" s="116">
        <v>1377.6</v>
      </c>
      <c r="N2045" s="116">
        <v>1398</v>
      </c>
      <c r="O2045" s="116">
        <v>1375.85</v>
      </c>
      <c r="P2045" s="116">
        <v>1392.1</v>
      </c>
      <c r="Q2045" s="116">
        <v>1377.6</v>
      </c>
      <c r="R2045">
        <v>6633366</v>
      </c>
    </row>
    <row r="2046" spans="1:18" x14ac:dyDescent="0.25">
      <c r="A2046" s="170">
        <v>45014</v>
      </c>
      <c r="B2046" s="116">
        <v>1389</v>
      </c>
      <c r="C2046" s="116">
        <v>1383.5</v>
      </c>
      <c r="D2046" s="116">
        <v>1365</v>
      </c>
      <c r="E2046" s="116">
        <v>1377.6</v>
      </c>
      <c r="F2046" s="116">
        <v>1383.5</v>
      </c>
      <c r="G2046">
        <v>171422</v>
      </c>
      <c r="H2046" s="116"/>
      <c r="I2046" s="116"/>
      <c r="L2046" s="170">
        <v>45014</v>
      </c>
      <c r="M2046" s="116">
        <v>1383.55</v>
      </c>
      <c r="N2046" s="116">
        <v>1389.9</v>
      </c>
      <c r="O2046" s="116">
        <v>1364.55</v>
      </c>
      <c r="P2046" s="116">
        <v>1379</v>
      </c>
      <c r="Q2046" s="116">
        <v>1383.55</v>
      </c>
      <c r="R2046">
        <v>8813966</v>
      </c>
    </row>
    <row r="2047" spans="1:18" x14ac:dyDescent="0.25">
      <c r="A2047" s="170">
        <v>45016</v>
      </c>
      <c r="B2047" s="116">
        <v>1430</v>
      </c>
      <c r="C2047" s="116">
        <v>1427.7</v>
      </c>
      <c r="D2047" s="116">
        <v>1394</v>
      </c>
      <c r="E2047" s="116">
        <v>1408</v>
      </c>
      <c r="F2047" s="116">
        <v>1427.7</v>
      </c>
      <c r="G2047">
        <v>135785</v>
      </c>
      <c r="H2047" s="116"/>
      <c r="I2047" s="116"/>
      <c r="L2047" s="170">
        <v>45016</v>
      </c>
      <c r="M2047" s="116">
        <v>1427.95</v>
      </c>
      <c r="N2047" s="116">
        <v>1429.95</v>
      </c>
      <c r="O2047" s="116">
        <v>1393.9</v>
      </c>
      <c r="P2047" s="116">
        <v>1404</v>
      </c>
      <c r="Q2047" s="116">
        <v>1427.95</v>
      </c>
      <c r="R2047">
        <v>8711975</v>
      </c>
    </row>
    <row r="2048" spans="1:18" x14ac:dyDescent="0.25">
      <c r="A2048" s="170">
        <v>45019</v>
      </c>
      <c r="B2048" s="116">
        <v>1438</v>
      </c>
      <c r="C2048" s="116">
        <v>1410.95</v>
      </c>
      <c r="D2048" s="116">
        <v>1405.35</v>
      </c>
      <c r="E2048" s="116">
        <v>1431.05</v>
      </c>
      <c r="F2048" s="116">
        <v>1410.95</v>
      </c>
      <c r="G2048">
        <v>113769</v>
      </c>
      <c r="H2048" s="116"/>
      <c r="I2048" s="116"/>
      <c r="L2048" s="170">
        <v>45019</v>
      </c>
      <c r="M2048" s="116">
        <v>1410.85</v>
      </c>
      <c r="N2048" s="116">
        <v>1435</v>
      </c>
      <c r="O2048" s="116">
        <v>1405.15</v>
      </c>
      <c r="P2048" s="116">
        <v>1435</v>
      </c>
      <c r="Q2048" s="116">
        <v>1410.85</v>
      </c>
      <c r="R2048">
        <v>5242764</v>
      </c>
    </row>
    <row r="2049" spans="1:18" x14ac:dyDescent="0.25">
      <c r="A2049" s="170">
        <v>45021</v>
      </c>
      <c r="B2049" s="116">
        <v>1427</v>
      </c>
      <c r="C2049" s="116">
        <v>1423.35</v>
      </c>
      <c r="D2049" s="116">
        <v>1396</v>
      </c>
      <c r="E2049" s="116">
        <v>1396</v>
      </c>
      <c r="F2049" s="116">
        <v>1423.35</v>
      </c>
      <c r="G2049">
        <v>176788</v>
      </c>
      <c r="H2049" s="116"/>
      <c r="I2049" s="116"/>
      <c r="L2049" s="170">
        <v>45021</v>
      </c>
      <c r="M2049" s="116">
        <v>1423.55</v>
      </c>
      <c r="N2049" s="116">
        <v>1427.5</v>
      </c>
      <c r="O2049" s="116">
        <v>1400</v>
      </c>
      <c r="P2049" s="116">
        <v>1400</v>
      </c>
      <c r="Q2049" s="116">
        <v>1423.55</v>
      </c>
      <c r="R2049">
        <v>7506334</v>
      </c>
    </row>
    <row r="2050" spans="1:18" x14ac:dyDescent="0.25">
      <c r="A2050" s="170">
        <v>45022</v>
      </c>
      <c r="B2050" s="116">
        <v>1427.95</v>
      </c>
      <c r="C2050" s="116">
        <v>1422.1</v>
      </c>
      <c r="D2050" s="116">
        <v>1410.5</v>
      </c>
      <c r="E2050" s="116">
        <v>1423.3</v>
      </c>
      <c r="F2050" s="116">
        <v>1422.1</v>
      </c>
      <c r="G2050">
        <v>92310</v>
      </c>
      <c r="H2050" s="116"/>
      <c r="I2050" s="116"/>
      <c r="L2050" s="170">
        <v>45022</v>
      </c>
      <c r="M2050" s="116">
        <v>1421.9</v>
      </c>
      <c r="N2050" s="116">
        <v>1428.4</v>
      </c>
      <c r="O2050" s="116">
        <v>1410.35</v>
      </c>
      <c r="P2050" s="116">
        <v>1416</v>
      </c>
      <c r="Q2050" s="116">
        <v>1421.9</v>
      </c>
      <c r="R2050">
        <v>6948465</v>
      </c>
    </row>
    <row r="2051" spans="1:18" x14ac:dyDescent="0.25">
      <c r="A2051" s="170">
        <v>45026</v>
      </c>
      <c r="B2051" s="116">
        <v>1433.95</v>
      </c>
      <c r="C2051" s="116">
        <v>1427.3</v>
      </c>
      <c r="D2051" s="116">
        <v>1414.2</v>
      </c>
      <c r="E2051" s="116">
        <v>1422</v>
      </c>
      <c r="F2051" s="116">
        <v>1427.3</v>
      </c>
      <c r="G2051">
        <v>282122</v>
      </c>
      <c r="H2051" s="116"/>
      <c r="I2051" s="116"/>
      <c r="L2051" s="170">
        <v>45026</v>
      </c>
      <c r="M2051" s="116">
        <v>1427.6</v>
      </c>
      <c r="N2051" s="116">
        <v>1434</v>
      </c>
      <c r="O2051" s="116">
        <v>1415</v>
      </c>
      <c r="P2051" s="116">
        <v>1423.95</v>
      </c>
      <c r="Q2051" s="116">
        <v>1427.6</v>
      </c>
      <c r="R2051">
        <v>4993788</v>
      </c>
    </row>
    <row r="2052" spans="1:18" x14ac:dyDescent="0.25">
      <c r="A2052" s="170">
        <v>45027</v>
      </c>
      <c r="B2052" s="116">
        <v>1433.05</v>
      </c>
      <c r="C2052" s="116">
        <v>1407.05</v>
      </c>
      <c r="D2052" s="116">
        <v>1389</v>
      </c>
      <c r="E2052" s="116">
        <v>1430.75</v>
      </c>
      <c r="F2052" s="116">
        <v>1407.05</v>
      </c>
      <c r="G2052">
        <v>383484</v>
      </c>
      <c r="H2052" s="116"/>
      <c r="I2052" s="116"/>
      <c r="L2052" s="170">
        <v>45027</v>
      </c>
      <c r="M2052" s="116">
        <v>1406.15</v>
      </c>
      <c r="N2052" s="116">
        <v>1433.35</v>
      </c>
      <c r="O2052" s="116">
        <v>1389</v>
      </c>
      <c r="P2052" s="116">
        <v>1428.9</v>
      </c>
      <c r="Q2052" s="116">
        <v>1406.15</v>
      </c>
      <c r="R2052">
        <v>6942255</v>
      </c>
    </row>
    <row r="2053" spans="1:18" x14ac:dyDescent="0.25">
      <c r="A2053" s="170">
        <v>45028</v>
      </c>
      <c r="B2053" s="116">
        <v>1431.55</v>
      </c>
      <c r="C2053" s="116">
        <v>1428.45</v>
      </c>
      <c r="D2053" s="116">
        <v>1400</v>
      </c>
      <c r="E2053" s="116">
        <v>1412</v>
      </c>
      <c r="F2053" s="116">
        <v>1428.45</v>
      </c>
      <c r="G2053">
        <v>245258</v>
      </c>
      <c r="H2053" s="116"/>
      <c r="I2053" s="116"/>
      <c r="L2053" s="170">
        <v>45028</v>
      </c>
      <c r="M2053" s="116">
        <v>1428.3</v>
      </c>
      <c r="N2053" s="116">
        <v>1431.5</v>
      </c>
      <c r="O2053" s="116">
        <v>1400</v>
      </c>
      <c r="P2053" s="116">
        <v>1413.05</v>
      </c>
      <c r="Q2053" s="116">
        <v>1428.3</v>
      </c>
      <c r="R2053">
        <v>5831169</v>
      </c>
    </row>
    <row r="2054" spans="1:18" x14ac:dyDescent="0.25">
      <c r="A2054" s="170">
        <v>45029</v>
      </c>
      <c r="B2054" s="116">
        <v>1413</v>
      </c>
      <c r="C2054" s="116">
        <v>1388.6</v>
      </c>
      <c r="D2054" s="116">
        <v>1383.6</v>
      </c>
      <c r="E2054" s="116">
        <v>1413</v>
      </c>
      <c r="F2054" s="116">
        <v>1388.6</v>
      </c>
      <c r="G2054">
        <v>609878</v>
      </c>
      <c r="H2054" s="116"/>
      <c r="I2054" s="116"/>
      <c r="L2054" s="170">
        <v>45029</v>
      </c>
      <c r="M2054" s="116">
        <v>1389.2</v>
      </c>
      <c r="N2054" s="116">
        <v>1411.05</v>
      </c>
      <c r="O2054" s="116">
        <v>1383</v>
      </c>
      <c r="P2054" s="116">
        <v>1409.75</v>
      </c>
      <c r="Q2054" s="116">
        <v>1389.2</v>
      </c>
      <c r="R2054">
        <v>11267238</v>
      </c>
    </row>
    <row r="2055" spans="1:18" x14ac:dyDescent="0.25">
      <c r="A2055" s="170">
        <v>45033</v>
      </c>
      <c r="B2055" s="116">
        <v>1300</v>
      </c>
      <c r="C2055" s="116">
        <v>1258.0999999999999</v>
      </c>
      <c r="D2055" s="116">
        <v>1219</v>
      </c>
      <c r="E2055" s="116">
        <v>1249.75</v>
      </c>
      <c r="F2055" s="116">
        <v>1258.0999999999999</v>
      </c>
      <c r="G2055">
        <v>1697705</v>
      </c>
      <c r="H2055" s="116"/>
      <c r="I2055" s="116"/>
      <c r="L2055" s="170">
        <v>45033</v>
      </c>
      <c r="M2055" s="116">
        <v>1258.3</v>
      </c>
      <c r="N2055" s="116">
        <v>1261.1500000000001</v>
      </c>
      <c r="O2055" s="116">
        <v>1185.3</v>
      </c>
      <c r="P2055" s="116">
        <v>1250.3</v>
      </c>
      <c r="Q2055" s="116">
        <v>1258.3</v>
      </c>
      <c r="R2055">
        <v>53171705</v>
      </c>
    </row>
    <row r="2056" spans="1:18" x14ac:dyDescent="0.25">
      <c r="A2056" s="170">
        <v>45034</v>
      </c>
      <c r="B2056" s="116">
        <v>1274.3</v>
      </c>
      <c r="C2056" s="116">
        <v>1260.95</v>
      </c>
      <c r="D2056" s="116">
        <v>1252.8499999999999</v>
      </c>
      <c r="E2056" s="116">
        <v>1266.3</v>
      </c>
      <c r="F2056" s="116">
        <v>1260.95</v>
      </c>
      <c r="G2056">
        <v>579446</v>
      </c>
      <c r="H2056" s="116"/>
      <c r="I2056" s="116"/>
      <c r="L2056" s="170">
        <v>45034</v>
      </c>
      <c r="M2056" s="116">
        <v>1259.3499999999999</v>
      </c>
      <c r="N2056" s="116">
        <v>1269.95</v>
      </c>
      <c r="O2056" s="116">
        <v>1253.0999999999999</v>
      </c>
      <c r="P2056" s="116">
        <v>1269.95</v>
      </c>
      <c r="Q2056" s="116">
        <v>1259.3499999999999</v>
      </c>
      <c r="R2056">
        <v>12430884</v>
      </c>
    </row>
    <row r="2057" spans="1:18" x14ac:dyDescent="0.25">
      <c r="A2057" s="170">
        <v>45035</v>
      </c>
      <c r="B2057" s="116">
        <v>1257.5999999999999</v>
      </c>
      <c r="C2057" s="116">
        <v>1232.2</v>
      </c>
      <c r="D2057" s="116">
        <v>1230</v>
      </c>
      <c r="E2057" s="116">
        <v>1257.5999999999999</v>
      </c>
      <c r="F2057" s="116">
        <v>1232.2</v>
      </c>
      <c r="G2057">
        <v>819535</v>
      </c>
      <c r="H2057" s="116"/>
      <c r="I2057" s="116"/>
      <c r="L2057" s="170">
        <v>45035</v>
      </c>
      <c r="M2057" s="116">
        <v>1232.2</v>
      </c>
      <c r="N2057" s="116">
        <v>1254.3499999999999</v>
      </c>
      <c r="O2057" s="116">
        <v>1229.4000000000001</v>
      </c>
      <c r="P2057" s="116">
        <v>1254.3499999999999</v>
      </c>
      <c r="Q2057" s="116">
        <v>1232.2</v>
      </c>
      <c r="R2057">
        <v>11307230</v>
      </c>
    </row>
    <row r="2058" spans="1:18" x14ac:dyDescent="0.25">
      <c r="A2058" s="170">
        <v>45036</v>
      </c>
      <c r="B2058" s="116">
        <v>1237.9000000000001</v>
      </c>
      <c r="C2058" s="116">
        <v>1223.8499999999999</v>
      </c>
      <c r="D2058" s="116">
        <v>1221.8499999999999</v>
      </c>
      <c r="E2058" s="116">
        <v>1232</v>
      </c>
      <c r="F2058" s="116">
        <v>1223.8499999999999</v>
      </c>
      <c r="G2058">
        <v>731467</v>
      </c>
      <c r="H2058" s="116"/>
      <c r="I2058" s="116"/>
      <c r="L2058" s="170">
        <v>45036</v>
      </c>
      <c r="M2058" s="116">
        <v>1223.4000000000001</v>
      </c>
      <c r="N2058" s="116">
        <v>1237.8499999999999</v>
      </c>
      <c r="O2058" s="116">
        <v>1221.4000000000001</v>
      </c>
      <c r="P2058" s="116">
        <v>1230.7</v>
      </c>
      <c r="Q2058" s="116">
        <v>1223.4000000000001</v>
      </c>
      <c r="R2058">
        <v>8621249</v>
      </c>
    </row>
    <row r="2059" spans="1:18" x14ac:dyDescent="0.25">
      <c r="A2059" s="170">
        <v>45037</v>
      </c>
      <c r="B2059" s="116">
        <v>1233.45</v>
      </c>
      <c r="C2059" s="116">
        <v>1227.45</v>
      </c>
      <c r="D2059" s="116">
        <v>1220</v>
      </c>
      <c r="E2059" s="116">
        <v>1227</v>
      </c>
      <c r="F2059" s="116">
        <v>1227.45</v>
      </c>
      <c r="G2059">
        <v>561881</v>
      </c>
      <c r="H2059" s="116"/>
      <c r="I2059" s="116"/>
      <c r="L2059" s="170">
        <v>45037</v>
      </c>
      <c r="M2059" s="116">
        <v>1227.3499999999999</v>
      </c>
      <c r="N2059" s="116">
        <v>1233.25</v>
      </c>
      <c r="O2059" s="116">
        <v>1220</v>
      </c>
      <c r="P2059" s="116">
        <v>1228.0999999999999</v>
      </c>
      <c r="Q2059" s="116">
        <v>1227.3499999999999</v>
      </c>
      <c r="R2059">
        <v>8691352</v>
      </c>
    </row>
    <row r="2060" spans="1:18" x14ac:dyDescent="0.25">
      <c r="A2060" s="170">
        <v>45040</v>
      </c>
      <c r="B2060" s="116">
        <v>1231</v>
      </c>
      <c r="C2060" s="116">
        <v>1226.3</v>
      </c>
      <c r="D2060" s="116">
        <v>1218.05</v>
      </c>
      <c r="E2060" s="116">
        <v>1230</v>
      </c>
      <c r="F2060" s="116">
        <v>1226.3</v>
      </c>
      <c r="G2060">
        <v>367020</v>
      </c>
      <c r="H2060" s="116"/>
      <c r="I2060" s="116"/>
      <c r="L2060" s="170">
        <v>45040</v>
      </c>
      <c r="M2060" s="116">
        <v>1226.3</v>
      </c>
      <c r="N2060" s="116">
        <v>1230</v>
      </c>
      <c r="O2060" s="116">
        <v>1218</v>
      </c>
      <c r="P2060" s="116">
        <v>1228</v>
      </c>
      <c r="Q2060" s="116">
        <v>1226.3</v>
      </c>
      <c r="R2060">
        <v>8313774</v>
      </c>
    </row>
    <row r="2061" spans="1:18" x14ac:dyDescent="0.25">
      <c r="A2061" s="170">
        <v>45041</v>
      </c>
      <c r="B2061" s="116">
        <v>1235</v>
      </c>
      <c r="C2061" s="116">
        <v>1224.55</v>
      </c>
      <c r="D2061" s="116">
        <v>1215.45</v>
      </c>
      <c r="E2061" s="116">
        <v>1226.3</v>
      </c>
      <c r="F2061" s="116">
        <v>1224.55</v>
      </c>
      <c r="G2061">
        <v>432726</v>
      </c>
      <c r="H2061" s="116"/>
      <c r="I2061" s="116"/>
      <c r="L2061" s="170">
        <v>45041</v>
      </c>
      <c r="M2061" s="116">
        <v>1224.9000000000001</v>
      </c>
      <c r="N2061" s="116">
        <v>1235.5</v>
      </c>
      <c r="O2061" s="116">
        <v>1215</v>
      </c>
      <c r="P2061" s="116">
        <v>1225.95</v>
      </c>
      <c r="Q2061" s="116">
        <v>1224.9000000000001</v>
      </c>
      <c r="R2061">
        <v>6808576</v>
      </c>
    </row>
    <row r="2062" spans="1:18" x14ac:dyDescent="0.25">
      <c r="A2062" s="170">
        <v>45042</v>
      </c>
      <c r="B2062" s="116">
        <v>1233</v>
      </c>
      <c r="C2062" s="116">
        <v>1227.5</v>
      </c>
      <c r="D2062" s="116">
        <v>1220.75</v>
      </c>
      <c r="E2062" s="116">
        <v>1227.5</v>
      </c>
      <c r="F2062" s="116">
        <v>1227.5</v>
      </c>
      <c r="G2062">
        <v>135764</v>
      </c>
      <c r="H2062" s="116"/>
      <c r="I2062" s="116"/>
      <c r="L2062" s="170">
        <v>45042</v>
      </c>
      <c r="M2062" s="116">
        <v>1227.55</v>
      </c>
      <c r="N2062" s="116">
        <v>1233</v>
      </c>
      <c r="O2062" s="116">
        <v>1220.55</v>
      </c>
      <c r="P2062" s="116">
        <v>1228</v>
      </c>
      <c r="Q2062" s="116">
        <v>1227.55</v>
      </c>
      <c r="R2062">
        <v>5680192</v>
      </c>
    </row>
    <row r="2063" spans="1:18" x14ac:dyDescent="0.25">
      <c r="A2063" s="170">
        <v>45043</v>
      </c>
      <c r="B2063" s="116">
        <v>1248.5999999999999</v>
      </c>
      <c r="C2063" s="116">
        <v>1246.55</v>
      </c>
      <c r="D2063" s="116">
        <v>1225.3</v>
      </c>
      <c r="E2063" s="116">
        <v>1228.05</v>
      </c>
      <c r="F2063" s="116">
        <v>1246.55</v>
      </c>
      <c r="G2063">
        <v>145178</v>
      </c>
      <c r="H2063" s="116"/>
      <c r="I2063" s="116"/>
      <c r="L2063" s="170">
        <v>45043</v>
      </c>
      <c r="M2063" s="116">
        <v>1246.25</v>
      </c>
      <c r="N2063" s="116">
        <v>1247.8</v>
      </c>
      <c r="O2063" s="116">
        <v>1225.4000000000001</v>
      </c>
      <c r="P2063" s="116">
        <v>1230</v>
      </c>
      <c r="Q2063" s="116">
        <v>1246.25</v>
      </c>
      <c r="R2063">
        <v>8020704</v>
      </c>
    </row>
    <row r="2064" spans="1:18" x14ac:dyDescent="0.25">
      <c r="A2064" s="170">
        <v>45044</v>
      </c>
      <c r="B2064" s="116">
        <v>1259.2</v>
      </c>
      <c r="C2064" s="116">
        <v>1252.55</v>
      </c>
      <c r="D2064" s="116">
        <v>1245.0999999999999</v>
      </c>
      <c r="E2064" s="116">
        <v>1255</v>
      </c>
      <c r="F2064" s="116">
        <v>1252.55</v>
      </c>
      <c r="G2064">
        <v>451035</v>
      </c>
      <c r="H2064" s="116"/>
      <c r="I2064" s="116"/>
      <c r="L2064" s="170">
        <v>45044</v>
      </c>
      <c r="M2064" s="116">
        <v>1252.75</v>
      </c>
      <c r="N2064" s="116">
        <v>1259</v>
      </c>
      <c r="O2064" s="116">
        <v>1244.95</v>
      </c>
      <c r="P2064" s="116">
        <v>1255.7</v>
      </c>
      <c r="Q2064" s="116">
        <v>1252.75</v>
      </c>
      <c r="R2064">
        <v>10118277</v>
      </c>
    </row>
    <row r="2065" spans="1:18" x14ac:dyDescent="0.25">
      <c r="A2065" s="170">
        <v>45048</v>
      </c>
      <c r="B2065" s="116">
        <v>1279.75</v>
      </c>
      <c r="C2065" s="116">
        <v>1277.6500000000001</v>
      </c>
      <c r="D2065" s="116">
        <v>1254.95</v>
      </c>
      <c r="E2065" s="116">
        <v>1254.95</v>
      </c>
      <c r="F2065" s="116">
        <v>1277.6500000000001</v>
      </c>
      <c r="G2065">
        <v>190877</v>
      </c>
      <c r="H2065" s="116"/>
      <c r="I2065" s="116"/>
      <c r="L2065" s="170">
        <v>45048</v>
      </c>
      <c r="M2065" s="116">
        <v>1277.45</v>
      </c>
      <c r="N2065" s="116">
        <v>1279.75</v>
      </c>
      <c r="O2065" s="116">
        <v>1254.55</v>
      </c>
      <c r="P2065" s="116">
        <v>1254.55</v>
      </c>
      <c r="Q2065" s="116">
        <v>1277.45</v>
      </c>
      <c r="R2065">
        <v>8886401</v>
      </c>
    </row>
    <row r="2066" spans="1:18" x14ac:dyDescent="0.25">
      <c r="A2066" s="170">
        <v>45049</v>
      </c>
      <c r="B2066" s="116">
        <v>1272.5</v>
      </c>
      <c r="C2066" s="116">
        <v>1269.3499999999999</v>
      </c>
      <c r="D2066" s="116">
        <v>1262.2</v>
      </c>
      <c r="E2066" s="116">
        <v>1269.9000000000001</v>
      </c>
      <c r="F2066" s="116">
        <v>1269.3499999999999</v>
      </c>
      <c r="G2066">
        <v>416109</v>
      </c>
      <c r="H2066" s="116"/>
      <c r="I2066" s="116"/>
      <c r="L2066" s="170">
        <v>45049</v>
      </c>
      <c r="M2066" s="116">
        <v>1269.1500000000001</v>
      </c>
      <c r="N2066" s="116">
        <v>1272.5</v>
      </c>
      <c r="O2066" s="116">
        <v>1262.0999999999999</v>
      </c>
      <c r="P2066" s="116">
        <v>1266</v>
      </c>
      <c r="Q2066" s="116">
        <v>1269.1500000000001</v>
      </c>
      <c r="R2066">
        <v>5549783</v>
      </c>
    </row>
    <row r="2067" spans="1:18" x14ac:dyDescent="0.25">
      <c r="A2067" s="170">
        <v>45050</v>
      </c>
      <c r="B2067" s="116">
        <v>1275.5</v>
      </c>
      <c r="C2067" s="116">
        <v>1273.55</v>
      </c>
      <c r="D2067" s="116">
        <v>1262.3499999999999</v>
      </c>
      <c r="E2067" s="116">
        <v>1271.8</v>
      </c>
      <c r="F2067" s="116">
        <v>1273.55</v>
      </c>
      <c r="G2067">
        <v>362716</v>
      </c>
      <c r="H2067" s="116"/>
      <c r="I2067" s="116"/>
      <c r="L2067" s="170">
        <v>45050</v>
      </c>
      <c r="M2067" s="116">
        <v>1273.55</v>
      </c>
      <c r="N2067" s="116">
        <v>1275.8</v>
      </c>
      <c r="O2067" s="116">
        <v>1262.5</v>
      </c>
      <c r="P2067" s="116">
        <v>1268.95</v>
      </c>
      <c r="Q2067" s="116">
        <v>1273.55</v>
      </c>
      <c r="R2067">
        <v>4505401</v>
      </c>
    </row>
    <row r="2068" spans="1:18" x14ac:dyDescent="0.25">
      <c r="A2068" s="170">
        <v>45051</v>
      </c>
      <c r="B2068" s="116">
        <v>1277</v>
      </c>
      <c r="C2068" s="116">
        <v>1259.05</v>
      </c>
      <c r="D2068" s="116">
        <v>1254.05</v>
      </c>
      <c r="E2068" s="116">
        <v>1276.55</v>
      </c>
      <c r="F2068" s="116">
        <v>1259.05</v>
      </c>
      <c r="G2068">
        <v>303714</v>
      </c>
      <c r="H2068" s="116"/>
      <c r="I2068" s="116"/>
      <c r="L2068" s="170">
        <v>45051</v>
      </c>
      <c r="M2068" s="116">
        <v>1259.0999999999999</v>
      </c>
      <c r="N2068" s="116">
        <v>1279</v>
      </c>
      <c r="O2068" s="116">
        <v>1254.25</v>
      </c>
      <c r="P2068" s="116">
        <v>1279</v>
      </c>
      <c r="Q2068" s="116">
        <v>1259.0999999999999</v>
      </c>
      <c r="R2068">
        <v>5373791</v>
      </c>
    </row>
    <row r="2069" spans="1:18" x14ac:dyDescent="0.25">
      <c r="A2069" s="170">
        <v>45054</v>
      </c>
      <c r="B2069" s="116">
        <v>1270.7</v>
      </c>
      <c r="C2069" s="116">
        <v>1266.25</v>
      </c>
      <c r="D2069" s="116">
        <v>1255.05</v>
      </c>
      <c r="E2069" s="116">
        <v>1260.1500000000001</v>
      </c>
      <c r="F2069" s="116">
        <v>1266.25</v>
      </c>
      <c r="G2069">
        <v>230558</v>
      </c>
      <c r="H2069" s="116"/>
      <c r="I2069" s="116"/>
      <c r="L2069" s="170">
        <v>45054</v>
      </c>
      <c r="M2069" s="116">
        <v>1265.5999999999999</v>
      </c>
      <c r="N2069" s="116">
        <v>1270.3</v>
      </c>
      <c r="O2069" s="116">
        <v>1255.2</v>
      </c>
      <c r="P2069" s="116">
        <v>1262.45</v>
      </c>
      <c r="Q2069" s="116">
        <v>1265.5999999999999</v>
      </c>
      <c r="R2069">
        <v>5260842</v>
      </c>
    </row>
    <row r="2070" spans="1:18" x14ac:dyDescent="0.25">
      <c r="A2070" s="170">
        <v>45055</v>
      </c>
      <c r="B2070" s="116">
        <v>1272</v>
      </c>
      <c r="C2070" s="116">
        <v>1270.5999999999999</v>
      </c>
      <c r="D2070" s="116">
        <v>1260.4000000000001</v>
      </c>
      <c r="E2070" s="116">
        <v>1267.95</v>
      </c>
      <c r="F2070" s="116">
        <v>1270.5999999999999</v>
      </c>
      <c r="G2070">
        <v>419819</v>
      </c>
      <c r="H2070" s="116"/>
      <c r="I2070" s="116"/>
      <c r="L2070" s="170">
        <v>45055</v>
      </c>
      <c r="M2070" s="116">
        <v>1270.7</v>
      </c>
      <c r="N2070" s="116">
        <v>1272</v>
      </c>
      <c r="O2070" s="116">
        <v>1260.7</v>
      </c>
      <c r="P2070" s="116">
        <v>1266</v>
      </c>
      <c r="Q2070" s="116">
        <v>1270.7</v>
      </c>
      <c r="R2070">
        <v>4969897</v>
      </c>
    </row>
    <row r="2071" spans="1:18" x14ac:dyDescent="0.25">
      <c r="A2071" s="170">
        <v>45056</v>
      </c>
      <c r="B2071" s="116">
        <v>1275.45</v>
      </c>
      <c r="C2071" s="116">
        <v>1263.0999999999999</v>
      </c>
      <c r="D2071" s="116">
        <v>1259.8</v>
      </c>
      <c r="E2071" s="116">
        <v>1275</v>
      </c>
      <c r="F2071" s="116">
        <v>1263.0999999999999</v>
      </c>
      <c r="G2071">
        <v>241734</v>
      </c>
      <c r="H2071" s="116"/>
      <c r="I2071" s="116"/>
      <c r="L2071" s="170">
        <v>45056</v>
      </c>
      <c r="M2071" s="116">
        <v>1263.25</v>
      </c>
      <c r="N2071" s="116">
        <v>1276.4000000000001</v>
      </c>
      <c r="O2071" s="116">
        <v>1259.1500000000001</v>
      </c>
      <c r="P2071" s="116">
        <v>1276.4000000000001</v>
      </c>
      <c r="Q2071" s="116">
        <v>1263.25</v>
      </c>
      <c r="R2071">
        <v>6515734</v>
      </c>
    </row>
    <row r="2072" spans="1:18" x14ac:dyDescent="0.25">
      <c r="A2072" s="170">
        <v>45057</v>
      </c>
      <c r="B2072" s="116">
        <v>1275.55</v>
      </c>
      <c r="C2072" s="116">
        <v>1256.0999999999999</v>
      </c>
      <c r="D2072" s="116">
        <v>1253.3499999999999</v>
      </c>
      <c r="E2072" s="116">
        <v>1270</v>
      </c>
      <c r="F2072" s="116">
        <v>1256.0999999999999</v>
      </c>
      <c r="G2072">
        <v>269136</v>
      </c>
      <c r="H2072" s="116"/>
      <c r="I2072" s="116"/>
      <c r="L2072" s="170">
        <v>45057</v>
      </c>
      <c r="M2072" s="116">
        <v>1256.0999999999999</v>
      </c>
      <c r="N2072" s="116">
        <v>1275.9000000000001</v>
      </c>
      <c r="O2072" s="116">
        <v>1253.05</v>
      </c>
      <c r="P2072" s="116">
        <v>1270.25</v>
      </c>
      <c r="Q2072" s="116">
        <v>1256.0999999999999</v>
      </c>
      <c r="R2072">
        <v>6888461</v>
      </c>
    </row>
    <row r="2073" spans="1:18" x14ac:dyDescent="0.25">
      <c r="A2073" s="170">
        <v>45058</v>
      </c>
      <c r="B2073" s="116">
        <v>1256.0999999999999</v>
      </c>
      <c r="C2073" s="116">
        <v>1245.55</v>
      </c>
      <c r="D2073" s="116">
        <v>1239</v>
      </c>
      <c r="E2073" s="116">
        <v>1256.0999999999999</v>
      </c>
      <c r="F2073" s="116">
        <v>1245.55</v>
      </c>
      <c r="G2073">
        <v>566495</v>
      </c>
      <c r="H2073" s="116"/>
      <c r="I2073" s="116"/>
      <c r="L2073" s="170">
        <v>45058</v>
      </c>
      <c r="M2073" s="116">
        <v>1245.2</v>
      </c>
      <c r="N2073" s="116">
        <v>1256</v>
      </c>
      <c r="O2073" s="116">
        <v>1239.05</v>
      </c>
      <c r="P2073" s="116">
        <v>1253.3499999999999</v>
      </c>
      <c r="Q2073" s="116">
        <v>1245.2</v>
      </c>
      <c r="R2073">
        <v>8292212</v>
      </c>
    </row>
    <row r="2074" spans="1:18" x14ac:dyDescent="0.25">
      <c r="A2074" s="170">
        <v>45061</v>
      </c>
      <c r="B2074" s="116">
        <v>1268.5</v>
      </c>
      <c r="C2074" s="116">
        <v>1258.75</v>
      </c>
      <c r="D2074" s="116">
        <v>1245.55</v>
      </c>
      <c r="E2074" s="116">
        <v>1249.05</v>
      </c>
      <c r="F2074" s="116">
        <v>1258.75</v>
      </c>
      <c r="G2074">
        <v>522657</v>
      </c>
      <c r="H2074" s="116"/>
      <c r="I2074" s="116"/>
      <c r="L2074" s="170">
        <v>45061</v>
      </c>
      <c r="M2074" s="116">
        <v>1258.3499999999999</v>
      </c>
      <c r="N2074" s="116">
        <v>1268.9000000000001</v>
      </c>
      <c r="O2074" s="116">
        <v>1245.6500000000001</v>
      </c>
      <c r="P2074" s="116">
        <v>1249.9000000000001</v>
      </c>
      <c r="Q2074" s="116">
        <v>1258.3499999999999</v>
      </c>
      <c r="R2074">
        <v>5534710</v>
      </c>
    </row>
    <row r="2075" spans="1:18" x14ac:dyDescent="0.25">
      <c r="A2075" s="170">
        <v>45062</v>
      </c>
      <c r="B2075" s="116">
        <v>1273.5</v>
      </c>
      <c r="C2075" s="116">
        <v>1264.1500000000001</v>
      </c>
      <c r="D2075" s="116">
        <v>1262.5</v>
      </c>
      <c r="E2075" s="116">
        <v>1265</v>
      </c>
      <c r="F2075" s="116">
        <v>1264.1500000000001</v>
      </c>
      <c r="G2075">
        <v>500827</v>
      </c>
      <c r="H2075" s="116"/>
      <c r="I2075" s="116"/>
      <c r="L2075" s="170">
        <v>45062</v>
      </c>
      <c r="M2075" s="116">
        <v>1264.3</v>
      </c>
      <c r="N2075" s="116">
        <v>1273.95</v>
      </c>
      <c r="O2075" s="116">
        <v>1262.75</v>
      </c>
      <c r="P2075" s="116">
        <v>1265</v>
      </c>
      <c r="Q2075" s="116">
        <v>1264.3</v>
      </c>
      <c r="R2075">
        <v>5236469</v>
      </c>
    </row>
    <row r="2076" spans="1:18" x14ac:dyDescent="0.25">
      <c r="A2076" s="170">
        <v>45063</v>
      </c>
      <c r="B2076" s="116">
        <v>1264.45</v>
      </c>
      <c r="C2076" s="116">
        <v>1247.45</v>
      </c>
      <c r="D2076" s="116">
        <v>1242.3499999999999</v>
      </c>
      <c r="E2076" s="116">
        <v>1264.45</v>
      </c>
      <c r="F2076" s="116">
        <v>1247.45</v>
      </c>
      <c r="G2076">
        <v>508975</v>
      </c>
      <c r="H2076" s="116"/>
      <c r="I2076" s="116"/>
      <c r="L2076" s="170">
        <v>45063</v>
      </c>
      <c r="M2076" s="116">
        <v>1246.9000000000001</v>
      </c>
      <c r="N2076" s="116">
        <v>1260.95</v>
      </c>
      <c r="O2076" s="116">
        <v>1242.45</v>
      </c>
      <c r="P2076" s="116">
        <v>1260.5999999999999</v>
      </c>
      <c r="Q2076" s="116">
        <v>1246.9000000000001</v>
      </c>
      <c r="R2076">
        <v>10465667</v>
      </c>
    </row>
    <row r="2077" spans="1:18" x14ac:dyDescent="0.25">
      <c r="A2077" s="170">
        <v>45064</v>
      </c>
      <c r="B2077" s="116">
        <v>1259.4000000000001</v>
      </c>
      <c r="C2077" s="116">
        <v>1245.9000000000001</v>
      </c>
      <c r="D2077" s="116">
        <v>1243</v>
      </c>
      <c r="E2077" s="116">
        <v>1256</v>
      </c>
      <c r="F2077" s="116">
        <v>1245.9000000000001</v>
      </c>
      <c r="G2077">
        <v>574230</v>
      </c>
      <c r="H2077" s="116"/>
      <c r="I2077" s="116"/>
      <c r="L2077" s="170">
        <v>45064</v>
      </c>
      <c r="M2077" s="116">
        <v>1246</v>
      </c>
      <c r="N2077" s="116">
        <v>1259.6500000000001</v>
      </c>
      <c r="O2077" s="116">
        <v>1242.45</v>
      </c>
      <c r="P2077" s="116">
        <v>1258.5999999999999</v>
      </c>
      <c r="Q2077" s="116">
        <v>1246</v>
      </c>
      <c r="R2077">
        <v>6948732</v>
      </c>
    </row>
    <row r="2078" spans="1:18" x14ac:dyDescent="0.25">
      <c r="A2078" s="170">
        <v>45065</v>
      </c>
      <c r="B2078" s="116">
        <v>1273.0999999999999</v>
      </c>
      <c r="C2078" s="116">
        <v>1268.8499999999999</v>
      </c>
      <c r="D2078" s="116">
        <v>1252.2</v>
      </c>
      <c r="E2078" s="116">
        <v>1252.2</v>
      </c>
      <c r="F2078" s="116">
        <v>1268.8499999999999</v>
      </c>
      <c r="G2078">
        <v>257415</v>
      </c>
      <c r="H2078" s="116"/>
      <c r="I2078" s="116"/>
      <c r="L2078" s="170">
        <v>45065</v>
      </c>
      <c r="M2078" s="116">
        <v>1268.9000000000001</v>
      </c>
      <c r="N2078" s="116">
        <v>1273.3</v>
      </c>
      <c r="O2078" s="116">
        <v>1252.8</v>
      </c>
      <c r="P2078" s="116">
        <v>1256.05</v>
      </c>
      <c r="Q2078" s="116">
        <v>1268.9000000000001</v>
      </c>
      <c r="R2078">
        <v>11094136</v>
      </c>
    </row>
    <row r="2079" spans="1:18" x14ac:dyDescent="0.25">
      <c r="A2079" s="170">
        <v>45068</v>
      </c>
      <c r="B2079" s="116">
        <v>1296.2</v>
      </c>
      <c r="C2079" s="116">
        <v>1293.05</v>
      </c>
      <c r="D2079" s="116">
        <v>1270.5999999999999</v>
      </c>
      <c r="E2079" s="116">
        <v>1270.5999999999999</v>
      </c>
      <c r="F2079" s="116">
        <v>1293.05</v>
      </c>
      <c r="G2079">
        <v>308406</v>
      </c>
      <c r="H2079" s="116"/>
      <c r="I2079" s="116"/>
      <c r="L2079" s="170">
        <v>45068</v>
      </c>
      <c r="M2079" s="116">
        <v>1292.8</v>
      </c>
      <c r="N2079" s="116">
        <v>1295.5999999999999</v>
      </c>
      <c r="O2079" s="116">
        <v>1270.25</v>
      </c>
      <c r="P2079" s="116">
        <v>1272.95</v>
      </c>
      <c r="Q2079" s="116">
        <v>1292.8</v>
      </c>
      <c r="R2079">
        <v>7625947</v>
      </c>
    </row>
    <row r="2080" spans="1:18" x14ac:dyDescent="0.25">
      <c r="A2080" s="170">
        <v>45069</v>
      </c>
      <c r="B2080" s="116">
        <v>1313.75</v>
      </c>
      <c r="C2080" s="116">
        <v>1299.5999999999999</v>
      </c>
      <c r="D2080" s="116">
        <v>1293.3</v>
      </c>
      <c r="E2080" s="116">
        <v>1293.3</v>
      </c>
      <c r="F2080" s="116">
        <v>1299.5999999999999</v>
      </c>
      <c r="G2080">
        <v>1076484</v>
      </c>
      <c r="H2080" s="116"/>
      <c r="I2080" s="116"/>
      <c r="L2080" s="170">
        <v>45069</v>
      </c>
      <c r="M2080" s="116">
        <v>1300.05</v>
      </c>
      <c r="N2080" s="116">
        <v>1314.15</v>
      </c>
      <c r="O2080" s="116">
        <v>1297.05</v>
      </c>
      <c r="P2080" s="116">
        <v>1299.2</v>
      </c>
      <c r="Q2080" s="116">
        <v>1300.05</v>
      </c>
      <c r="R2080">
        <v>7436031</v>
      </c>
    </row>
    <row r="2081" spans="1:18" x14ac:dyDescent="0.25">
      <c r="A2081" s="170">
        <v>45070</v>
      </c>
      <c r="B2081" s="116">
        <v>1305.2</v>
      </c>
      <c r="C2081" s="116">
        <v>1298.45</v>
      </c>
      <c r="D2081" s="116">
        <v>1291.05</v>
      </c>
      <c r="E2081" s="116">
        <v>1297</v>
      </c>
      <c r="F2081" s="116">
        <v>1298.45</v>
      </c>
      <c r="G2081">
        <v>450684</v>
      </c>
      <c r="H2081" s="116"/>
      <c r="I2081" s="116"/>
      <c r="L2081" s="170">
        <v>45070</v>
      </c>
      <c r="M2081" s="116">
        <v>1298.6500000000001</v>
      </c>
      <c r="N2081" s="116">
        <v>1305</v>
      </c>
      <c r="O2081" s="116">
        <v>1291.3</v>
      </c>
      <c r="P2081" s="116">
        <v>1296.3</v>
      </c>
      <c r="Q2081" s="116">
        <v>1298.6500000000001</v>
      </c>
      <c r="R2081">
        <v>4824077</v>
      </c>
    </row>
    <row r="2082" spans="1:18" x14ac:dyDescent="0.25">
      <c r="A2082" s="170">
        <v>45071</v>
      </c>
      <c r="B2082" s="116">
        <v>1307</v>
      </c>
      <c r="C2082" s="116">
        <v>1304.5</v>
      </c>
      <c r="D2082" s="116">
        <v>1289.2</v>
      </c>
      <c r="E2082" s="116">
        <v>1295</v>
      </c>
      <c r="F2082" s="116">
        <v>1304.5</v>
      </c>
      <c r="G2082">
        <v>208293</v>
      </c>
      <c r="H2082" s="116"/>
      <c r="I2082" s="116"/>
      <c r="L2082" s="170">
        <v>45071</v>
      </c>
      <c r="M2082" s="116">
        <v>1304.3499999999999</v>
      </c>
      <c r="N2082" s="116">
        <v>1307</v>
      </c>
      <c r="O2082" s="116">
        <v>1289.25</v>
      </c>
      <c r="P2082" s="116">
        <v>1294.5</v>
      </c>
      <c r="Q2082" s="116">
        <v>1304.3499999999999</v>
      </c>
      <c r="R2082">
        <v>4334121</v>
      </c>
    </row>
    <row r="2083" spans="1:18" x14ac:dyDescent="0.25">
      <c r="A2083" s="170">
        <v>45072</v>
      </c>
      <c r="B2083" s="116">
        <v>1323.1</v>
      </c>
      <c r="C2083" s="116">
        <v>1317.3</v>
      </c>
      <c r="D2083" s="116">
        <v>1307</v>
      </c>
      <c r="E2083" s="116">
        <v>1309</v>
      </c>
      <c r="F2083" s="116">
        <v>1317.3</v>
      </c>
      <c r="G2083">
        <v>337747</v>
      </c>
      <c r="H2083" s="116"/>
      <c r="I2083" s="116"/>
      <c r="L2083" s="170">
        <v>45072</v>
      </c>
      <c r="M2083" s="116">
        <v>1317.45</v>
      </c>
      <c r="N2083" s="116">
        <v>1323.45</v>
      </c>
      <c r="O2083" s="116">
        <v>1306</v>
      </c>
      <c r="P2083" s="116">
        <v>1306</v>
      </c>
      <c r="Q2083" s="116">
        <v>1317.45</v>
      </c>
      <c r="R2083">
        <v>5521606</v>
      </c>
    </row>
    <row r="2084" spans="1:18" x14ac:dyDescent="0.25">
      <c r="A2084" s="170">
        <v>45075</v>
      </c>
      <c r="B2084" s="116">
        <v>1332.15</v>
      </c>
      <c r="C2084" s="116">
        <v>1314.3</v>
      </c>
      <c r="D2084" s="116">
        <v>1310.5</v>
      </c>
      <c r="E2084" s="116">
        <v>1332.1</v>
      </c>
      <c r="F2084" s="116">
        <v>1314.3</v>
      </c>
      <c r="G2084">
        <v>172080</v>
      </c>
      <c r="H2084" s="116"/>
      <c r="I2084" s="116"/>
      <c r="L2084" s="170">
        <v>45075</v>
      </c>
      <c r="M2084" s="116">
        <v>1314.4</v>
      </c>
      <c r="N2084" s="116">
        <v>1332.7</v>
      </c>
      <c r="O2084" s="116">
        <v>1309.8499999999999</v>
      </c>
      <c r="P2084" s="116">
        <v>1332.7</v>
      </c>
      <c r="Q2084" s="116">
        <v>1314.4</v>
      </c>
      <c r="R2084">
        <v>4419365</v>
      </c>
    </row>
    <row r="2085" spans="1:18" x14ac:dyDescent="0.25">
      <c r="A2085" s="170">
        <v>45076</v>
      </c>
      <c r="B2085" s="116">
        <v>1326.05</v>
      </c>
      <c r="C2085" s="116">
        <v>1322.9</v>
      </c>
      <c r="D2085" s="116">
        <v>1309.25</v>
      </c>
      <c r="E2085" s="116">
        <v>1314</v>
      </c>
      <c r="F2085" s="116">
        <v>1322.9</v>
      </c>
      <c r="G2085">
        <v>90073</v>
      </c>
      <c r="H2085" s="116"/>
      <c r="I2085" s="116"/>
      <c r="L2085" s="170">
        <v>45076</v>
      </c>
      <c r="M2085" s="116">
        <v>1323.85</v>
      </c>
      <c r="N2085" s="116">
        <v>1326.4</v>
      </c>
      <c r="O2085" s="116">
        <v>1309.1500000000001</v>
      </c>
      <c r="P2085" s="116">
        <v>1315</v>
      </c>
      <c r="Q2085" s="116">
        <v>1323.85</v>
      </c>
      <c r="R2085">
        <v>6274719</v>
      </c>
    </row>
    <row r="2086" spans="1:18" x14ac:dyDescent="0.25">
      <c r="A2086" s="170">
        <v>45077</v>
      </c>
      <c r="B2086" s="116">
        <v>1331.05</v>
      </c>
      <c r="C2086" s="116">
        <v>1322.1</v>
      </c>
      <c r="D2086" s="116">
        <v>1314</v>
      </c>
      <c r="E2086" s="116">
        <v>1320</v>
      </c>
      <c r="F2086" s="116">
        <v>1322.1</v>
      </c>
      <c r="G2086">
        <v>155750</v>
      </c>
      <c r="H2086" s="116"/>
      <c r="I2086" s="116"/>
      <c r="L2086" s="170">
        <v>45077</v>
      </c>
      <c r="M2086" s="116">
        <v>1318.3</v>
      </c>
      <c r="N2086" s="116">
        <v>1331.1</v>
      </c>
      <c r="O2086" s="116">
        <v>1314.15</v>
      </c>
      <c r="P2086" s="116">
        <v>1319.85</v>
      </c>
      <c r="Q2086" s="116">
        <v>1318.3</v>
      </c>
      <c r="R2086">
        <v>17800782</v>
      </c>
    </row>
    <row r="2087" spans="1:18" x14ac:dyDescent="0.25">
      <c r="A2087" s="170">
        <v>45078</v>
      </c>
      <c r="B2087" s="116">
        <v>1329.5</v>
      </c>
      <c r="C2087" s="116">
        <v>1319.45</v>
      </c>
      <c r="D2087" s="116">
        <v>1317.6</v>
      </c>
      <c r="E2087" s="116">
        <v>1322.1</v>
      </c>
      <c r="F2087" s="116">
        <v>1319.45</v>
      </c>
      <c r="G2087">
        <v>252433</v>
      </c>
      <c r="H2087" s="116"/>
      <c r="I2087" s="116"/>
      <c r="L2087" s="170">
        <v>45078</v>
      </c>
      <c r="M2087" s="116">
        <v>1319.5</v>
      </c>
      <c r="N2087" s="116">
        <v>1329.5</v>
      </c>
      <c r="O2087" s="116">
        <v>1318.1</v>
      </c>
      <c r="P2087" s="116">
        <v>1322.55</v>
      </c>
      <c r="Q2087" s="116">
        <v>1319.5</v>
      </c>
      <c r="R2087">
        <v>4277841</v>
      </c>
    </row>
    <row r="2088" spans="1:18" x14ac:dyDescent="0.25">
      <c r="A2088" s="170">
        <v>45079</v>
      </c>
      <c r="B2088" s="116">
        <v>1311.8</v>
      </c>
      <c r="C2088" s="116">
        <v>1298.6500000000001</v>
      </c>
      <c r="D2088" s="116">
        <v>1296.0999999999999</v>
      </c>
      <c r="E2088" s="116">
        <v>1311.15</v>
      </c>
      <c r="F2088" s="116">
        <v>1298.6500000000001</v>
      </c>
      <c r="G2088">
        <v>241015</v>
      </c>
      <c r="H2088" s="116"/>
      <c r="I2088" s="116"/>
      <c r="L2088" s="170">
        <v>45079</v>
      </c>
      <c r="M2088" s="116">
        <v>1299</v>
      </c>
      <c r="N2088" s="116">
        <v>1312.9</v>
      </c>
      <c r="O2088" s="116">
        <v>1296.05</v>
      </c>
      <c r="P2088" s="116">
        <v>1309</v>
      </c>
      <c r="Q2088" s="116">
        <v>1299</v>
      </c>
      <c r="R2088">
        <v>10909311</v>
      </c>
    </row>
    <row r="2089" spans="1:18" x14ac:dyDescent="0.25">
      <c r="A2089" s="170">
        <v>45082</v>
      </c>
      <c r="B2089" s="116">
        <v>1309.5</v>
      </c>
      <c r="C2089" s="116">
        <v>1304.95</v>
      </c>
      <c r="D2089" s="116">
        <v>1297.2</v>
      </c>
      <c r="E2089" s="116">
        <v>1300.05</v>
      </c>
      <c r="F2089" s="116">
        <v>1304.95</v>
      </c>
      <c r="G2089">
        <v>228481</v>
      </c>
      <c r="H2089" s="116"/>
      <c r="I2089" s="116"/>
      <c r="L2089" s="170">
        <v>45082</v>
      </c>
      <c r="M2089" s="116">
        <v>1304.5</v>
      </c>
      <c r="N2089" s="116">
        <v>1309.45</v>
      </c>
      <c r="O2089" s="116">
        <v>1297.3</v>
      </c>
      <c r="P2089" s="116">
        <v>1304</v>
      </c>
      <c r="Q2089" s="116">
        <v>1304.5</v>
      </c>
      <c r="R2089">
        <v>5002553</v>
      </c>
    </row>
    <row r="2090" spans="1:18" x14ac:dyDescent="0.25">
      <c r="A2090" s="170">
        <v>45083</v>
      </c>
      <c r="B2090" s="116">
        <v>1290</v>
      </c>
      <c r="C2090" s="116">
        <v>1279.0999999999999</v>
      </c>
      <c r="D2090" s="116">
        <v>1273.1500000000001</v>
      </c>
      <c r="E2090" s="116">
        <v>1290</v>
      </c>
      <c r="F2090" s="116">
        <v>1279.0999999999999</v>
      </c>
      <c r="G2090">
        <v>495003</v>
      </c>
      <c r="H2090" s="116"/>
      <c r="I2090" s="116"/>
      <c r="L2090" s="170">
        <v>45083</v>
      </c>
      <c r="M2090" s="116">
        <v>1279</v>
      </c>
      <c r="N2090" s="116">
        <v>1288.5999999999999</v>
      </c>
      <c r="O2090" s="116">
        <v>1273</v>
      </c>
      <c r="P2090" s="116">
        <v>1288.5999999999999</v>
      </c>
      <c r="Q2090" s="116">
        <v>1279</v>
      </c>
      <c r="R2090">
        <v>10008100</v>
      </c>
    </row>
    <row r="2091" spans="1:18" x14ac:dyDescent="0.25">
      <c r="A2091" s="170">
        <v>45084</v>
      </c>
      <c r="B2091" s="116">
        <v>1293.5999999999999</v>
      </c>
      <c r="C2091" s="116">
        <v>1289</v>
      </c>
      <c r="D2091" s="116">
        <v>1282.45</v>
      </c>
      <c r="E2091" s="116">
        <v>1285.0999999999999</v>
      </c>
      <c r="F2091" s="116">
        <v>1289</v>
      </c>
      <c r="G2091">
        <v>309195</v>
      </c>
      <c r="H2091" s="116"/>
      <c r="I2091" s="116"/>
      <c r="L2091" s="170">
        <v>45084</v>
      </c>
      <c r="M2091" s="116">
        <v>1288.95</v>
      </c>
      <c r="N2091" s="116">
        <v>1294</v>
      </c>
      <c r="O2091" s="116">
        <v>1282.5</v>
      </c>
      <c r="P2091" s="116">
        <v>1290.5</v>
      </c>
      <c r="Q2091" s="116">
        <v>1288.95</v>
      </c>
      <c r="R2091">
        <v>5397578</v>
      </c>
    </row>
    <row r="2092" spans="1:18" x14ac:dyDescent="0.25">
      <c r="A2092" s="170">
        <v>45085</v>
      </c>
      <c r="B2092" s="116">
        <v>1292</v>
      </c>
      <c r="C2092" s="116">
        <v>1283.0999999999999</v>
      </c>
      <c r="D2092" s="116">
        <v>1281.0999999999999</v>
      </c>
      <c r="E2092" s="116">
        <v>1284</v>
      </c>
      <c r="F2092" s="116">
        <v>1283.0999999999999</v>
      </c>
      <c r="G2092">
        <v>383695</v>
      </c>
      <c r="H2092" s="116"/>
      <c r="I2092" s="116"/>
      <c r="L2092" s="170">
        <v>45085</v>
      </c>
      <c r="M2092" s="116">
        <v>1282.8</v>
      </c>
      <c r="N2092" s="116">
        <v>1292</v>
      </c>
      <c r="O2092" s="116">
        <v>1281.0999999999999</v>
      </c>
      <c r="P2092" s="116">
        <v>1286.2</v>
      </c>
      <c r="Q2092" s="116">
        <v>1282.8</v>
      </c>
      <c r="R2092">
        <v>5034942</v>
      </c>
    </row>
    <row r="2093" spans="1:18" x14ac:dyDescent="0.25">
      <c r="A2093" s="170">
        <v>45086</v>
      </c>
      <c r="B2093" s="116">
        <v>1283.0999999999999</v>
      </c>
      <c r="C2093" s="116">
        <v>1266</v>
      </c>
      <c r="D2093" s="116">
        <v>1264.2</v>
      </c>
      <c r="E2093" s="116">
        <v>1283.0999999999999</v>
      </c>
      <c r="F2093" s="116">
        <v>1266</v>
      </c>
      <c r="G2093">
        <v>374044</v>
      </c>
      <c r="H2093" s="116"/>
      <c r="I2093" s="116"/>
      <c r="L2093" s="170">
        <v>45086</v>
      </c>
      <c r="M2093" s="116">
        <v>1265.95</v>
      </c>
      <c r="N2093" s="116">
        <v>1282.5</v>
      </c>
      <c r="O2093" s="116">
        <v>1264</v>
      </c>
      <c r="P2093" s="116">
        <v>1282.5</v>
      </c>
      <c r="Q2093" s="116">
        <v>1265.95</v>
      </c>
      <c r="R2093">
        <v>5339073</v>
      </c>
    </row>
    <row r="2094" spans="1:18" x14ac:dyDescent="0.25">
      <c r="A2094" s="170">
        <v>45089</v>
      </c>
      <c r="B2094" s="116">
        <v>1295</v>
      </c>
      <c r="C2094" s="116">
        <v>1291.9000000000001</v>
      </c>
      <c r="D2094" s="116">
        <v>1271.0999999999999</v>
      </c>
      <c r="E2094" s="116">
        <v>1271.0999999999999</v>
      </c>
      <c r="F2094" s="116">
        <v>1291.9000000000001</v>
      </c>
      <c r="G2094">
        <v>394369</v>
      </c>
      <c r="H2094" s="116"/>
      <c r="I2094" s="116"/>
      <c r="L2094" s="170">
        <v>45089</v>
      </c>
      <c r="M2094" s="116">
        <v>1291.95</v>
      </c>
      <c r="N2094" s="116">
        <v>1295.7</v>
      </c>
      <c r="O2094" s="116">
        <v>1273</v>
      </c>
      <c r="P2094" s="116">
        <v>1273.5</v>
      </c>
      <c r="Q2094" s="116">
        <v>1291.95</v>
      </c>
      <c r="R2094">
        <v>4785588</v>
      </c>
    </row>
    <row r="2095" spans="1:18" x14ac:dyDescent="0.25">
      <c r="A2095" s="170">
        <v>45090</v>
      </c>
      <c r="B2095" s="116">
        <v>1306.2</v>
      </c>
      <c r="C2095" s="116">
        <v>1305.3499999999999</v>
      </c>
      <c r="D2095" s="116">
        <v>1297.25</v>
      </c>
      <c r="E2095" s="116">
        <v>1299.9000000000001</v>
      </c>
      <c r="F2095" s="116">
        <v>1305.3499999999999</v>
      </c>
      <c r="G2095">
        <v>221825</v>
      </c>
      <c r="H2095" s="116"/>
      <c r="I2095" s="116"/>
      <c r="L2095" s="170">
        <v>45090</v>
      </c>
      <c r="M2095" s="116">
        <v>1304.8499999999999</v>
      </c>
      <c r="N2095" s="116">
        <v>1306.5</v>
      </c>
      <c r="O2095" s="116">
        <v>1297.05</v>
      </c>
      <c r="P2095" s="116">
        <v>1299.9000000000001</v>
      </c>
      <c r="Q2095" s="116">
        <v>1304.8499999999999</v>
      </c>
      <c r="R2095">
        <v>4846587</v>
      </c>
    </row>
    <row r="2096" spans="1:18" x14ac:dyDescent="0.25">
      <c r="A2096" s="170">
        <v>45091</v>
      </c>
      <c r="B2096" s="116">
        <v>1307.7</v>
      </c>
      <c r="C2096" s="116">
        <v>1301.45</v>
      </c>
      <c r="D2096" s="116">
        <v>1293.05</v>
      </c>
      <c r="E2096" s="116">
        <v>1306</v>
      </c>
      <c r="F2096" s="116">
        <v>1301.45</v>
      </c>
      <c r="G2096">
        <v>420646</v>
      </c>
      <c r="H2096" s="116"/>
      <c r="I2096" s="116"/>
      <c r="L2096" s="170">
        <v>45091</v>
      </c>
      <c r="M2096" s="116">
        <v>1300.4000000000001</v>
      </c>
      <c r="N2096" s="116">
        <v>1306.7</v>
      </c>
      <c r="O2096" s="116">
        <v>1293.2</v>
      </c>
      <c r="P2096" s="116">
        <v>1306.3499999999999</v>
      </c>
      <c r="Q2096" s="116">
        <v>1300.4000000000001</v>
      </c>
      <c r="R2096">
        <v>3457981</v>
      </c>
    </row>
    <row r="2097" spans="1:18" x14ac:dyDescent="0.25">
      <c r="A2097" s="170">
        <v>45092</v>
      </c>
      <c r="B2097" s="116">
        <v>1296</v>
      </c>
      <c r="C2097" s="116">
        <v>1286.75</v>
      </c>
      <c r="D2097" s="116">
        <v>1283.1500000000001</v>
      </c>
      <c r="E2097" s="116">
        <v>1296</v>
      </c>
      <c r="F2097" s="116">
        <v>1286.75</v>
      </c>
      <c r="G2097">
        <v>509499</v>
      </c>
      <c r="H2097" s="116"/>
      <c r="I2097" s="116"/>
      <c r="L2097" s="170">
        <v>45092</v>
      </c>
      <c r="M2097" s="116">
        <v>1286.8</v>
      </c>
      <c r="N2097" s="116">
        <v>1293.95</v>
      </c>
      <c r="O2097" s="116">
        <v>1282.6500000000001</v>
      </c>
      <c r="P2097" s="116">
        <v>1293.95</v>
      </c>
      <c r="Q2097" s="116">
        <v>1286.8</v>
      </c>
      <c r="R2097">
        <v>6161155</v>
      </c>
    </row>
    <row r="2098" spans="1:18" x14ac:dyDescent="0.25">
      <c r="A2098" s="170">
        <v>45093</v>
      </c>
      <c r="B2098" s="116">
        <v>1301.2</v>
      </c>
      <c r="C2098" s="116">
        <v>1292.6500000000001</v>
      </c>
      <c r="D2098" s="116">
        <v>1281.1500000000001</v>
      </c>
      <c r="E2098" s="116">
        <v>1286.75</v>
      </c>
      <c r="F2098" s="116">
        <v>1292.6500000000001</v>
      </c>
      <c r="G2098">
        <v>180335</v>
      </c>
      <c r="H2098" s="116"/>
      <c r="I2098" s="116"/>
      <c r="L2098" s="170">
        <v>45093</v>
      </c>
      <c r="M2098" s="116">
        <v>1291.6500000000001</v>
      </c>
      <c r="N2098" s="116">
        <v>1301.5</v>
      </c>
      <c r="O2098" s="116">
        <v>1281.05</v>
      </c>
      <c r="P2098" s="116">
        <v>1287</v>
      </c>
      <c r="Q2098" s="116">
        <v>1291.6500000000001</v>
      </c>
      <c r="R2098">
        <v>8536287</v>
      </c>
    </row>
    <row r="2099" spans="1:18" x14ac:dyDescent="0.25">
      <c r="A2099" s="170">
        <v>45096</v>
      </c>
      <c r="B2099" s="116">
        <v>1299</v>
      </c>
      <c r="C2099" s="116">
        <v>1295.25</v>
      </c>
      <c r="D2099" s="116">
        <v>1287.2</v>
      </c>
      <c r="E2099" s="116">
        <v>1292.6500000000001</v>
      </c>
      <c r="F2099" s="116">
        <v>1295.25</v>
      </c>
      <c r="G2099">
        <v>564145</v>
      </c>
      <c r="H2099" s="116"/>
      <c r="I2099" s="116"/>
      <c r="L2099" s="170">
        <v>45096</v>
      </c>
      <c r="M2099" s="116">
        <v>1294</v>
      </c>
      <c r="N2099" s="116">
        <v>1299.5</v>
      </c>
      <c r="O2099" s="116">
        <v>1287.05</v>
      </c>
      <c r="P2099" s="116">
        <v>1294</v>
      </c>
      <c r="Q2099" s="116">
        <v>1294</v>
      </c>
      <c r="R2099">
        <v>4451787</v>
      </c>
    </row>
    <row r="2100" spans="1:18" x14ac:dyDescent="0.25">
      <c r="A2100" s="170">
        <v>45097</v>
      </c>
      <c r="B2100" s="116">
        <v>1304.4000000000001</v>
      </c>
      <c r="C2100" s="116">
        <v>1303.1500000000001</v>
      </c>
      <c r="D2100" s="116">
        <v>1291</v>
      </c>
      <c r="E2100" s="116">
        <v>1293.2</v>
      </c>
      <c r="F2100" s="116">
        <v>1303.1500000000001</v>
      </c>
      <c r="G2100">
        <v>324674</v>
      </c>
      <c r="H2100" s="116"/>
      <c r="I2100" s="116"/>
      <c r="L2100" s="170">
        <v>45097</v>
      </c>
      <c r="M2100" s="116">
        <v>1303.4000000000001</v>
      </c>
      <c r="N2100" s="116">
        <v>1305</v>
      </c>
      <c r="O2100" s="116">
        <v>1291.0999999999999</v>
      </c>
      <c r="P2100" s="116">
        <v>1294</v>
      </c>
      <c r="Q2100" s="116">
        <v>1303.4000000000001</v>
      </c>
      <c r="R2100">
        <v>4009180</v>
      </c>
    </row>
    <row r="2101" spans="1:18" x14ac:dyDescent="0.25">
      <c r="A2101" s="170">
        <v>45098</v>
      </c>
      <c r="B2101" s="116">
        <v>1304</v>
      </c>
      <c r="C2101" s="116">
        <v>1301.4000000000001</v>
      </c>
      <c r="D2101" s="116">
        <v>1295.0999999999999</v>
      </c>
      <c r="E2101" s="116">
        <v>1303.5</v>
      </c>
      <c r="F2101" s="116">
        <v>1301.4000000000001</v>
      </c>
      <c r="G2101">
        <v>393192</v>
      </c>
      <c r="H2101" s="116"/>
      <c r="I2101" s="116"/>
      <c r="L2101" s="170">
        <v>45098</v>
      </c>
      <c r="M2101" s="116">
        <v>1299.3499999999999</v>
      </c>
      <c r="N2101" s="116">
        <v>1303.8</v>
      </c>
      <c r="O2101" s="116">
        <v>1295</v>
      </c>
      <c r="P2101" s="116">
        <v>1299.95</v>
      </c>
      <c r="Q2101" s="116">
        <v>1299.3499999999999</v>
      </c>
      <c r="R2101">
        <v>4041529</v>
      </c>
    </row>
    <row r="2102" spans="1:18" x14ac:dyDescent="0.25">
      <c r="A2102" s="170">
        <v>45099</v>
      </c>
      <c r="B2102" s="116">
        <v>1292.75</v>
      </c>
      <c r="C2102" s="116">
        <v>1282.5999999999999</v>
      </c>
      <c r="D2102" s="116">
        <v>1273.3499999999999</v>
      </c>
      <c r="E2102" s="116">
        <v>1292.75</v>
      </c>
      <c r="F2102" s="116">
        <v>1282.5999999999999</v>
      </c>
      <c r="G2102">
        <v>437586</v>
      </c>
      <c r="H2102" s="116"/>
      <c r="I2102" s="116"/>
      <c r="L2102" s="170">
        <v>45099</v>
      </c>
      <c r="M2102" s="116">
        <v>1281.55</v>
      </c>
      <c r="N2102" s="116">
        <v>1289.4000000000001</v>
      </c>
      <c r="O2102" s="116">
        <v>1273.5</v>
      </c>
      <c r="P2102" s="116">
        <v>1289.4000000000001</v>
      </c>
      <c r="Q2102" s="116">
        <v>1281.55</v>
      </c>
      <c r="R2102">
        <v>6676607</v>
      </c>
    </row>
    <row r="2103" spans="1:18" x14ac:dyDescent="0.25">
      <c r="A2103" s="170">
        <v>45100</v>
      </c>
      <c r="B2103" s="116">
        <v>1279.4000000000001</v>
      </c>
      <c r="C2103" s="116">
        <v>1265.6500000000001</v>
      </c>
      <c r="D2103" s="116">
        <v>1263.5999999999999</v>
      </c>
      <c r="E2103" s="116">
        <v>1276</v>
      </c>
      <c r="F2103" s="116">
        <v>1265.6500000000001</v>
      </c>
      <c r="G2103">
        <v>492481</v>
      </c>
      <c r="H2103" s="116"/>
      <c r="I2103" s="116"/>
      <c r="L2103" s="170">
        <v>45100</v>
      </c>
      <c r="M2103" s="116">
        <v>1265</v>
      </c>
      <c r="N2103" s="116">
        <v>1279.3499999999999</v>
      </c>
      <c r="O2103" s="116">
        <v>1263.3499999999999</v>
      </c>
      <c r="P2103" s="116">
        <v>1276.45</v>
      </c>
      <c r="Q2103" s="116">
        <v>1265</v>
      </c>
      <c r="R2103">
        <v>7239467</v>
      </c>
    </row>
    <row r="2104" spans="1:18" x14ac:dyDescent="0.25">
      <c r="A2104" s="170">
        <v>45103</v>
      </c>
      <c r="B2104" s="116">
        <v>1273</v>
      </c>
      <c r="C2104" s="116">
        <v>1270.4000000000001</v>
      </c>
      <c r="D2104" s="116">
        <v>1262.3</v>
      </c>
      <c r="E2104" s="116">
        <v>1268.05</v>
      </c>
      <c r="F2104" s="116">
        <v>1270.4000000000001</v>
      </c>
      <c r="G2104">
        <v>398560</v>
      </c>
      <c r="H2104" s="116"/>
      <c r="I2104" s="116"/>
      <c r="L2104" s="170">
        <v>45103</v>
      </c>
      <c r="M2104" s="116">
        <v>1270.3499999999999</v>
      </c>
      <c r="N2104" s="116">
        <v>1274</v>
      </c>
      <c r="O2104" s="116">
        <v>1262.25</v>
      </c>
      <c r="P2104" s="116">
        <v>1270.25</v>
      </c>
      <c r="Q2104" s="116">
        <v>1270.3499999999999</v>
      </c>
      <c r="R2104">
        <v>3403244</v>
      </c>
    </row>
    <row r="2105" spans="1:18" x14ac:dyDescent="0.25">
      <c r="A2105" s="170">
        <v>45104</v>
      </c>
      <c r="B2105" s="116">
        <v>1282</v>
      </c>
      <c r="C2105" s="116">
        <v>1278.95</v>
      </c>
      <c r="D2105" s="116">
        <v>1274.55</v>
      </c>
      <c r="E2105" s="116">
        <v>1275.05</v>
      </c>
      <c r="F2105" s="116">
        <v>1278.95</v>
      </c>
      <c r="G2105">
        <v>228817</v>
      </c>
      <c r="H2105" s="116"/>
      <c r="I2105" s="116"/>
      <c r="L2105" s="170">
        <v>45104</v>
      </c>
      <c r="M2105" s="116">
        <v>1279.1500000000001</v>
      </c>
      <c r="N2105" s="116">
        <v>1282</v>
      </c>
      <c r="O2105" s="116">
        <v>1274.2</v>
      </c>
      <c r="P2105" s="116">
        <v>1280</v>
      </c>
      <c r="Q2105" s="116">
        <v>1279.1500000000001</v>
      </c>
      <c r="R2105">
        <v>3240024</v>
      </c>
    </row>
    <row r="2106" spans="1:18" x14ac:dyDescent="0.25">
      <c r="A2106" s="170">
        <v>45105</v>
      </c>
      <c r="B2106" s="116">
        <v>1296</v>
      </c>
      <c r="C2106" s="116">
        <v>1293.6500000000001</v>
      </c>
      <c r="D2106" s="116">
        <v>1281.4000000000001</v>
      </c>
      <c r="E2106" s="116">
        <v>1287.05</v>
      </c>
      <c r="F2106" s="116">
        <v>1293.6500000000001</v>
      </c>
      <c r="G2106">
        <v>121067</v>
      </c>
      <c r="H2106" s="116"/>
      <c r="I2106" s="116"/>
      <c r="L2106" s="170">
        <v>45105</v>
      </c>
      <c r="M2106" s="116">
        <v>1293.3499999999999</v>
      </c>
      <c r="N2106" s="116">
        <v>1296.7</v>
      </c>
      <c r="O2106" s="116">
        <v>1281.4000000000001</v>
      </c>
      <c r="P2106" s="116">
        <v>1290</v>
      </c>
      <c r="Q2106" s="116">
        <v>1293.3499999999999</v>
      </c>
      <c r="R2106">
        <v>5662358</v>
      </c>
    </row>
    <row r="2107" spans="1:18" x14ac:dyDescent="0.25">
      <c r="A2107" s="170">
        <v>45107</v>
      </c>
      <c r="B2107" s="116">
        <v>1338.85</v>
      </c>
      <c r="C2107" s="116">
        <v>1335.2</v>
      </c>
      <c r="D2107" s="116">
        <v>1303</v>
      </c>
      <c r="E2107" s="116">
        <v>1303</v>
      </c>
      <c r="F2107" s="116">
        <v>1335.2</v>
      </c>
      <c r="G2107">
        <v>1204517</v>
      </c>
      <c r="H2107" s="116"/>
      <c r="I2107" s="116"/>
      <c r="L2107" s="170">
        <v>45107</v>
      </c>
      <c r="M2107" s="116">
        <v>1335.5</v>
      </c>
      <c r="N2107" s="116">
        <v>1338.9</v>
      </c>
      <c r="O2107" s="116">
        <v>1304.45</v>
      </c>
      <c r="P2107" s="116">
        <v>1308.2</v>
      </c>
      <c r="Q2107" s="116">
        <v>1335.5</v>
      </c>
      <c r="R2107">
        <v>12821692</v>
      </c>
    </row>
    <row r="2108" spans="1:18" x14ac:dyDescent="0.25">
      <c r="A2108" s="170">
        <v>45110</v>
      </c>
      <c r="B2108" s="116">
        <v>1346.05</v>
      </c>
      <c r="C2108" s="116">
        <v>1333.2</v>
      </c>
      <c r="D2108" s="116">
        <v>1328.6</v>
      </c>
      <c r="E2108" s="116">
        <v>1333.9</v>
      </c>
      <c r="F2108" s="116">
        <v>1333.2</v>
      </c>
      <c r="G2108">
        <v>141383</v>
      </c>
      <c r="H2108" s="116"/>
      <c r="I2108" s="116"/>
      <c r="L2108" s="170">
        <v>45110</v>
      </c>
      <c r="M2108" s="116">
        <v>1333.7</v>
      </c>
      <c r="N2108" s="116">
        <v>1346</v>
      </c>
      <c r="O2108" s="116">
        <v>1328.45</v>
      </c>
      <c r="P2108" s="116">
        <v>1330</v>
      </c>
      <c r="Q2108" s="116">
        <v>1333.7</v>
      </c>
      <c r="R2108">
        <v>7732412</v>
      </c>
    </row>
    <row r="2109" spans="1:18" x14ac:dyDescent="0.25">
      <c r="A2109" s="170">
        <v>45111</v>
      </c>
      <c r="B2109" s="116">
        <v>1345.7</v>
      </c>
      <c r="C2109" s="116">
        <v>1344.8</v>
      </c>
      <c r="D2109" s="116">
        <v>1331.15</v>
      </c>
      <c r="E2109" s="116">
        <v>1343</v>
      </c>
      <c r="F2109" s="116">
        <v>1344.8</v>
      </c>
      <c r="G2109">
        <v>100373</v>
      </c>
      <c r="H2109" s="116"/>
      <c r="I2109" s="116"/>
      <c r="L2109" s="170">
        <v>45111</v>
      </c>
      <c r="M2109" s="116">
        <v>1345.15</v>
      </c>
      <c r="N2109" s="116">
        <v>1346</v>
      </c>
      <c r="O2109" s="116">
        <v>1331.4</v>
      </c>
      <c r="P2109" s="116">
        <v>1344.3</v>
      </c>
      <c r="Q2109" s="116">
        <v>1345.15</v>
      </c>
      <c r="R2109">
        <v>5797775</v>
      </c>
    </row>
    <row r="2110" spans="1:18" x14ac:dyDescent="0.25">
      <c r="A2110" s="170">
        <v>45112</v>
      </c>
      <c r="B2110" s="116">
        <v>1356</v>
      </c>
      <c r="C2110" s="116">
        <v>1346.6</v>
      </c>
      <c r="D2110" s="116">
        <v>1341.15</v>
      </c>
      <c r="E2110" s="116">
        <v>1354</v>
      </c>
      <c r="F2110" s="116">
        <v>1346.6</v>
      </c>
      <c r="G2110">
        <v>155859</v>
      </c>
      <c r="H2110" s="116"/>
      <c r="I2110" s="116"/>
      <c r="L2110" s="170">
        <v>45112</v>
      </c>
      <c r="M2110" s="116">
        <v>1347.3</v>
      </c>
      <c r="N2110" s="116">
        <v>1357.95</v>
      </c>
      <c r="O2110" s="116">
        <v>1341</v>
      </c>
      <c r="P2110" s="116">
        <v>1357.85</v>
      </c>
      <c r="Q2110" s="116">
        <v>1347.3</v>
      </c>
      <c r="R2110">
        <v>5414936</v>
      </c>
    </row>
    <row r="2111" spans="1:18" x14ac:dyDescent="0.25">
      <c r="A2111" s="170">
        <v>45113</v>
      </c>
      <c r="B2111" s="116">
        <v>1347.25</v>
      </c>
      <c r="C2111" s="116">
        <v>1343.9</v>
      </c>
      <c r="D2111" s="116">
        <v>1337.7</v>
      </c>
      <c r="E2111" s="116">
        <v>1343.85</v>
      </c>
      <c r="F2111" s="116">
        <v>1343.9</v>
      </c>
      <c r="G2111">
        <v>165554</v>
      </c>
      <c r="H2111" s="116"/>
      <c r="I2111" s="116"/>
      <c r="L2111" s="170">
        <v>45113</v>
      </c>
      <c r="M2111" s="116">
        <v>1343.9</v>
      </c>
      <c r="N2111" s="116">
        <v>1347.45</v>
      </c>
      <c r="O2111" s="116">
        <v>1337.15</v>
      </c>
      <c r="P2111" s="116">
        <v>1342.55</v>
      </c>
      <c r="Q2111" s="116">
        <v>1343.9</v>
      </c>
      <c r="R2111">
        <v>5963897</v>
      </c>
    </row>
    <row r="2112" spans="1:18" x14ac:dyDescent="0.25">
      <c r="A2112" s="170">
        <v>45114</v>
      </c>
      <c r="B2112" s="116">
        <v>1345.95</v>
      </c>
      <c r="C2112" s="116">
        <v>1331.15</v>
      </c>
      <c r="D2112" s="116">
        <v>1325.15</v>
      </c>
      <c r="E2112" s="116">
        <v>1333</v>
      </c>
      <c r="F2112" s="116">
        <v>1331.15</v>
      </c>
      <c r="G2112">
        <v>607986</v>
      </c>
      <c r="H2112" s="116"/>
      <c r="I2112" s="116"/>
      <c r="L2112" s="170">
        <v>45114</v>
      </c>
      <c r="M2112" s="116">
        <v>1330.2</v>
      </c>
      <c r="N2112" s="116">
        <v>1345.8</v>
      </c>
      <c r="O2112" s="116">
        <v>1325.35</v>
      </c>
      <c r="P2112" s="116">
        <v>1334</v>
      </c>
      <c r="Q2112" s="116">
        <v>1330.2</v>
      </c>
      <c r="R2112">
        <v>6295647</v>
      </c>
    </row>
    <row r="2113" spans="1:18" x14ac:dyDescent="0.25">
      <c r="A2113" s="170">
        <v>45117</v>
      </c>
      <c r="B2113" s="116">
        <v>1341.5</v>
      </c>
      <c r="C2113" s="116">
        <v>1329.1</v>
      </c>
      <c r="D2113" s="116">
        <v>1319.15</v>
      </c>
      <c r="E2113" s="116">
        <v>1331.2</v>
      </c>
      <c r="F2113" s="116">
        <v>1329.1</v>
      </c>
      <c r="G2113">
        <v>292495</v>
      </c>
      <c r="H2113" s="116"/>
      <c r="I2113" s="116"/>
      <c r="L2113" s="170">
        <v>45117</v>
      </c>
      <c r="M2113" s="116">
        <v>1329.15</v>
      </c>
      <c r="N2113" s="116">
        <v>1341.9</v>
      </c>
      <c r="O2113" s="116">
        <v>1319.3</v>
      </c>
      <c r="P2113" s="116">
        <v>1336.55</v>
      </c>
      <c r="Q2113" s="116">
        <v>1329.15</v>
      </c>
      <c r="R2113">
        <v>3940315</v>
      </c>
    </row>
    <row r="2114" spans="1:18" x14ac:dyDescent="0.25">
      <c r="A2114" s="170">
        <v>45118</v>
      </c>
      <c r="B2114" s="116">
        <v>1351</v>
      </c>
      <c r="C2114" s="116">
        <v>1349.15</v>
      </c>
      <c r="D2114" s="116">
        <v>1327.45</v>
      </c>
      <c r="E2114" s="116">
        <v>1339.95</v>
      </c>
      <c r="F2114" s="116">
        <v>1349.15</v>
      </c>
      <c r="G2114">
        <v>354953</v>
      </c>
      <c r="H2114" s="116"/>
      <c r="I2114" s="116"/>
      <c r="L2114" s="170">
        <v>45118</v>
      </c>
      <c r="M2114" s="116">
        <v>1348.6</v>
      </c>
      <c r="N2114" s="116">
        <v>1350.9</v>
      </c>
      <c r="O2114" s="116">
        <v>1327</v>
      </c>
      <c r="P2114" s="116">
        <v>1333.45</v>
      </c>
      <c r="Q2114" s="116">
        <v>1348.6</v>
      </c>
      <c r="R2114">
        <v>6126128</v>
      </c>
    </row>
    <row r="2115" spans="1:18" x14ac:dyDescent="0.25">
      <c r="A2115" s="170">
        <v>45119</v>
      </c>
      <c r="B2115" s="116">
        <v>1351.3</v>
      </c>
      <c r="C2115" s="116">
        <v>1333.35</v>
      </c>
      <c r="D2115" s="116">
        <v>1326.75</v>
      </c>
      <c r="E2115" s="116">
        <v>1351.3</v>
      </c>
      <c r="F2115" s="116">
        <v>1333.35</v>
      </c>
      <c r="G2115">
        <v>297715</v>
      </c>
      <c r="H2115" s="116"/>
      <c r="I2115" s="116"/>
      <c r="L2115" s="170">
        <v>45119</v>
      </c>
      <c r="M2115" s="116">
        <v>1333.3</v>
      </c>
      <c r="N2115" s="116">
        <v>1351.9</v>
      </c>
      <c r="O2115" s="116">
        <v>1327</v>
      </c>
      <c r="P2115" s="116">
        <v>1351</v>
      </c>
      <c r="Q2115" s="116">
        <v>1333.3</v>
      </c>
      <c r="R2115">
        <v>8102770</v>
      </c>
    </row>
    <row r="2116" spans="1:18" x14ac:dyDescent="0.25">
      <c r="A2116" s="170">
        <v>45120</v>
      </c>
      <c r="B2116" s="116">
        <v>1376.8</v>
      </c>
      <c r="C2116" s="116">
        <v>1365.3</v>
      </c>
      <c r="D2116" s="116">
        <v>1330.1</v>
      </c>
      <c r="E2116" s="116">
        <v>1333</v>
      </c>
      <c r="F2116" s="116">
        <v>1365.3</v>
      </c>
      <c r="G2116">
        <v>774481</v>
      </c>
      <c r="H2116" s="116"/>
      <c r="I2116" s="116"/>
      <c r="L2116" s="170">
        <v>45120</v>
      </c>
      <c r="M2116" s="116">
        <v>1365.1</v>
      </c>
      <c r="N2116" s="116">
        <v>1376.8</v>
      </c>
      <c r="O2116" s="116">
        <v>1330.85</v>
      </c>
      <c r="P2116" s="116">
        <v>1334.9</v>
      </c>
      <c r="Q2116" s="116">
        <v>1365.1</v>
      </c>
      <c r="R2116">
        <v>9977644</v>
      </c>
    </row>
    <row r="2117" spans="1:18" x14ac:dyDescent="0.25">
      <c r="A2117" s="170">
        <v>45121</v>
      </c>
      <c r="B2117" s="116">
        <v>1429.7</v>
      </c>
      <c r="C2117" s="116">
        <v>1425.35</v>
      </c>
      <c r="D2117" s="116">
        <v>1379</v>
      </c>
      <c r="E2117" s="116">
        <v>1379</v>
      </c>
      <c r="F2117" s="116">
        <v>1425.35</v>
      </c>
      <c r="G2117">
        <v>1050691</v>
      </c>
      <c r="H2117" s="116"/>
      <c r="I2117" s="116"/>
      <c r="L2117" s="170">
        <v>45121</v>
      </c>
      <c r="M2117" s="116">
        <v>1425.95</v>
      </c>
      <c r="N2117" s="116">
        <v>1430</v>
      </c>
      <c r="O2117" s="116">
        <v>1380.65</v>
      </c>
      <c r="P2117" s="116">
        <v>1380.65</v>
      </c>
      <c r="Q2117" s="116">
        <v>1425.95</v>
      </c>
      <c r="R2117">
        <v>12833381</v>
      </c>
    </row>
    <row r="2118" spans="1:18" x14ac:dyDescent="0.25">
      <c r="A2118" s="170">
        <v>45124</v>
      </c>
      <c r="B2118" s="116">
        <v>1458.8</v>
      </c>
      <c r="C2118" s="116">
        <v>1422.75</v>
      </c>
      <c r="D2118" s="116">
        <v>1414.25</v>
      </c>
      <c r="E2118" s="116">
        <v>1425</v>
      </c>
      <c r="F2118" s="116">
        <v>1422.75</v>
      </c>
      <c r="G2118">
        <v>287372</v>
      </c>
      <c r="H2118" s="116"/>
      <c r="I2118" s="116"/>
      <c r="L2118" s="170">
        <v>45124</v>
      </c>
      <c r="M2118" s="116">
        <v>1422.95</v>
      </c>
      <c r="N2118" s="116">
        <v>1458.95</v>
      </c>
      <c r="O2118" s="116">
        <v>1414.3</v>
      </c>
      <c r="P2118" s="116">
        <v>1425.95</v>
      </c>
      <c r="Q2118" s="116">
        <v>1422.95</v>
      </c>
      <c r="R2118">
        <v>11569884</v>
      </c>
    </row>
    <row r="2119" spans="1:18" x14ac:dyDescent="0.25">
      <c r="A2119" s="170">
        <v>45125</v>
      </c>
      <c r="B2119" s="116">
        <v>1477.65</v>
      </c>
      <c r="C2119" s="116">
        <v>1475</v>
      </c>
      <c r="D2119" s="116">
        <v>1429.35</v>
      </c>
      <c r="E2119" s="116">
        <v>1433.9</v>
      </c>
      <c r="F2119" s="116">
        <v>1475</v>
      </c>
      <c r="G2119">
        <v>418927</v>
      </c>
      <c r="H2119" s="116"/>
      <c r="I2119" s="116"/>
      <c r="L2119" s="170">
        <v>45125</v>
      </c>
      <c r="M2119" s="116">
        <v>1475.2</v>
      </c>
      <c r="N2119" s="116">
        <v>1477.95</v>
      </c>
      <c r="O2119" s="116">
        <v>1429</v>
      </c>
      <c r="P2119" s="116">
        <v>1434</v>
      </c>
      <c r="Q2119" s="116">
        <v>1475.2</v>
      </c>
      <c r="R2119">
        <v>16743977</v>
      </c>
    </row>
    <row r="2120" spans="1:18" x14ac:dyDescent="0.25">
      <c r="A2120" s="170">
        <v>45126</v>
      </c>
      <c r="B2120" s="116">
        <v>1499</v>
      </c>
      <c r="C2120" s="116">
        <v>1474.35</v>
      </c>
      <c r="D2120" s="116">
        <v>1460.95</v>
      </c>
      <c r="E2120" s="116">
        <v>1482.35</v>
      </c>
      <c r="F2120" s="116">
        <v>1474.35</v>
      </c>
      <c r="G2120">
        <v>270955</v>
      </c>
      <c r="H2120" s="116"/>
      <c r="I2120" s="116"/>
      <c r="L2120" s="170">
        <v>45126</v>
      </c>
      <c r="M2120" s="116">
        <v>1474.95</v>
      </c>
      <c r="N2120" s="116">
        <v>1498.8</v>
      </c>
      <c r="O2120" s="116">
        <v>1460.7</v>
      </c>
      <c r="P2120" s="116">
        <v>1486</v>
      </c>
      <c r="Q2120" s="116">
        <v>1474.95</v>
      </c>
      <c r="R2120">
        <v>13687062</v>
      </c>
    </row>
    <row r="2121" spans="1:18" x14ac:dyDescent="0.25">
      <c r="A2121" s="170">
        <v>45127</v>
      </c>
      <c r="B2121" s="116">
        <v>1474</v>
      </c>
      <c r="C2121" s="116">
        <v>1448.85</v>
      </c>
      <c r="D2121" s="116">
        <v>1440.85</v>
      </c>
      <c r="E2121" s="116">
        <v>1474</v>
      </c>
      <c r="F2121" s="116">
        <v>1448.85</v>
      </c>
      <c r="G2121">
        <v>223260</v>
      </c>
      <c r="H2121" s="116"/>
      <c r="I2121" s="116"/>
      <c r="L2121" s="170">
        <v>45127</v>
      </c>
      <c r="M2121" s="116">
        <v>1449.5</v>
      </c>
      <c r="N2121" s="116">
        <v>1471</v>
      </c>
      <c r="O2121" s="116">
        <v>1440.7</v>
      </c>
      <c r="P2121" s="116">
        <v>1471</v>
      </c>
      <c r="Q2121" s="116">
        <v>1449.5</v>
      </c>
      <c r="R2121">
        <v>8347221</v>
      </c>
    </row>
    <row r="2122" spans="1:18" x14ac:dyDescent="0.25">
      <c r="A2122" s="170">
        <v>45128</v>
      </c>
      <c r="B2122" s="116">
        <v>1350</v>
      </c>
      <c r="C2122" s="116">
        <v>1330.4</v>
      </c>
      <c r="D2122" s="116">
        <v>1311.6</v>
      </c>
      <c r="E2122" s="116">
        <v>1321</v>
      </c>
      <c r="F2122" s="116">
        <v>1330.4</v>
      </c>
      <c r="G2122">
        <v>1625437</v>
      </c>
      <c r="H2122" s="116"/>
      <c r="I2122" s="116"/>
      <c r="L2122" s="170">
        <v>45128</v>
      </c>
      <c r="M2122" s="116">
        <v>1331.6</v>
      </c>
      <c r="N2122" s="116">
        <v>1350</v>
      </c>
      <c r="O2122" s="116">
        <v>1305</v>
      </c>
      <c r="P2122" s="116">
        <v>1320.2</v>
      </c>
      <c r="Q2122" s="116">
        <v>1331.6</v>
      </c>
      <c r="R2122">
        <v>45548305</v>
      </c>
    </row>
    <row r="2123" spans="1:18" x14ac:dyDescent="0.25">
      <c r="A2123" s="170">
        <v>45131</v>
      </c>
      <c r="B2123" s="116">
        <v>1349.9</v>
      </c>
      <c r="C2123" s="116">
        <v>1337.25</v>
      </c>
      <c r="D2123" s="116">
        <v>1334.15</v>
      </c>
      <c r="E2123" s="116">
        <v>1335.05</v>
      </c>
      <c r="F2123" s="116">
        <v>1337.25</v>
      </c>
      <c r="G2123">
        <v>409120</v>
      </c>
      <c r="H2123" s="116"/>
      <c r="I2123" s="116"/>
      <c r="L2123" s="170">
        <v>45131</v>
      </c>
      <c r="M2123" s="116">
        <v>1336.6</v>
      </c>
      <c r="N2123" s="116">
        <v>1349.9</v>
      </c>
      <c r="O2123" s="116">
        <v>1334.25</v>
      </c>
      <c r="P2123" s="116">
        <v>1341</v>
      </c>
      <c r="Q2123" s="116">
        <v>1336.6</v>
      </c>
      <c r="R2123">
        <v>8859789</v>
      </c>
    </row>
    <row r="2124" spans="1:18" x14ac:dyDescent="0.25">
      <c r="A2124" s="170">
        <v>45132</v>
      </c>
      <c r="B2124" s="116">
        <v>1342.5</v>
      </c>
      <c r="C2124" s="116">
        <v>1334.6</v>
      </c>
      <c r="D2124" s="116">
        <v>1324.25</v>
      </c>
      <c r="E2124" s="116">
        <v>1332.05</v>
      </c>
      <c r="F2124" s="116">
        <v>1334.6</v>
      </c>
      <c r="G2124">
        <v>478063</v>
      </c>
      <c r="H2124" s="116"/>
      <c r="I2124" s="116"/>
      <c r="L2124" s="170">
        <v>45132</v>
      </c>
      <c r="M2124" s="116">
        <v>1334.6</v>
      </c>
      <c r="N2124" s="116">
        <v>1342.85</v>
      </c>
      <c r="O2124" s="116">
        <v>1324.25</v>
      </c>
      <c r="P2124" s="116">
        <v>1337</v>
      </c>
      <c r="Q2124" s="116">
        <v>1334.6</v>
      </c>
      <c r="R2124">
        <v>6801982</v>
      </c>
    </row>
    <row r="2125" spans="1:18" x14ac:dyDescent="0.25">
      <c r="A2125" s="170">
        <v>45133</v>
      </c>
      <c r="B2125" s="116">
        <v>1350.5</v>
      </c>
      <c r="C2125" s="116">
        <v>1348.85</v>
      </c>
      <c r="D2125" s="116">
        <v>1339.2</v>
      </c>
      <c r="E2125" s="116">
        <v>1341</v>
      </c>
      <c r="F2125" s="116">
        <v>1348.85</v>
      </c>
      <c r="G2125">
        <v>460905</v>
      </c>
      <c r="H2125" s="116"/>
      <c r="I2125" s="116"/>
      <c r="L2125" s="170">
        <v>45133</v>
      </c>
      <c r="M2125" s="116">
        <v>1348.85</v>
      </c>
      <c r="N2125" s="116">
        <v>1350</v>
      </c>
      <c r="O2125" s="116">
        <v>1339.4</v>
      </c>
      <c r="P2125" s="116">
        <v>1343</v>
      </c>
      <c r="Q2125" s="116">
        <v>1348.85</v>
      </c>
      <c r="R2125">
        <v>5528885</v>
      </c>
    </row>
    <row r="2126" spans="1:18" x14ac:dyDescent="0.25">
      <c r="A2126" s="170">
        <v>45134</v>
      </c>
      <c r="B2126" s="116">
        <v>1363.7</v>
      </c>
      <c r="C2126" s="116">
        <v>1352.85</v>
      </c>
      <c r="D2126" s="116">
        <v>1346.85</v>
      </c>
      <c r="E2126" s="116">
        <v>1353.05</v>
      </c>
      <c r="F2126" s="116">
        <v>1352.85</v>
      </c>
      <c r="G2126">
        <v>533747</v>
      </c>
      <c r="H2126" s="116"/>
      <c r="I2126" s="116"/>
      <c r="L2126" s="170">
        <v>45134</v>
      </c>
      <c r="M2126" s="116">
        <v>1353.15</v>
      </c>
      <c r="N2126" s="116">
        <v>1363.8</v>
      </c>
      <c r="O2126" s="116">
        <v>1347.05</v>
      </c>
      <c r="P2126" s="116">
        <v>1358.6</v>
      </c>
      <c r="Q2126" s="116">
        <v>1353.15</v>
      </c>
      <c r="R2126">
        <v>9191861</v>
      </c>
    </row>
    <row r="2127" spans="1:18" x14ac:dyDescent="0.25">
      <c r="A2127" s="170">
        <v>45135</v>
      </c>
      <c r="B2127" s="116">
        <v>1363.65</v>
      </c>
      <c r="C2127" s="116">
        <v>1340.35</v>
      </c>
      <c r="D2127" s="116">
        <v>1335.55</v>
      </c>
      <c r="E2127" s="116">
        <v>1350.35</v>
      </c>
      <c r="F2127" s="116">
        <v>1340.35</v>
      </c>
      <c r="G2127">
        <v>690627</v>
      </c>
      <c r="H2127" s="116"/>
      <c r="I2127" s="116"/>
      <c r="L2127" s="170">
        <v>45135</v>
      </c>
      <c r="M2127" s="116">
        <v>1340.5</v>
      </c>
      <c r="N2127" s="116">
        <v>1363.85</v>
      </c>
      <c r="O2127" s="116">
        <v>1336</v>
      </c>
      <c r="P2127" s="116">
        <v>1353.85</v>
      </c>
      <c r="Q2127" s="116">
        <v>1340.5</v>
      </c>
      <c r="R2127">
        <v>6122735</v>
      </c>
    </row>
    <row r="2128" spans="1:18" x14ac:dyDescent="0.25">
      <c r="A2128" s="170">
        <v>45138</v>
      </c>
      <c r="B2128" s="116">
        <v>1357</v>
      </c>
      <c r="C2128" s="116">
        <v>1355.1</v>
      </c>
      <c r="D2128" s="116">
        <v>1333.8</v>
      </c>
      <c r="E2128" s="116">
        <v>1342.55</v>
      </c>
      <c r="F2128" s="116">
        <v>1355.1</v>
      </c>
      <c r="G2128">
        <v>143082</v>
      </c>
      <c r="H2128" s="116"/>
      <c r="I2128" s="116"/>
      <c r="L2128" s="170">
        <v>45138</v>
      </c>
      <c r="M2128" s="116">
        <v>1355.7</v>
      </c>
      <c r="N2128" s="116">
        <v>1357.5</v>
      </c>
      <c r="O2128" s="116">
        <v>1333.25</v>
      </c>
      <c r="P2128" s="116">
        <v>1348.75</v>
      </c>
      <c r="Q2128" s="116">
        <v>1355.7</v>
      </c>
      <c r="R2128">
        <v>7902180</v>
      </c>
    </row>
    <row r="2129" spans="1:18" x14ac:dyDescent="0.25">
      <c r="A2129" s="170">
        <v>45139</v>
      </c>
      <c r="B2129" s="116">
        <v>1369.3</v>
      </c>
      <c r="C2129" s="116">
        <v>1365.25</v>
      </c>
      <c r="D2129" s="116">
        <v>1357.1</v>
      </c>
      <c r="E2129" s="116">
        <v>1358</v>
      </c>
      <c r="F2129" s="116">
        <v>1365.25</v>
      </c>
      <c r="G2129">
        <v>316675</v>
      </c>
      <c r="H2129" s="116"/>
      <c r="I2129" s="116"/>
      <c r="L2129" s="170">
        <v>45139</v>
      </c>
      <c r="M2129" s="116">
        <v>1365.2</v>
      </c>
      <c r="N2129" s="116">
        <v>1369</v>
      </c>
      <c r="O2129" s="116">
        <v>1357</v>
      </c>
      <c r="P2129" s="116">
        <v>1362</v>
      </c>
      <c r="Q2129" s="116">
        <v>1365.2</v>
      </c>
      <c r="R2129">
        <v>6064652</v>
      </c>
    </row>
    <row r="2130" spans="1:18" x14ac:dyDescent="0.25">
      <c r="A2130" s="170">
        <v>45140</v>
      </c>
      <c r="B2130" s="116">
        <v>1370.4</v>
      </c>
      <c r="C2130" s="116">
        <v>1356.8</v>
      </c>
      <c r="D2130" s="116">
        <v>1348.3</v>
      </c>
      <c r="E2130" s="116">
        <v>1367.05</v>
      </c>
      <c r="F2130" s="116">
        <v>1356.8</v>
      </c>
      <c r="G2130">
        <v>458114</v>
      </c>
      <c r="H2130" s="116"/>
      <c r="I2130" s="116"/>
      <c r="L2130" s="170">
        <v>45140</v>
      </c>
      <c r="M2130" s="116">
        <v>1356.85</v>
      </c>
      <c r="N2130" s="116">
        <v>1371.95</v>
      </c>
      <c r="O2130" s="116">
        <v>1348.45</v>
      </c>
      <c r="P2130" s="116">
        <v>1369.3</v>
      </c>
      <c r="Q2130" s="116">
        <v>1356.85</v>
      </c>
      <c r="R2130">
        <v>7419145</v>
      </c>
    </row>
    <row r="2131" spans="1:18" x14ac:dyDescent="0.25">
      <c r="A2131" s="170">
        <v>45141</v>
      </c>
      <c r="B2131" s="116">
        <v>1367</v>
      </c>
      <c r="C2131" s="116">
        <v>1365.35</v>
      </c>
      <c r="D2131" s="116">
        <v>1348.1</v>
      </c>
      <c r="E2131" s="116">
        <v>1350</v>
      </c>
      <c r="F2131" s="116">
        <v>1365.35</v>
      </c>
      <c r="G2131">
        <v>312582</v>
      </c>
      <c r="H2131" s="116"/>
      <c r="I2131" s="116"/>
      <c r="L2131" s="170">
        <v>45141</v>
      </c>
      <c r="M2131" s="116">
        <v>1364.3</v>
      </c>
      <c r="N2131" s="116">
        <v>1366.55</v>
      </c>
      <c r="O2131" s="116">
        <v>1349</v>
      </c>
      <c r="P2131" s="116">
        <v>1350</v>
      </c>
      <c r="Q2131" s="116">
        <v>1364.3</v>
      </c>
      <c r="R2131">
        <v>6503741</v>
      </c>
    </row>
    <row r="2132" spans="1:18" x14ac:dyDescent="0.25">
      <c r="A2132" s="170">
        <v>45142</v>
      </c>
      <c r="B2132" s="116">
        <v>1385.95</v>
      </c>
      <c r="C2132" s="116">
        <v>1378.4</v>
      </c>
      <c r="D2132" s="116">
        <v>1362.9</v>
      </c>
      <c r="E2132" s="116">
        <v>1368</v>
      </c>
      <c r="F2132" s="116">
        <v>1378.4</v>
      </c>
      <c r="G2132">
        <v>804726</v>
      </c>
      <c r="H2132" s="116"/>
      <c r="I2132" s="116"/>
      <c r="L2132" s="170">
        <v>45142</v>
      </c>
      <c r="M2132" s="116">
        <v>1378.35</v>
      </c>
      <c r="N2132" s="116">
        <v>1385.9</v>
      </c>
      <c r="O2132" s="116">
        <v>1362</v>
      </c>
      <c r="P2132" s="116">
        <v>1368.9</v>
      </c>
      <c r="Q2132" s="116">
        <v>1378.35</v>
      </c>
      <c r="R2132">
        <v>5712345</v>
      </c>
    </row>
    <row r="2133" spans="1:18" x14ac:dyDescent="0.25">
      <c r="A2133" s="170">
        <v>45145</v>
      </c>
      <c r="B2133" s="116">
        <v>1394</v>
      </c>
      <c r="C2133" s="116">
        <v>1392.75</v>
      </c>
      <c r="D2133" s="116">
        <v>1376.5</v>
      </c>
      <c r="E2133" s="116">
        <v>1380.05</v>
      </c>
      <c r="F2133" s="116">
        <v>1392.75</v>
      </c>
      <c r="G2133">
        <v>364823</v>
      </c>
      <c r="H2133" s="116"/>
      <c r="I2133" s="116"/>
      <c r="L2133" s="170">
        <v>45145</v>
      </c>
      <c r="M2133" s="116">
        <v>1393</v>
      </c>
      <c r="N2133" s="116">
        <v>1395</v>
      </c>
      <c r="O2133" s="116">
        <v>1377</v>
      </c>
      <c r="P2133" s="116">
        <v>1387.9</v>
      </c>
      <c r="Q2133" s="116">
        <v>1393</v>
      </c>
      <c r="R2133">
        <v>3729093</v>
      </c>
    </row>
    <row r="2134" spans="1:18" x14ac:dyDescent="0.25">
      <c r="A2134" s="170">
        <v>45146</v>
      </c>
      <c r="B2134" s="116">
        <v>1397.85</v>
      </c>
      <c r="C2134" s="116">
        <v>1390.35</v>
      </c>
      <c r="D2134" s="116">
        <v>1384.6</v>
      </c>
      <c r="E2134" s="116">
        <v>1397.85</v>
      </c>
      <c r="F2134" s="116">
        <v>1390.35</v>
      </c>
      <c r="G2134">
        <v>201955</v>
      </c>
      <c r="H2134" s="116"/>
      <c r="I2134" s="116"/>
      <c r="L2134" s="170">
        <v>45146</v>
      </c>
      <c r="M2134" s="116">
        <v>1390.2</v>
      </c>
      <c r="N2134" s="116">
        <v>1393.55</v>
      </c>
      <c r="O2134" s="116">
        <v>1384.4</v>
      </c>
      <c r="P2134" s="116">
        <v>1392.85</v>
      </c>
      <c r="Q2134" s="116">
        <v>1390.2</v>
      </c>
      <c r="R2134">
        <v>4161877</v>
      </c>
    </row>
    <row r="2135" spans="1:18" x14ac:dyDescent="0.25">
      <c r="A2135" s="170">
        <v>45147</v>
      </c>
      <c r="B2135" s="116">
        <v>1396</v>
      </c>
      <c r="C2135" s="116">
        <v>1394.3</v>
      </c>
      <c r="D2135" s="116">
        <v>1382.2</v>
      </c>
      <c r="E2135" s="116">
        <v>1382.2</v>
      </c>
      <c r="F2135" s="116">
        <v>1394.3</v>
      </c>
      <c r="G2135">
        <v>672414</v>
      </c>
      <c r="H2135" s="116"/>
      <c r="I2135" s="116"/>
      <c r="L2135" s="170">
        <v>45147</v>
      </c>
      <c r="M2135" s="116">
        <v>1394.4</v>
      </c>
      <c r="N2135" s="116">
        <v>1396</v>
      </c>
      <c r="O2135" s="116">
        <v>1382.5</v>
      </c>
      <c r="P2135" s="116">
        <v>1384</v>
      </c>
      <c r="Q2135" s="116">
        <v>1394.4</v>
      </c>
      <c r="R2135">
        <v>4090828</v>
      </c>
    </row>
    <row r="2136" spans="1:18" x14ac:dyDescent="0.25">
      <c r="A2136" s="170">
        <v>45148</v>
      </c>
      <c r="B2136" s="116">
        <v>1395.75</v>
      </c>
      <c r="C2136" s="116">
        <v>1389.15</v>
      </c>
      <c r="D2136" s="116">
        <v>1385.8</v>
      </c>
      <c r="E2136" s="116">
        <v>1393.4</v>
      </c>
      <c r="F2136" s="116">
        <v>1389.15</v>
      </c>
      <c r="G2136">
        <v>145465</v>
      </c>
      <c r="H2136" s="116"/>
      <c r="I2136" s="116"/>
      <c r="L2136" s="170">
        <v>45148</v>
      </c>
      <c r="M2136" s="116">
        <v>1389.1</v>
      </c>
      <c r="N2136" s="116">
        <v>1395.8</v>
      </c>
      <c r="O2136" s="116">
        <v>1385.6</v>
      </c>
      <c r="P2136" s="116">
        <v>1391.6</v>
      </c>
      <c r="Q2136" s="116">
        <v>1389.1</v>
      </c>
      <c r="R2136">
        <v>3873025</v>
      </c>
    </row>
    <row r="2137" spans="1:18" x14ac:dyDescent="0.25">
      <c r="A2137" s="170">
        <v>45149</v>
      </c>
      <c r="B2137" s="116">
        <v>1397</v>
      </c>
      <c r="C2137" s="116">
        <v>1372</v>
      </c>
      <c r="D2137" s="116">
        <v>1367.2</v>
      </c>
      <c r="E2137" s="116">
        <v>1391</v>
      </c>
      <c r="F2137" s="116">
        <v>1372</v>
      </c>
      <c r="G2137">
        <v>287014</v>
      </c>
      <c r="H2137" s="116"/>
      <c r="I2137" s="116"/>
      <c r="L2137" s="170">
        <v>45149</v>
      </c>
      <c r="M2137" s="116">
        <v>1371.85</v>
      </c>
      <c r="N2137" s="116">
        <v>1396.85</v>
      </c>
      <c r="O2137" s="116">
        <v>1367.05</v>
      </c>
      <c r="P2137" s="116">
        <v>1392</v>
      </c>
      <c r="Q2137" s="116">
        <v>1371.85</v>
      </c>
      <c r="R2137">
        <v>5783517</v>
      </c>
    </row>
    <row r="2138" spans="1:18" x14ac:dyDescent="0.25">
      <c r="A2138" s="170">
        <v>45152</v>
      </c>
      <c r="B2138" s="116">
        <v>1394.5</v>
      </c>
      <c r="C2138" s="116">
        <v>1393.65</v>
      </c>
      <c r="D2138" s="116">
        <v>1365.2</v>
      </c>
      <c r="E2138" s="116">
        <v>1372</v>
      </c>
      <c r="F2138" s="116">
        <v>1393.65</v>
      </c>
      <c r="G2138">
        <v>324755</v>
      </c>
      <c r="H2138" s="116"/>
      <c r="I2138" s="116"/>
      <c r="L2138" s="170">
        <v>45152</v>
      </c>
      <c r="M2138" s="116">
        <v>1393.55</v>
      </c>
      <c r="N2138" s="116">
        <v>1395</v>
      </c>
      <c r="O2138" s="116">
        <v>1365.6</v>
      </c>
      <c r="P2138" s="116">
        <v>1371.85</v>
      </c>
      <c r="Q2138" s="116">
        <v>1393.55</v>
      </c>
      <c r="R2138">
        <v>4304135</v>
      </c>
    </row>
    <row r="2139" spans="1:18" x14ac:dyDescent="0.25">
      <c r="A2139" s="170">
        <v>45154</v>
      </c>
      <c r="B2139" s="116">
        <v>1419.95</v>
      </c>
      <c r="C2139" s="116">
        <v>1418.5</v>
      </c>
      <c r="D2139" s="116">
        <v>1405</v>
      </c>
      <c r="E2139" s="116">
        <v>1411</v>
      </c>
      <c r="F2139" s="116">
        <v>1418.5</v>
      </c>
      <c r="G2139">
        <v>595152</v>
      </c>
      <c r="H2139" s="116"/>
      <c r="I2139" s="116"/>
      <c r="L2139" s="170">
        <v>45154</v>
      </c>
      <c r="M2139" s="116">
        <v>1418.5</v>
      </c>
      <c r="N2139" s="116">
        <v>1419.95</v>
      </c>
      <c r="O2139" s="116">
        <v>1405.4</v>
      </c>
      <c r="P2139" s="116">
        <v>1410.8</v>
      </c>
      <c r="Q2139" s="116">
        <v>1418.5</v>
      </c>
      <c r="R2139">
        <v>7735313</v>
      </c>
    </row>
    <row r="2140" spans="1:18" x14ac:dyDescent="0.25">
      <c r="A2140" s="170">
        <v>45155</v>
      </c>
      <c r="B2140" s="116">
        <v>1419.95</v>
      </c>
      <c r="C2140" s="116">
        <v>1411.2</v>
      </c>
      <c r="D2140" s="116">
        <v>1406</v>
      </c>
      <c r="E2140" s="116">
        <v>1418.6</v>
      </c>
      <c r="F2140" s="116">
        <v>1411.2</v>
      </c>
      <c r="G2140">
        <v>63254</v>
      </c>
      <c r="H2140" s="116"/>
      <c r="I2140" s="116"/>
      <c r="L2140" s="170">
        <v>45155</v>
      </c>
      <c r="M2140" s="116">
        <v>1411.55</v>
      </c>
      <c r="N2140" s="116">
        <v>1420</v>
      </c>
      <c r="O2140" s="116">
        <v>1406</v>
      </c>
      <c r="P2140" s="116">
        <v>1420</v>
      </c>
      <c r="Q2140" s="116">
        <v>1411.55</v>
      </c>
      <c r="R2140">
        <v>5618346</v>
      </c>
    </row>
    <row r="2141" spans="1:18" x14ac:dyDescent="0.25">
      <c r="A2141" s="170">
        <v>45156</v>
      </c>
      <c r="B2141" s="116">
        <v>1409</v>
      </c>
      <c r="C2141" s="116">
        <v>1388.75</v>
      </c>
      <c r="D2141" s="116">
        <v>1386</v>
      </c>
      <c r="E2141" s="116">
        <v>1407.25</v>
      </c>
      <c r="F2141" s="116">
        <v>1388.75</v>
      </c>
      <c r="G2141">
        <v>770205</v>
      </c>
      <c r="H2141" s="116"/>
      <c r="I2141" s="116"/>
      <c r="L2141" s="170">
        <v>45156</v>
      </c>
      <c r="M2141" s="116">
        <v>1388.8</v>
      </c>
      <c r="N2141" s="116">
        <v>1408.7</v>
      </c>
      <c r="O2141" s="116">
        <v>1386.15</v>
      </c>
      <c r="P2141" s="116">
        <v>1403.7</v>
      </c>
      <c r="Q2141" s="116">
        <v>1388.8</v>
      </c>
      <c r="R2141">
        <v>5134103</v>
      </c>
    </row>
    <row r="2142" spans="1:18" x14ac:dyDescent="0.25">
      <c r="A2142" s="170">
        <v>45159</v>
      </c>
      <c r="B2142" s="116">
        <v>1406.6</v>
      </c>
      <c r="C2142" s="116">
        <v>1404.9</v>
      </c>
      <c r="D2142" s="116">
        <v>1388</v>
      </c>
      <c r="E2142" s="116">
        <v>1388.8</v>
      </c>
      <c r="F2142" s="116">
        <v>1404.9</v>
      </c>
      <c r="G2142">
        <v>140397</v>
      </c>
      <c r="H2142" s="116"/>
      <c r="I2142" s="116"/>
      <c r="L2142" s="170">
        <v>45159</v>
      </c>
      <c r="M2142" s="116">
        <v>1405.4</v>
      </c>
      <c r="N2142" s="116">
        <v>1407</v>
      </c>
      <c r="O2142" s="116">
        <v>1387.15</v>
      </c>
      <c r="P2142" s="116">
        <v>1389.75</v>
      </c>
      <c r="Q2142" s="116">
        <v>1405.4</v>
      </c>
      <c r="R2142">
        <v>3032722</v>
      </c>
    </row>
    <row r="2143" spans="1:18" x14ac:dyDescent="0.25">
      <c r="A2143" s="170">
        <v>45160</v>
      </c>
      <c r="B2143" s="116">
        <v>1406.15</v>
      </c>
      <c r="C2143" s="116">
        <v>1403.8</v>
      </c>
      <c r="D2143" s="116">
        <v>1396.45</v>
      </c>
      <c r="E2143" s="116">
        <v>1405.1</v>
      </c>
      <c r="F2143" s="116">
        <v>1403.8</v>
      </c>
      <c r="G2143">
        <v>139490</v>
      </c>
      <c r="H2143" s="116"/>
      <c r="I2143" s="116"/>
      <c r="L2143" s="170">
        <v>45160</v>
      </c>
      <c r="M2143" s="116">
        <v>1403.75</v>
      </c>
      <c r="N2143" s="116">
        <v>1406.05</v>
      </c>
      <c r="O2143" s="116">
        <v>1396.65</v>
      </c>
      <c r="P2143" s="116">
        <v>1404.7</v>
      </c>
      <c r="Q2143" s="116">
        <v>1403.75</v>
      </c>
      <c r="R2143">
        <v>2890714</v>
      </c>
    </row>
    <row r="2144" spans="1:18" x14ac:dyDescent="0.25">
      <c r="A2144" s="170">
        <v>45161</v>
      </c>
      <c r="B2144" s="116">
        <v>1415</v>
      </c>
      <c r="C2144" s="116">
        <v>1407.7</v>
      </c>
      <c r="D2144" s="116">
        <v>1405.1</v>
      </c>
      <c r="E2144" s="116">
        <v>1411.2</v>
      </c>
      <c r="F2144" s="116">
        <v>1407.7</v>
      </c>
      <c r="G2144">
        <v>212370</v>
      </c>
      <c r="H2144" s="116"/>
      <c r="I2144" s="116"/>
      <c r="L2144" s="170">
        <v>45161</v>
      </c>
      <c r="M2144" s="116">
        <v>1407.95</v>
      </c>
      <c r="N2144" s="116">
        <v>1416.6</v>
      </c>
      <c r="O2144" s="116">
        <v>1405.65</v>
      </c>
      <c r="P2144" s="116">
        <v>1416</v>
      </c>
      <c r="Q2144" s="116">
        <v>1407.95</v>
      </c>
      <c r="R2144">
        <v>2559125</v>
      </c>
    </row>
    <row r="2145" spans="1:18" x14ac:dyDescent="0.25">
      <c r="A2145" s="170">
        <v>45162</v>
      </c>
      <c r="B2145" s="116">
        <v>1425.25</v>
      </c>
      <c r="C2145" s="116">
        <v>1424.5</v>
      </c>
      <c r="D2145" s="116">
        <v>1414.4</v>
      </c>
      <c r="E2145" s="116">
        <v>1418.65</v>
      </c>
      <c r="F2145" s="116">
        <v>1424.5</v>
      </c>
      <c r="G2145">
        <v>254317</v>
      </c>
      <c r="H2145" s="116"/>
      <c r="I2145" s="116"/>
      <c r="L2145" s="170">
        <v>45162</v>
      </c>
      <c r="M2145" s="116">
        <v>1423.6</v>
      </c>
      <c r="N2145" s="116">
        <v>1425.05</v>
      </c>
      <c r="O2145" s="116">
        <v>1414.45</v>
      </c>
      <c r="P2145" s="116">
        <v>1421.5</v>
      </c>
      <c r="Q2145" s="116">
        <v>1423.6</v>
      </c>
      <c r="R2145">
        <v>5171963</v>
      </c>
    </row>
    <row r="2146" spans="1:18" x14ac:dyDescent="0.25">
      <c r="A2146" s="170">
        <v>45163</v>
      </c>
      <c r="B2146" s="116">
        <v>1423.15</v>
      </c>
      <c r="C2146" s="116">
        <v>1420.55</v>
      </c>
      <c r="D2146" s="116">
        <v>1411.6</v>
      </c>
      <c r="E2146" s="116">
        <v>1412.2</v>
      </c>
      <c r="F2146" s="116">
        <v>1420.55</v>
      </c>
      <c r="G2146">
        <v>1001111</v>
      </c>
      <c r="H2146" s="116"/>
      <c r="I2146" s="116"/>
      <c r="L2146" s="170">
        <v>45163</v>
      </c>
      <c r="M2146" s="116">
        <v>1420.1</v>
      </c>
      <c r="N2146" s="116">
        <v>1422.5</v>
      </c>
      <c r="O2146" s="116">
        <v>1411.4</v>
      </c>
      <c r="P2146" s="116">
        <v>1413</v>
      </c>
      <c r="Q2146" s="116">
        <v>1420.1</v>
      </c>
      <c r="R2146">
        <v>4307172</v>
      </c>
    </row>
    <row r="2147" spans="1:18" x14ac:dyDescent="0.25">
      <c r="A2147" s="170">
        <v>45166</v>
      </c>
      <c r="B2147" s="116">
        <v>1424</v>
      </c>
      <c r="C2147" s="116">
        <v>1415.85</v>
      </c>
      <c r="D2147" s="116">
        <v>1411.5</v>
      </c>
      <c r="E2147" s="116">
        <v>1416.05</v>
      </c>
      <c r="F2147" s="116">
        <v>1415.85</v>
      </c>
      <c r="G2147">
        <v>258539</v>
      </c>
      <c r="H2147" s="116"/>
      <c r="I2147" s="116"/>
      <c r="L2147" s="170">
        <v>45166</v>
      </c>
      <c r="M2147" s="116">
        <v>1415.65</v>
      </c>
      <c r="N2147" s="116">
        <v>1424.8</v>
      </c>
      <c r="O2147" s="116">
        <v>1411.4</v>
      </c>
      <c r="P2147" s="116">
        <v>1420.1</v>
      </c>
      <c r="Q2147" s="116">
        <v>1415.65</v>
      </c>
      <c r="R2147">
        <v>3133464</v>
      </c>
    </row>
    <row r="2148" spans="1:18" x14ac:dyDescent="0.25">
      <c r="A2148" s="170">
        <v>45167</v>
      </c>
      <c r="B2148" s="116">
        <v>1424.4</v>
      </c>
      <c r="C2148" s="116">
        <v>1418.2</v>
      </c>
      <c r="D2148" s="116">
        <v>1415.2</v>
      </c>
      <c r="E2148" s="116">
        <v>1420</v>
      </c>
      <c r="F2148" s="116">
        <v>1418.2</v>
      </c>
      <c r="G2148">
        <v>245788</v>
      </c>
      <c r="H2148" s="116"/>
      <c r="I2148" s="116"/>
      <c r="L2148" s="170">
        <v>45167</v>
      </c>
      <c r="M2148" s="116">
        <v>1417.65</v>
      </c>
      <c r="N2148" s="116">
        <v>1424.4</v>
      </c>
      <c r="O2148" s="116">
        <v>1415.3</v>
      </c>
      <c r="P2148" s="116">
        <v>1424</v>
      </c>
      <c r="Q2148" s="116">
        <v>1417.65</v>
      </c>
      <c r="R2148">
        <v>3074444</v>
      </c>
    </row>
    <row r="2149" spans="1:18" x14ac:dyDescent="0.25">
      <c r="A2149" s="170">
        <v>45168</v>
      </c>
      <c r="B2149" s="116">
        <v>1436.4</v>
      </c>
      <c r="C2149" s="116">
        <v>1435.05</v>
      </c>
      <c r="D2149" s="116">
        <v>1419.25</v>
      </c>
      <c r="E2149" s="116">
        <v>1419.25</v>
      </c>
      <c r="F2149" s="116">
        <v>1435.05</v>
      </c>
      <c r="G2149">
        <v>354490</v>
      </c>
      <c r="H2149" s="116"/>
      <c r="I2149" s="116"/>
      <c r="L2149" s="170">
        <v>45168</v>
      </c>
      <c r="M2149" s="116">
        <v>1435.15</v>
      </c>
      <c r="N2149" s="116">
        <v>1436.65</v>
      </c>
      <c r="O2149" s="116">
        <v>1424</v>
      </c>
      <c r="P2149" s="116">
        <v>1427</v>
      </c>
      <c r="Q2149" s="116">
        <v>1435.15</v>
      </c>
      <c r="R2149">
        <v>3070887</v>
      </c>
    </row>
    <row r="2150" spans="1:18" x14ac:dyDescent="0.25">
      <c r="A2150" s="170">
        <v>45169</v>
      </c>
      <c r="B2150" s="116">
        <v>1444.9</v>
      </c>
      <c r="C2150" s="116">
        <v>1434.1</v>
      </c>
      <c r="D2150" s="116">
        <v>1429.2</v>
      </c>
      <c r="E2150" s="116">
        <v>1436</v>
      </c>
      <c r="F2150" s="116">
        <v>1434.1</v>
      </c>
      <c r="G2150">
        <v>178027</v>
      </c>
      <c r="H2150" s="116"/>
      <c r="I2150" s="116"/>
      <c r="L2150" s="170">
        <v>45169</v>
      </c>
      <c r="M2150" s="116">
        <v>1435.45</v>
      </c>
      <c r="N2150" s="116">
        <v>1444.9</v>
      </c>
      <c r="O2150" s="116">
        <v>1428.65</v>
      </c>
      <c r="P2150" s="116">
        <v>1435.15</v>
      </c>
      <c r="Q2150" s="116">
        <v>1435.45</v>
      </c>
      <c r="R2150">
        <v>9792735</v>
      </c>
    </row>
    <row r="2151" spans="1:18" x14ac:dyDescent="0.25">
      <c r="A2151" s="170">
        <v>45170</v>
      </c>
      <c r="B2151" s="116">
        <v>1446.6</v>
      </c>
      <c r="C2151" s="116">
        <v>1443.05</v>
      </c>
      <c r="D2151" s="116">
        <v>1427.45</v>
      </c>
      <c r="E2151" s="116">
        <v>1430.05</v>
      </c>
      <c r="F2151" s="116">
        <v>1443.05</v>
      </c>
      <c r="G2151">
        <v>673174</v>
      </c>
      <c r="H2151" s="116"/>
      <c r="I2151" s="116"/>
      <c r="L2151" s="170">
        <v>45170</v>
      </c>
      <c r="M2151" s="116">
        <v>1443.85</v>
      </c>
      <c r="N2151" s="116">
        <v>1446</v>
      </c>
      <c r="O2151" s="116">
        <v>1428.2</v>
      </c>
      <c r="P2151" s="116">
        <v>1430.95</v>
      </c>
      <c r="Q2151" s="116">
        <v>1443.85</v>
      </c>
      <c r="R2151">
        <v>3582133</v>
      </c>
    </row>
    <row r="2152" spans="1:18" x14ac:dyDescent="0.25">
      <c r="A2152" s="170">
        <v>45173</v>
      </c>
      <c r="B2152" s="116">
        <v>1469</v>
      </c>
      <c r="C2152" s="116">
        <v>1464.65</v>
      </c>
      <c r="D2152" s="116">
        <v>1435.35</v>
      </c>
      <c r="E2152" s="116">
        <v>1443</v>
      </c>
      <c r="F2152" s="116">
        <v>1464.65</v>
      </c>
      <c r="G2152">
        <v>218816</v>
      </c>
      <c r="H2152" s="116"/>
      <c r="I2152" s="116"/>
      <c r="L2152" s="170">
        <v>45173</v>
      </c>
      <c r="M2152" s="116">
        <v>1465.1</v>
      </c>
      <c r="N2152" s="116">
        <v>1470</v>
      </c>
      <c r="O2152" s="116">
        <v>1434.7</v>
      </c>
      <c r="P2152" s="116">
        <v>1443</v>
      </c>
      <c r="Q2152" s="116">
        <v>1465.1</v>
      </c>
      <c r="R2152">
        <v>4609014</v>
      </c>
    </row>
    <row r="2153" spans="1:18" x14ac:dyDescent="0.25">
      <c r="A2153" s="170">
        <v>45174</v>
      </c>
      <c r="B2153" s="116">
        <v>1480</v>
      </c>
      <c r="C2153" s="116">
        <v>1478.7</v>
      </c>
      <c r="D2153" s="116">
        <v>1456.85</v>
      </c>
      <c r="E2153" s="116">
        <v>1460.05</v>
      </c>
      <c r="F2153" s="116">
        <v>1478.7</v>
      </c>
      <c r="G2153">
        <v>127961</v>
      </c>
      <c r="H2153" s="116"/>
      <c r="I2153" s="116"/>
      <c r="L2153" s="170">
        <v>45174</v>
      </c>
      <c r="M2153" s="116">
        <v>1478.9</v>
      </c>
      <c r="N2153" s="116">
        <v>1480.05</v>
      </c>
      <c r="O2153" s="116">
        <v>1456.5</v>
      </c>
      <c r="P2153" s="116">
        <v>1465</v>
      </c>
      <c r="Q2153" s="116">
        <v>1478.9</v>
      </c>
      <c r="R2153">
        <v>5496840</v>
      </c>
    </row>
    <row r="2154" spans="1:18" x14ac:dyDescent="0.25">
      <c r="A2154" s="170">
        <v>45175</v>
      </c>
      <c r="B2154" s="116">
        <v>1482.45</v>
      </c>
      <c r="C2154" s="116">
        <v>1476.75</v>
      </c>
      <c r="D2154" s="116">
        <v>1463.7</v>
      </c>
      <c r="E2154" s="116">
        <v>1480.4</v>
      </c>
      <c r="F2154" s="116">
        <v>1476.75</v>
      </c>
      <c r="G2154">
        <v>76958</v>
      </c>
      <c r="H2154" s="116"/>
      <c r="I2154" s="116"/>
      <c r="L2154" s="170">
        <v>45175</v>
      </c>
      <c r="M2154" s="116">
        <v>1477.45</v>
      </c>
      <c r="N2154" s="116">
        <v>1482.9</v>
      </c>
      <c r="O2154" s="116">
        <v>1463.3</v>
      </c>
      <c r="P2154" s="116">
        <v>1481.9</v>
      </c>
      <c r="Q2154" s="116">
        <v>1477.45</v>
      </c>
      <c r="R2154">
        <v>5075786</v>
      </c>
    </row>
    <row r="2155" spans="1:18" x14ac:dyDescent="0.25">
      <c r="A2155" s="170">
        <v>45176</v>
      </c>
      <c r="B2155" s="116">
        <v>1472.7</v>
      </c>
      <c r="C2155" s="116">
        <v>1466</v>
      </c>
      <c r="D2155" s="116">
        <v>1462.2</v>
      </c>
      <c r="E2155" s="116">
        <v>1470.05</v>
      </c>
      <c r="F2155" s="116">
        <v>1466</v>
      </c>
      <c r="G2155">
        <v>60899</v>
      </c>
      <c r="H2155" s="116"/>
      <c r="I2155" s="116"/>
      <c r="L2155" s="170">
        <v>45176</v>
      </c>
      <c r="M2155" s="116">
        <v>1466.2</v>
      </c>
      <c r="N2155" s="116">
        <v>1473.4</v>
      </c>
      <c r="O2155" s="116">
        <v>1462.05</v>
      </c>
      <c r="P2155" s="116">
        <v>1470.6</v>
      </c>
      <c r="Q2155" s="116">
        <v>1466.2</v>
      </c>
      <c r="R2155">
        <v>4411743</v>
      </c>
    </row>
    <row r="2156" spans="1:18" x14ac:dyDescent="0.25">
      <c r="A2156" s="170">
        <v>45177</v>
      </c>
      <c r="B2156" s="116">
        <v>1474.8</v>
      </c>
      <c r="C2156" s="116">
        <v>1469.65</v>
      </c>
      <c r="D2156" s="116">
        <v>1460.15</v>
      </c>
      <c r="E2156" s="116">
        <v>1460.25</v>
      </c>
      <c r="F2156" s="116">
        <v>1469.65</v>
      </c>
      <c r="G2156">
        <v>357811</v>
      </c>
      <c r="H2156" s="116"/>
      <c r="I2156" s="116"/>
      <c r="L2156" s="170">
        <v>45177</v>
      </c>
      <c r="M2156" s="116">
        <v>1469.6</v>
      </c>
      <c r="N2156" s="116">
        <v>1474.75</v>
      </c>
      <c r="O2156" s="116">
        <v>1460.2</v>
      </c>
      <c r="P2156" s="116">
        <v>1463.5</v>
      </c>
      <c r="Q2156" s="116">
        <v>1469.6</v>
      </c>
      <c r="R2156">
        <v>3125838</v>
      </c>
    </row>
    <row r="2157" spans="1:18" x14ac:dyDescent="0.25">
      <c r="A2157" s="170">
        <v>45180</v>
      </c>
      <c r="B2157" s="116">
        <v>1478.1</v>
      </c>
      <c r="C2157" s="116">
        <v>1476.35</v>
      </c>
      <c r="D2157" s="116">
        <v>1464.15</v>
      </c>
      <c r="E2157" s="116">
        <v>1469</v>
      </c>
      <c r="F2157" s="116">
        <v>1476.35</v>
      </c>
      <c r="G2157">
        <v>252135</v>
      </c>
      <c r="H2157" s="116"/>
      <c r="I2157" s="116"/>
      <c r="L2157" s="170">
        <v>45180</v>
      </c>
      <c r="M2157" s="116">
        <v>1476.45</v>
      </c>
      <c r="N2157" s="116">
        <v>1478.05</v>
      </c>
      <c r="O2157" s="116">
        <v>1464.5</v>
      </c>
      <c r="P2157" s="116">
        <v>1469.6</v>
      </c>
      <c r="Q2157" s="116">
        <v>1476.45</v>
      </c>
      <c r="R2157">
        <v>4182226</v>
      </c>
    </row>
    <row r="2158" spans="1:18" x14ac:dyDescent="0.25">
      <c r="A2158" s="170">
        <v>45181</v>
      </c>
      <c r="B2158" s="116">
        <v>1503.6</v>
      </c>
      <c r="C2158" s="116">
        <v>1500.8</v>
      </c>
      <c r="D2158" s="116">
        <v>1477.55</v>
      </c>
      <c r="E2158" s="116">
        <v>1478.05</v>
      </c>
      <c r="F2158" s="116">
        <v>1500.8</v>
      </c>
      <c r="G2158">
        <v>412470</v>
      </c>
      <c r="H2158" s="116"/>
      <c r="I2158" s="116"/>
      <c r="L2158" s="170">
        <v>45181</v>
      </c>
      <c r="M2158" s="116">
        <v>1501.1</v>
      </c>
      <c r="N2158" s="116">
        <v>1504</v>
      </c>
      <c r="O2158" s="116">
        <v>1477.1</v>
      </c>
      <c r="P2158" s="116">
        <v>1482.5</v>
      </c>
      <c r="Q2158" s="116">
        <v>1501.1</v>
      </c>
      <c r="R2158">
        <v>6793161</v>
      </c>
    </row>
    <row r="2159" spans="1:18" x14ac:dyDescent="0.25">
      <c r="A2159" s="170">
        <v>45182</v>
      </c>
      <c r="B2159" s="116">
        <v>1505.35</v>
      </c>
      <c r="C2159" s="116">
        <v>1496.95</v>
      </c>
      <c r="D2159" s="116">
        <v>1488.5</v>
      </c>
      <c r="E2159" s="116">
        <v>1504.2</v>
      </c>
      <c r="F2159" s="116">
        <v>1496.95</v>
      </c>
      <c r="G2159">
        <v>96832</v>
      </c>
      <c r="H2159" s="116"/>
      <c r="I2159" s="116"/>
      <c r="L2159" s="170">
        <v>45182</v>
      </c>
      <c r="M2159" s="116">
        <v>1498.35</v>
      </c>
      <c r="N2159" s="116">
        <v>1505</v>
      </c>
      <c r="O2159" s="116">
        <v>1488.65</v>
      </c>
      <c r="P2159" s="116">
        <v>1505</v>
      </c>
      <c r="Q2159" s="116">
        <v>1498.35</v>
      </c>
      <c r="R2159">
        <v>4804686</v>
      </c>
    </row>
    <row r="2160" spans="1:18" x14ac:dyDescent="0.25">
      <c r="A2160" s="170">
        <v>45183</v>
      </c>
      <c r="B2160" s="116">
        <v>1512.75</v>
      </c>
      <c r="C2160" s="116">
        <v>1506.75</v>
      </c>
      <c r="D2160" s="116">
        <v>1499.55</v>
      </c>
      <c r="E2160" s="116">
        <v>1502.6</v>
      </c>
      <c r="F2160" s="116">
        <v>1506.75</v>
      </c>
      <c r="G2160">
        <v>72074</v>
      </c>
      <c r="H2160" s="116"/>
      <c r="I2160" s="116"/>
      <c r="L2160" s="170">
        <v>45183</v>
      </c>
      <c r="M2160" s="116">
        <v>1506.95</v>
      </c>
      <c r="N2160" s="116">
        <v>1512.55</v>
      </c>
      <c r="O2160" s="116">
        <v>1499.15</v>
      </c>
      <c r="P2160" s="116">
        <v>1505</v>
      </c>
      <c r="Q2160" s="116">
        <v>1506.95</v>
      </c>
      <c r="R2160">
        <v>6444213</v>
      </c>
    </row>
    <row r="2161" spans="1:18" x14ac:dyDescent="0.25">
      <c r="A2161" s="170">
        <v>45184</v>
      </c>
      <c r="B2161" s="116">
        <v>1519.3</v>
      </c>
      <c r="C2161" s="116">
        <v>1512.25</v>
      </c>
      <c r="D2161" s="116">
        <v>1509.1</v>
      </c>
      <c r="E2161" s="116">
        <v>1515.35</v>
      </c>
      <c r="F2161" s="116">
        <v>1512.25</v>
      </c>
      <c r="G2161">
        <v>106320</v>
      </c>
      <c r="H2161" s="116"/>
      <c r="I2161" s="116"/>
      <c r="L2161" s="170">
        <v>45184</v>
      </c>
      <c r="M2161" s="116">
        <v>1511.6</v>
      </c>
      <c r="N2161" s="116">
        <v>1518.4</v>
      </c>
      <c r="O2161" s="116">
        <v>1509</v>
      </c>
      <c r="P2161" s="116">
        <v>1518</v>
      </c>
      <c r="Q2161" s="116">
        <v>1511.6</v>
      </c>
      <c r="R2161">
        <v>8657816</v>
      </c>
    </row>
    <row r="2162" spans="1:18" x14ac:dyDescent="0.25">
      <c r="A2162" s="170">
        <v>45187</v>
      </c>
      <c r="B2162" s="116">
        <v>1505</v>
      </c>
      <c r="C2162" s="116">
        <v>1491.1</v>
      </c>
      <c r="D2162" s="116">
        <v>1485</v>
      </c>
      <c r="E2162" s="116">
        <v>1505</v>
      </c>
      <c r="F2162" s="116">
        <v>1491.1</v>
      </c>
      <c r="G2162">
        <v>244724</v>
      </c>
      <c r="H2162" s="116"/>
      <c r="I2162" s="116"/>
      <c r="L2162" s="170">
        <v>45187</v>
      </c>
      <c r="M2162" s="116">
        <v>1491.8</v>
      </c>
      <c r="N2162" s="116">
        <v>1504.9</v>
      </c>
      <c r="O2162" s="116">
        <v>1488</v>
      </c>
      <c r="P2162" s="116">
        <v>1504.9</v>
      </c>
      <c r="Q2162" s="116">
        <v>1491.8</v>
      </c>
      <c r="R2162">
        <v>3991916</v>
      </c>
    </row>
    <row r="2163" spans="1:18" x14ac:dyDescent="0.25">
      <c r="A2163" s="170">
        <v>45189</v>
      </c>
      <c r="B2163" s="116">
        <v>1495</v>
      </c>
      <c r="C2163" s="116">
        <v>1490</v>
      </c>
      <c r="D2163" s="116">
        <v>1477.35</v>
      </c>
      <c r="E2163" s="116">
        <v>1480</v>
      </c>
      <c r="F2163" s="116">
        <v>1490</v>
      </c>
      <c r="G2163">
        <v>213322</v>
      </c>
      <c r="H2163" s="116"/>
      <c r="I2163" s="116"/>
      <c r="L2163" s="170">
        <v>45189</v>
      </c>
      <c r="M2163" s="116">
        <v>1490.25</v>
      </c>
      <c r="N2163" s="116">
        <v>1495.1</v>
      </c>
      <c r="O2163" s="116">
        <v>1476.2</v>
      </c>
      <c r="P2163" s="116">
        <v>1476.2</v>
      </c>
      <c r="Q2163" s="116">
        <v>1490.25</v>
      </c>
      <c r="R2163">
        <v>4169337</v>
      </c>
    </row>
    <row r="2164" spans="1:18" x14ac:dyDescent="0.25">
      <c r="A2164" s="170">
        <v>45190</v>
      </c>
      <c r="B2164" s="116">
        <v>1503.95</v>
      </c>
      <c r="C2164" s="116">
        <v>1501.85</v>
      </c>
      <c r="D2164" s="116">
        <v>1476.1</v>
      </c>
      <c r="E2164" s="116">
        <v>1480.15</v>
      </c>
      <c r="F2164" s="116">
        <v>1501.85</v>
      </c>
      <c r="G2164">
        <v>99777</v>
      </c>
      <c r="H2164" s="116"/>
      <c r="I2164" s="116"/>
      <c r="L2164" s="170">
        <v>45190</v>
      </c>
      <c r="M2164" s="116">
        <v>1501.75</v>
      </c>
      <c r="N2164" s="116">
        <v>1504.55</v>
      </c>
      <c r="O2164" s="116">
        <v>1476</v>
      </c>
      <c r="P2164" s="116">
        <v>1486.55</v>
      </c>
      <c r="Q2164" s="116">
        <v>1501.75</v>
      </c>
      <c r="R2164">
        <v>6779195</v>
      </c>
    </row>
    <row r="2165" spans="1:18" x14ac:dyDescent="0.25">
      <c r="A2165" s="170">
        <v>45191</v>
      </c>
      <c r="B2165" s="116">
        <v>1506.7</v>
      </c>
      <c r="C2165" s="116">
        <v>1496</v>
      </c>
      <c r="D2165" s="116">
        <v>1485.9</v>
      </c>
      <c r="E2165" s="116">
        <v>1494.35</v>
      </c>
      <c r="F2165" s="116">
        <v>1496</v>
      </c>
      <c r="G2165">
        <v>411402</v>
      </c>
      <c r="H2165" s="116"/>
      <c r="I2165" s="116"/>
      <c r="L2165" s="170">
        <v>45191</v>
      </c>
      <c r="M2165" s="116">
        <v>1496.15</v>
      </c>
      <c r="N2165" s="116">
        <v>1506.95</v>
      </c>
      <c r="O2165" s="116">
        <v>1485.2</v>
      </c>
      <c r="P2165" s="116">
        <v>1491.9</v>
      </c>
      <c r="Q2165" s="116">
        <v>1496.15</v>
      </c>
      <c r="R2165">
        <v>5455613</v>
      </c>
    </row>
    <row r="2166" spans="1:18" x14ac:dyDescent="0.25">
      <c r="A2166" s="170">
        <v>45194</v>
      </c>
      <c r="B2166" s="116">
        <v>1494.95</v>
      </c>
      <c r="C2166" s="116">
        <v>1474.75</v>
      </c>
      <c r="D2166" s="116">
        <v>1471.65</v>
      </c>
      <c r="E2166" s="116">
        <v>1494.95</v>
      </c>
      <c r="F2166" s="116">
        <v>1474.75</v>
      </c>
      <c r="G2166">
        <v>438533</v>
      </c>
      <c r="H2166" s="116"/>
      <c r="I2166" s="116"/>
      <c r="L2166" s="170">
        <v>45194</v>
      </c>
      <c r="M2166" s="116">
        <v>1474.15</v>
      </c>
      <c r="N2166" s="116">
        <v>1489.85</v>
      </c>
      <c r="O2166" s="116">
        <v>1471.55</v>
      </c>
      <c r="P2166" s="116">
        <v>1489.85</v>
      </c>
      <c r="Q2166" s="116">
        <v>1474.15</v>
      </c>
      <c r="R2166">
        <v>4217863</v>
      </c>
    </row>
    <row r="2167" spans="1:18" x14ac:dyDescent="0.25">
      <c r="A2167" s="170">
        <v>45195</v>
      </c>
      <c r="B2167" s="116">
        <v>1480</v>
      </c>
      <c r="C2167" s="116">
        <v>1460.05</v>
      </c>
      <c r="D2167" s="116">
        <v>1458.7</v>
      </c>
      <c r="E2167" s="116">
        <v>1478.35</v>
      </c>
      <c r="F2167" s="116">
        <v>1460.05</v>
      </c>
      <c r="G2167">
        <v>218275</v>
      </c>
      <c r="H2167" s="116"/>
      <c r="I2167" s="116"/>
      <c r="L2167" s="170">
        <v>45195</v>
      </c>
      <c r="M2167" s="116">
        <v>1460.65</v>
      </c>
      <c r="N2167" s="116">
        <v>1479.9</v>
      </c>
      <c r="O2167" s="116">
        <v>1459</v>
      </c>
      <c r="P2167" s="116">
        <v>1479.15</v>
      </c>
      <c r="Q2167" s="116">
        <v>1460.65</v>
      </c>
      <c r="R2167">
        <v>3996528</v>
      </c>
    </row>
    <row r="2168" spans="1:18" x14ac:dyDescent="0.25">
      <c r="A2168" s="170">
        <v>45196</v>
      </c>
      <c r="B2168" s="116">
        <v>1469.4</v>
      </c>
      <c r="C2168" s="116">
        <v>1467.55</v>
      </c>
      <c r="D2168" s="116">
        <v>1450</v>
      </c>
      <c r="E2168" s="116">
        <v>1456.4</v>
      </c>
      <c r="F2168" s="116">
        <v>1467.55</v>
      </c>
      <c r="G2168">
        <v>262035</v>
      </c>
      <c r="H2168" s="116"/>
      <c r="I2168" s="116"/>
      <c r="L2168" s="170">
        <v>45196</v>
      </c>
      <c r="M2168" s="116">
        <v>1467</v>
      </c>
      <c r="N2168" s="116">
        <v>1469.6</v>
      </c>
      <c r="O2168" s="116">
        <v>1450.05</v>
      </c>
      <c r="P2168" s="116">
        <v>1456</v>
      </c>
      <c r="Q2168" s="116">
        <v>1467</v>
      </c>
      <c r="R2168">
        <v>3863586</v>
      </c>
    </row>
    <row r="2169" spans="1:18" x14ac:dyDescent="0.25">
      <c r="A2169" s="170">
        <v>45197</v>
      </c>
      <c r="B2169" s="116">
        <v>1472.35</v>
      </c>
      <c r="C2169" s="116">
        <v>1439.5</v>
      </c>
      <c r="D2169" s="116">
        <v>1435.2</v>
      </c>
      <c r="E2169" s="116">
        <v>1468.4</v>
      </c>
      <c r="F2169" s="116">
        <v>1439.5</v>
      </c>
      <c r="G2169">
        <v>187971</v>
      </c>
      <c r="H2169" s="116"/>
      <c r="I2169" s="116"/>
      <c r="L2169" s="170">
        <v>45197</v>
      </c>
      <c r="M2169" s="116">
        <v>1439.45</v>
      </c>
      <c r="N2169" s="116">
        <v>1472.6</v>
      </c>
      <c r="O2169" s="116">
        <v>1435</v>
      </c>
      <c r="P2169" s="116">
        <v>1467.9</v>
      </c>
      <c r="Q2169" s="116">
        <v>1439.45</v>
      </c>
      <c r="R2169">
        <v>5814602</v>
      </c>
    </row>
    <row r="2170" spans="1:18" x14ac:dyDescent="0.25">
      <c r="A2170" s="170">
        <v>45198</v>
      </c>
      <c r="B2170" s="116">
        <v>1447</v>
      </c>
      <c r="C2170" s="116">
        <v>1435.05</v>
      </c>
      <c r="D2170" s="116">
        <v>1416</v>
      </c>
      <c r="E2170" s="116">
        <v>1434.95</v>
      </c>
      <c r="F2170" s="116">
        <v>1435.05</v>
      </c>
      <c r="G2170">
        <v>277715</v>
      </c>
      <c r="H2170" s="116"/>
      <c r="I2170" s="116"/>
      <c r="L2170" s="170">
        <v>45198</v>
      </c>
      <c r="M2170" s="116">
        <v>1435.45</v>
      </c>
      <c r="N2170" s="116">
        <v>1446.8</v>
      </c>
      <c r="O2170" s="116">
        <v>1416</v>
      </c>
      <c r="P2170" s="116">
        <v>1432.1</v>
      </c>
      <c r="Q2170" s="116">
        <v>1435.45</v>
      </c>
      <c r="R2170">
        <v>6068968</v>
      </c>
    </row>
    <row r="2171" spans="1:18" x14ac:dyDescent="0.25">
      <c r="A2171" s="170">
        <v>45202</v>
      </c>
      <c r="B2171" s="116">
        <v>1437.75</v>
      </c>
      <c r="C2171" s="116">
        <v>1433.6</v>
      </c>
      <c r="D2171" s="116">
        <v>1420.5</v>
      </c>
      <c r="E2171" s="116">
        <v>1435.1</v>
      </c>
      <c r="F2171" s="116">
        <v>1433.6</v>
      </c>
      <c r="G2171">
        <v>117423</v>
      </c>
      <c r="H2171" s="116"/>
      <c r="I2171" s="116"/>
      <c r="L2171" s="170">
        <v>45202</v>
      </c>
      <c r="M2171" s="116">
        <v>1434</v>
      </c>
      <c r="N2171" s="116">
        <v>1437</v>
      </c>
      <c r="O2171" s="116">
        <v>1420.3</v>
      </c>
      <c r="P2171" s="116">
        <v>1436.05</v>
      </c>
      <c r="Q2171" s="116">
        <v>1434</v>
      </c>
      <c r="R2171">
        <v>4181867</v>
      </c>
    </row>
    <row r="2172" spans="1:18" x14ac:dyDescent="0.25">
      <c r="A2172" s="170">
        <v>45203</v>
      </c>
      <c r="B2172" s="116">
        <v>1449</v>
      </c>
      <c r="C2172" s="116">
        <v>1445.25</v>
      </c>
      <c r="D2172" s="116">
        <v>1418.4</v>
      </c>
      <c r="E2172" s="116">
        <v>1427.95</v>
      </c>
      <c r="F2172" s="116">
        <v>1445.25</v>
      </c>
      <c r="G2172">
        <v>233556</v>
      </c>
      <c r="H2172" s="116"/>
      <c r="I2172" s="116"/>
      <c r="L2172" s="170">
        <v>45203</v>
      </c>
      <c r="M2172" s="116">
        <v>1444.35</v>
      </c>
      <c r="N2172" s="116">
        <v>1449.95</v>
      </c>
      <c r="O2172" s="116">
        <v>1418.2</v>
      </c>
      <c r="P2172" s="116">
        <v>1425</v>
      </c>
      <c r="Q2172" s="116">
        <v>1444.35</v>
      </c>
      <c r="R2172">
        <v>4510406</v>
      </c>
    </row>
    <row r="2173" spans="1:18" x14ac:dyDescent="0.25">
      <c r="A2173" s="170">
        <v>45204</v>
      </c>
      <c r="B2173" s="116">
        <v>1474.95</v>
      </c>
      <c r="C2173" s="116">
        <v>1462.45</v>
      </c>
      <c r="D2173" s="116">
        <v>1452.1</v>
      </c>
      <c r="E2173" s="116">
        <v>1452.1</v>
      </c>
      <c r="F2173" s="116">
        <v>1462.45</v>
      </c>
      <c r="G2173">
        <v>341800</v>
      </c>
      <c r="H2173" s="116"/>
      <c r="I2173" s="116"/>
      <c r="L2173" s="170">
        <v>45204</v>
      </c>
      <c r="M2173" s="116">
        <v>1463.45</v>
      </c>
      <c r="N2173" s="116">
        <v>1475.65</v>
      </c>
      <c r="O2173" s="116">
        <v>1450.2</v>
      </c>
      <c r="P2173" s="116">
        <v>1452</v>
      </c>
      <c r="Q2173" s="116">
        <v>1463.45</v>
      </c>
      <c r="R2173">
        <v>7384621</v>
      </c>
    </row>
    <row r="2174" spans="1:18" x14ac:dyDescent="0.25">
      <c r="A2174" s="170">
        <v>45205</v>
      </c>
      <c r="B2174" s="116">
        <v>1484.2</v>
      </c>
      <c r="C2174" s="116">
        <v>1478.55</v>
      </c>
      <c r="D2174" s="116">
        <v>1463.5</v>
      </c>
      <c r="E2174" s="116">
        <v>1467.8</v>
      </c>
      <c r="F2174" s="116">
        <v>1478.55</v>
      </c>
      <c r="G2174">
        <v>500258</v>
      </c>
      <c r="H2174" s="116"/>
      <c r="I2174" s="116"/>
      <c r="L2174" s="170">
        <v>45205</v>
      </c>
      <c r="M2174" s="116">
        <v>1478.7</v>
      </c>
      <c r="N2174" s="116">
        <v>1484.5</v>
      </c>
      <c r="O2174" s="116">
        <v>1463.3</v>
      </c>
      <c r="P2174" s="116">
        <v>1469.5</v>
      </c>
      <c r="Q2174" s="116">
        <v>1478.7</v>
      </c>
      <c r="R2174">
        <v>3598672</v>
      </c>
    </row>
    <row r="2175" spans="1:18" x14ac:dyDescent="0.25">
      <c r="A2175" s="170">
        <v>45208</v>
      </c>
      <c r="B2175" s="116">
        <v>1491</v>
      </c>
      <c r="C2175" s="116">
        <v>1474.6</v>
      </c>
      <c r="D2175" s="116">
        <v>1459.05</v>
      </c>
      <c r="E2175" s="116">
        <v>1459.05</v>
      </c>
      <c r="F2175" s="116">
        <v>1474.6</v>
      </c>
      <c r="G2175">
        <v>167685</v>
      </c>
      <c r="H2175" s="116"/>
      <c r="I2175" s="116"/>
      <c r="L2175" s="170">
        <v>45208</v>
      </c>
      <c r="M2175" s="116">
        <v>1475.45</v>
      </c>
      <c r="N2175" s="116">
        <v>1491</v>
      </c>
      <c r="O2175" s="116">
        <v>1462.2</v>
      </c>
      <c r="P2175" s="116">
        <v>1464.9</v>
      </c>
      <c r="Q2175" s="116">
        <v>1475.45</v>
      </c>
      <c r="R2175">
        <v>3567552</v>
      </c>
    </row>
    <row r="2176" spans="1:18" x14ac:dyDescent="0.25">
      <c r="A2176" s="170">
        <v>45209</v>
      </c>
      <c r="B2176" s="116">
        <v>1497</v>
      </c>
      <c r="C2176" s="116">
        <v>1495</v>
      </c>
      <c r="D2176" s="116">
        <v>1469</v>
      </c>
      <c r="E2176" s="116">
        <v>1482</v>
      </c>
      <c r="F2176" s="116">
        <v>1495</v>
      </c>
      <c r="G2176">
        <v>131128</v>
      </c>
      <c r="H2176" s="116"/>
      <c r="I2176" s="116"/>
      <c r="L2176" s="170">
        <v>45209</v>
      </c>
      <c r="M2176" s="116">
        <v>1495.15</v>
      </c>
      <c r="N2176" s="116">
        <v>1497</v>
      </c>
      <c r="O2176" s="116">
        <v>1469.1</v>
      </c>
      <c r="P2176" s="116">
        <v>1483.9</v>
      </c>
      <c r="Q2176" s="116">
        <v>1495.15</v>
      </c>
      <c r="R2176">
        <v>5688951</v>
      </c>
    </row>
    <row r="2177" spans="1:18" x14ac:dyDescent="0.25">
      <c r="A2177" s="170">
        <v>45210</v>
      </c>
      <c r="B2177" s="116">
        <v>1518.5</v>
      </c>
      <c r="C2177" s="116">
        <v>1493.65</v>
      </c>
      <c r="D2177" s="116">
        <v>1481.6</v>
      </c>
      <c r="E2177" s="116">
        <v>1497</v>
      </c>
      <c r="F2177" s="116">
        <v>1493.65</v>
      </c>
      <c r="G2177">
        <v>1643200</v>
      </c>
      <c r="H2177" s="116"/>
      <c r="I2177" s="116"/>
      <c r="L2177" s="170">
        <v>45210</v>
      </c>
      <c r="M2177" s="116">
        <v>1494.4</v>
      </c>
      <c r="N2177" s="116">
        <v>1518.25</v>
      </c>
      <c r="O2177" s="116">
        <v>1481.45</v>
      </c>
      <c r="P2177" s="116">
        <v>1497</v>
      </c>
      <c r="Q2177" s="116">
        <v>1494.4</v>
      </c>
      <c r="R2177">
        <v>7220129</v>
      </c>
    </row>
    <row r="2178" spans="1:18" x14ac:dyDescent="0.25">
      <c r="A2178" s="170">
        <v>45211</v>
      </c>
      <c r="B2178" s="116">
        <v>1504.5</v>
      </c>
      <c r="C2178" s="116">
        <v>1464.55</v>
      </c>
      <c r="D2178" s="116">
        <v>1452</v>
      </c>
      <c r="E2178" s="116">
        <v>1490.5</v>
      </c>
      <c r="F2178" s="116">
        <v>1464.55</v>
      </c>
      <c r="G2178">
        <v>192060</v>
      </c>
      <c r="H2178" s="116"/>
      <c r="I2178" s="116"/>
      <c r="L2178" s="170">
        <v>45211</v>
      </c>
      <c r="M2178" s="116">
        <v>1465.5</v>
      </c>
      <c r="N2178" s="116">
        <v>1504.4</v>
      </c>
      <c r="O2178" s="116">
        <v>1452</v>
      </c>
      <c r="P2178" s="116">
        <v>1491.9</v>
      </c>
      <c r="Q2178" s="116">
        <v>1465.5</v>
      </c>
      <c r="R2178">
        <v>11081662</v>
      </c>
    </row>
    <row r="2179" spans="1:18" x14ac:dyDescent="0.25">
      <c r="A2179" s="170">
        <v>45212</v>
      </c>
      <c r="B2179" s="116">
        <v>1437.55</v>
      </c>
      <c r="C2179" s="116">
        <v>1431.8</v>
      </c>
      <c r="D2179" s="116">
        <v>1402.1</v>
      </c>
      <c r="E2179" s="116">
        <v>1419.95</v>
      </c>
      <c r="F2179" s="116">
        <v>1431.8</v>
      </c>
      <c r="G2179">
        <v>1134685</v>
      </c>
      <c r="H2179" s="116"/>
      <c r="I2179" s="116"/>
      <c r="L2179" s="170">
        <v>45212</v>
      </c>
      <c r="M2179" s="116">
        <v>1431.15</v>
      </c>
      <c r="N2179" s="116">
        <v>1438</v>
      </c>
      <c r="O2179" s="116">
        <v>1400</v>
      </c>
      <c r="P2179" s="116">
        <v>1405</v>
      </c>
      <c r="Q2179" s="116">
        <v>1431.15</v>
      </c>
      <c r="R2179">
        <v>17973439</v>
      </c>
    </row>
    <row r="2180" spans="1:18" x14ac:dyDescent="0.25">
      <c r="A2180" s="170">
        <v>45215</v>
      </c>
      <c r="B2180" s="116">
        <v>1443.55</v>
      </c>
      <c r="C2180" s="116">
        <v>1434.45</v>
      </c>
      <c r="D2180" s="116">
        <v>1431</v>
      </c>
      <c r="E2180" s="116">
        <v>1431</v>
      </c>
      <c r="F2180" s="116">
        <v>1434.45</v>
      </c>
      <c r="G2180">
        <v>395607</v>
      </c>
      <c r="H2180" s="116"/>
      <c r="I2180" s="116"/>
      <c r="L2180" s="170">
        <v>45215</v>
      </c>
      <c r="M2180" s="116">
        <v>1434.15</v>
      </c>
      <c r="N2180" s="116">
        <v>1443.6</v>
      </c>
      <c r="O2180" s="116">
        <v>1430</v>
      </c>
      <c r="P2180" s="116">
        <v>1432.1</v>
      </c>
      <c r="Q2180" s="116">
        <v>1434.15</v>
      </c>
      <c r="R2180">
        <v>4850745</v>
      </c>
    </row>
    <row r="2181" spans="1:18" x14ac:dyDescent="0.25">
      <c r="A2181" s="170">
        <v>45216</v>
      </c>
      <c r="B2181" s="116">
        <v>1453.3</v>
      </c>
      <c r="C2181" s="116">
        <v>1442.7</v>
      </c>
      <c r="D2181" s="116">
        <v>1438.2</v>
      </c>
      <c r="E2181" s="116">
        <v>1441</v>
      </c>
      <c r="F2181" s="116">
        <v>1442.7</v>
      </c>
      <c r="G2181">
        <v>369838</v>
      </c>
      <c r="H2181" s="116"/>
      <c r="I2181" s="116"/>
      <c r="L2181" s="170">
        <v>45216</v>
      </c>
      <c r="M2181" s="116">
        <v>1442.45</v>
      </c>
      <c r="N2181" s="116">
        <v>1453.35</v>
      </c>
      <c r="O2181" s="116">
        <v>1438.05</v>
      </c>
      <c r="P2181" s="116">
        <v>1440.25</v>
      </c>
      <c r="Q2181" s="116">
        <v>1442.45</v>
      </c>
      <c r="R2181">
        <v>3923764</v>
      </c>
    </row>
    <row r="2182" spans="1:18" x14ac:dyDescent="0.25">
      <c r="A2182" s="170">
        <v>45217</v>
      </c>
      <c r="B2182" s="116">
        <v>1453.9</v>
      </c>
      <c r="C2182" s="116">
        <v>1440.75</v>
      </c>
      <c r="D2182" s="116">
        <v>1438.15</v>
      </c>
      <c r="E2182" s="116">
        <v>1442.85</v>
      </c>
      <c r="F2182" s="116">
        <v>1440.75</v>
      </c>
      <c r="G2182">
        <v>337880</v>
      </c>
      <c r="H2182" s="116"/>
      <c r="I2182" s="116"/>
      <c r="L2182" s="170">
        <v>45217</v>
      </c>
      <c r="M2182" s="116">
        <v>1440.55</v>
      </c>
      <c r="N2182" s="116">
        <v>1454</v>
      </c>
      <c r="O2182" s="116">
        <v>1438.35</v>
      </c>
      <c r="P2182" s="116">
        <v>1442</v>
      </c>
      <c r="Q2182" s="116">
        <v>1440.55</v>
      </c>
      <c r="R2182">
        <v>4264837</v>
      </c>
    </row>
    <row r="2183" spans="1:18" x14ac:dyDescent="0.25">
      <c r="A2183" s="170">
        <v>45218</v>
      </c>
      <c r="B2183" s="116">
        <v>1439.6</v>
      </c>
      <c r="C2183" s="116">
        <v>1433.45</v>
      </c>
      <c r="D2183" s="116">
        <v>1421</v>
      </c>
      <c r="E2183" s="116">
        <v>1427.9</v>
      </c>
      <c r="F2183" s="116">
        <v>1433.45</v>
      </c>
      <c r="G2183">
        <v>1052629</v>
      </c>
      <c r="H2183" s="116"/>
      <c r="I2183" s="116"/>
      <c r="L2183" s="170">
        <v>45218</v>
      </c>
      <c r="M2183" s="116">
        <v>1433.65</v>
      </c>
      <c r="N2183" s="116">
        <v>1439.65</v>
      </c>
      <c r="O2183" s="116">
        <v>1426.1</v>
      </c>
      <c r="P2183" s="116">
        <v>1426.1</v>
      </c>
      <c r="Q2183" s="116">
        <v>1433.65</v>
      </c>
      <c r="R2183">
        <v>6795691</v>
      </c>
    </row>
    <row r="2184" spans="1:18" x14ac:dyDescent="0.25">
      <c r="A2184" s="170">
        <v>45219</v>
      </c>
      <c r="B2184" s="116">
        <v>1438.3</v>
      </c>
      <c r="C2184" s="116">
        <v>1427.2</v>
      </c>
      <c r="D2184" s="116">
        <v>1424.8</v>
      </c>
      <c r="E2184" s="116">
        <v>1431.95</v>
      </c>
      <c r="F2184" s="116">
        <v>1427.2</v>
      </c>
      <c r="G2184">
        <v>583810</v>
      </c>
      <c r="H2184" s="116"/>
      <c r="I2184" s="116"/>
      <c r="L2184" s="170">
        <v>45219</v>
      </c>
      <c r="M2184" s="116">
        <v>1427.25</v>
      </c>
      <c r="N2184" s="116">
        <v>1438.5</v>
      </c>
      <c r="O2184" s="116">
        <v>1425.25</v>
      </c>
      <c r="P2184" s="116">
        <v>1430</v>
      </c>
      <c r="Q2184" s="116">
        <v>1427.25</v>
      </c>
      <c r="R2184">
        <v>3928622</v>
      </c>
    </row>
    <row r="2185" spans="1:18" x14ac:dyDescent="0.25">
      <c r="A2185" s="170">
        <v>45222</v>
      </c>
      <c r="B2185" s="116">
        <v>1432</v>
      </c>
      <c r="C2185" s="116">
        <v>1408.95</v>
      </c>
      <c r="D2185" s="116">
        <v>1405.35</v>
      </c>
      <c r="E2185" s="116">
        <v>1426.4</v>
      </c>
      <c r="F2185" s="116">
        <v>1408.95</v>
      </c>
      <c r="G2185">
        <v>75876</v>
      </c>
      <c r="H2185" s="116"/>
      <c r="I2185" s="116"/>
      <c r="L2185" s="170">
        <v>45222</v>
      </c>
      <c r="M2185" s="116">
        <v>1408.65</v>
      </c>
      <c r="N2185" s="116">
        <v>1432.35</v>
      </c>
      <c r="O2185" s="116">
        <v>1405.25</v>
      </c>
      <c r="P2185" s="116">
        <v>1425.6</v>
      </c>
      <c r="Q2185" s="116">
        <v>1408.65</v>
      </c>
      <c r="R2185">
        <v>2636516</v>
      </c>
    </row>
    <row r="2186" spans="1:18" x14ac:dyDescent="0.25">
      <c r="A2186" s="170">
        <v>45224</v>
      </c>
      <c r="B2186" s="116">
        <v>1402.85</v>
      </c>
      <c r="C2186" s="116">
        <v>1370.1</v>
      </c>
      <c r="D2186" s="116">
        <v>1362</v>
      </c>
      <c r="E2186" s="116">
        <v>1402.85</v>
      </c>
      <c r="F2186" s="116">
        <v>1370.1</v>
      </c>
      <c r="G2186">
        <v>315067</v>
      </c>
      <c r="H2186" s="116"/>
      <c r="I2186" s="116"/>
      <c r="L2186" s="170">
        <v>45224</v>
      </c>
      <c r="M2186" s="116">
        <v>1370.05</v>
      </c>
      <c r="N2186" s="116">
        <v>1402.55</v>
      </c>
      <c r="O2186" s="116">
        <v>1361.3</v>
      </c>
      <c r="P2186" s="116">
        <v>1399</v>
      </c>
      <c r="Q2186" s="116">
        <v>1370.05</v>
      </c>
      <c r="R2186">
        <v>6940777</v>
      </c>
    </row>
    <row r="2187" spans="1:18" x14ac:dyDescent="0.25">
      <c r="A2187" s="170">
        <v>45225</v>
      </c>
      <c r="B2187" s="116">
        <v>1374.45</v>
      </c>
      <c r="C2187" s="116">
        <v>1357.8</v>
      </c>
      <c r="D2187" s="116">
        <v>1353.85</v>
      </c>
      <c r="E2187" s="116">
        <v>1359.95</v>
      </c>
      <c r="F2187" s="116">
        <v>1357.8</v>
      </c>
      <c r="G2187">
        <v>659513</v>
      </c>
      <c r="H2187" s="116"/>
      <c r="I2187" s="116"/>
      <c r="L2187" s="170">
        <v>45225</v>
      </c>
      <c r="M2187" s="116">
        <v>1359.45</v>
      </c>
      <c r="N2187" s="116">
        <v>1374</v>
      </c>
      <c r="O2187" s="116">
        <v>1353.1</v>
      </c>
      <c r="P2187" s="116">
        <v>1355.05</v>
      </c>
      <c r="Q2187" s="116">
        <v>1359.45</v>
      </c>
      <c r="R2187">
        <v>6357656</v>
      </c>
    </row>
    <row r="2188" spans="1:18" x14ac:dyDescent="0.25">
      <c r="A2188" s="170">
        <v>45226</v>
      </c>
      <c r="B2188" s="116">
        <v>1385.55</v>
      </c>
      <c r="C2188" s="116">
        <v>1380.65</v>
      </c>
      <c r="D2188" s="116">
        <v>1364.9</v>
      </c>
      <c r="E2188" s="116">
        <v>1364.9</v>
      </c>
      <c r="F2188" s="116">
        <v>1380.65</v>
      </c>
      <c r="G2188">
        <v>375297</v>
      </c>
      <c r="H2188" s="116"/>
      <c r="I2188" s="116"/>
      <c r="L2188" s="170">
        <v>45226</v>
      </c>
      <c r="M2188" s="116">
        <v>1380.35</v>
      </c>
      <c r="N2188" s="116">
        <v>1385</v>
      </c>
      <c r="O2188" s="116">
        <v>1363.65</v>
      </c>
      <c r="P2188" s="116">
        <v>1363.65</v>
      </c>
      <c r="Q2188" s="116">
        <v>1380.35</v>
      </c>
      <c r="R2188">
        <v>4634358</v>
      </c>
    </row>
    <row r="2189" spans="1:18" x14ac:dyDescent="0.25">
      <c r="A2189" s="170">
        <v>45229</v>
      </c>
      <c r="B2189" s="116">
        <v>1380.65</v>
      </c>
      <c r="C2189" s="116">
        <v>1377.3</v>
      </c>
      <c r="D2189" s="116">
        <v>1362.9</v>
      </c>
      <c r="E2189" s="116">
        <v>1380.65</v>
      </c>
      <c r="F2189" s="116">
        <v>1377.3</v>
      </c>
      <c r="G2189">
        <v>100805</v>
      </c>
      <c r="H2189" s="116"/>
      <c r="I2189" s="116"/>
      <c r="L2189" s="170">
        <v>45229</v>
      </c>
      <c r="M2189" s="116">
        <v>1377.05</v>
      </c>
      <c r="N2189" s="116">
        <v>1380.35</v>
      </c>
      <c r="O2189" s="116">
        <v>1363.1</v>
      </c>
      <c r="P2189" s="116">
        <v>1380.35</v>
      </c>
      <c r="Q2189" s="116">
        <v>1377.05</v>
      </c>
      <c r="R2189">
        <v>2667696</v>
      </c>
    </row>
    <row r="2190" spans="1:18" x14ac:dyDescent="0.25">
      <c r="A2190" s="170">
        <v>45230</v>
      </c>
      <c r="B2190" s="116">
        <v>1381.8</v>
      </c>
      <c r="C2190" s="116">
        <v>1368.65</v>
      </c>
      <c r="D2190" s="116">
        <v>1362.7</v>
      </c>
      <c r="E2190" s="116">
        <v>1378.05</v>
      </c>
      <c r="F2190" s="116">
        <v>1368.65</v>
      </c>
      <c r="G2190">
        <v>128116</v>
      </c>
      <c r="H2190" s="116"/>
      <c r="I2190" s="116"/>
      <c r="L2190" s="170">
        <v>45230</v>
      </c>
      <c r="M2190" s="116">
        <v>1368.4</v>
      </c>
      <c r="N2190" s="116">
        <v>1381.15</v>
      </c>
      <c r="O2190" s="116">
        <v>1363</v>
      </c>
      <c r="P2190" s="116">
        <v>1379.95</v>
      </c>
      <c r="Q2190" s="116">
        <v>1368.4</v>
      </c>
      <c r="R2190">
        <v>3451595</v>
      </c>
    </row>
    <row r="2191" spans="1:18" x14ac:dyDescent="0.25">
      <c r="A2191" s="170">
        <v>45231</v>
      </c>
      <c r="B2191" s="116">
        <v>1375.65</v>
      </c>
      <c r="C2191" s="116">
        <v>1353.55</v>
      </c>
      <c r="D2191" s="116">
        <v>1352</v>
      </c>
      <c r="E2191" s="116">
        <v>1370.35</v>
      </c>
      <c r="F2191" s="116">
        <v>1353.55</v>
      </c>
      <c r="G2191">
        <v>314938</v>
      </c>
      <c r="H2191" s="116"/>
      <c r="I2191" s="116"/>
      <c r="L2191" s="170">
        <v>45231</v>
      </c>
      <c r="M2191" s="116">
        <v>1354.15</v>
      </c>
      <c r="N2191" s="116">
        <v>1377.45</v>
      </c>
      <c r="O2191" s="116">
        <v>1351.65</v>
      </c>
      <c r="P2191" s="116">
        <v>1373.05</v>
      </c>
      <c r="Q2191" s="116">
        <v>1354.15</v>
      </c>
      <c r="R2191">
        <v>3090672</v>
      </c>
    </row>
    <row r="2192" spans="1:18" x14ac:dyDescent="0.25">
      <c r="A2192" s="170">
        <v>45232</v>
      </c>
      <c r="B2192" s="116">
        <v>1375.8</v>
      </c>
      <c r="C2192" s="116">
        <v>1370.45</v>
      </c>
      <c r="D2192" s="116">
        <v>1361.6</v>
      </c>
      <c r="E2192" s="116">
        <v>1371.45</v>
      </c>
      <c r="F2192" s="116">
        <v>1370.45</v>
      </c>
      <c r="G2192">
        <v>301876</v>
      </c>
      <c r="H2192" s="116"/>
      <c r="I2192" s="116"/>
      <c r="L2192" s="170">
        <v>45232</v>
      </c>
      <c r="M2192" s="116">
        <v>1370.15</v>
      </c>
      <c r="N2192" s="116">
        <v>1376.3</v>
      </c>
      <c r="O2192" s="116">
        <v>1361.65</v>
      </c>
      <c r="P2192" s="116">
        <v>1370</v>
      </c>
      <c r="Q2192" s="116">
        <v>1370.15</v>
      </c>
      <c r="R2192">
        <v>3758060</v>
      </c>
    </row>
    <row r="2193" spans="1:18" x14ac:dyDescent="0.25">
      <c r="A2193" s="170">
        <v>45233</v>
      </c>
      <c r="B2193" s="116">
        <v>1392</v>
      </c>
      <c r="C2193" s="116">
        <v>1389.1</v>
      </c>
      <c r="D2193" s="116">
        <v>1375.1</v>
      </c>
      <c r="E2193" s="116">
        <v>1375.1</v>
      </c>
      <c r="F2193" s="116">
        <v>1389.1</v>
      </c>
      <c r="G2193">
        <v>691558</v>
      </c>
      <c r="H2193" s="116"/>
      <c r="I2193" s="116"/>
      <c r="L2193" s="170">
        <v>45233</v>
      </c>
      <c r="M2193" s="116">
        <v>1389.05</v>
      </c>
      <c r="N2193" s="116">
        <v>1392</v>
      </c>
      <c r="O2193" s="116">
        <v>1377.75</v>
      </c>
      <c r="P2193" s="116">
        <v>1380.05</v>
      </c>
      <c r="Q2193" s="116">
        <v>1389.05</v>
      </c>
      <c r="R2193">
        <v>3349045</v>
      </c>
    </row>
    <row r="2194" spans="1:18" x14ac:dyDescent="0.25">
      <c r="A2194" s="170">
        <v>45236</v>
      </c>
      <c r="B2194" s="116">
        <v>1406.35</v>
      </c>
      <c r="C2194" s="116">
        <v>1404</v>
      </c>
      <c r="D2194" s="116">
        <v>1390.55</v>
      </c>
      <c r="E2194" s="116">
        <v>1393.65</v>
      </c>
      <c r="F2194" s="116">
        <v>1404</v>
      </c>
      <c r="G2194">
        <v>298403</v>
      </c>
      <c r="H2194" s="116"/>
      <c r="I2194" s="116"/>
      <c r="L2194" s="170">
        <v>45236</v>
      </c>
      <c r="M2194" s="116">
        <v>1403.3</v>
      </c>
      <c r="N2194" s="116">
        <v>1407.25</v>
      </c>
      <c r="O2194" s="116">
        <v>1390.8</v>
      </c>
      <c r="P2194" s="116">
        <v>1393.9</v>
      </c>
      <c r="Q2194" s="116">
        <v>1403.3</v>
      </c>
      <c r="R2194">
        <v>2736381</v>
      </c>
    </row>
    <row r="2195" spans="1:18" x14ac:dyDescent="0.25">
      <c r="A2195" s="170">
        <v>45237</v>
      </c>
      <c r="B2195" s="116">
        <v>1405.85</v>
      </c>
      <c r="C2195" s="116">
        <v>1404.35</v>
      </c>
      <c r="D2195" s="116">
        <v>1395.3</v>
      </c>
      <c r="E2195" s="116">
        <v>1402.5</v>
      </c>
      <c r="F2195" s="116">
        <v>1404.35</v>
      </c>
      <c r="G2195">
        <v>101776</v>
      </c>
      <c r="H2195" s="116"/>
      <c r="I2195" s="116"/>
      <c r="L2195" s="170">
        <v>45237</v>
      </c>
      <c r="M2195" s="116">
        <v>1404.3</v>
      </c>
      <c r="N2195" s="116">
        <v>1405.9</v>
      </c>
      <c r="O2195" s="116">
        <v>1394.85</v>
      </c>
      <c r="P2195" s="116">
        <v>1400</v>
      </c>
      <c r="Q2195" s="116">
        <v>1404.3</v>
      </c>
      <c r="R2195">
        <v>2272209</v>
      </c>
    </row>
    <row r="2196" spans="1:18" x14ac:dyDescent="0.25">
      <c r="A2196" s="170">
        <v>45238</v>
      </c>
      <c r="B2196" s="116">
        <v>1415.05</v>
      </c>
      <c r="C2196" s="116">
        <v>1392.1</v>
      </c>
      <c r="D2196" s="116">
        <v>1386.75</v>
      </c>
      <c r="E2196" s="116">
        <v>1404.35</v>
      </c>
      <c r="F2196" s="116">
        <v>1392.1</v>
      </c>
      <c r="G2196">
        <v>340948</v>
      </c>
      <c r="H2196" s="116"/>
      <c r="I2196" s="116"/>
      <c r="L2196" s="170">
        <v>45238</v>
      </c>
      <c r="M2196" s="116">
        <v>1391</v>
      </c>
      <c r="N2196" s="116">
        <v>1405</v>
      </c>
      <c r="O2196" s="116">
        <v>1386.45</v>
      </c>
      <c r="P2196" s="116">
        <v>1405</v>
      </c>
      <c r="Q2196" s="116">
        <v>1391</v>
      </c>
      <c r="R2196">
        <v>3550635</v>
      </c>
    </row>
    <row r="2197" spans="1:18" x14ac:dyDescent="0.25">
      <c r="A2197" s="170">
        <v>45239</v>
      </c>
      <c r="B2197" s="116">
        <v>1395.25</v>
      </c>
      <c r="C2197" s="116">
        <v>1375.15</v>
      </c>
      <c r="D2197" s="116">
        <v>1370.3</v>
      </c>
      <c r="E2197" s="116">
        <v>1392.1</v>
      </c>
      <c r="F2197" s="116">
        <v>1375.15</v>
      </c>
      <c r="G2197">
        <v>568333</v>
      </c>
      <c r="H2197" s="116"/>
      <c r="I2197" s="116"/>
      <c r="L2197" s="170">
        <v>45239</v>
      </c>
      <c r="M2197" s="116">
        <v>1374.8</v>
      </c>
      <c r="N2197" s="116">
        <v>1397.5</v>
      </c>
      <c r="O2197" s="116">
        <v>1370.05</v>
      </c>
      <c r="P2197" s="116">
        <v>1395.9</v>
      </c>
      <c r="Q2197" s="116">
        <v>1374.8</v>
      </c>
      <c r="R2197">
        <v>5498051</v>
      </c>
    </row>
    <row r="2198" spans="1:18" x14ac:dyDescent="0.25">
      <c r="A2198" s="170">
        <v>45240</v>
      </c>
      <c r="B2198" s="116">
        <v>1373.2</v>
      </c>
      <c r="C2198" s="116">
        <v>1368.7</v>
      </c>
      <c r="D2198" s="116">
        <v>1361.2</v>
      </c>
      <c r="E2198" s="116">
        <v>1371</v>
      </c>
      <c r="F2198" s="116">
        <v>1368.7</v>
      </c>
      <c r="G2198">
        <v>477065</v>
      </c>
      <c r="H2198" s="116"/>
      <c r="I2198" s="116"/>
      <c r="L2198" s="170">
        <v>45240</v>
      </c>
      <c r="M2198" s="116">
        <v>1368.85</v>
      </c>
      <c r="N2198" s="116">
        <v>1373.15</v>
      </c>
      <c r="O2198" s="116">
        <v>1361</v>
      </c>
      <c r="P2198" s="116">
        <v>1369.95</v>
      </c>
      <c r="Q2198" s="116">
        <v>1368.85</v>
      </c>
      <c r="R2198">
        <v>2943649</v>
      </c>
    </row>
    <row r="2199" spans="1:18" x14ac:dyDescent="0.25">
      <c r="A2199" s="170">
        <v>45242</v>
      </c>
      <c r="B2199" s="116">
        <v>1389.5</v>
      </c>
      <c r="C2199" s="116">
        <v>1388.05</v>
      </c>
      <c r="D2199" s="116">
        <v>1378.25</v>
      </c>
      <c r="E2199" s="116">
        <v>1378.25</v>
      </c>
      <c r="F2199" s="116">
        <v>1388.05</v>
      </c>
      <c r="G2199">
        <v>27358</v>
      </c>
      <c r="H2199" s="116"/>
      <c r="I2199" s="116"/>
      <c r="L2199" s="170">
        <v>45242</v>
      </c>
      <c r="M2199" s="116">
        <v>1388.2</v>
      </c>
      <c r="N2199" s="116">
        <v>1389.1</v>
      </c>
      <c r="O2199" s="116">
        <v>1380.05</v>
      </c>
      <c r="P2199" s="116">
        <v>1380.05</v>
      </c>
      <c r="Q2199" s="116">
        <v>1388.2</v>
      </c>
      <c r="R2199">
        <v>572298</v>
      </c>
    </row>
    <row r="2200" spans="1:18" x14ac:dyDescent="0.25">
      <c r="A2200" s="170">
        <v>45243</v>
      </c>
      <c r="B2200" s="116">
        <v>1382.85</v>
      </c>
      <c r="C2200" s="116">
        <v>1374.15</v>
      </c>
      <c r="D2200" s="116">
        <v>1370.7</v>
      </c>
      <c r="E2200" s="116">
        <v>1378.6</v>
      </c>
      <c r="F2200" s="116">
        <v>1374.15</v>
      </c>
      <c r="G2200">
        <v>134432</v>
      </c>
      <c r="H2200" s="116"/>
      <c r="I2200" s="116"/>
      <c r="L2200" s="170">
        <v>45243</v>
      </c>
      <c r="M2200" s="116">
        <v>1373.55</v>
      </c>
      <c r="N2200" s="116">
        <v>1382.45</v>
      </c>
      <c r="O2200" s="116">
        <v>1370.85</v>
      </c>
      <c r="P2200" s="116">
        <v>1379.85</v>
      </c>
      <c r="Q2200" s="116">
        <v>1373.55</v>
      </c>
      <c r="R2200">
        <v>3462092</v>
      </c>
    </row>
    <row r="2201" spans="1:18" x14ac:dyDescent="0.25">
      <c r="A2201" s="170">
        <v>45245</v>
      </c>
      <c r="B2201" s="116">
        <v>1413.1</v>
      </c>
      <c r="C2201" s="116">
        <v>1411.15</v>
      </c>
      <c r="D2201" s="116">
        <v>1386.05</v>
      </c>
      <c r="E2201" s="116">
        <v>1386.05</v>
      </c>
      <c r="F2201" s="116">
        <v>1411.15</v>
      </c>
      <c r="G2201">
        <v>306197</v>
      </c>
      <c r="H2201" s="116"/>
      <c r="I2201" s="116"/>
      <c r="L2201" s="170">
        <v>45245</v>
      </c>
      <c r="M2201" s="116">
        <v>1410.5</v>
      </c>
      <c r="N2201" s="116">
        <v>1414</v>
      </c>
      <c r="O2201" s="116">
        <v>1393</v>
      </c>
      <c r="P2201" s="116">
        <v>1399</v>
      </c>
      <c r="Q2201" s="116">
        <v>1410.5</v>
      </c>
      <c r="R2201">
        <v>8551860</v>
      </c>
    </row>
    <row r="2202" spans="1:18" x14ac:dyDescent="0.25">
      <c r="A2202" s="170">
        <v>45246</v>
      </c>
      <c r="B2202" s="116">
        <v>1453.35</v>
      </c>
      <c r="C2202" s="116">
        <v>1443.9</v>
      </c>
      <c r="D2202" s="116">
        <v>1410.3</v>
      </c>
      <c r="E2202" s="116">
        <v>1411.35</v>
      </c>
      <c r="F2202" s="116">
        <v>1443.9</v>
      </c>
      <c r="G2202">
        <v>629062</v>
      </c>
      <c r="H2202" s="116"/>
      <c r="I2202" s="116"/>
      <c r="L2202" s="170">
        <v>45246</v>
      </c>
      <c r="M2202" s="116">
        <v>1444.9</v>
      </c>
      <c r="N2202" s="116">
        <v>1453.4</v>
      </c>
      <c r="O2202" s="116">
        <v>1410.6</v>
      </c>
      <c r="P2202" s="116">
        <v>1416.1</v>
      </c>
      <c r="Q2202" s="116">
        <v>1444.9</v>
      </c>
      <c r="R2202">
        <v>6673907</v>
      </c>
    </row>
    <row r="2203" spans="1:18" x14ac:dyDescent="0.25">
      <c r="A2203" s="170">
        <v>45247</v>
      </c>
      <c r="B2203" s="116">
        <v>1451</v>
      </c>
      <c r="C2203" s="116">
        <v>1437.65</v>
      </c>
      <c r="D2203" s="116">
        <v>1434.75</v>
      </c>
      <c r="E2203" s="116">
        <v>1442.95</v>
      </c>
      <c r="F2203" s="116">
        <v>1437.65</v>
      </c>
      <c r="G2203">
        <v>261502</v>
      </c>
      <c r="H2203" s="116"/>
      <c r="I2203" s="116"/>
      <c r="L2203" s="170">
        <v>45247</v>
      </c>
      <c r="M2203" s="116">
        <v>1437.55</v>
      </c>
      <c r="N2203" s="116">
        <v>1451</v>
      </c>
      <c r="O2203" s="116">
        <v>1435.05</v>
      </c>
      <c r="P2203" s="116">
        <v>1441.05</v>
      </c>
      <c r="Q2203" s="116">
        <v>1437.55</v>
      </c>
      <c r="R2203">
        <v>4901251</v>
      </c>
    </row>
    <row r="2204" spans="1:18" x14ac:dyDescent="0.25">
      <c r="A2204" s="170">
        <v>45250</v>
      </c>
      <c r="B2204" s="116">
        <v>1451.8</v>
      </c>
      <c r="C2204" s="116">
        <v>1436.3</v>
      </c>
      <c r="D2204" s="116">
        <v>1433.2</v>
      </c>
      <c r="E2204" s="116">
        <v>1438.15</v>
      </c>
      <c r="F2204" s="116">
        <v>1436.3</v>
      </c>
      <c r="G2204">
        <v>138667</v>
      </c>
      <c r="H2204" s="116"/>
      <c r="I2204" s="116"/>
      <c r="L2204" s="170">
        <v>45250</v>
      </c>
      <c r="M2204" s="116">
        <v>1436.6</v>
      </c>
      <c r="N2204" s="116">
        <v>1452</v>
      </c>
      <c r="O2204" s="116">
        <v>1433.65</v>
      </c>
      <c r="P2204" s="116">
        <v>1442</v>
      </c>
      <c r="Q2204" s="116">
        <v>1436.6</v>
      </c>
      <c r="R2204">
        <v>3584210</v>
      </c>
    </row>
    <row r="2205" spans="1:18" x14ac:dyDescent="0.25">
      <c r="A2205" s="170">
        <v>45251</v>
      </c>
      <c r="B2205" s="116">
        <v>1449</v>
      </c>
      <c r="C2205" s="116">
        <v>1439.4</v>
      </c>
      <c r="D2205" s="116">
        <v>1436.4</v>
      </c>
      <c r="E2205" s="116">
        <v>1441.05</v>
      </c>
      <c r="F2205" s="116">
        <v>1439.4</v>
      </c>
      <c r="G2205">
        <v>38090</v>
      </c>
      <c r="H2205" s="116"/>
      <c r="I2205" s="116"/>
      <c r="L2205" s="170">
        <v>45251</v>
      </c>
      <c r="M2205" s="116">
        <v>1439</v>
      </c>
      <c r="N2205" s="116">
        <v>1450</v>
      </c>
      <c r="O2205" s="116">
        <v>1436.75</v>
      </c>
      <c r="P2205" s="116">
        <v>1442</v>
      </c>
      <c r="Q2205" s="116">
        <v>1439</v>
      </c>
      <c r="R2205">
        <v>3793135</v>
      </c>
    </row>
    <row r="2206" spans="1:18" x14ac:dyDescent="0.25">
      <c r="A2206" s="170">
        <v>45252</v>
      </c>
      <c r="B2206" s="116">
        <v>1459</v>
      </c>
      <c r="C2206" s="116">
        <v>1457.7</v>
      </c>
      <c r="D2206" s="116">
        <v>1431.05</v>
      </c>
      <c r="E2206" s="116">
        <v>1431.05</v>
      </c>
      <c r="F2206" s="116">
        <v>1457.7</v>
      </c>
      <c r="G2206">
        <v>228307</v>
      </c>
      <c r="H2206" s="116"/>
      <c r="I2206" s="116"/>
      <c r="L2206" s="170">
        <v>45252</v>
      </c>
      <c r="M2206" s="116">
        <v>1457.8</v>
      </c>
      <c r="N2206" s="116">
        <v>1458.95</v>
      </c>
      <c r="O2206" s="116">
        <v>1436.2</v>
      </c>
      <c r="P2206" s="116">
        <v>1436.2</v>
      </c>
      <c r="Q2206" s="116">
        <v>1457.8</v>
      </c>
      <c r="R2206">
        <v>3108786</v>
      </c>
    </row>
    <row r="2207" spans="1:18" x14ac:dyDescent="0.25">
      <c r="A2207" s="170">
        <v>45253</v>
      </c>
      <c r="B2207" s="116">
        <v>1465.95</v>
      </c>
      <c r="C2207" s="116">
        <v>1449.75</v>
      </c>
      <c r="D2207" s="116">
        <v>1448</v>
      </c>
      <c r="E2207" s="116">
        <v>1465</v>
      </c>
      <c r="F2207" s="116">
        <v>1449.75</v>
      </c>
      <c r="G2207">
        <v>155331</v>
      </c>
      <c r="H2207" s="116"/>
      <c r="I2207" s="116"/>
      <c r="L2207" s="170">
        <v>45253</v>
      </c>
      <c r="M2207" s="116">
        <v>1449.25</v>
      </c>
      <c r="N2207" s="116">
        <v>1467.9</v>
      </c>
      <c r="O2207" s="116">
        <v>1447.7</v>
      </c>
      <c r="P2207" s="116">
        <v>1467.9</v>
      </c>
      <c r="Q2207" s="116">
        <v>1449.25</v>
      </c>
      <c r="R2207">
        <v>3186928</v>
      </c>
    </row>
    <row r="2208" spans="1:18" x14ac:dyDescent="0.25">
      <c r="A2208" s="170">
        <v>45254</v>
      </c>
      <c r="B2208" s="116">
        <v>1452.6</v>
      </c>
      <c r="C2208" s="116">
        <v>1436.95</v>
      </c>
      <c r="D2208" s="116">
        <v>1433.65</v>
      </c>
      <c r="E2208" s="116">
        <v>1443.45</v>
      </c>
      <c r="F2208" s="116">
        <v>1436.95</v>
      </c>
      <c r="G2208">
        <v>365783</v>
      </c>
      <c r="H2208" s="116"/>
      <c r="I2208" s="116"/>
      <c r="L2208" s="170">
        <v>45254</v>
      </c>
      <c r="M2208" s="116">
        <v>1437.4</v>
      </c>
      <c r="N2208" s="116">
        <v>1452.65</v>
      </c>
      <c r="O2208" s="116">
        <v>1433.85</v>
      </c>
      <c r="P2208" s="116">
        <v>1445.55</v>
      </c>
      <c r="Q2208" s="116">
        <v>1437.4</v>
      </c>
      <c r="R2208">
        <v>2973195</v>
      </c>
    </row>
    <row r="2209" spans="1:18" x14ac:dyDescent="0.25">
      <c r="A2209" s="170">
        <v>45258</v>
      </c>
      <c r="B2209" s="116">
        <v>1445.35</v>
      </c>
      <c r="C2209" s="116">
        <v>1443.05</v>
      </c>
      <c r="D2209" s="116">
        <v>1427.5</v>
      </c>
      <c r="E2209" s="116">
        <v>1444</v>
      </c>
      <c r="F2209" s="116">
        <v>1443.05</v>
      </c>
      <c r="G2209">
        <v>49263</v>
      </c>
      <c r="H2209" s="116"/>
      <c r="I2209" s="116"/>
      <c r="L2209" s="170">
        <v>45258</v>
      </c>
      <c r="M2209" s="116">
        <v>1442.7</v>
      </c>
      <c r="N2209" s="116">
        <v>1445</v>
      </c>
      <c r="O2209" s="116">
        <v>1427.05</v>
      </c>
      <c r="P2209" s="116">
        <v>1444</v>
      </c>
      <c r="Q2209" s="116">
        <v>1442.7</v>
      </c>
      <c r="R2209">
        <v>3755373</v>
      </c>
    </row>
    <row r="2210" spans="1:18" x14ac:dyDescent="0.25">
      <c r="A2210" s="170">
        <v>45259</v>
      </c>
      <c r="B2210" s="116">
        <v>1459.95</v>
      </c>
      <c r="C2210" s="116">
        <v>1459.1</v>
      </c>
      <c r="D2210" s="116">
        <v>1448.25</v>
      </c>
      <c r="E2210" s="116">
        <v>1448.25</v>
      </c>
      <c r="F2210" s="116">
        <v>1459.1</v>
      </c>
      <c r="G2210">
        <v>239199</v>
      </c>
      <c r="H2210" s="116"/>
      <c r="I2210" s="116"/>
      <c r="L2210" s="170">
        <v>45259</v>
      </c>
      <c r="M2210" s="116">
        <v>1459.6</v>
      </c>
      <c r="N2210" s="116">
        <v>1460.7</v>
      </c>
      <c r="O2210" s="116">
        <v>1449.8</v>
      </c>
      <c r="P2210" s="116">
        <v>1451.1</v>
      </c>
      <c r="Q2210" s="116">
        <v>1459.6</v>
      </c>
      <c r="R2210">
        <v>3875778</v>
      </c>
    </row>
    <row r="2211" spans="1:18" x14ac:dyDescent="0.25">
      <c r="A2211" s="170">
        <v>45260</v>
      </c>
      <c r="B2211" s="116">
        <v>1460.8</v>
      </c>
      <c r="C2211" s="116">
        <v>1455.3</v>
      </c>
      <c r="D2211" s="116">
        <v>1449.9</v>
      </c>
      <c r="E2211" s="116">
        <v>1455.95</v>
      </c>
      <c r="F2211" s="116">
        <v>1455.3</v>
      </c>
      <c r="G2211">
        <v>198380</v>
      </c>
      <c r="H2211" s="116"/>
      <c r="I2211" s="116"/>
      <c r="L2211" s="170">
        <v>45260</v>
      </c>
      <c r="M2211" s="116">
        <v>1455.15</v>
      </c>
      <c r="N2211" s="116">
        <v>1460.65</v>
      </c>
      <c r="O2211" s="116">
        <v>1449.55</v>
      </c>
      <c r="P2211" s="116">
        <v>1453.25</v>
      </c>
      <c r="Q2211" s="116">
        <v>1455.15</v>
      </c>
      <c r="R2211">
        <v>10120867</v>
      </c>
    </row>
    <row r="2212" spans="1:18" x14ac:dyDescent="0.25">
      <c r="A2212" s="170">
        <v>45261</v>
      </c>
      <c r="B2212" s="116">
        <v>1460.4</v>
      </c>
      <c r="C2212" s="116">
        <v>1452.25</v>
      </c>
      <c r="D2212" s="116">
        <v>1446.05</v>
      </c>
      <c r="E2212" s="116">
        <v>1457.65</v>
      </c>
      <c r="F2212" s="116">
        <v>1452.25</v>
      </c>
      <c r="G2212">
        <v>697935</v>
      </c>
      <c r="H2212" s="116"/>
      <c r="I2212" s="116"/>
      <c r="L2212" s="170">
        <v>45261</v>
      </c>
      <c r="M2212" s="116">
        <v>1452.3</v>
      </c>
      <c r="N2212" s="116">
        <v>1459.9</v>
      </c>
      <c r="O2212" s="116">
        <v>1446.15</v>
      </c>
      <c r="P2212" s="116">
        <v>1459.9</v>
      </c>
      <c r="Q2212" s="116">
        <v>1452.3</v>
      </c>
      <c r="R2212">
        <v>3489187</v>
      </c>
    </row>
    <row r="2213" spans="1:18" x14ac:dyDescent="0.25">
      <c r="A2213" s="170">
        <v>45264</v>
      </c>
      <c r="B2213" s="116">
        <v>1471.45</v>
      </c>
      <c r="C2213" s="116">
        <v>1464.45</v>
      </c>
      <c r="D2213" s="116">
        <v>1449.35</v>
      </c>
      <c r="E2213" s="116">
        <v>1460</v>
      </c>
      <c r="F2213" s="116">
        <v>1464.45</v>
      </c>
      <c r="G2213">
        <v>123075</v>
      </c>
      <c r="H2213" s="116"/>
      <c r="I2213" s="116"/>
      <c r="L2213" s="170">
        <v>45264</v>
      </c>
      <c r="M2213" s="116">
        <v>1464.35</v>
      </c>
      <c r="N2213" s="116">
        <v>1471.9</v>
      </c>
      <c r="O2213" s="116">
        <v>1449.3</v>
      </c>
      <c r="P2213" s="116">
        <v>1460.45</v>
      </c>
      <c r="Q2213" s="116">
        <v>1464.35</v>
      </c>
      <c r="R2213">
        <v>5511948</v>
      </c>
    </row>
    <row r="2214" spans="1:18" x14ac:dyDescent="0.25">
      <c r="A2214" s="170">
        <v>45265</v>
      </c>
      <c r="B2214" s="116">
        <v>1466.95</v>
      </c>
      <c r="C2214" s="116">
        <v>1453.7</v>
      </c>
      <c r="D2214" s="116">
        <v>1442.2</v>
      </c>
      <c r="E2214" s="116">
        <v>1464.35</v>
      </c>
      <c r="F2214" s="116">
        <v>1453.7</v>
      </c>
      <c r="G2214">
        <v>326852</v>
      </c>
      <c r="H2214" s="116"/>
      <c r="I2214" s="116"/>
      <c r="L2214" s="170">
        <v>45265</v>
      </c>
      <c r="M2214" s="116">
        <v>1453.95</v>
      </c>
      <c r="N2214" s="116">
        <v>1466.9</v>
      </c>
      <c r="O2214" s="116">
        <v>1442</v>
      </c>
      <c r="P2214" s="116">
        <v>1465.8</v>
      </c>
      <c r="Q2214" s="116">
        <v>1453.95</v>
      </c>
      <c r="R2214">
        <v>5123039</v>
      </c>
    </row>
    <row r="2215" spans="1:18" x14ac:dyDescent="0.25">
      <c r="A2215" s="170">
        <v>45266</v>
      </c>
      <c r="B2215" s="116">
        <v>1477</v>
      </c>
      <c r="C2215" s="116">
        <v>1474.1</v>
      </c>
      <c r="D2215" s="116">
        <v>1451.2</v>
      </c>
      <c r="E2215" s="116">
        <v>1454.05</v>
      </c>
      <c r="F2215" s="116">
        <v>1474.1</v>
      </c>
      <c r="G2215">
        <v>167359</v>
      </c>
      <c r="H2215" s="116"/>
      <c r="I2215" s="116"/>
      <c r="L2215" s="170">
        <v>45266</v>
      </c>
      <c r="M2215" s="116">
        <v>1474.3</v>
      </c>
      <c r="N2215" s="116">
        <v>1477</v>
      </c>
      <c r="O2215" s="116">
        <v>1451.05</v>
      </c>
      <c r="P2215" s="116">
        <v>1456.75</v>
      </c>
      <c r="Q2215" s="116">
        <v>1474.3</v>
      </c>
      <c r="R2215">
        <v>5269178</v>
      </c>
    </row>
    <row r="2216" spans="1:18" x14ac:dyDescent="0.25">
      <c r="A2216" s="170">
        <v>45267</v>
      </c>
      <c r="B2216" s="116">
        <v>1474.1</v>
      </c>
      <c r="C2216" s="116">
        <v>1466.15</v>
      </c>
      <c r="D2216" s="116">
        <v>1462</v>
      </c>
      <c r="E2216" s="116">
        <v>1474.1</v>
      </c>
      <c r="F2216" s="116">
        <v>1466.15</v>
      </c>
      <c r="G2216">
        <v>94902</v>
      </c>
      <c r="H2216" s="116"/>
      <c r="I2216" s="116"/>
      <c r="L2216" s="170">
        <v>45267</v>
      </c>
      <c r="M2216" s="116">
        <v>1465.9</v>
      </c>
      <c r="N2216" s="116">
        <v>1472.85</v>
      </c>
      <c r="O2216" s="116">
        <v>1461.8</v>
      </c>
      <c r="P2216" s="116">
        <v>1472.85</v>
      </c>
      <c r="Q2216" s="116">
        <v>1465.9</v>
      </c>
      <c r="R2216">
        <v>4424453</v>
      </c>
    </row>
    <row r="2217" spans="1:18" x14ac:dyDescent="0.25">
      <c r="A2217" s="170">
        <v>45268</v>
      </c>
      <c r="B2217" s="116">
        <v>1493.6</v>
      </c>
      <c r="C2217" s="116">
        <v>1490.6</v>
      </c>
      <c r="D2217" s="116">
        <v>1466.35</v>
      </c>
      <c r="E2217" s="116">
        <v>1472.95</v>
      </c>
      <c r="F2217" s="116">
        <v>1490.6</v>
      </c>
      <c r="G2217">
        <v>782853</v>
      </c>
      <c r="H2217" s="116"/>
      <c r="I2217" s="116"/>
      <c r="L2217" s="170">
        <v>45268</v>
      </c>
      <c r="M2217" s="116">
        <v>1491.15</v>
      </c>
      <c r="N2217" s="116">
        <v>1494.7</v>
      </c>
      <c r="O2217" s="116">
        <v>1466.25</v>
      </c>
      <c r="P2217" s="116">
        <v>1470.4</v>
      </c>
      <c r="Q2217" s="116">
        <v>1491.15</v>
      </c>
      <c r="R2217">
        <v>6323433</v>
      </c>
    </row>
    <row r="2218" spans="1:18" x14ac:dyDescent="0.25">
      <c r="A2218" s="170">
        <v>45271</v>
      </c>
      <c r="B2218" s="116">
        <v>1499</v>
      </c>
      <c r="C2218" s="116">
        <v>1488.6</v>
      </c>
      <c r="D2218" s="116">
        <v>1485.1</v>
      </c>
      <c r="E2218" s="116">
        <v>1490</v>
      </c>
      <c r="F2218" s="116">
        <v>1488.6</v>
      </c>
      <c r="G2218">
        <v>69258</v>
      </c>
      <c r="H2218" s="116"/>
      <c r="I2218" s="116"/>
      <c r="L2218" s="170">
        <v>45271</v>
      </c>
      <c r="M2218" s="116">
        <v>1488.5</v>
      </c>
      <c r="N2218" s="116">
        <v>1498</v>
      </c>
      <c r="O2218" s="116">
        <v>1482</v>
      </c>
      <c r="P2218" s="116">
        <v>1490</v>
      </c>
      <c r="Q2218" s="116">
        <v>1488.5</v>
      </c>
      <c r="R2218">
        <v>3862018</v>
      </c>
    </row>
    <row r="2219" spans="1:18" x14ac:dyDescent="0.25">
      <c r="A2219" s="170">
        <v>45272</v>
      </c>
      <c r="B2219" s="116">
        <v>1489.95</v>
      </c>
      <c r="C2219" s="116">
        <v>1476</v>
      </c>
      <c r="D2219" s="116">
        <v>1467.5</v>
      </c>
      <c r="E2219" s="116">
        <v>1475</v>
      </c>
      <c r="F2219" s="116">
        <v>1476</v>
      </c>
      <c r="G2219">
        <v>374722</v>
      </c>
      <c r="H2219" s="116"/>
      <c r="I2219" s="116"/>
      <c r="L2219" s="170">
        <v>45272</v>
      </c>
      <c r="M2219" s="116">
        <v>1476.05</v>
      </c>
      <c r="N2219" s="116">
        <v>1490</v>
      </c>
      <c r="O2219" s="116">
        <v>1467.65</v>
      </c>
      <c r="P2219" s="116">
        <v>1477.5</v>
      </c>
      <c r="Q2219" s="116">
        <v>1476.05</v>
      </c>
      <c r="R2219">
        <v>6103494</v>
      </c>
    </row>
    <row r="2220" spans="1:18" x14ac:dyDescent="0.25">
      <c r="A2220" s="170">
        <v>45273</v>
      </c>
      <c r="B2220" s="116">
        <v>1477.25</v>
      </c>
      <c r="C2220" s="116">
        <v>1448.9</v>
      </c>
      <c r="D2220" s="116">
        <v>1432.65</v>
      </c>
      <c r="E2220" s="116">
        <v>1477.2</v>
      </c>
      <c r="F2220" s="116">
        <v>1448.9</v>
      </c>
      <c r="G2220">
        <v>251023</v>
      </c>
      <c r="H2220" s="116"/>
      <c r="I2220" s="116"/>
      <c r="L2220" s="170">
        <v>45273</v>
      </c>
      <c r="M2220" s="116">
        <v>1449</v>
      </c>
      <c r="N2220" s="116">
        <v>1476.05</v>
      </c>
      <c r="O2220" s="116">
        <v>1433.15</v>
      </c>
      <c r="P2220" s="116">
        <v>1476</v>
      </c>
      <c r="Q2220" s="116">
        <v>1449</v>
      </c>
      <c r="R2220">
        <v>8549258</v>
      </c>
    </row>
    <row r="2221" spans="1:18" x14ac:dyDescent="0.25">
      <c r="A2221" s="170">
        <v>45274</v>
      </c>
      <c r="B2221" s="116">
        <v>1510</v>
      </c>
      <c r="C2221" s="116">
        <v>1501.25</v>
      </c>
      <c r="D2221" s="116">
        <v>1461.25</v>
      </c>
      <c r="E2221" s="116">
        <v>1465.65</v>
      </c>
      <c r="F2221" s="116">
        <v>1501.25</v>
      </c>
      <c r="G2221">
        <v>331218</v>
      </c>
      <c r="H2221" s="116"/>
      <c r="I2221" s="116"/>
      <c r="L2221" s="170">
        <v>45274</v>
      </c>
      <c r="M2221" s="116">
        <v>1501.45</v>
      </c>
      <c r="N2221" s="116">
        <v>1511</v>
      </c>
      <c r="O2221" s="116">
        <v>1461.35</v>
      </c>
      <c r="P2221" s="116">
        <v>1463.4</v>
      </c>
      <c r="Q2221" s="116">
        <v>1501.45</v>
      </c>
      <c r="R2221">
        <v>12489858</v>
      </c>
    </row>
    <row r="2222" spans="1:18" x14ac:dyDescent="0.25">
      <c r="A2222" s="170">
        <v>45275</v>
      </c>
      <c r="B2222" s="116">
        <v>1588.5</v>
      </c>
      <c r="C2222" s="116">
        <v>1579.25</v>
      </c>
      <c r="D2222" s="116">
        <v>1520.1</v>
      </c>
      <c r="E2222" s="116">
        <v>1520.1</v>
      </c>
      <c r="F2222" s="116">
        <v>1579.25</v>
      </c>
      <c r="G2222">
        <v>843129</v>
      </c>
      <c r="H2222" s="116"/>
      <c r="I2222" s="116"/>
      <c r="L2222" s="170">
        <v>45275</v>
      </c>
      <c r="M2222" s="116">
        <v>1578.4</v>
      </c>
      <c r="N2222" s="116">
        <v>1588.55</v>
      </c>
      <c r="O2222" s="116">
        <v>1521</v>
      </c>
      <c r="P2222" s="116">
        <v>1523.05</v>
      </c>
      <c r="Q2222" s="116">
        <v>1578.4</v>
      </c>
      <c r="R2222">
        <v>18395389</v>
      </c>
    </row>
    <row r="2223" spans="1:18" x14ac:dyDescent="0.25">
      <c r="A2223" s="170">
        <v>45278</v>
      </c>
      <c r="B2223" s="116">
        <v>1593</v>
      </c>
      <c r="C2223" s="116">
        <v>1563.75</v>
      </c>
      <c r="D2223" s="116">
        <v>1560.05</v>
      </c>
      <c r="E2223" s="116">
        <v>1571</v>
      </c>
      <c r="F2223" s="116">
        <v>1563.75</v>
      </c>
      <c r="G2223">
        <v>387264</v>
      </c>
      <c r="H2223" s="116"/>
      <c r="I2223" s="116"/>
      <c r="L2223" s="170">
        <v>45278</v>
      </c>
      <c r="M2223" s="116">
        <v>1564.35</v>
      </c>
      <c r="N2223" s="116">
        <v>1593</v>
      </c>
      <c r="O2223" s="116">
        <v>1560.3</v>
      </c>
      <c r="P2223" s="116">
        <v>1567.95</v>
      </c>
      <c r="Q2223" s="116">
        <v>1564.35</v>
      </c>
      <c r="R2223">
        <v>6467243</v>
      </c>
    </row>
    <row r="2224" spans="1:18" x14ac:dyDescent="0.25">
      <c r="A2224" s="170">
        <v>45279</v>
      </c>
      <c r="B2224" s="116">
        <v>1573</v>
      </c>
      <c r="C2224" s="116">
        <v>1557.05</v>
      </c>
      <c r="D2224" s="116">
        <v>1543.55</v>
      </c>
      <c r="E2224" s="116">
        <v>1568.4</v>
      </c>
      <c r="F2224" s="116">
        <v>1557.05</v>
      </c>
      <c r="G2224">
        <v>135285</v>
      </c>
      <c r="H2224" s="116"/>
      <c r="I2224" s="116"/>
      <c r="L2224" s="170">
        <v>45279</v>
      </c>
      <c r="M2224" s="116">
        <v>1558.3</v>
      </c>
      <c r="N2224" s="116">
        <v>1573.95</v>
      </c>
      <c r="O2224" s="116">
        <v>1543.25</v>
      </c>
      <c r="P2224" s="116">
        <v>1570.1</v>
      </c>
      <c r="Q2224" s="116">
        <v>1558.3</v>
      </c>
      <c r="R2224">
        <v>4221721</v>
      </c>
    </row>
    <row r="2225" spans="1:18" x14ac:dyDescent="0.25">
      <c r="A2225" s="170">
        <v>45280</v>
      </c>
      <c r="B2225" s="116">
        <v>1583.35</v>
      </c>
      <c r="C2225" s="116">
        <v>1535.75</v>
      </c>
      <c r="D2225" s="116">
        <v>1529.45</v>
      </c>
      <c r="E2225" s="116">
        <v>1563.35</v>
      </c>
      <c r="F2225" s="116">
        <v>1535.75</v>
      </c>
      <c r="G2225">
        <v>144824</v>
      </c>
      <c r="H2225" s="116"/>
      <c r="I2225" s="116"/>
      <c r="L2225" s="170">
        <v>45280</v>
      </c>
      <c r="M2225" s="116">
        <v>1536.4</v>
      </c>
      <c r="N2225" s="116">
        <v>1583.5</v>
      </c>
      <c r="O2225" s="116">
        <v>1530</v>
      </c>
      <c r="P2225" s="116">
        <v>1565.05</v>
      </c>
      <c r="Q2225" s="116">
        <v>1536.4</v>
      </c>
      <c r="R2225">
        <v>6592367</v>
      </c>
    </row>
    <row r="2226" spans="1:18" x14ac:dyDescent="0.25">
      <c r="A2226" s="170">
        <v>45281</v>
      </c>
      <c r="B2226" s="116">
        <v>1546</v>
      </c>
      <c r="C2226" s="116">
        <v>1536.25</v>
      </c>
      <c r="D2226" s="116">
        <v>1516.4</v>
      </c>
      <c r="E2226" s="116">
        <v>1516.4</v>
      </c>
      <c r="F2226" s="116">
        <v>1536.25</v>
      </c>
      <c r="G2226">
        <v>196359</v>
      </c>
      <c r="H2226" s="116"/>
      <c r="I2226" s="116"/>
      <c r="L2226" s="170">
        <v>45281</v>
      </c>
      <c r="M2226" s="116">
        <v>1536</v>
      </c>
      <c r="N2226" s="116">
        <v>1546.65</v>
      </c>
      <c r="O2226" s="116">
        <v>1521.25</v>
      </c>
      <c r="P2226" s="116">
        <v>1521.25</v>
      </c>
      <c r="Q2226" s="116">
        <v>1536</v>
      </c>
      <c r="R2226">
        <v>5319038</v>
      </c>
    </row>
    <row r="2227" spans="1:18" x14ac:dyDescent="0.25">
      <c r="A2227" s="170">
        <v>45282</v>
      </c>
      <c r="B2227" s="116">
        <v>1565.9</v>
      </c>
      <c r="C2227" s="116">
        <v>1562</v>
      </c>
      <c r="D2227" s="116">
        <v>1523.4</v>
      </c>
      <c r="E2227" s="116">
        <v>1544.95</v>
      </c>
      <c r="F2227" s="116">
        <v>1562</v>
      </c>
      <c r="G2227">
        <v>610057</v>
      </c>
      <c r="H2227" s="116"/>
      <c r="I2227" s="116"/>
      <c r="L2227" s="170">
        <v>45282</v>
      </c>
      <c r="M2227" s="116">
        <v>1562.9</v>
      </c>
      <c r="N2227" s="116">
        <v>1566</v>
      </c>
      <c r="O2227" s="116">
        <v>1523</v>
      </c>
      <c r="P2227" s="116">
        <v>1534.95</v>
      </c>
      <c r="Q2227" s="116">
        <v>1562.9</v>
      </c>
      <c r="R2227">
        <v>6741060</v>
      </c>
    </row>
    <row r="2228" spans="1:18" x14ac:dyDescent="0.25">
      <c r="A2228" s="170">
        <v>45286</v>
      </c>
      <c r="B2228" s="116">
        <v>1548</v>
      </c>
      <c r="C2228" s="116">
        <v>1544.5</v>
      </c>
      <c r="D2228" s="116">
        <v>1522.5</v>
      </c>
      <c r="E2228" s="116">
        <v>1531</v>
      </c>
      <c r="F2228" s="116">
        <v>1544.5</v>
      </c>
      <c r="G2228">
        <v>239755</v>
      </c>
      <c r="H2228" s="116"/>
      <c r="I2228" s="116"/>
      <c r="L2228" s="170">
        <v>45286</v>
      </c>
      <c r="M2228" s="116">
        <v>1543.95</v>
      </c>
      <c r="N2228" s="116">
        <v>1548</v>
      </c>
      <c r="O2228" s="116">
        <v>1523</v>
      </c>
      <c r="P2228" s="116">
        <v>1535</v>
      </c>
      <c r="Q2228" s="116">
        <v>1543.95</v>
      </c>
      <c r="R2228">
        <v>6878067</v>
      </c>
    </row>
    <row r="2229" spans="1:18" x14ac:dyDescent="0.25">
      <c r="A2229" s="170">
        <v>45287</v>
      </c>
      <c r="B2229" s="116">
        <v>1569.95</v>
      </c>
      <c r="C2229" s="116">
        <v>1566.5</v>
      </c>
      <c r="D2229" s="116">
        <v>1545.65</v>
      </c>
      <c r="E2229" s="116">
        <v>1547.95</v>
      </c>
      <c r="F2229" s="116">
        <v>1566.5</v>
      </c>
      <c r="G2229">
        <v>323686</v>
      </c>
      <c r="H2229" s="116"/>
      <c r="I2229" s="116"/>
      <c r="L2229" s="170">
        <v>45287</v>
      </c>
      <c r="M2229" s="116">
        <v>1567.1</v>
      </c>
      <c r="N2229" s="116">
        <v>1570</v>
      </c>
      <c r="O2229" s="116">
        <v>1544</v>
      </c>
      <c r="P2229" s="116">
        <v>1544</v>
      </c>
      <c r="Q2229" s="116">
        <v>1567.1</v>
      </c>
      <c r="R2229">
        <v>4225849</v>
      </c>
    </row>
    <row r="2230" spans="1:18" x14ac:dyDescent="0.25">
      <c r="A2230" s="170">
        <v>45288</v>
      </c>
      <c r="B2230" s="116">
        <v>1568.95</v>
      </c>
      <c r="C2230" s="116">
        <v>1563</v>
      </c>
      <c r="D2230" s="116">
        <v>1555</v>
      </c>
      <c r="E2230" s="116">
        <v>1567.95</v>
      </c>
      <c r="F2230" s="116">
        <v>1563</v>
      </c>
      <c r="G2230">
        <v>84566</v>
      </c>
      <c r="H2230" s="116"/>
      <c r="I2230" s="116"/>
      <c r="L2230" s="170">
        <v>45288</v>
      </c>
      <c r="M2230" s="116">
        <v>1562.65</v>
      </c>
      <c r="N2230" s="116">
        <v>1568.95</v>
      </c>
      <c r="O2230" s="116">
        <v>1555</v>
      </c>
      <c r="P2230" s="116">
        <v>1568.95</v>
      </c>
      <c r="Q2230" s="116">
        <v>1562.65</v>
      </c>
      <c r="R2230">
        <v>5702253</v>
      </c>
    </row>
    <row r="2231" spans="1:18" x14ac:dyDescent="0.25">
      <c r="A2231" s="170">
        <v>45289</v>
      </c>
      <c r="B2231" s="116">
        <v>1555</v>
      </c>
      <c r="C2231" s="116">
        <v>1542.85</v>
      </c>
      <c r="D2231" s="116">
        <v>1539.2</v>
      </c>
      <c r="E2231" s="116">
        <v>1549.95</v>
      </c>
      <c r="F2231" s="116">
        <v>1542.85</v>
      </c>
      <c r="G2231">
        <v>864756</v>
      </c>
      <c r="H2231" s="116"/>
      <c r="I2231" s="116"/>
      <c r="L2231" s="170">
        <v>45289</v>
      </c>
      <c r="M2231" s="116">
        <v>1542.9</v>
      </c>
      <c r="N2231" s="116">
        <v>1559.45</v>
      </c>
      <c r="O2231" s="116">
        <v>1540</v>
      </c>
      <c r="P2231" s="116">
        <v>1541.05</v>
      </c>
      <c r="Q2231" s="116">
        <v>1542.9</v>
      </c>
      <c r="R2231">
        <v>4388990</v>
      </c>
    </row>
    <row r="2232" spans="1:18" x14ac:dyDescent="0.25">
      <c r="A2232" s="170">
        <v>45292</v>
      </c>
      <c r="B2232" s="116">
        <v>1557</v>
      </c>
      <c r="C2232" s="116">
        <v>1551.25</v>
      </c>
      <c r="D2232" s="116">
        <v>1536.9</v>
      </c>
      <c r="E2232" s="116">
        <v>1542</v>
      </c>
      <c r="F2232" s="116">
        <v>1551.25</v>
      </c>
      <c r="G2232">
        <v>113496</v>
      </c>
      <c r="H2232" s="116"/>
      <c r="I2232" s="116"/>
      <c r="L2232" s="170">
        <v>45292</v>
      </c>
      <c r="M2232" s="116">
        <v>1551.35</v>
      </c>
      <c r="N2232" s="116">
        <v>1557</v>
      </c>
      <c r="O2232" s="116">
        <v>1535.25</v>
      </c>
      <c r="P2232" s="116">
        <v>1539</v>
      </c>
      <c r="Q2232" s="116">
        <v>1551.35</v>
      </c>
      <c r="R2232">
        <v>2808451</v>
      </c>
    </row>
    <row r="2233" spans="1:18" x14ac:dyDescent="0.25">
      <c r="A2233" s="170">
        <v>45293</v>
      </c>
      <c r="B2233" s="116">
        <v>1548.5</v>
      </c>
      <c r="C2233" s="116">
        <v>1534.95</v>
      </c>
      <c r="D2233" s="116">
        <v>1523</v>
      </c>
      <c r="E2233" s="116">
        <v>1547.35</v>
      </c>
      <c r="F2233" s="116">
        <v>1534.95</v>
      </c>
      <c r="G2233">
        <v>309575</v>
      </c>
      <c r="H2233" s="116"/>
      <c r="I2233" s="116"/>
      <c r="L2233" s="170">
        <v>45293</v>
      </c>
      <c r="M2233" s="116">
        <v>1534.4</v>
      </c>
      <c r="N2233" s="116">
        <v>1549.15</v>
      </c>
      <c r="O2233" s="116">
        <v>1523</v>
      </c>
      <c r="P2233" s="116">
        <v>1546</v>
      </c>
      <c r="Q2233" s="116">
        <v>1534.4</v>
      </c>
      <c r="R2233">
        <v>5396313</v>
      </c>
    </row>
    <row r="2234" spans="1:18" x14ac:dyDescent="0.25">
      <c r="A2234" s="170">
        <v>45294</v>
      </c>
      <c r="B2234" s="116">
        <v>1524.6</v>
      </c>
      <c r="C2234" s="116">
        <v>1490.2</v>
      </c>
      <c r="D2234" s="116">
        <v>1488.25</v>
      </c>
      <c r="E2234" s="116">
        <v>1518.35</v>
      </c>
      <c r="F2234" s="116">
        <v>1490.2</v>
      </c>
      <c r="G2234">
        <v>609176</v>
      </c>
      <c r="H2234" s="116"/>
      <c r="I2234" s="116"/>
      <c r="L2234" s="170">
        <v>45294</v>
      </c>
      <c r="M2234" s="116">
        <v>1490</v>
      </c>
      <c r="N2234" s="116">
        <v>1519.95</v>
      </c>
      <c r="O2234" s="116">
        <v>1488</v>
      </c>
      <c r="P2234" s="116">
        <v>1519.95</v>
      </c>
      <c r="Q2234" s="116">
        <v>1490</v>
      </c>
      <c r="R2234">
        <v>7550363</v>
      </c>
    </row>
    <row r="2235" spans="1:18" x14ac:dyDescent="0.25">
      <c r="A2235" s="170">
        <v>45295</v>
      </c>
      <c r="B2235" s="116">
        <v>1519.65</v>
      </c>
      <c r="C2235" s="116">
        <v>1512.2</v>
      </c>
      <c r="D2235" s="116">
        <v>1493.05</v>
      </c>
      <c r="E2235" s="116">
        <v>1502.9</v>
      </c>
      <c r="F2235" s="116">
        <v>1512.2</v>
      </c>
      <c r="G2235">
        <v>440786</v>
      </c>
      <c r="H2235" s="116"/>
      <c r="I2235" s="116"/>
      <c r="L2235" s="170">
        <v>45295</v>
      </c>
      <c r="M2235" s="116">
        <v>1512.7</v>
      </c>
      <c r="N2235" s="116">
        <v>1519.75</v>
      </c>
      <c r="O2235" s="116">
        <v>1492.9</v>
      </c>
      <c r="P2235" s="116">
        <v>1504.95</v>
      </c>
      <c r="Q2235" s="116">
        <v>1512.7</v>
      </c>
      <c r="R2235">
        <v>7056038</v>
      </c>
    </row>
    <row r="2236" spans="1:18" x14ac:dyDescent="0.25">
      <c r="A2236" s="170">
        <v>45296</v>
      </c>
      <c r="B2236" s="116">
        <v>1539.85</v>
      </c>
      <c r="C2236" s="116">
        <v>1532.9</v>
      </c>
      <c r="D2236" s="116">
        <v>1507.5</v>
      </c>
      <c r="E2236" s="116">
        <v>1508.6</v>
      </c>
      <c r="F2236" s="116">
        <v>1532.9</v>
      </c>
      <c r="G2236">
        <v>450788</v>
      </c>
      <c r="H2236" s="116"/>
      <c r="I2236" s="116"/>
      <c r="L2236" s="170">
        <v>45296</v>
      </c>
      <c r="M2236" s="116">
        <v>1532.55</v>
      </c>
      <c r="N2236" s="116">
        <v>1539.7</v>
      </c>
      <c r="O2236" s="116">
        <v>1506.25</v>
      </c>
      <c r="P2236" s="116">
        <v>1506.75</v>
      </c>
      <c r="Q2236" s="116">
        <v>1532.55</v>
      </c>
      <c r="R2236">
        <v>8895403</v>
      </c>
    </row>
    <row r="2237" spans="1:18" x14ac:dyDescent="0.25">
      <c r="A2237" s="170">
        <v>45299</v>
      </c>
      <c r="B2237" s="116">
        <v>1535.85</v>
      </c>
      <c r="C2237" s="116">
        <v>1522.95</v>
      </c>
      <c r="D2237" s="116">
        <v>1513.2</v>
      </c>
      <c r="E2237" s="116">
        <v>1526.8</v>
      </c>
      <c r="F2237" s="116">
        <v>1522.95</v>
      </c>
      <c r="G2237">
        <v>212973</v>
      </c>
      <c r="H2237" s="116"/>
      <c r="I2237" s="116"/>
      <c r="L2237" s="170">
        <v>45299</v>
      </c>
      <c r="M2237" s="116">
        <v>1522.8</v>
      </c>
      <c r="N2237" s="116">
        <v>1536</v>
      </c>
      <c r="O2237" s="116">
        <v>1513.25</v>
      </c>
      <c r="P2237" s="116">
        <v>1528.95</v>
      </c>
      <c r="Q2237" s="116">
        <v>1522.8</v>
      </c>
      <c r="R2237">
        <v>4440136</v>
      </c>
    </row>
    <row r="2238" spans="1:18" x14ac:dyDescent="0.25">
      <c r="A2238" s="170">
        <v>45300</v>
      </c>
      <c r="B2238" s="116">
        <v>1552.9</v>
      </c>
      <c r="C2238" s="116">
        <v>1529.15</v>
      </c>
      <c r="D2238" s="116">
        <v>1526.2</v>
      </c>
      <c r="E2238" s="116">
        <v>1541</v>
      </c>
      <c r="F2238" s="116">
        <v>1529.15</v>
      </c>
      <c r="G2238">
        <v>354870</v>
      </c>
      <c r="H2238" s="116"/>
      <c r="I2238" s="116"/>
      <c r="L2238" s="170">
        <v>45300</v>
      </c>
      <c r="M2238" s="116">
        <v>1529.3</v>
      </c>
      <c r="N2238" s="116">
        <v>1553</v>
      </c>
      <c r="O2238" s="116">
        <v>1525.85</v>
      </c>
      <c r="P2238" s="116">
        <v>1541.9</v>
      </c>
      <c r="Q2238" s="116">
        <v>1529.3</v>
      </c>
      <c r="R2238">
        <v>4412074</v>
      </c>
    </row>
    <row r="2239" spans="1:18" x14ac:dyDescent="0.25">
      <c r="A2239" s="170">
        <v>45301</v>
      </c>
      <c r="B2239" s="116">
        <v>1536.75</v>
      </c>
      <c r="C2239" s="116">
        <v>1519.65</v>
      </c>
      <c r="D2239" s="116">
        <v>1505.1</v>
      </c>
      <c r="E2239" s="116">
        <v>1528.85</v>
      </c>
      <c r="F2239" s="116">
        <v>1519.65</v>
      </c>
      <c r="G2239">
        <v>204905</v>
      </c>
      <c r="H2239" s="116"/>
      <c r="I2239" s="116"/>
      <c r="L2239" s="170">
        <v>45301</v>
      </c>
      <c r="M2239" s="116">
        <v>1519.9</v>
      </c>
      <c r="N2239" s="116">
        <v>1535.45</v>
      </c>
      <c r="O2239" s="116">
        <v>1505</v>
      </c>
      <c r="P2239" s="116">
        <v>1524.95</v>
      </c>
      <c r="Q2239" s="116">
        <v>1519.9</v>
      </c>
      <c r="R2239">
        <v>4096845</v>
      </c>
    </row>
    <row r="2240" spans="1:18" x14ac:dyDescent="0.25">
      <c r="A2240" s="170">
        <v>45302</v>
      </c>
      <c r="B2240" s="116">
        <v>1525.25</v>
      </c>
      <c r="C2240" s="116">
        <v>1495</v>
      </c>
      <c r="D2240" s="116">
        <v>1486.65</v>
      </c>
      <c r="E2240" s="116">
        <v>1523</v>
      </c>
      <c r="F2240" s="116">
        <v>1495</v>
      </c>
      <c r="G2240">
        <v>356019</v>
      </c>
      <c r="H2240" s="116"/>
      <c r="I2240" s="116"/>
      <c r="L2240" s="170">
        <v>45302</v>
      </c>
      <c r="M2240" s="116">
        <v>1494.2</v>
      </c>
      <c r="N2240" s="116">
        <v>1525</v>
      </c>
      <c r="O2240" s="116">
        <v>1486.6</v>
      </c>
      <c r="P2240" s="116">
        <v>1524.9</v>
      </c>
      <c r="Q2240" s="116">
        <v>1494.2</v>
      </c>
      <c r="R2240">
        <v>11296088</v>
      </c>
    </row>
    <row r="2241" spans="1:18" x14ac:dyDescent="0.25">
      <c r="A2241" s="170">
        <v>45303</v>
      </c>
      <c r="B2241" s="116">
        <v>1615.8</v>
      </c>
      <c r="C2241" s="116">
        <v>1612.2</v>
      </c>
      <c r="D2241" s="116">
        <v>1554.75</v>
      </c>
      <c r="E2241" s="116">
        <v>1556</v>
      </c>
      <c r="F2241" s="116">
        <v>1612.2</v>
      </c>
      <c r="G2241">
        <v>3163133</v>
      </c>
      <c r="H2241" s="116"/>
      <c r="I2241" s="116"/>
      <c r="L2241" s="170">
        <v>45303</v>
      </c>
      <c r="M2241" s="116">
        <v>1612.75</v>
      </c>
      <c r="N2241" s="116">
        <v>1618</v>
      </c>
      <c r="O2241" s="116">
        <v>1555.4</v>
      </c>
      <c r="P2241" s="116">
        <v>1562</v>
      </c>
      <c r="Q2241" s="116">
        <v>1612.75</v>
      </c>
      <c r="R2241">
        <v>26754401</v>
      </c>
    </row>
    <row r="2242" spans="1:18" x14ac:dyDescent="0.25">
      <c r="A2242" s="170">
        <v>45306</v>
      </c>
      <c r="B2242" s="116">
        <v>1664.9</v>
      </c>
      <c r="C2242" s="116">
        <v>1652</v>
      </c>
      <c r="D2242" s="116">
        <v>1630.05</v>
      </c>
      <c r="E2242" s="116">
        <v>1630.05</v>
      </c>
      <c r="F2242" s="116">
        <v>1652</v>
      </c>
      <c r="G2242">
        <v>314434</v>
      </c>
      <c r="H2242" s="116"/>
      <c r="I2242" s="116"/>
      <c r="L2242" s="170">
        <v>45306</v>
      </c>
      <c r="M2242" s="116">
        <v>1652.1</v>
      </c>
      <c r="N2242" s="116">
        <v>1664.95</v>
      </c>
      <c r="O2242" s="116">
        <v>1636</v>
      </c>
      <c r="P2242" s="116">
        <v>1644.95</v>
      </c>
      <c r="Q2242" s="116">
        <v>1652.1</v>
      </c>
      <c r="R2242">
        <v>13228305</v>
      </c>
    </row>
    <row r="2243" spans="1:18" x14ac:dyDescent="0.25">
      <c r="A2243" s="170">
        <v>45307</v>
      </c>
      <c r="B2243" s="116">
        <v>1648</v>
      </c>
      <c r="C2243" s="116">
        <v>1630.95</v>
      </c>
      <c r="D2243" s="116">
        <v>1625.7</v>
      </c>
      <c r="E2243" s="116">
        <v>1647.75</v>
      </c>
      <c r="F2243" s="116">
        <v>1630.95</v>
      </c>
      <c r="G2243">
        <v>103624</v>
      </c>
      <c r="H2243" s="116"/>
      <c r="I2243" s="116"/>
      <c r="L2243" s="170">
        <v>45307</v>
      </c>
      <c r="M2243" s="116">
        <v>1631.55</v>
      </c>
      <c r="N2243" s="116">
        <v>1648.5</v>
      </c>
      <c r="O2243" s="116">
        <v>1625</v>
      </c>
      <c r="P2243" s="116">
        <v>1644.8</v>
      </c>
      <c r="Q2243" s="116">
        <v>1631.55</v>
      </c>
      <c r="R2243">
        <v>6500917</v>
      </c>
    </row>
    <row r="2244" spans="1:18" x14ac:dyDescent="0.25">
      <c r="A2244" s="170">
        <v>45308</v>
      </c>
      <c r="B2244" s="116">
        <v>1646.95</v>
      </c>
      <c r="C2244" s="116">
        <v>1639.9</v>
      </c>
      <c r="D2244" s="116">
        <v>1620</v>
      </c>
      <c r="E2244" s="116">
        <v>1620</v>
      </c>
      <c r="F2244" s="116">
        <v>1639.9</v>
      </c>
      <c r="G2244">
        <v>113061</v>
      </c>
      <c r="H2244" s="116"/>
      <c r="I2244" s="116"/>
      <c r="L2244" s="170">
        <v>45308</v>
      </c>
      <c r="M2244" s="116">
        <v>1640.2</v>
      </c>
      <c r="N2244" s="116">
        <v>1647.5</v>
      </c>
      <c r="O2244" s="116">
        <v>1620.25</v>
      </c>
      <c r="P2244" s="116">
        <v>1620.25</v>
      </c>
      <c r="Q2244" s="116">
        <v>1640.2</v>
      </c>
      <c r="R2244">
        <v>9209876</v>
      </c>
    </row>
    <row r="2245" spans="1:18" x14ac:dyDescent="0.25">
      <c r="A2245" s="170">
        <v>45309</v>
      </c>
      <c r="B2245" s="116">
        <v>1647</v>
      </c>
      <c r="C2245" s="116">
        <v>1642.6</v>
      </c>
      <c r="D2245" s="116">
        <v>1628.5</v>
      </c>
      <c r="E2245" s="116">
        <v>1638.45</v>
      </c>
      <c r="F2245" s="116">
        <v>1642.6</v>
      </c>
      <c r="G2245">
        <v>179961</v>
      </c>
      <c r="H2245" s="116"/>
      <c r="I2245" s="116"/>
      <c r="L2245" s="170">
        <v>45309</v>
      </c>
      <c r="M2245" s="116">
        <v>1642.6</v>
      </c>
      <c r="N2245" s="116">
        <v>1649</v>
      </c>
      <c r="O2245" s="116">
        <v>1628.25</v>
      </c>
      <c r="P2245" s="116">
        <v>1642.65</v>
      </c>
      <c r="Q2245" s="116">
        <v>1642.6</v>
      </c>
      <c r="R2245">
        <v>6375464</v>
      </c>
    </row>
    <row r="2246" spans="1:18" x14ac:dyDescent="0.25">
      <c r="A2246" s="170">
        <v>45310</v>
      </c>
      <c r="B2246" s="116">
        <v>1665</v>
      </c>
      <c r="C2246" s="116">
        <v>1658.95</v>
      </c>
      <c r="D2246" s="116">
        <v>1644.25</v>
      </c>
      <c r="E2246" s="116">
        <v>1650</v>
      </c>
      <c r="F2246" s="116">
        <v>1658.95</v>
      </c>
      <c r="G2246">
        <v>626392</v>
      </c>
      <c r="H2246" s="116"/>
      <c r="I2246" s="116"/>
      <c r="L2246" s="170">
        <v>45310</v>
      </c>
      <c r="M2246" s="116">
        <v>1659.2</v>
      </c>
      <c r="N2246" s="116">
        <v>1665.5</v>
      </c>
      <c r="O2246" s="116">
        <v>1644.15</v>
      </c>
      <c r="P2246" s="116">
        <v>1651.6</v>
      </c>
      <c r="Q2246" s="116">
        <v>1659.2</v>
      </c>
      <c r="R2246">
        <v>4522736</v>
      </c>
    </row>
    <row r="2247" spans="1:18" x14ac:dyDescent="0.25">
      <c r="A2247" s="170">
        <v>45311</v>
      </c>
      <c r="B2247" s="116">
        <v>1668.9</v>
      </c>
      <c r="C2247" s="116">
        <v>1648.75</v>
      </c>
      <c r="D2247" s="116">
        <v>1644.65</v>
      </c>
      <c r="E2247" s="116">
        <v>1661.5</v>
      </c>
      <c r="F2247" s="116">
        <v>1648.75</v>
      </c>
      <c r="G2247">
        <v>39649</v>
      </c>
      <c r="H2247" s="116"/>
      <c r="I2247" s="116"/>
      <c r="L2247" s="170">
        <v>45311</v>
      </c>
      <c r="M2247" s="116">
        <v>1648.85</v>
      </c>
      <c r="N2247" s="116">
        <v>1669.25</v>
      </c>
      <c r="O2247" s="116">
        <v>1645</v>
      </c>
      <c r="P2247" s="116">
        <v>1665.55</v>
      </c>
      <c r="Q2247" s="116">
        <v>1648.85</v>
      </c>
      <c r="R2247">
        <v>1158144</v>
      </c>
    </row>
    <row r="2248" spans="1:18" x14ac:dyDescent="0.25">
      <c r="A2248" s="170">
        <v>45314</v>
      </c>
      <c r="B2248" s="116">
        <v>1675</v>
      </c>
      <c r="C2248" s="116">
        <v>1642.2</v>
      </c>
      <c r="D2248" s="116">
        <v>1637.5</v>
      </c>
      <c r="E2248" s="116">
        <v>1645.15</v>
      </c>
      <c r="F2248" s="116">
        <v>1642.2</v>
      </c>
      <c r="G2248">
        <v>112596</v>
      </c>
      <c r="H2248" s="116"/>
      <c r="I2248" s="116"/>
      <c r="L2248" s="170">
        <v>45314</v>
      </c>
      <c r="M2248" s="116">
        <v>1642.15</v>
      </c>
      <c r="N2248" s="116">
        <v>1674.7</v>
      </c>
      <c r="O2248" s="116">
        <v>1637.7</v>
      </c>
      <c r="P2248" s="116">
        <v>1650.1</v>
      </c>
      <c r="Q2248" s="116">
        <v>1642.15</v>
      </c>
      <c r="R2248">
        <v>9401255</v>
      </c>
    </row>
    <row r="2249" spans="1:18" x14ac:dyDescent="0.25">
      <c r="A2249" s="170">
        <v>45315</v>
      </c>
      <c r="B2249" s="116">
        <v>1679.8</v>
      </c>
      <c r="C2249" s="116">
        <v>1674.5</v>
      </c>
      <c r="D2249" s="116">
        <v>1644.3</v>
      </c>
      <c r="E2249" s="116">
        <v>1655.2</v>
      </c>
      <c r="F2249" s="116">
        <v>1674.5</v>
      </c>
      <c r="G2249">
        <v>1137421</v>
      </c>
      <c r="H2249" s="116"/>
      <c r="I2249" s="116"/>
      <c r="L2249" s="170">
        <v>45315</v>
      </c>
      <c r="M2249" s="116">
        <v>1675.4</v>
      </c>
      <c r="N2249" s="116">
        <v>1680</v>
      </c>
      <c r="O2249" s="116">
        <v>1645</v>
      </c>
      <c r="P2249" s="116">
        <v>1659.9</v>
      </c>
      <c r="Q2249" s="116">
        <v>1675.4</v>
      </c>
      <c r="R2249">
        <v>8999681</v>
      </c>
    </row>
    <row r="2250" spans="1:18" x14ac:dyDescent="0.25">
      <c r="A2250" s="170">
        <v>45316</v>
      </c>
      <c r="B2250" s="116">
        <v>1680.45</v>
      </c>
      <c r="C2250" s="116">
        <v>1670.8</v>
      </c>
      <c r="D2250" s="116">
        <v>1657.65</v>
      </c>
      <c r="E2250" s="116">
        <v>1668.15</v>
      </c>
      <c r="F2250" s="116">
        <v>1670.8</v>
      </c>
      <c r="G2250">
        <v>1207422</v>
      </c>
      <c r="H2250" s="116"/>
      <c r="I2250" s="116"/>
      <c r="L2250" s="170">
        <v>45316</v>
      </c>
      <c r="M2250" s="116">
        <v>1669.1</v>
      </c>
      <c r="N2250" s="116">
        <v>1680.55</v>
      </c>
      <c r="O2250" s="116">
        <v>1658</v>
      </c>
      <c r="P2250" s="116">
        <v>1672.95</v>
      </c>
      <c r="Q2250" s="116">
        <v>1669.1</v>
      </c>
      <c r="R2250">
        <v>8865304</v>
      </c>
    </row>
    <row r="2251" spans="1:18" x14ac:dyDescent="0.25">
      <c r="A2251" s="170">
        <v>45320</v>
      </c>
      <c r="B2251" s="116">
        <v>1679.25</v>
      </c>
      <c r="C2251" s="116">
        <v>1655.9</v>
      </c>
      <c r="D2251" s="116">
        <v>1647.05</v>
      </c>
      <c r="E2251" s="116">
        <v>1665.25</v>
      </c>
      <c r="F2251" s="116">
        <v>1655.9</v>
      </c>
      <c r="G2251">
        <v>67978</v>
      </c>
      <c r="H2251" s="116"/>
      <c r="I2251" s="116"/>
      <c r="L2251" s="170">
        <v>45320</v>
      </c>
      <c r="M2251" s="116">
        <v>1656.6</v>
      </c>
      <c r="N2251" s="116">
        <v>1679.35</v>
      </c>
      <c r="O2251" s="116">
        <v>1647.6</v>
      </c>
      <c r="P2251" s="116">
        <v>1665.15</v>
      </c>
      <c r="Q2251" s="116">
        <v>1656.6</v>
      </c>
      <c r="R2251">
        <v>4253785</v>
      </c>
    </row>
    <row r="2252" spans="1:18" x14ac:dyDescent="0.25">
      <c r="A2252" s="170">
        <v>45321</v>
      </c>
      <c r="B2252" s="116">
        <v>1689.9</v>
      </c>
      <c r="C2252" s="116">
        <v>1650.8</v>
      </c>
      <c r="D2252" s="116">
        <v>1647.95</v>
      </c>
      <c r="E2252" s="116">
        <v>1655.9</v>
      </c>
      <c r="F2252" s="116">
        <v>1650.8</v>
      </c>
      <c r="G2252">
        <v>98676</v>
      </c>
      <c r="H2252" s="116"/>
      <c r="I2252" s="116"/>
      <c r="L2252" s="170">
        <v>45321</v>
      </c>
      <c r="M2252" s="116">
        <v>1651.45</v>
      </c>
      <c r="N2252" s="116">
        <v>1690</v>
      </c>
      <c r="O2252" s="116">
        <v>1648.25</v>
      </c>
      <c r="P2252" s="116">
        <v>1662.45</v>
      </c>
      <c r="Q2252" s="116">
        <v>1651.45</v>
      </c>
      <c r="R2252">
        <v>4995943</v>
      </c>
    </row>
    <row r="2253" spans="1:18" x14ac:dyDescent="0.25">
      <c r="A2253" s="170">
        <v>45322</v>
      </c>
      <c r="B2253" s="116">
        <v>1666</v>
      </c>
      <c r="C2253" s="116">
        <v>1662.1</v>
      </c>
      <c r="D2253" s="116">
        <v>1637.95</v>
      </c>
      <c r="E2253" s="116">
        <v>1645.05</v>
      </c>
      <c r="F2253" s="116">
        <v>1662.1</v>
      </c>
      <c r="G2253">
        <v>46042</v>
      </c>
      <c r="H2253" s="116"/>
      <c r="I2253" s="116"/>
      <c r="L2253" s="170">
        <v>45322</v>
      </c>
      <c r="M2253" s="116">
        <v>1660.9</v>
      </c>
      <c r="N2253" s="116">
        <v>1667.25</v>
      </c>
      <c r="O2253" s="116">
        <v>1638.1</v>
      </c>
      <c r="P2253" s="116">
        <v>1648.25</v>
      </c>
      <c r="Q2253" s="116">
        <v>1660.9</v>
      </c>
      <c r="R2253">
        <v>6763779</v>
      </c>
    </row>
    <row r="2254" spans="1:18" x14ac:dyDescent="0.25">
      <c r="A2254" s="170">
        <v>45323</v>
      </c>
      <c r="B2254" s="116">
        <v>1677</v>
      </c>
      <c r="C2254" s="116">
        <v>1656.45</v>
      </c>
      <c r="D2254" s="116">
        <v>1650.15</v>
      </c>
      <c r="E2254" s="116">
        <v>1660</v>
      </c>
      <c r="F2254" s="116">
        <v>1656.45</v>
      </c>
      <c r="G2254">
        <v>144315</v>
      </c>
      <c r="H2254" s="116"/>
      <c r="I2254" s="116"/>
      <c r="L2254" s="170">
        <v>45323</v>
      </c>
      <c r="M2254" s="116">
        <v>1657.05</v>
      </c>
      <c r="N2254" s="116">
        <v>1677</v>
      </c>
      <c r="O2254" s="116">
        <v>1650.35</v>
      </c>
      <c r="P2254" s="116">
        <v>1659.55</v>
      </c>
      <c r="Q2254" s="116">
        <v>1657.05</v>
      </c>
      <c r="R2254">
        <v>5760011</v>
      </c>
    </row>
    <row r="2255" spans="1:18" x14ac:dyDescent="0.25">
      <c r="A2255" s="170">
        <v>45324</v>
      </c>
      <c r="B2255" s="116">
        <v>1718.6</v>
      </c>
      <c r="C2255" s="116">
        <v>1693.85</v>
      </c>
      <c r="D2255" s="116">
        <v>1662.25</v>
      </c>
      <c r="E2255" s="116">
        <v>1662.25</v>
      </c>
      <c r="F2255" s="116">
        <v>1693.85</v>
      </c>
      <c r="G2255">
        <v>592334</v>
      </c>
      <c r="H2255" s="116"/>
      <c r="I2255" s="116"/>
      <c r="L2255" s="170">
        <v>45324</v>
      </c>
      <c r="M2255" s="116">
        <v>1693.35</v>
      </c>
      <c r="N2255" s="116">
        <v>1718.5</v>
      </c>
      <c r="O2255" s="116">
        <v>1665</v>
      </c>
      <c r="P2255" s="116">
        <v>1666.05</v>
      </c>
      <c r="Q2255" s="116">
        <v>1693.35</v>
      </c>
      <c r="R2255">
        <v>7858483</v>
      </c>
    </row>
    <row r="2256" spans="1:18" x14ac:dyDescent="0.25">
      <c r="A2256" s="170">
        <v>45327</v>
      </c>
      <c r="B2256" s="116">
        <v>1700.5</v>
      </c>
      <c r="C2256" s="116">
        <v>1686.75</v>
      </c>
      <c r="D2256" s="116">
        <v>1681</v>
      </c>
      <c r="E2256" s="116">
        <v>1686.1</v>
      </c>
      <c r="F2256" s="116">
        <v>1686.75</v>
      </c>
      <c r="G2256">
        <v>148469</v>
      </c>
      <c r="H2256" s="116"/>
      <c r="I2256" s="116"/>
      <c r="L2256" s="170">
        <v>45327</v>
      </c>
      <c r="M2256" s="116">
        <v>1687.2</v>
      </c>
      <c r="N2256" s="116">
        <v>1700.75</v>
      </c>
      <c r="O2256" s="116">
        <v>1681.85</v>
      </c>
      <c r="P2256" s="116">
        <v>1694.75</v>
      </c>
      <c r="Q2256" s="116">
        <v>1687.2</v>
      </c>
      <c r="R2256">
        <v>3634135</v>
      </c>
    </row>
    <row r="2257" spans="1:18" x14ac:dyDescent="0.25">
      <c r="A2257" s="170">
        <v>45328</v>
      </c>
      <c r="B2257" s="116">
        <v>1731</v>
      </c>
      <c r="C2257" s="116">
        <v>1729.25</v>
      </c>
      <c r="D2257" s="116">
        <v>1673.65</v>
      </c>
      <c r="E2257" s="116">
        <v>1680.05</v>
      </c>
      <c r="F2257" s="116">
        <v>1729.25</v>
      </c>
      <c r="G2257">
        <v>202887</v>
      </c>
      <c r="H2257" s="116"/>
      <c r="I2257" s="116"/>
      <c r="L2257" s="170">
        <v>45328</v>
      </c>
      <c r="M2257" s="116">
        <v>1729.45</v>
      </c>
      <c r="N2257" s="116">
        <v>1733</v>
      </c>
      <c r="O2257" s="116">
        <v>1673.95</v>
      </c>
      <c r="P2257" s="116">
        <v>1686.75</v>
      </c>
      <c r="Q2257" s="116">
        <v>1729.45</v>
      </c>
      <c r="R2257">
        <v>7694265</v>
      </c>
    </row>
    <row r="2258" spans="1:18" x14ac:dyDescent="0.25">
      <c r="A2258" s="170">
        <v>45329</v>
      </c>
      <c r="B2258" s="116">
        <v>1729.25</v>
      </c>
      <c r="C2258" s="116">
        <v>1693.7</v>
      </c>
      <c r="D2258" s="116">
        <v>1686.9</v>
      </c>
      <c r="E2258" s="116">
        <v>1729.25</v>
      </c>
      <c r="F2258" s="116">
        <v>1693.7</v>
      </c>
      <c r="G2258">
        <v>197567</v>
      </c>
      <c r="H2258" s="116"/>
      <c r="I2258" s="116"/>
      <c r="L2258" s="170">
        <v>45329</v>
      </c>
      <c r="M2258" s="116">
        <v>1693.75</v>
      </c>
      <c r="N2258" s="116">
        <v>1729</v>
      </c>
      <c r="O2258" s="116">
        <v>1686.85</v>
      </c>
      <c r="P2258" s="116">
        <v>1729</v>
      </c>
      <c r="Q2258" s="116">
        <v>1693.75</v>
      </c>
      <c r="R2258">
        <v>4613877</v>
      </c>
    </row>
    <row r="2259" spans="1:18" x14ac:dyDescent="0.25">
      <c r="A2259" s="170">
        <v>45330</v>
      </c>
      <c r="B2259" s="116">
        <v>1706.2</v>
      </c>
      <c r="C2259" s="116">
        <v>1693.2</v>
      </c>
      <c r="D2259" s="116">
        <v>1682.8</v>
      </c>
      <c r="E2259" s="116">
        <v>1695.05</v>
      </c>
      <c r="F2259" s="116">
        <v>1693.2</v>
      </c>
      <c r="G2259">
        <v>95363</v>
      </c>
      <c r="H2259" s="116"/>
      <c r="I2259" s="116"/>
      <c r="L2259" s="170">
        <v>45330</v>
      </c>
      <c r="M2259" s="116">
        <v>1692.1</v>
      </c>
      <c r="N2259" s="116">
        <v>1706.35</v>
      </c>
      <c r="O2259" s="116">
        <v>1682.8</v>
      </c>
      <c r="P2259" s="116">
        <v>1698</v>
      </c>
      <c r="Q2259" s="116">
        <v>1692.1</v>
      </c>
      <c r="R2259">
        <v>5919715</v>
      </c>
    </row>
    <row r="2260" spans="1:18" x14ac:dyDescent="0.25">
      <c r="A2260" s="170">
        <v>45331</v>
      </c>
      <c r="B2260" s="116">
        <v>1692</v>
      </c>
      <c r="C2260" s="116">
        <v>1669.65</v>
      </c>
      <c r="D2260" s="116">
        <v>1659.3</v>
      </c>
      <c r="E2260" s="116">
        <v>1685.9</v>
      </c>
      <c r="F2260" s="116">
        <v>1669.65</v>
      </c>
      <c r="G2260">
        <v>304915</v>
      </c>
      <c r="H2260" s="116"/>
      <c r="I2260" s="116"/>
      <c r="L2260" s="170">
        <v>45331</v>
      </c>
      <c r="M2260" s="116">
        <v>1669.35</v>
      </c>
      <c r="N2260" s="116">
        <v>1692.9</v>
      </c>
      <c r="O2260" s="116">
        <v>1659.8</v>
      </c>
      <c r="P2260" s="116">
        <v>1684.7</v>
      </c>
      <c r="Q2260" s="116">
        <v>1669.35</v>
      </c>
      <c r="R2260">
        <v>4600004</v>
      </c>
    </row>
    <row r="2261" spans="1:18" x14ac:dyDescent="0.25">
      <c r="A2261" s="170">
        <v>45334</v>
      </c>
      <c r="B2261" s="116">
        <v>1692.5</v>
      </c>
      <c r="C2261" s="116">
        <v>1679.8</v>
      </c>
      <c r="D2261" s="116">
        <v>1670.15</v>
      </c>
      <c r="E2261" s="116">
        <v>1670.15</v>
      </c>
      <c r="F2261" s="116">
        <v>1679.8</v>
      </c>
      <c r="G2261">
        <v>269133</v>
      </c>
      <c r="H2261" s="116"/>
      <c r="I2261" s="116"/>
      <c r="L2261" s="170">
        <v>45334</v>
      </c>
      <c r="M2261" s="116">
        <v>1680.1</v>
      </c>
      <c r="N2261" s="116">
        <v>1692.95</v>
      </c>
      <c r="O2261" s="116">
        <v>1670.35</v>
      </c>
      <c r="P2261" s="116">
        <v>1670.35</v>
      </c>
      <c r="Q2261" s="116">
        <v>1680.1</v>
      </c>
      <c r="R2261">
        <v>3555808</v>
      </c>
    </row>
    <row r="2262" spans="1:18" x14ac:dyDescent="0.25">
      <c r="A2262" s="170">
        <v>45335</v>
      </c>
      <c r="B2262" s="116">
        <v>1689</v>
      </c>
      <c r="C2262" s="116">
        <v>1684.6</v>
      </c>
      <c r="D2262" s="116">
        <v>1663.75</v>
      </c>
      <c r="E2262" s="116">
        <v>1680.15</v>
      </c>
      <c r="F2262" s="116">
        <v>1684.6</v>
      </c>
      <c r="G2262">
        <v>44652</v>
      </c>
      <c r="H2262" s="116"/>
      <c r="I2262" s="116"/>
      <c r="L2262" s="170">
        <v>45335</v>
      </c>
      <c r="M2262" s="116">
        <v>1684.55</v>
      </c>
      <c r="N2262" s="116">
        <v>1689.1</v>
      </c>
      <c r="O2262" s="116">
        <v>1663.5</v>
      </c>
      <c r="P2262" s="116">
        <v>1683</v>
      </c>
      <c r="Q2262" s="116">
        <v>1684.55</v>
      </c>
      <c r="R2262">
        <v>2696481</v>
      </c>
    </row>
    <row r="2263" spans="1:18" x14ac:dyDescent="0.25">
      <c r="A2263" s="170">
        <v>45336</v>
      </c>
      <c r="B2263" s="116">
        <v>1668.8</v>
      </c>
      <c r="C2263" s="116">
        <v>1666</v>
      </c>
      <c r="D2263" s="116">
        <v>1635.35</v>
      </c>
      <c r="E2263" s="116">
        <v>1660.95</v>
      </c>
      <c r="F2263" s="116">
        <v>1666</v>
      </c>
      <c r="G2263">
        <v>358918</v>
      </c>
      <c r="H2263" s="116"/>
      <c r="I2263" s="116"/>
      <c r="L2263" s="170">
        <v>45336</v>
      </c>
      <c r="M2263" s="116">
        <v>1666.2</v>
      </c>
      <c r="N2263" s="116">
        <v>1669.45</v>
      </c>
      <c r="O2263" s="116">
        <v>1635.5</v>
      </c>
      <c r="P2263" s="116">
        <v>1660.2</v>
      </c>
      <c r="Q2263" s="116">
        <v>1666.2</v>
      </c>
      <c r="R2263">
        <v>3768579</v>
      </c>
    </row>
    <row r="2264" spans="1:18" x14ac:dyDescent="0.25">
      <c r="A2264" s="170">
        <v>45337</v>
      </c>
      <c r="B2264" s="116">
        <v>1686.75</v>
      </c>
      <c r="C2264" s="116">
        <v>1677.6</v>
      </c>
      <c r="D2264" s="116">
        <v>1662</v>
      </c>
      <c r="E2264" s="116">
        <v>1673.9</v>
      </c>
      <c r="F2264" s="116">
        <v>1677.6</v>
      </c>
      <c r="G2264">
        <v>236638</v>
      </c>
      <c r="H2264" s="116"/>
      <c r="I2264" s="116"/>
      <c r="L2264" s="170">
        <v>45337</v>
      </c>
      <c r="M2264" s="116">
        <v>1676.35</v>
      </c>
      <c r="N2264" s="116">
        <v>1687.75</v>
      </c>
      <c r="O2264" s="116">
        <v>1661.6</v>
      </c>
      <c r="P2264" s="116">
        <v>1677</v>
      </c>
      <c r="Q2264" s="116">
        <v>1676.35</v>
      </c>
      <c r="R2264">
        <v>4834391</v>
      </c>
    </row>
    <row r="2265" spans="1:18" x14ac:dyDescent="0.25">
      <c r="A2265" s="170">
        <v>45338</v>
      </c>
      <c r="B2265" s="116">
        <v>1708.95</v>
      </c>
      <c r="C2265" s="116">
        <v>1702.4</v>
      </c>
      <c r="D2265" s="116">
        <v>1681.05</v>
      </c>
      <c r="E2265" s="116">
        <v>1688</v>
      </c>
      <c r="F2265" s="116">
        <v>1702.4</v>
      </c>
      <c r="G2265">
        <v>490096</v>
      </c>
      <c r="H2265" s="116"/>
      <c r="I2265" s="116"/>
      <c r="L2265" s="170">
        <v>45338</v>
      </c>
      <c r="M2265" s="116">
        <v>1701.65</v>
      </c>
      <c r="N2265" s="116">
        <v>1709</v>
      </c>
      <c r="O2265" s="116">
        <v>1687.95</v>
      </c>
      <c r="P2265" s="116">
        <v>1689</v>
      </c>
      <c r="Q2265" s="116">
        <v>1701.65</v>
      </c>
      <c r="R2265">
        <v>4880654</v>
      </c>
    </row>
    <row r="2266" spans="1:18" x14ac:dyDescent="0.25">
      <c r="A2266" s="170">
        <v>45341</v>
      </c>
      <c r="B2266" s="116">
        <v>1710.95</v>
      </c>
      <c r="C2266" s="116">
        <v>1699.45</v>
      </c>
      <c r="D2266" s="116">
        <v>1687.15</v>
      </c>
      <c r="E2266" s="116">
        <v>1702.55</v>
      </c>
      <c r="F2266" s="116">
        <v>1699.45</v>
      </c>
      <c r="G2266">
        <v>147431</v>
      </c>
      <c r="H2266" s="116"/>
      <c r="I2266" s="116"/>
      <c r="L2266" s="170">
        <v>45341</v>
      </c>
      <c r="M2266" s="116">
        <v>1699.75</v>
      </c>
      <c r="N2266" s="116">
        <v>1711.5</v>
      </c>
      <c r="O2266" s="116">
        <v>1687.7</v>
      </c>
      <c r="P2266" s="116">
        <v>1705</v>
      </c>
      <c r="Q2266" s="116">
        <v>1699.75</v>
      </c>
      <c r="R2266">
        <v>3690993</v>
      </c>
    </row>
    <row r="2267" spans="1:18" x14ac:dyDescent="0.25">
      <c r="A2267" s="170">
        <v>45342</v>
      </c>
      <c r="B2267" s="116">
        <v>1693.45</v>
      </c>
      <c r="C2267" s="116">
        <v>1684.15</v>
      </c>
      <c r="D2267" s="116">
        <v>1668.7</v>
      </c>
      <c r="E2267" s="116">
        <v>1688.05</v>
      </c>
      <c r="F2267" s="116">
        <v>1684.15</v>
      </c>
      <c r="G2267">
        <v>114350</v>
      </c>
      <c r="H2267" s="116"/>
      <c r="I2267" s="116"/>
      <c r="L2267" s="170">
        <v>45342</v>
      </c>
      <c r="M2267" s="116">
        <v>1685.25</v>
      </c>
      <c r="N2267" s="116">
        <v>1694.25</v>
      </c>
      <c r="O2267" s="116">
        <v>1668.75</v>
      </c>
      <c r="P2267" s="116">
        <v>1685</v>
      </c>
      <c r="Q2267" s="116">
        <v>1685.25</v>
      </c>
      <c r="R2267">
        <v>3706389</v>
      </c>
    </row>
    <row r="2268" spans="1:18" x14ac:dyDescent="0.25">
      <c r="A2268" s="170">
        <v>45343</v>
      </c>
      <c r="B2268" s="116">
        <v>1676.8</v>
      </c>
      <c r="C2268" s="116">
        <v>1656.05</v>
      </c>
      <c r="D2268" s="116">
        <v>1645.3</v>
      </c>
      <c r="E2268" s="116">
        <v>1676.8</v>
      </c>
      <c r="F2268" s="116">
        <v>1656.05</v>
      </c>
      <c r="G2268">
        <v>177997</v>
      </c>
      <c r="H2268" s="116"/>
      <c r="I2268" s="116"/>
      <c r="L2268" s="170">
        <v>45343</v>
      </c>
      <c r="M2268" s="116">
        <v>1655.55</v>
      </c>
      <c r="N2268" s="116">
        <v>1674</v>
      </c>
      <c r="O2268" s="116">
        <v>1645.3</v>
      </c>
      <c r="P2268" s="116">
        <v>1674</v>
      </c>
      <c r="Q2268" s="116">
        <v>1655.55</v>
      </c>
      <c r="R2268">
        <v>4300508</v>
      </c>
    </row>
    <row r="2269" spans="1:18" x14ac:dyDescent="0.25">
      <c r="A2269" s="170">
        <v>45344</v>
      </c>
      <c r="B2269" s="116">
        <v>1684.35</v>
      </c>
      <c r="C2269" s="116">
        <v>1680.25</v>
      </c>
      <c r="D2269" s="116">
        <v>1644.85</v>
      </c>
      <c r="E2269" s="116">
        <v>1663.3</v>
      </c>
      <c r="F2269" s="116">
        <v>1680.25</v>
      </c>
      <c r="G2269">
        <v>184800</v>
      </c>
      <c r="H2269" s="116"/>
      <c r="I2269" s="116"/>
      <c r="L2269" s="170">
        <v>45344</v>
      </c>
      <c r="M2269" s="116">
        <v>1681.35</v>
      </c>
      <c r="N2269" s="116">
        <v>1684.6</v>
      </c>
      <c r="O2269" s="116">
        <v>1644.4</v>
      </c>
      <c r="P2269" s="116">
        <v>1665</v>
      </c>
      <c r="Q2269" s="116">
        <v>1681.35</v>
      </c>
      <c r="R2269">
        <v>5841277</v>
      </c>
    </row>
    <row r="2270" spans="1:18" x14ac:dyDescent="0.25">
      <c r="A2270" s="170">
        <v>45345</v>
      </c>
      <c r="B2270" s="116">
        <v>1698.6</v>
      </c>
      <c r="C2270" s="116">
        <v>1677</v>
      </c>
      <c r="D2270" s="116">
        <v>1672</v>
      </c>
      <c r="E2270" s="116">
        <v>1695.6</v>
      </c>
      <c r="F2270" s="116">
        <v>1677</v>
      </c>
      <c r="G2270">
        <v>221212</v>
      </c>
      <c r="H2270" s="116"/>
      <c r="I2270" s="116"/>
      <c r="L2270" s="170">
        <v>45345</v>
      </c>
      <c r="M2270" s="116">
        <v>1676.85</v>
      </c>
      <c r="N2270" s="116">
        <v>1698.45</v>
      </c>
      <c r="O2270" s="116">
        <v>1671.9</v>
      </c>
      <c r="P2270" s="116">
        <v>1697</v>
      </c>
      <c r="Q2270" s="116">
        <v>1676.85</v>
      </c>
      <c r="R2270">
        <v>5373072</v>
      </c>
    </row>
    <row r="2271" spans="1:18" x14ac:dyDescent="0.25">
      <c r="A2271" s="170">
        <v>45348</v>
      </c>
      <c r="B2271" s="116">
        <v>1674.5</v>
      </c>
      <c r="C2271" s="116">
        <v>1658.65</v>
      </c>
      <c r="D2271" s="116">
        <v>1645</v>
      </c>
      <c r="E2271" s="116">
        <v>1672.7</v>
      </c>
      <c r="F2271" s="116">
        <v>1658.65</v>
      </c>
      <c r="G2271">
        <v>144855</v>
      </c>
      <c r="H2271" s="116"/>
      <c r="I2271" s="116"/>
      <c r="L2271" s="170">
        <v>45348</v>
      </c>
      <c r="M2271" s="116">
        <v>1660.15</v>
      </c>
      <c r="N2271" s="116">
        <v>1674.95</v>
      </c>
      <c r="O2271" s="116">
        <v>1645</v>
      </c>
      <c r="P2271" s="116">
        <v>1674.95</v>
      </c>
      <c r="Q2271" s="116">
        <v>1660.15</v>
      </c>
      <c r="R2271">
        <v>2782438</v>
      </c>
    </row>
    <row r="2272" spans="1:18" x14ac:dyDescent="0.25">
      <c r="A2272" s="170">
        <v>45349</v>
      </c>
      <c r="B2272" s="116">
        <v>1670.95</v>
      </c>
      <c r="C2272" s="116">
        <v>1664.75</v>
      </c>
      <c r="D2272" s="116">
        <v>1653</v>
      </c>
      <c r="E2272" s="116">
        <v>1655.2</v>
      </c>
      <c r="F2272" s="116">
        <v>1664.75</v>
      </c>
      <c r="G2272">
        <v>99507</v>
      </c>
      <c r="H2272" s="116"/>
      <c r="I2272" s="116"/>
      <c r="L2272" s="170">
        <v>45349</v>
      </c>
      <c r="M2272" s="116">
        <v>1663.6</v>
      </c>
      <c r="N2272" s="116">
        <v>1671.1</v>
      </c>
      <c r="O2272" s="116">
        <v>1652.8</v>
      </c>
      <c r="P2272" s="116">
        <v>1661</v>
      </c>
      <c r="Q2272" s="116">
        <v>1663.6</v>
      </c>
      <c r="R2272">
        <v>5159088</v>
      </c>
    </row>
    <row r="2273" spans="1:18" x14ac:dyDescent="0.25">
      <c r="A2273" s="170">
        <v>45350</v>
      </c>
      <c r="B2273" s="116">
        <v>1687.5</v>
      </c>
      <c r="C2273" s="116">
        <v>1670.1</v>
      </c>
      <c r="D2273" s="116">
        <v>1662.4</v>
      </c>
      <c r="E2273" s="116">
        <v>1672</v>
      </c>
      <c r="F2273" s="116">
        <v>1670.1</v>
      </c>
      <c r="G2273">
        <v>193133</v>
      </c>
      <c r="H2273" s="116"/>
      <c r="I2273" s="116"/>
      <c r="L2273" s="170">
        <v>45350</v>
      </c>
      <c r="M2273" s="116">
        <v>1671.25</v>
      </c>
      <c r="N2273" s="116">
        <v>1687.8</v>
      </c>
      <c r="O2273" s="116">
        <v>1662.05</v>
      </c>
      <c r="P2273" s="116">
        <v>1670</v>
      </c>
      <c r="Q2273" s="116">
        <v>1671.25</v>
      </c>
      <c r="R2273">
        <v>3188916</v>
      </c>
    </row>
    <row r="2274" spans="1:18" x14ac:dyDescent="0.25">
      <c r="A2274" s="170">
        <v>45351</v>
      </c>
      <c r="B2274" s="116">
        <v>1682</v>
      </c>
      <c r="C2274" s="116">
        <v>1675.05</v>
      </c>
      <c r="D2274" s="116">
        <v>1653.5</v>
      </c>
      <c r="E2274" s="116">
        <v>1655.15</v>
      </c>
      <c r="F2274" s="116">
        <v>1675.05</v>
      </c>
      <c r="G2274">
        <v>79116</v>
      </c>
      <c r="H2274" s="116"/>
      <c r="I2274" s="116"/>
      <c r="L2274" s="170">
        <v>45351</v>
      </c>
      <c r="M2274" s="116">
        <v>1673.9</v>
      </c>
      <c r="N2274" s="116">
        <v>1682.25</v>
      </c>
      <c r="O2274" s="116">
        <v>1653.3</v>
      </c>
      <c r="P2274" s="116">
        <v>1665</v>
      </c>
      <c r="Q2274" s="116">
        <v>1673.9</v>
      </c>
      <c r="R2274">
        <v>7814722</v>
      </c>
    </row>
    <row r="2275" spans="1:18" x14ac:dyDescent="0.25">
      <c r="A2275" s="170">
        <v>45352</v>
      </c>
      <c r="B2275" s="116">
        <v>1672.5</v>
      </c>
      <c r="C2275" s="116">
        <v>1655.05</v>
      </c>
      <c r="D2275" s="116">
        <v>1652</v>
      </c>
      <c r="E2275" s="116">
        <v>1672.05</v>
      </c>
      <c r="F2275" s="116">
        <v>1655.05</v>
      </c>
      <c r="G2275">
        <v>324749</v>
      </c>
      <c r="H2275" s="116"/>
      <c r="I2275" s="116"/>
      <c r="L2275" s="170">
        <v>45352</v>
      </c>
      <c r="M2275" s="116">
        <v>1654.7</v>
      </c>
      <c r="N2275" s="116">
        <v>1671.95</v>
      </c>
      <c r="O2275" s="116">
        <v>1651</v>
      </c>
      <c r="P2275" s="116">
        <v>1669</v>
      </c>
      <c r="Q2275" s="116">
        <v>1654.7</v>
      </c>
      <c r="R2275">
        <v>6387291</v>
      </c>
    </row>
    <row r="2276" spans="1:18" x14ac:dyDescent="0.25">
      <c r="A2276" s="170">
        <v>45353</v>
      </c>
      <c r="B2276" s="116">
        <v>1665</v>
      </c>
      <c r="C2276" s="116">
        <v>1655.2</v>
      </c>
      <c r="D2276" s="116">
        <v>1653.75</v>
      </c>
      <c r="E2276" s="116">
        <v>1656.05</v>
      </c>
      <c r="F2276" s="116">
        <v>1655.2</v>
      </c>
      <c r="G2276">
        <v>26446</v>
      </c>
      <c r="H2276" s="116"/>
      <c r="I2276" s="116"/>
      <c r="L2276" s="170">
        <v>45353</v>
      </c>
      <c r="M2276" s="116">
        <v>1656.3</v>
      </c>
      <c r="N2276" s="116">
        <v>1665</v>
      </c>
      <c r="O2276" s="116">
        <v>1654.05</v>
      </c>
      <c r="P2276" s="116">
        <v>1658.85</v>
      </c>
      <c r="Q2276" s="116">
        <v>1656.3</v>
      </c>
      <c r="R2276">
        <v>292153</v>
      </c>
    </row>
    <row r="2277" spans="1:18" x14ac:dyDescent="0.25">
      <c r="A2277" s="170">
        <v>45355</v>
      </c>
      <c r="B2277" s="116">
        <v>1662.25</v>
      </c>
      <c r="C2277" s="116">
        <v>1637.85</v>
      </c>
      <c r="D2277" s="116">
        <v>1633.2</v>
      </c>
      <c r="E2277" s="116">
        <v>1655.75</v>
      </c>
      <c r="F2277" s="116">
        <v>1637.85</v>
      </c>
      <c r="G2277">
        <v>291654</v>
      </c>
      <c r="H2277" s="116"/>
      <c r="I2277" s="116"/>
      <c r="L2277" s="170">
        <v>45355</v>
      </c>
      <c r="M2277" s="116">
        <v>1637.2</v>
      </c>
      <c r="N2277" s="116">
        <v>1664.45</v>
      </c>
      <c r="O2277" s="116">
        <v>1633.65</v>
      </c>
      <c r="P2277" s="116">
        <v>1657.85</v>
      </c>
      <c r="Q2277" s="116">
        <v>1637.2</v>
      </c>
      <c r="R2277">
        <v>4445156</v>
      </c>
    </row>
    <row r="2278" spans="1:18" x14ac:dyDescent="0.25">
      <c r="A2278" s="170">
        <v>45356</v>
      </c>
      <c r="B2278" s="116">
        <v>1636.6</v>
      </c>
      <c r="C2278" s="116">
        <v>1606.2</v>
      </c>
      <c r="D2278" s="116">
        <v>1602.1</v>
      </c>
      <c r="E2278" s="116">
        <v>1633.65</v>
      </c>
      <c r="F2278" s="116">
        <v>1606.2</v>
      </c>
      <c r="G2278">
        <v>314321</v>
      </c>
      <c r="H2278" s="116"/>
      <c r="I2278" s="116"/>
      <c r="L2278" s="170">
        <v>45356</v>
      </c>
      <c r="M2278" s="116">
        <v>1606.5</v>
      </c>
      <c r="N2278" s="116">
        <v>1637.35</v>
      </c>
      <c r="O2278" s="116">
        <v>1602</v>
      </c>
      <c r="P2278" s="116">
        <v>1634</v>
      </c>
      <c r="Q2278" s="116">
        <v>1606.5</v>
      </c>
      <c r="R2278">
        <v>4596579</v>
      </c>
    </row>
    <row r="2279" spans="1:18" x14ac:dyDescent="0.25">
      <c r="A2279" s="170">
        <v>45357</v>
      </c>
      <c r="B2279" s="116">
        <v>1619.95</v>
      </c>
      <c r="C2279" s="116">
        <v>1617.3</v>
      </c>
      <c r="D2279" s="116">
        <v>1576.1</v>
      </c>
      <c r="E2279" s="116">
        <v>1600.1</v>
      </c>
      <c r="F2279" s="116">
        <v>1617.3</v>
      </c>
      <c r="G2279">
        <v>257845</v>
      </c>
      <c r="H2279" s="116"/>
      <c r="I2279" s="116"/>
      <c r="L2279" s="170">
        <v>45357</v>
      </c>
      <c r="M2279" s="116">
        <v>1617.55</v>
      </c>
      <c r="N2279" s="116">
        <v>1620.15</v>
      </c>
      <c r="O2279" s="116">
        <v>1576</v>
      </c>
      <c r="P2279" s="116">
        <v>1602.8</v>
      </c>
      <c r="Q2279" s="116">
        <v>1617.55</v>
      </c>
      <c r="R2279">
        <v>6420684</v>
      </c>
    </row>
    <row r="2280" spans="1:18" x14ac:dyDescent="0.25">
      <c r="A2280" s="170">
        <v>45358</v>
      </c>
      <c r="B2280" s="116">
        <v>1628.45</v>
      </c>
      <c r="C2280" s="116">
        <v>1616.95</v>
      </c>
      <c r="D2280" s="116">
        <v>1605</v>
      </c>
      <c r="E2280" s="116">
        <v>1617.3</v>
      </c>
      <c r="F2280" s="116">
        <v>1616.95</v>
      </c>
      <c r="G2280">
        <v>172250</v>
      </c>
      <c r="H2280" s="116"/>
      <c r="I2280" s="116"/>
      <c r="L2280" s="170">
        <v>45358</v>
      </c>
      <c r="M2280" s="116">
        <v>1616.45</v>
      </c>
      <c r="N2280" s="116">
        <v>1628.45</v>
      </c>
      <c r="O2280" s="116">
        <v>1604.2</v>
      </c>
      <c r="P2280" s="116">
        <v>1616.6</v>
      </c>
      <c r="Q2280" s="116">
        <v>1616.45</v>
      </c>
      <c r="R2280">
        <v>6348359</v>
      </c>
    </row>
    <row r="2281" spans="1:18" x14ac:dyDescent="0.25">
      <c r="A2281" s="170">
        <v>45362</v>
      </c>
      <c r="B2281" s="116">
        <v>1612.25</v>
      </c>
      <c r="C2281" s="116">
        <v>1599.45</v>
      </c>
      <c r="D2281" s="116">
        <v>1588</v>
      </c>
      <c r="E2281" s="116">
        <v>1608.9</v>
      </c>
      <c r="F2281" s="116">
        <v>1599.45</v>
      </c>
      <c r="G2281">
        <v>201766</v>
      </c>
      <c r="H2281" s="116"/>
      <c r="I2281" s="116"/>
      <c r="L2281" s="170">
        <v>45362</v>
      </c>
      <c r="M2281" s="116">
        <v>1600.6</v>
      </c>
      <c r="N2281" s="116">
        <v>1613.8</v>
      </c>
      <c r="O2281" s="116">
        <v>1588</v>
      </c>
      <c r="P2281" s="116">
        <v>1608.15</v>
      </c>
      <c r="Q2281" s="116">
        <v>1600.6</v>
      </c>
      <c r="R2281">
        <v>6752895</v>
      </c>
    </row>
    <row r="2282" spans="1:18" x14ac:dyDescent="0.25">
      <c r="A2282" s="170">
        <v>45363</v>
      </c>
      <c r="B2282" s="116">
        <v>1624.95</v>
      </c>
      <c r="C2282" s="116">
        <v>1612.2</v>
      </c>
      <c r="D2282" s="116">
        <v>1598.05</v>
      </c>
      <c r="E2282" s="116">
        <v>1598.5</v>
      </c>
      <c r="F2282" s="116">
        <v>1612.2</v>
      </c>
      <c r="G2282">
        <v>180282</v>
      </c>
      <c r="H2282" s="116"/>
      <c r="I2282" s="116"/>
      <c r="L2282" s="170">
        <v>45363</v>
      </c>
      <c r="M2282" s="116">
        <v>1612.95</v>
      </c>
      <c r="N2282" s="116">
        <v>1625</v>
      </c>
      <c r="O2282" s="116">
        <v>1597.65</v>
      </c>
      <c r="P2282" s="116">
        <v>1600</v>
      </c>
      <c r="Q2282" s="116">
        <v>1612.95</v>
      </c>
      <c r="R2282">
        <v>4614222</v>
      </c>
    </row>
    <row r="2283" spans="1:18" x14ac:dyDescent="0.25">
      <c r="A2283" s="170">
        <v>45364</v>
      </c>
      <c r="B2283" s="116">
        <v>1624.85</v>
      </c>
      <c r="C2283" s="116">
        <v>1611.7</v>
      </c>
      <c r="D2283" s="116">
        <v>1598.3</v>
      </c>
      <c r="E2283" s="116">
        <v>1612.3</v>
      </c>
      <c r="F2283" s="116">
        <v>1611.7</v>
      </c>
      <c r="G2283">
        <v>240984</v>
      </c>
      <c r="H2283" s="116"/>
      <c r="I2283" s="116"/>
      <c r="L2283" s="170">
        <v>45364</v>
      </c>
      <c r="M2283" s="116">
        <v>1611.4</v>
      </c>
      <c r="N2283" s="116">
        <v>1624.5</v>
      </c>
      <c r="O2283" s="116">
        <v>1598.55</v>
      </c>
      <c r="P2283" s="116">
        <v>1612.9</v>
      </c>
      <c r="Q2283" s="116">
        <v>1611.4</v>
      </c>
      <c r="R2283">
        <v>5688997</v>
      </c>
    </row>
    <row r="2284" spans="1:18" x14ac:dyDescent="0.25">
      <c r="A2284" s="170">
        <v>45365</v>
      </c>
      <c r="B2284" s="116">
        <v>1657</v>
      </c>
      <c r="C2284" s="116">
        <v>1652.45</v>
      </c>
      <c r="D2284" s="116">
        <v>1607.25</v>
      </c>
      <c r="E2284" s="116">
        <v>1612.05</v>
      </c>
      <c r="F2284" s="116">
        <v>1652.45</v>
      </c>
      <c r="G2284">
        <v>254874</v>
      </c>
      <c r="H2284" s="116"/>
      <c r="I2284" s="116"/>
      <c r="L2284" s="170">
        <v>45365</v>
      </c>
      <c r="M2284" s="116">
        <v>1653.3</v>
      </c>
      <c r="N2284" s="116">
        <v>1657.75</v>
      </c>
      <c r="O2284" s="116">
        <v>1608</v>
      </c>
      <c r="P2284" s="116">
        <v>1614.4</v>
      </c>
      <c r="Q2284" s="116">
        <v>1653.3</v>
      </c>
      <c r="R2284">
        <v>8803799</v>
      </c>
    </row>
    <row r="2285" spans="1:18" x14ac:dyDescent="0.25">
      <c r="A2285" s="170">
        <v>45366</v>
      </c>
      <c r="B2285" s="116">
        <v>1647</v>
      </c>
      <c r="C2285" s="116">
        <v>1634.9</v>
      </c>
      <c r="D2285" s="116">
        <v>1618.5</v>
      </c>
      <c r="E2285" s="116">
        <v>1644.45</v>
      </c>
      <c r="F2285" s="116">
        <v>1634.9</v>
      </c>
      <c r="G2285">
        <v>309799</v>
      </c>
      <c r="H2285" s="116"/>
      <c r="I2285" s="116"/>
      <c r="L2285" s="170">
        <v>45366</v>
      </c>
      <c r="M2285" s="116">
        <v>1634</v>
      </c>
      <c r="N2285" s="116">
        <v>1645.8</v>
      </c>
      <c r="O2285" s="116">
        <v>1618.35</v>
      </c>
      <c r="P2285" s="116">
        <v>1641.1</v>
      </c>
      <c r="Q2285" s="116">
        <v>1634</v>
      </c>
      <c r="R2285">
        <v>11809997</v>
      </c>
    </row>
    <row r="2286" spans="1:18" x14ac:dyDescent="0.25">
      <c r="A2286" s="170">
        <v>45369</v>
      </c>
      <c r="B2286" s="116">
        <v>1632.65</v>
      </c>
      <c r="C2286" s="116">
        <v>1602.3</v>
      </c>
      <c r="D2286" s="116">
        <v>1599</v>
      </c>
      <c r="E2286" s="116">
        <v>1632.05</v>
      </c>
      <c r="F2286" s="116">
        <v>1602.3</v>
      </c>
      <c r="G2286">
        <v>168202</v>
      </c>
      <c r="H2286" s="116"/>
      <c r="I2286" s="116"/>
      <c r="L2286" s="170">
        <v>45369</v>
      </c>
      <c r="M2286" s="116">
        <v>1602.65</v>
      </c>
      <c r="N2286" s="116">
        <v>1632.65</v>
      </c>
      <c r="O2286" s="116">
        <v>1598.85</v>
      </c>
      <c r="P2286" s="116">
        <v>1630</v>
      </c>
      <c r="Q2286" s="116">
        <v>1602.65</v>
      </c>
      <c r="R2286">
        <v>4958904</v>
      </c>
    </row>
    <row r="2287" spans="1:18" x14ac:dyDescent="0.25">
      <c r="A2287" s="170">
        <v>45370</v>
      </c>
      <c r="B2287" s="116">
        <v>1599</v>
      </c>
      <c r="C2287" s="116">
        <v>1561.95</v>
      </c>
      <c r="D2287" s="116">
        <v>1558.1</v>
      </c>
      <c r="E2287" s="116">
        <v>1595.6</v>
      </c>
      <c r="F2287" s="116">
        <v>1561.95</v>
      </c>
      <c r="G2287">
        <v>233098</v>
      </c>
      <c r="H2287" s="116"/>
      <c r="I2287" s="116"/>
      <c r="L2287" s="170">
        <v>45370</v>
      </c>
      <c r="M2287" s="116">
        <v>1561.45</v>
      </c>
      <c r="N2287" s="116">
        <v>1599</v>
      </c>
      <c r="O2287" s="116">
        <v>1558</v>
      </c>
      <c r="P2287" s="116">
        <v>1592.35</v>
      </c>
      <c r="Q2287" s="116">
        <v>1561.45</v>
      </c>
      <c r="R2287">
        <v>6870411</v>
      </c>
    </row>
    <row r="2288" spans="1:18" x14ac:dyDescent="0.25">
      <c r="A2288" s="170">
        <v>45371</v>
      </c>
      <c r="B2288" s="116">
        <v>1573.85</v>
      </c>
      <c r="C2288" s="116">
        <v>1554.6</v>
      </c>
      <c r="D2288" s="116">
        <v>1552.6</v>
      </c>
      <c r="E2288" s="116">
        <v>1562</v>
      </c>
      <c r="F2288" s="116">
        <v>1554.6</v>
      </c>
      <c r="G2288">
        <v>129545</v>
      </c>
      <c r="H2288" s="116"/>
      <c r="I2288" s="116"/>
      <c r="L2288" s="170">
        <v>45371</v>
      </c>
      <c r="M2288" s="116">
        <v>1554.95</v>
      </c>
      <c r="N2288" s="116">
        <v>1574.95</v>
      </c>
      <c r="O2288" s="116">
        <v>1552.35</v>
      </c>
      <c r="P2288" s="116">
        <v>1563</v>
      </c>
      <c r="Q2288" s="116">
        <v>1554.95</v>
      </c>
      <c r="R2288">
        <v>4759059</v>
      </c>
    </row>
    <row r="2289" spans="1:18" x14ac:dyDescent="0.25">
      <c r="A2289" s="170">
        <v>45372</v>
      </c>
      <c r="B2289" s="116">
        <v>1576.45</v>
      </c>
      <c r="C2289" s="116">
        <v>1555.2</v>
      </c>
      <c r="D2289" s="116">
        <v>1544</v>
      </c>
      <c r="E2289" s="116">
        <v>1560.55</v>
      </c>
      <c r="F2289" s="116">
        <v>1555.2</v>
      </c>
      <c r="G2289">
        <v>128746</v>
      </c>
      <c r="H2289" s="116"/>
      <c r="I2289" s="116"/>
      <c r="L2289" s="170">
        <v>45372</v>
      </c>
      <c r="M2289" s="116">
        <v>1554.7</v>
      </c>
      <c r="N2289" s="116">
        <v>1576.95</v>
      </c>
      <c r="O2289" s="116">
        <v>1543.4</v>
      </c>
      <c r="P2289" s="116">
        <v>1564</v>
      </c>
      <c r="Q2289" s="116">
        <v>1554.7</v>
      </c>
      <c r="R2289">
        <v>11062497</v>
      </c>
    </row>
    <row r="2290" spans="1:18" x14ac:dyDescent="0.25">
      <c r="A2290" s="170">
        <v>45373</v>
      </c>
      <c r="B2290" s="116">
        <v>1529</v>
      </c>
      <c r="C2290" s="116">
        <v>1508.85</v>
      </c>
      <c r="D2290" s="116">
        <v>1497.65</v>
      </c>
      <c r="E2290" s="116">
        <v>1517.95</v>
      </c>
      <c r="F2290" s="116">
        <v>1508.85</v>
      </c>
      <c r="G2290">
        <v>6022096</v>
      </c>
      <c r="H2290" s="116"/>
      <c r="I2290" s="116"/>
      <c r="L2290" s="170">
        <v>45373</v>
      </c>
      <c r="M2290" s="116">
        <v>1508.85</v>
      </c>
      <c r="N2290" s="116">
        <v>1528.9</v>
      </c>
      <c r="O2290" s="116">
        <v>1498.2</v>
      </c>
      <c r="P2290" s="116">
        <v>1521</v>
      </c>
      <c r="Q2290" s="116">
        <v>1508.85</v>
      </c>
      <c r="R2290">
        <v>14673890</v>
      </c>
    </row>
    <row r="2291" spans="1:18" x14ac:dyDescent="0.25">
      <c r="A2291" s="170">
        <v>45377</v>
      </c>
      <c r="B2291" s="116">
        <v>1507.75</v>
      </c>
      <c r="C2291" s="116">
        <v>1492.45</v>
      </c>
      <c r="D2291" s="116">
        <v>1488</v>
      </c>
      <c r="E2291" s="116">
        <v>1497.85</v>
      </c>
      <c r="F2291" s="116">
        <v>1492.45</v>
      </c>
      <c r="G2291">
        <v>222382</v>
      </c>
      <c r="H2291" s="116"/>
      <c r="I2291" s="116"/>
      <c r="L2291" s="170">
        <v>45377</v>
      </c>
      <c r="M2291" s="116">
        <v>1492.65</v>
      </c>
      <c r="N2291" s="116">
        <v>1507.45</v>
      </c>
      <c r="O2291" s="116">
        <v>1487.9</v>
      </c>
      <c r="P2291" s="116">
        <v>1492</v>
      </c>
      <c r="Q2291" s="116">
        <v>1492.65</v>
      </c>
      <c r="R2291">
        <v>8351081</v>
      </c>
    </row>
    <row r="2292" spans="1:18" x14ac:dyDescent="0.25">
      <c r="A2292" s="170">
        <v>45378</v>
      </c>
      <c r="B2292" s="116">
        <v>1499</v>
      </c>
      <c r="C2292" s="116">
        <v>1484.1</v>
      </c>
      <c r="D2292" s="116">
        <v>1482</v>
      </c>
      <c r="E2292" s="116">
        <v>1495</v>
      </c>
      <c r="F2292" s="116">
        <v>1484.1</v>
      </c>
      <c r="G2292">
        <v>146371</v>
      </c>
      <c r="H2292" s="116"/>
      <c r="I2292" s="116"/>
      <c r="L2292" s="170">
        <v>45378</v>
      </c>
      <c r="M2292" s="116">
        <v>1483.85</v>
      </c>
      <c r="N2292" s="116">
        <v>1499</v>
      </c>
      <c r="O2292" s="116">
        <v>1481.55</v>
      </c>
      <c r="P2292" s="116">
        <v>1496</v>
      </c>
      <c r="Q2292" s="116">
        <v>1483.85</v>
      </c>
      <c r="R2292">
        <v>6857402</v>
      </c>
    </row>
    <row r="2293" spans="1:18" x14ac:dyDescent="0.25">
      <c r="A2293" s="170">
        <v>45379</v>
      </c>
      <c r="B2293" s="116">
        <v>1511.45</v>
      </c>
      <c r="C2293" s="116">
        <v>1498.8</v>
      </c>
      <c r="D2293" s="116">
        <v>1487.6</v>
      </c>
      <c r="E2293" s="116">
        <v>1487.6</v>
      </c>
      <c r="F2293" s="116">
        <v>1498.8</v>
      </c>
      <c r="G2293">
        <v>373978</v>
      </c>
      <c r="H2293" s="116"/>
      <c r="I2293" s="116"/>
      <c r="L2293" s="170">
        <v>45379</v>
      </c>
      <c r="M2293" s="116">
        <v>1498.05</v>
      </c>
      <c r="N2293" s="116">
        <v>1511.8</v>
      </c>
      <c r="O2293" s="116">
        <v>1487.15</v>
      </c>
      <c r="P2293" s="116">
        <v>1487.15</v>
      </c>
      <c r="Q2293" s="116">
        <v>1498.05</v>
      </c>
      <c r="R2293">
        <v>12499530</v>
      </c>
    </row>
    <row r="2294" spans="1:18" x14ac:dyDescent="0.25">
      <c r="A2294" s="170">
        <v>45383</v>
      </c>
      <c r="B2294" s="116">
        <v>1528</v>
      </c>
      <c r="C2294" s="116">
        <v>1495.8</v>
      </c>
      <c r="D2294" s="116">
        <v>1493</v>
      </c>
      <c r="E2294" s="116">
        <v>1521.25</v>
      </c>
      <c r="F2294" s="116">
        <v>1495.8</v>
      </c>
      <c r="G2294">
        <v>296239</v>
      </c>
      <c r="H2294" s="116"/>
      <c r="I2294" s="116"/>
      <c r="L2294" s="170">
        <v>45383</v>
      </c>
      <c r="M2294" s="116">
        <v>1495.45</v>
      </c>
      <c r="N2294" s="116">
        <v>1529.95</v>
      </c>
      <c r="O2294" s="116">
        <v>1492.8</v>
      </c>
      <c r="P2294" s="116">
        <v>1525</v>
      </c>
      <c r="Q2294" s="116">
        <v>1495.45</v>
      </c>
      <c r="R2294">
        <v>6580002</v>
      </c>
    </row>
    <row r="2295" spans="1:18" x14ac:dyDescent="0.25">
      <c r="A2295" s="170">
        <v>45384</v>
      </c>
      <c r="B2295" s="116">
        <v>1492</v>
      </c>
      <c r="C2295" s="116">
        <v>1483.2</v>
      </c>
      <c r="D2295" s="116">
        <v>1481.1</v>
      </c>
      <c r="E2295" s="116">
        <v>1489.9</v>
      </c>
      <c r="F2295" s="116">
        <v>1483.2</v>
      </c>
      <c r="G2295">
        <v>267682</v>
      </c>
      <c r="H2295" s="116"/>
      <c r="I2295" s="116"/>
      <c r="L2295" s="170">
        <v>45384</v>
      </c>
      <c r="M2295" s="116">
        <v>1482.85</v>
      </c>
      <c r="N2295" s="116">
        <v>1493.15</v>
      </c>
      <c r="O2295" s="116">
        <v>1480.85</v>
      </c>
      <c r="P2295" s="116">
        <v>1484.85</v>
      </c>
      <c r="Q2295" s="116">
        <v>1482.85</v>
      </c>
      <c r="R2295">
        <v>7279400</v>
      </c>
    </row>
    <row r="2296" spans="1:18" x14ac:dyDescent="0.25">
      <c r="A2296" s="170">
        <v>45385</v>
      </c>
      <c r="B2296" s="116">
        <v>1494.9</v>
      </c>
      <c r="C2296" s="116">
        <v>1480.75</v>
      </c>
      <c r="D2296" s="116">
        <v>1475</v>
      </c>
      <c r="E2296" s="116">
        <v>1481.95</v>
      </c>
      <c r="F2296" s="116">
        <v>1480.75</v>
      </c>
      <c r="G2296">
        <v>496136</v>
      </c>
      <c r="H2296" s="116"/>
      <c r="I2296" s="116"/>
      <c r="L2296" s="170">
        <v>45385</v>
      </c>
      <c r="M2296" s="116">
        <v>1480.65</v>
      </c>
      <c r="N2296" s="116">
        <v>1495.1</v>
      </c>
      <c r="O2296" s="116">
        <v>1475</v>
      </c>
      <c r="P2296" s="116">
        <v>1479</v>
      </c>
      <c r="Q2296" s="116">
        <v>1480.65</v>
      </c>
      <c r="R2296">
        <v>8736248</v>
      </c>
    </row>
    <row r="2297" spans="1:18" x14ac:dyDescent="0.25">
      <c r="A2297" s="170">
        <v>45386</v>
      </c>
      <c r="B2297" s="116">
        <v>1495</v>
      </c>
      <c r="C2297" s="116">
        <v>1486.6</v>
      </c>
      <c r="D2297" s="116">
        <v>1468.2</v>
      </c>
      <c r="E2297" s="116">
        <v>1490</v>
      </c>
      <c r="F2297" s="116">
        <v>1486.6</v>
      </c>
      <c r="G2297">
        <v>302879</v>
      </c>
      <c r="H2297" s="116"/>
      <c r="I2297" s="116"/>
      <c r="L2297" s="170">
        <v>45386</v>
      </c>
      <c r="M2297" s="116">
        <v>1486.7</v>
      </c>
      <c r="N2297" s="116">
        <v>1495.65</v>
      </c>
      <c r="O2297" s="116">
        <v>1468</v>
      </c>
      <c r="P2297" s="116">
        <v>1490.55</v>
      </c>
      <c r="Q2297" s="116">
        <v>1486.7</v>
      </c>
      <c r="R2297">
        <v>11186915</v>
      </c>
    </row>
    <row r="2298" spans="1:18" x14ac:dyDescent="0.25">
      <c r="A2298" s="170">
        <v>45387</v>
      </c>
      <c r="B2298" s="116">
        <v>1486.7</v>
      </c>
      <c r="C2298" s="116">
        <v>1479.5</v>
      </c>
      <c r="D2298" s="116">
        <v>1476.05</v>
      </c>
      <c r="E2298" s="116">
        <v>1482.25</v>
      </c>
      <c r="F2298" s="116">
        <v>1479.5</v>
      </c>
      <c r="G2298">
        <v>171130</v>
      </c>
      <c r="H2298" s="116"/>
      <c r="I2298" s="116"/>
      <c r="L2298" s="170">
        <v>45387</v>
      </c>
      <c r="M2298" s="116">
        <v>1479.1</v>
      </c>
      <c r="N2298" s="116">
        <v>1486.7</v>
      </c>
      <c r="O2298" s="116">
        <v>1476.05</v>
      </c>
      <c r="P2298" s="116">
        <v>1480.05</v>
      </c>
      <c r="Q2298" s="116">
        <v>1479.1</v>
      </c>
      <c r="R2298">
        <v>5072482</v>
      </c>
    </row>
    <row r="2299" spans="1:18" x14ac:dyDescent="0.25">
      <c r="A2299" s="170">
        <v>45390</v>
      </c>
      <c r="B2299" s="116">
        <v>1490.5</v>
      </c>
      <c r="C2299" s="116">
        <v>1477.05</v>
      </c>
      <c r="D2299" s="116">
        <v>1475</v>
      </c>
      <c r="E2299" s="116">
        <v>1488.95</v>
      </c>
      <c r="F2299" s="116">
        <v>1477.05</v>
      </c>
      <c r="G2299">
        <v>445110</v>
      </c>
      <c r="H2299" s="116"/>
      <c r="I2299" s="116"/>
      <c r="L2299" s="170">
        <v>45390</v>
      </c>
      <c r="M2299" s="116">
        <v>1476.7</v>
      </c>
      <c r="N2299" s="116">
        <v>1490.95</v>
      </c>
      <c r="O2299" s="116">
        <v>1474.1</v>
      </c>
      <c r="P2299" s="116">
        <v>1483</v>
      </c>
      <c r="Q2299" s="116">
        <v>1476.7</v>
      </c>
      <c r="R2299">
        <v>6610887</v>
      </c>
    </row>
    <row r="2300" spans="1:18" x14ac:dyDescent="0.25">
      <c r="A2300" s="170">
        <v>45391</v>
      </c>
      <c r="B2300" s="116">
        <v>1513.4</v>
      </c>
      <c r="C2300" s="116">
        <v>1494.7</v>
      </c>
      <c r="D2300" s="116">
        <v>1488</v>
      </c>
      <c r="E2300" s="116">
        <v>1488.55</v>
      </c>
      <c r="F2300" s="116">
        <v>1494.7</v>
      </c>
      <c r="G2300">
        <v>534189</v>
      </c>
      <c r="H2300" s="116"/>
      <c r="I2300" s="116"/>
      <c r="L2300" s="170">
        <v>45391</v>
      </c>
      <c r="M2300" s="116">
        <v>1494.85</v>
      </c>
      <c r="N2300" s="116">
        <v>1513.8</v>
      </c>
      <c r="O2300" s="116">
        <v>1487.3</v>
      </c>
      <c r="P2300" s="116">
        <v>1490</v>
      </c>
      <c r="Q2300" s="116">
        <v>1494.85</v>
      </c>
      <c r="R2300">
        <v>9423230</v>
      </c>
    </row>
    <row r="2301" spans="1:18" x14ac:dyDescent="0.25">
      <c r="A2301" s="170">
        <v>45392</v>
      </c>
      <c r="B2301" s="116">
        <v>1509.95</v>
      </c>
      <c r="C2301" s="116">
        <v>1506.7</v>
      </c>
      <c r="D2301" s="116">
        <v>1485</v>
      </c>
      <c r="E2301" s="116">
        <v>1501.6</v>
      </c>
      <c r="F2301" s="116">
        <v>1506.7</v>
      </c>
      <c r="G2301">
        <v>145013</v>
      </c>
      <c r="H2301" s="116"/>
      <c r="I2301" s="116"/>
      <c r="L2301" s="170">
        <v>45392</v>
      </c>
      <c r="M2301" s="116">
        <v>1506.8</v>
      </c>
      <c r="N2301" s="116">
        <v>1509.85</v>
      </c>
      <c r="O2301" s="116">
        <v>1484.55</v>
      </c>
      <c r="P2301" s="116">
        <v>1500.35</v>
      </c>
      <c r="Q2301" s="116">
        <v>1506.8</v>
      </c>
      <c r="R2301">
        <v>6744595</v>
      </c>
    </row>
    <row r="2302" spans="1:18" x14ac:dyDescent="0.25">
      <c r="A2302" s="170">
        <v>45394</v>
      </c>
      <c r="B2302" s="116">
        <v>1509.45</v>
      </c>
      <c r="C2302" s="116">
        <v>1485.05</v>
      </c>
      <c r="D2302" s="116">
        <v>1479.4</v>
      </c>
      <c r="E2302" s="116">
        <v>1509.45</v>
      </c>
      <c r="F2302" s="116">
        <v>1485.05</v>
      </c>
      <c r="G2302">
        <v>507356</v>
      </c>
      <c r="H2302" s="116"/>
      <c r="I2302" s="116"/>
      <c r="L2302" s="170">
        <v>45394</v>
      </c>
      <c r="M2302" s="116">
        <v>1484.75</v>
      </c>
      <c r="N2302" s="116">
        <v>1506.8</v>
      </c>
      <c r="O2302" s="116">
        <v>1479.5</v>
      </c>
      <c r="P2302" s="116">
        <v>1504</v>
      </c>
      <c r="Q2302" s="116">
        <v>1484.75</v>
      </c>
      <c r="R2302">
        <v>12275616</v>
      </c>
    </row>
    <row r="2303" spans="1:18" x14ac:dyDescent="0.25">
      <c r="A2303" s="170">
        <v>45397</v>
      </c>
      <c r="B2303" s="116">
        <v>1491.8</v>
      </c>
      <c r="C2303" s="116">
        <v>1468.3</v>
      </c>
      <c r="D2303" s="116">
        <v>1461</v>
      </c>
      <c r="E2303" s="116">
        <v>1471.3</v>
      </c>
      <c r="F2303" s="116">
        <v>1468.3</v>
      </c>
      <c r="G2303">
        <v>598940</v>
      </c>
      <c r="H2303" s="116"/>
      <c r="I2303" s="116"/>
      <c r="L2303" s="170">
        <v>45397</v>
      </c>
      <c r="M2303" s="116">
        <v>1468.15</v>
      </c>
      <c r="N2303" s="116">
        <v>1491.95</v>
      </c>
      <c r="O2303" s="116">
        <v>1461.05</v>
      </c>
      <c r="P2303" s="116">
        <v>1480</v>
      </c>
      <c r="Q2303" s="116">
        <v>1468.15</v>
      </c>
      <c r="R2303">
        <v>8531224</v>
      </c>
    </row>
    <row r="2304" spans="1:18" x14ac:dyDescent="0.25">
      <c r="A2304" s="170">
        <v>45398</v>
      </c>
      <c r="B2304" s="116">
        <v>1454.85</v>
      </c>
      <c r="C2304" s="116">
        <v>1414.75</v>
      </c>
      <c r="D2304" s="116">
        <v>1413.05</v>
      </c>
      <c r="E2304" s="116">
        <v>1451</v>
      </c>
      <c r="F2304" s="116">
        <v>1414.75</v>
      </c>
      <c r="G2304">
        <v>1097764</v>
      </c>
      <c r="H2304" s="116"/>
      <c r="I2304" s="116"/>
      <c r="L2304" s="170">
        <v>45398</v>
      </c>
      <c r="M2304" s="116">
        <v>1414.45</v>
      </c>
      <c r="N2304" s="116">
        <v>1455.15</v>
      </c>
      <c r="O2304" s="116">
        <v>1413.05</v>
      </c>
      <c r="P2304" s="116">
        <v>1451</v>
      </c>
      <c r="Q2304" s="116">
        <v>1414.45</v>
      </c>
      <c r="R2304">
        <v>16173541</v>
      </c>
    </row>
    <row r="2305" spans="1:18" x14ac:dyDescent="0.25">
      <c r="A2305" s="170">
        <v>45400</v>
      </c>
      <c r="B2305" s="116">
        <v>1444.5</v>
      </c>
      <c r="C2305" s="116">
        <v>1420.55</v>
      </c>
      <c r="D2305" s="116">
        <v>1408</v>
      </c>
      <c r="E2305" s="116">
        <v>1422.6</v>
      </c>
      <c r="F2305" s="116">
        <v>1420.55</v>
      </c>
      <c r="G2305">
        <v>732684</v>
      </c>
      <c r="H2305" s="116"/>
      <c r="I2305" s="116"/>
      <c r="L2305" s="170">
        <v>45400</v>
      </c>
      <c r="M2305" s="116">
        <v>1419.25</v>
      </c>
      <c r="N2305" s="116">
        <v>1444.7</v>
      </c>
      <c r="O2305" s="116">
        <v>1407.5</v>
      </c>
      <c r="P2305" s="116">
        <v>1421.1</v>
      </c>
      <c r="Q2305" s="116">
        <v>1419.25</v>
      </c>
      <c r="R2305">
        <v>22107945</v>
      </c>
    </row>
    <row r="2306" spans="1:18" x14ac:dyDescent="0.25">
      <c r="A2306" s="170">
        <v>45401</v>
      </c>
      <c r="B2306" s="116">
        <v>1426.75</v>
      </c>
      <c r="C2306" s="116">
        <v>1411.6</v>
      </c>
      <c r="D2306" s="116">
        <v>1379.7</v>
      </c>
      <c r="E2306" s="116">
        <v>1387</v>
      </c>
      <c r="F2306" s="116">
        <v>1411.6</v>
      </c>
      <c r="G2306">
        <v>864596</v>
      </c>
      <c r="H2306" s="116"/>
      <c r="I2306" s="116"/>
      <c r="L2306" s="170">
        <v>45401</v>
      </c>
      <c r="M2306" s="116">
        <v>1411.25</v>
      </c>
      <c r="N2306" s="116">
        <v>1426.85</v>
      </c>
      <c r="O2306" s="116">
        <v>1378.75</v>
      </c>
      <c r="P2306" s="116">
        <v>1385</v>
      </c>
      <c r="Q2306" s="116">
        <v>1411.25</v>
      </c>
      <c r="R2306">
        <v>20603621</v>
      </c>
    </row>
    <row r="2307" spans="1:18" x14ac:dyDescent="0.25">
      <c r="A2307" s="170">
        <v>45404</v>
      </c>
      <c r="B2307" s="116">
        <v>1434.9</v>
      </c>
      <c r="C2307" s="116">
        <v>1432.5</v>
      </c>
      <c r="D2307" s="116">
        <v>1413.15</v>
      </c>
      <c r="E2307" s="116">
        <v>1421.35</v>
      </c>
      <c r="F2307" s="116">
        <v>1432.5</v>
      </c>
      <c r="G2307">
        <v>437372</v>
      </c>
      <c r="H2307" s="116"/>
      <c r="I2307" s="116"/>
      <c r="L2307" s="170">
        <v>45404</v>
      </c>
      <c r="M2307" s="116">
        <v>1432.75</v>
      </c>
      <c r="N2307" s="116">
        <v>1436.85</v>
      </c>
      <c r="O2307" s="116">
        <v>1413.05</v>
      </c>
      <c r="P2307" s="116">
        <v>1419.9</v>
      </c>
      <c r="Q2307" s="116">
        <v>1432.75</v>
      </c>
      <c r="R2307">
        <v>5859087</v>
      </c>
    </row>
    <row r="2308" spans="1:18" x14ac:dyDescent="0.25">
      <c r="A2308" s="170">
        <v>45405</v>
      </c>
      <c r="B2308" s="116">
        <v>1446.8</v>
      </c>
      <c r="C2308" s="116">
        <v>1441.7</v>
      </c>
      <c r="D2308" s="116">
        <v>1433.4</v>
      </c>
      <c r="E2308" s="116">
        <v>1442.05</v>
      </c>
      <c r="F2308" s="116">
        <v>1441.7</v>
      </c>
      <c r="G2308">
        <v>216933</v>
      </c>
      <c r="H2308" s="116"/>
      <c r="I2308" s="116"/>
      <c r="L2308" s="170">
        <v>45405</v>
      </c>
      <c r="M2308" s="116">
        <v>1442.4</v>
      </c>
      <c r="N2308" s="116">
        <v>1446.85</v>
      </c>
      <c r="O2308" s="116">
        <v>1433</v>
      </c>
      <c r="P2308" s="116">
        <v>1443</v>
      </c>
      <c r="Q2308" s="116">
        <v>1442.4</v>
      </c>
      <c r="R2308">
        <v>4856174</v>
      </c>
    </row>
    <row r="2309" spans="1:18" x14ac:dyDescent="0.25">
      <c r="A2309" s="170">
        <v>45406</v>
      </c>
      <c r="B2309" s="116">
        <v>1444.45</v>
      </c>
      <c r="C2309" s="116">
        <v>1431.85</v>
      </c>
      <c r="D2309" s="116">
        <v>1427.05</v>
      </c>
      <c r="E2309" s="116">
        <v>1443.15</v>
      </c>
      <c r="F2309" s="116">
        <v>1431.85</v>
      </c>
      <c r="G2309">
        <v>368271</v>
      </c>
      <c r="H2309" s="116"/>
      <c r="I2309" s="116"/>
      <c r="L2309" s="170">
        <v>45406</v>
      </c>
      <c r="M2309" s="116">
        <v>1430.75</v>
      </c>
      <c r="N2309" s="116">
        <v>1444.3</v>
      </c>
      <c r="O2309" s="116">
        <v>1427.05</v>
      </c>
      <c r="P2309" s="116">
        <v>1444.3</v>
      </c>
      <c r="Q2309" s="116">
        <v>1430.75</v>
      </c>
      <c r="R2309">
        <v>4268213</v>
      </c>
    </row>
    <row r="2310" spans="1:18" x14ac:dyDescent="0.25">
      <c r="A2310" s="170">
        <v>45407</v>
      </c>
      <c r="B2310" s="116">
        <v>1444.5</v>
      </c>
      <c r="C2310" s="116">
        <v>1438.4</v>
      </c>
      <c r="D2310" s="116">
        <v>1420</v>
      </c>
      <c r="E2310" s="116">
        <v>1421.95</v>
      </c>
      <c r="F2310" s="116">
        <v>1438.4</v>
      </c>
      <c r="G2310">
        <v>265074</v>
      </c>
      <c r="H2310" s="116"/>
      <c r="I2310" s="116"/>
      <c r="L2310" s="170">
        <v>45407</v>
      </c>
      <c r="M2310" s="116">
        <v>1438.45</v>
      </c>
      <c r="N2310" s="116">
        <v>1444.9</v>
      </c>
      <c r="O2310" s="116">
        <v>1420</v>
      </c>
      <c r="P2310" s="116">
        <v>1420</v>
      </c>
      <c r="Q2310" s="116">
        <v>1438.45</v>
      </c>
      <c r="R2310">
        <v>9089398</v>
      </c>
    </row>
    <row r="2311" spans="1:18" x14ac:dyDescent="0.25">
      <c r="A2311" s="170">
        <v>45408</v>
      </c>
      <c r="B2311" s="116">
        <v>1445.45</v>
      </c>
      <c r="C2311" s="116">
        <v>1430.15</v>
      </c>
      <c r="D2311" s="116">
        <v>1426.4</v>
      </c>
      <c r="E2311" s="116">
        <v>1438.65</v>
      </c>
      <c r="F2311" s="116">
        <v>1430.15</v>
      </c>
      <c r="G2311">
        <v>243145</v>
      </c>
      <c r="H2311" s="116"/>
      <c r="I2311" s="116"/>
      <c r="L2311" s="170">
        <v>45408</v>
      </c>
      <c r="M2311" s="116">
        <v>1430.25</v>
      </c>
      <c r="N2311" s="116">
        <v>1445.4</v>
      </c>
      <c r="O2311" s="116">
        <v>1427</v>
      </c>
      <c r="P2311" s="116">
        <v>1439.7</v>
      </c>
      <c r="Q2311" s="116">
        <v>1430.25</v>
      </c>
      <c r="R2311">
        <v>8062444</v>
      </c>
    </row>
    <row r="2312" spans="1:18" x14ac:dyDescent="0.25">
      <c r="A2312" s="170">
        <v>45411</v>
      </c>
      <c r="B2312" s="116">
        <v>1439.75</v>
      </c>
      <c r="C2312" s="116">
        <v>1435</v>
      </c>
      <c r="D2312" s="116">
        <v>1428.4</v>
      </c>
      <c r="E2312" s="116">
        <v>1432.8</v>
      </c>
      <c r="F2312" s="116">
        <v>1435</v>
      </c>
      <c r="G2312">
        <v>90788</v>
      </c>
      <c r="H2312" s="116"/>
      <c r="I2312" s="116"/>
      <c r="L2312" s="170">
        <v>45411</v>
      </c>
      <c r="M2312" s="116">
        <v>1434.75</v>
      </c>
      <c r="N2312" s="116">
        <v>1439.8</v>
      </c>
      <c r="O2312" s="116">
        <v>1428.25</v>
      </c>
      <c r="P2312" s="116">
        <v>1429.95</v>
      </c>
      <c r="Q2312" s="116">
        <v>1434.75</v>
      </c>
      <c r="R2312">
        <v>5055957</v>
      </c>
    </row>
    <row r="2313" spans="1:18" x14ac:dyDescent="0.25">
      <c r="A2313" s="170">
        <v>45412</v>
      </c>
      <c r="B2313" s="116">
        <v>1436.65</v>
      </c>
      <c r="C2313" s="116">
        <v>1421.1</v>
      </c>
      <c r="D2313" s="116">
        <v>1418.1</v>
      </c>
      <c r="E2313" s="116">
        <v>1436.65</v>
      </c>
      <c r="F2313" s="116">
        <v>1421.1</v>
      </c>
      <c r="G2313">
        <v>214453</v>
      </c>
      <c r="H2313" s="116"/>
      <c r="I2313" s="116"/>
      <c r="L2313" s="170">
        <v>45412</v>
      </c>
      <c r="M2313" s="116">
        <v>1420.55</v>
      </c>
      <c r="N2313" s="116">
        <v>1436.55</v>
      </c>
      <c r="O2313" s="116">
        <v>1417.55</v>
      </c>
      <c r="P2313" s="116">
        <v>1434.7</v>
      </c>
      <c r="Q2313" s="116">
        <v>1420.55</v>
      </c>
      <c r="R2313">
        <v>6936588</v>
      </c>
    </row>
    <row r="2314" spans="1:18" x14ac:dyDescent="0.25">
      <c r="A2314" s="170">
        <v>45414</v>
      </c>
      <c r="B2314" s="116">
        <v>1423.55</v>
      </c>
      <c r="C2314" s="116">
        <v>1414.85</v>
      </c>
      <c r="D2314" s="116">
        <v>1412</v>
      </c>
      <c r="E2314" s="116">
        <v>1414.95</v>
      </c>
      <c r="F2314" s="116">
        <v>1414.85</v>
      </c>
      <c r="G2314">
        <v>286211</v>
      </c>
      <c r="H2314" s="116"/>
      <c r="I2314" s="116"/>
      <c r="L2314" s="170">
        <v>45414</v>
      </c>
      <c r="M2314" s="116">
        <v>1414.45</v>
      </c>
      <c r="N2314" s="116">
        <v>1424</v>
      </c>
      <c r="O2314" s="116">
        <v>1411.85</v>
      </c>
      <c r="P2314" s="116">
        <v>1413</v>
      </c>
      <c r="Q2314" s="116">
        <v>1414.45</v>
      </c>
      <c r="R2314">
        <v>10076354</v>
      </c>
    </row>
    <row r="2315" spans="1:18" x14ac:dyDescent="0.25">
      <c r="A2315" s="170">
        <v>45415</v>
      </c>
      <c r="B2315" s="116">
        <v>1424.3</v>
      </c>
      <c r="C2315" s="116">
        <v>1416.45</v>
      </c>
      <c r="D2315" s="116">
        <v>1403.1</v>
      </c>
      <c r="E2315" s="116">
        <v>1423.5</v>
      </c>
      <c r="F2315" s="116">
        <v>1416.45</v>
      </c>
      <c r="G2315">
        <v>361945</v>
      </c>
      <c r="H2315" s="116"/>
      <c r="I2315" s="116"/>
      <c r="L2315" s="170">
        <v>45415</v>
      </c>
      <c r="M2315" s="116">
        <v>1416.3</v>
      </c>
      <c r="N2315" s="116">
        <v>1424.8</v>
      </c>
      <c r="O2315" s="116">
        <v>1403.2</v>
      </c>
      <c r="P2315" s="116">
        <v>1422.1</v>
      </c>
      <c r="Q2315" s="116">
        <v>1416.3</v>
      </c>
      <c r="R2315">
        <v>8842345</v>
      </c>
    </row>
    <row r="2316" spans="1:18" x14ac:dyDescent="0.25">
      <c r="A2316" s="170">
        <v>45418</v>
      </c>
      <c r="B2316" s="116">
        <v>1445</v>
      </c>
      <c r="C2316" s="116">
        <v>1425.8</v>
      </c>
      <c r="D2316" s="116">
        <v>1416.45</v>
      </c>
      <c r="E2316" s="116">
        <v>1416.45</v>
      </c>
      <c r="F2316" s="116">
        <v>1425.8</v>
      </c>
      <c r="G2316">
        <v>276183</v>
      </c>
      <c r="H2316" s="116"/>
      <c r="I2316" s="116"/>
      <c r="L2316" s="170">
        <v>45418</v>
      </c>
      <c r="M2316" s="116">
        <v>1425.9</v>
      </c>
      <c r="N2316" s="116">
        <v>1445.7</v>
      </c>
      <c r="O2316" s="116">
        <v>1417.1</v>
      </c>
      <c r="P2316" s="116">
        <v>1420</v>
      </c>
      <c r="Q2316" s="116">
        <v>1425.9</v>
      </c>
      <c r="R2316">
        <v>6445422</v>
      </c>
    </row>
    <row r="2317" spans="1:18" x14ac:dyDescent="0.25">
      <c r="A2317" s="170">
        <v>45419</v>
      </c>
      <c r="B2317" s="116">
        <v>1443</v>
      </c>
      <c r="C2317" s="116">
        <v>1440.75</v>
      </c>
      <c r="D2317" s="116">
        <v>1416</v>
      </c>
      <c r="E2317" s="116">
        <v>1425.5</v>
      </c>
      <c r="F2317" s="116">
        <v>1440.75</v>
      </c>
      <c r="G2317">
        <v>173851</v>
      </c>
      <c r="H2317" s="116"/>
      <c r="I2317" s="116"/>
      <c r="L2317" s="170">
        <v>45419</v>
      </c>
      <c r="M2317" s="116">
        <v>1440.95</v>
      </c>
      <c r="N2317" s="116">
        <v>1443.35</v>
      </c>
      <c r="O2317" s="116">
        <v>1415.6</v>
      </c>
      <c r="P2317" s="116">
        <v>1424.95</v>
      </c>
      <c r="Q2317" s="116">
        <v>1440.95</v>
      </c>
      <c r="R2317">
        <v>6080661</v>
      </c>
    </row>
    <row r="2318" spans="1:18" x14ac:dyDescent="0.25">
      <c r="A2318" s="170">
        <v>45420</v>
      </c>
      <c r="B2318" s="116">
        <v>1441.45</v>
      </c>
      <c r="C2318" s="116">
        <v>1427.35</v>
      </c>
      <c r="D2318" s="116">
        <v>1426.1</v>
      </c>
      <c r="E2318" s="116">
        <v>1431.3</v>
      </c>
      <c r="F2318" s="116">
        <v>1427.35</v>
      </c>
      <c r="G2318">
        <v>64739</v>
      </c>
      <c r="H2318" s="116"/>
      <c r="I2318" s="116"/>
      <c r="L2318" s="170">
        <v>45420</v>
      </c>
      <c r="M2318" s="116">
        <v>1427.3</v>
      </c>
      <c r="N2318" s="116">
        <v>1439.75</v>
      </c>
      <c r="O2318" s="116">
        <v>1425.6</v>
      </c>
      <c r="P2318" s="116">
        <v>1435.25</v>
      </c>
      <c r="Q2318" s="116">
        <v>1427.3</v>
      </c>
      <c r="R2318">
        <v>6234983</v>
      </c>
    </row>
    <row r="2319" spans="1:18" x14ac:dyDescent="0.25">
      <c r="A2319" s="170">
        <v>45421</v>
      </c>
      <c r="B2319" s="116">
        <v>1449.65</v>
      </c>
      <c r="C2319" s="116">
        <v>1438.75</v>
      </c>
      <c r="D2319" s="116">
        <v>1425</v>
      </c>
      <c r="E2319" s="116">
        <v>1428.6</v>
      </c>
      <c r="F2319" s="116">
        <v>1438.75</v>
      </c>
      <c r="G2319">
        <v>318603</v>
      </c>
      <c r="H2319" s="116"/>
      <c r="I2319" s="116"/>
      <c r="L2319" s="170">
        <v>45421</v>
      </c>
      <c r="M2319" s="116">
        <v>1439.55</v>
      </c>
      <c r="N2319" s="116">
        <v>1449.95</v>
      </c>
      <c r="O2319" s="116">
        <v>1424.85</v>
      </c>
      <c r="P2319" s="116">
        <v>1427.55</v>
      </c>
      <c r="Q2319" s="116">
        <v>1439.55</v>
      </c>
      <c r="R2319">
        <v>6088406</v>
      </c>
    </row>
    <row r="2320" spans="1:18" x14ac:dyDescent="0.25">
      <c r="A2320" s="170">
        <v>45422</v>
      </c>
      <c r="B2320" s="116">
        <v>1436.95</v>
      </c>
      <c r="C2320" s="116">
        <v>1425.15</v>
      </c>
      <c r="D2320" s="116">
        <v>1413.15</v>
      </c>
      <c r="E2320" s="116">
        <v>1436.95</v>
      </c>
      <c r="F2320" s="116">
        <v>1425.15</v>
      </c>
      <c r="G2320">
        <v>237684</v>
      </c>
      <c r="H2320" s="116"/>
      <c r="I2320" s="116"/>
      <c r="L2320" s="170">
        <v>45422</v>
      </c>
      <c r="M2320" s="116">
        <v>1424.9</v>
      </c>
      <c r="N2320" s="116">
        <v>1435.95</v>
      </c>
      <c r="O2320" s="116">
        <v>1413</v>
      </c>
      <c r="P2320" s="116">
        <v>1435.05</v>
      </c>
      <c r="Q2320" s="116">
        <v>1424.9</v>
      </c>
      <c r="R2320">
        <v>8777481</v>
      </c>
    </row>
    <row r="2321" spans="1:18" x14ac:dyDescent="0.25">
      <c r="A2321" s="170">
        <v>45425</v>
      </c>
      <c r="B2321" s="116">
        <v>1425.15</v>
      </c>
      <c r="C2321" s="116">
        <v>1423.25</v>
      </c>
      <c r="D2321" s="116">
        <v>1411.15</v>
      </c>
      <c r="E2321" s="116">
        <v>1425.15</v>
      </c>
      <c r="F2321" s="116">
        <v>1423.25</v>
      </c>
      <c r="G2321">
        <v>180542</v>
      </c>
      <c r="H2321" s="116"/>
      <c r="I2321" s="116"/>
      <c r="L2321" s="170">
        <v>45425</v>
      </c>
      <c r="M2321" s="116">
        <v>1423.45</v>
      </c>
      <c r="N2321" s="116">
        <v>1425</v>
      </c>
      <c r="O2321" s="116">
        <v>1411.2</v>
      </c>
      <c r="P2321" s="116">
        <v>1425</v>
      </c>
      <c r="Q2321" s="116">
        <v>1423.45</v>
      </c>
      <c r="R2321">
        <v>3735954</v>
      </c>
    </row>
    <row r="2322" spans="1:18" x14ac:dyDescent="0.25">
      <c r="A2322" s="170">
        <v>45426</v>
      </c>
      <c r="B2322" s="116">
        <v>1433.45</v>
      </c>
      <c r="C2322" s="116">
        <v>1424.85</v>
      </c>
      <c r="D2322" s="116">
        <v>1418</v>
      </c>
      <c r="E2322" s="116">
        <v>1425.15</v>
      </c>
      <c r="F2322" s="116">
        <v>1424.85</v>
      </c>
      <c r="G2322">
        <v>88849</v>
      </c>
      <c r="H2322" s="116"/>
      <c r="I2322" s="116"/>
      <c r="L2322" s="170">
        <v>45426</v>
      </c>
      <c r="M2322" s="116">
        <v>1424.7</v>
      </c>
      <c r="N2322" s="116">
        <v>1433.75</v>
      </c>
      <c r="O2322" s="116">
        <v>1418.05</v>
      </c>
      <c r="P2322" s="116">
        <v>1426.4</v>
      </c>
      <c r="Q2322" s="116">
        <v>1424.7</v>
      </c>
      <c r="R2322">
        <v>3463230</v>
      </c>
    </row>
    <row r="2323" spans="1:18" x14ac:dyDescent="0.25">
      <c r="A2323" s="170">
        <v>45427</v>
      </c>
      <c r="B2323" s="116">
        <v>1431</v>
      </c>
      <c r="C2323" s="116">
        <v>1420.75</v>
      </c>
      <c r="D2323" s="116">
        <v>1419</v>
      </c>
      <c r="E2323" s="116">
        <v>1424.65</v>
      </c>
      <c r="F2323" s="116">
        <v>1420.75</v>
      </c>
      <c r="G2323">
        <v>280110</v>
      </c>
      <c r="H2323" s="116"/>
      <c r="I2323" s="116"/>
      <c r="L2323" s="170">
        <v>45427</v>
      </c>
      <c r="M2323" s="116">
        <v>1419.95</v>
      </c>
      <c r="N2323" s="116">
        <v>1431.8</v>
      </c>
      <c r="O2323" s="116">
        <v>1418.55</v>
      </c>
      <c r="P2323" s="116">
        <v>1426</v>
      </c>
      <c r="Q2323" s="116">
        <v>1419.95</v>
      </c>
      <c r="R2323">
        <v>4327544</v>
      </c>
    </row>
    <row r="2324" spans="1:18" x14ac:dyDescent="0.25">
      <c r="A2324" s="170">
        <v>45428</v>
      </c>
      <c r="B2324" s="116">
        <v>1455.5</v>
      </c>
      <c r="C2324" s="116">
        <v>1452.9</v>
      </c>
      <c r="D2324" s="116">
        <v>1428</v>
      </c>
      <c r="E2324" s="116">
        <v>1431</v>
      </c>
      <c r="F2324" s="116">
        <v>1452.9</v>
      </c>
      <c r="G2324">
        <v>421731</v>
      </c>
      <c r="H2324" s="116"/>
      <c r="I2324" s="116"/>
      <c r="L2324" s="170">
        <v>45428</v>
      </c>
      <c r="M2324" s="116">
        <v>1453.35</v>
      </c>
      <c r="N2324" s="116">
        <v>1455.75</v>
      </c>
      <c r="O2324" s="116">
        <v>1427</v>
      </c>
      <c r="P2324" s="116">
        <v>1433.95</v>
      </c>
      <c r="Q2324" s="116">
        <v>1453.35</v>
      </c>
      <c r="R2324">
        <v>9249145</v>
      </c>
    </row>
    <row r="2325" spans="1:18" x14ac:dyDescent="0.25">
      <c r="A2325" s="170">
        <v>45429</v>
      </c>
      <c r="B2325" s="116">
        <v>1455.45</v>
      </c>
      <c r="C2325" s="116">
        <v>1444.05</v>
      </c>
      <c r="D2325" s="116">
        <v>1439.5</v>
      </c>
      <c r="E2325" s="116">
        <v>1455.45</v>
      </c>
      <c r="F2325" s="116">
        <v>1444.05</v>
      </c>
      <c r="G2325">
        <v>284528</v>
      </c>
      <c r="H2325" s="116"/>
      <c r="I2325" s="116"/>
      <c r="L2325" s="170">
        <v>45429</v>
      </c>
      <c r="M2325" s="116">
        <v>1444.3</v>
      </c>
      <c r="N2325" s="116">
        <v>1457</v>
      </c>
      <c r="O2325" s="116">
        <v>1439.25</v>
      </c>
      <c r="P2325" s="116">
        <v>1457</v>
      </c>
      <c r="Q2325" s="116">
        <v>1444.3</v>
      </c>
      <c r="R2325">
        <v>7542860</v>
      </c>
    </row>
    <row r="2326" spans="1:18" x14ac:dyDescent="0.25">
      <c r="A2326" s="170">
        <v>45430</v>
      </c>
      <c r="B2326" s="116">
        <v>1465.95</v>
      </c>
      <c r="C2326" s="116">
        <v>1443.75</v>
      </c>
      <c r="D2326" s="116">
        <v>1442.1</v>
      </c>
      <c r="E2326" s="116">
        <v>1445</v>
      </c>
      <c r="F2326" s="116">
        <v>1443.75</v>
      </c>
      <c r="G2326">
        <v>12182</v>
      </c>
      <c r="H2326" s="116"/>
      <c r="I2326" s="116"/>
      <c r="L2326" s="170">
        <v>45430</v>
      </c>
      <c r="M2326" s="116">
        <v>1443.65</v>
      </c>
      <c r="N2326" s="116">
        <v>1450</v>
      </c>
      <c r="O2326" s="116">
        <v>1442</v>
      </c>
      <c r="P2326" s="116">
        <v>1445</v>
      </c>
      <c r="Q2326" s="116">
        <v>1443.65</v>
      </c>
      <c r="R2326">
        <v>318277</v>
      </c>
    </row>
    <row r="2327" spans="1:18" x14ac:dyDescent="0.25">
      <c r="A2327" s="170">
        <v>45433</v>
      </c>
      <c r="B2327" s="116">
        <v>1444</v>
      </c>
      <c r="C2327" s="116">
        <v>1434.2</v>
      </c>
      <c r="D2327" s="116">
        <v>1428.75</v>
      </c>
      <c r="E2327" s="116">
        <v>1439.95</v>
      </c>
      <c r="F2327" s="116">
        <v>1434.2</v>
      </c>
      <c r="G2327">
        <v>181992</v>
      </c>
      <c r="H2327" s="116"/>
      <c r="I2327" s="116"/>
      <c r="L2327" s="170">
        <v>45433</v>
      </c>
      <c r="M2327" s="116">
        <v>1434.15</v>
      </c>
      <c r="N2327" s="116">
        <v>1444.7</v>
      </c>
      <c r="O2327" s="116">
        <v>1428.4</v>
      </c>
      <c r="P2327" s="116">
        <v>1430</v>
      </c>
      <c r="Q2327" s="116">
        <v>1434.15</v>
      </c>
      <c r="R2327">
        <v>6752663</v>
      </c>
    </row>
    <row r="2328" spans="1:18" x14ac:dyDescent="0.25">
      <c r="A2328" s="170">
        <v>45434</v>
      </c>
      <c r="B2328" s="116">
        <v>1459.9</v>
      </c>
      <c r="C2328" s="116">
        <v>1454.65</v>
      </c>
      <c r="D2328" s="116">
        <v>1429.5</v>
      </c>
      <c r="E2328" s="116">
        <v>1434.65</v>
      </c>
      <c r="F2328" s="116">
        <v>1454.65</v>
      </c>
      <c r="G2328">
        <v>337362</v>
      </c>
      <c r="H2328" s="116"/>
      <c r="I2328" s="116"/>
      <c r="L2328" s="170">
        <v>45434</v>
      </c>
      <c r="M2328" s="116">
        <v>1454.8</v>
      </c>
      <c r="N2328" s="116">
        <v>1459.95</v>
      </c>
      <c r="O2328" s="116">
        <v>1428</v>
      </c>
      <c r="P2328" s="116">
        <v>1428.75</v>
      </c>
      <c r="Q2328" s="116">
        <v>1454.8</v>
      </c>
      <c r="R2328">
        <v>7173285</v>
      </c>
    </row>
    <row r="2329" spans="1:18" x14ac:dyDescent="0.25">
      <c r="A2329" s="170">
        <v>45435</v>
      </c>
      <c r="B2329" s="116">
        <v>1478.15</v>
      </c>
      <c r="C2329" s="116">
        <v>1472.9</v>
      </c>
      <c r="D2329" s="116">
        <v>1451.9</v>
      </c>
      <c r="E2329" s="116">
        <v>1456.15</v>
      </c>
      <c r="F2329" s="116">
        <v>1472.9</v>
      </c>
      <c r="G2329">
        <v>222189</v>
      </c>
      <c r="H2329" s="116"/>
      <c r="I2329" s="116"/>
      <c r="L2329" s="170">
        <v>45435</v>
      </c>
      <c r="M2329" s="116">
        <v>1472.4</v>
      </c>
      <c r="N2329" s="116">
        <v>1478.15</v>
      </c>
      <c r="O2329" s="116">
        <v>1450</v>
      </c>
      <c r="P2329" s="116">
        <v>1454.7</v>
      </c>
      <c r="Q2329" s="116">
        <v>1472.4</v>
      </c>
      <c r="R2329">
        <v>8641428</v>
      </c>
    </row>
    <row r="2330" spans="1:18" x14ac:dyDescent="0.25">
      <c r="A2330" s="170">
        <v>45436</v>
      </c>
      <c r="B2330" s="116">
        <v>1475.2</v>
      </c>
      <c r="C2330" s="116">
        <v>1465</v>
      </c>
      <c r="D2330" s="116">
        <v>1459.15</v>
      </c>
      <c r="E2330" s="116">
        <v>1471.75</v>
      </c>
      <c r="F2330" s="116">
        <v>1465</v>
      </c>
      <c r="G2330">
        <v>367838</v>
      </c>
      <c r="H2330" s="116"/>
      <c r="I2330" s="116"/>
      <c r="L2330" s="170">
        <v>45436</v>
      </c>
      <c r="M2330" s="116">
        <v>1465.1</v>
      </c>
      <c r="N2330" s="116">
        <v>1475.5</v>
      </c>
      <c r="O2330" s="116">
        <v>1460</v>
      </c>
      <c r="P2330" s="116">
        <v>1468.25</v>
      </c>
      <c r="Q2330" s="116">
        <v>1465.1</v>
      </c>
      <c r="R2330">
        <v>5277938</v>
      </c>
    </row>
    <row r="2331" spans="1:18" x14ac:dyDescent="0.25">
      <c r="A2331" s="170">
        <v>45439</v>
      </c>
      <c r="B2331" s="116">
        <v>1479.5</v>
      </c>
      <c r="C2331" s="116">
        <v>1471.6</v>
      </c>
      <c r="D2331" s="116">
        <v>1460.5</v>
      </c>
      <c r="E2331" s="116">
        <v>1467.8</v>
      </c>
      <c r="F2331" s="116">
        <v>1471.6</v>
      </c>
      <c r="G2331">
        <v>92422</v>
      </c>
      <c r="H2331" s="116"/>
      <c r="I2331" s="116"/>
      <c r="L2331" s="170">
        <v>45439</v>
      </c>
      <c r="M2331" s="116">
        <v>1471.35</v>
      </c>
      <c r="N2331" s="116">
        <v>1479.6</v>
      </c>
      <c r="O2331" s="116">
        <v>1460.25</v>
      </c>
      <c r="P2331" s="116">
        <v>1471.85</v>
      </c>
      <c r="Q2331" s="116">
        <v>1471.35</v>
      </c>
      <c r="R2331">
        <v>5821844</v>
      </c>
    </row>
    <row r="2332" spans="1:18" x14ac:dyDescent="0.25">
      <c r="A2332" s="170">
        <v>45440</v>
      </c>
      <c r="B2332" s="116">
        <v>1477</v>
      </c>
      <c r="C2332" s="116">
        <v>1466.2</v>
      </c>
      <c r="D2332" s="116">
        <v>1461</v>
      </c>
      <c r="E2332" s="116">
        <v>1477</v>
      </c>
      <c r="F2332" s="116">
        <v>1466.2</v>
      </c>
      <c r="G2332">
        <v>368764</v>
      </c>
      <c r="H2332" s="116"/>
      <c r="I2332" s="116"/>
      <c r="L2332" s="170">
        <v>45440</v>
      </c>
      <c r="M2332" s="116">
        <v>1467.05</v>
      </c>
      <c r="N2332" s="116">
        <v>1476</v>
      </c>
      <c r="O2332" s="116">
        <v>1460.3</v>
      </c>
      <c r="P2332" s="116">
        <v>1475.5</v>
      </c>
      <c r="Q2332" s="116">
        <v>1467.05</v>
      </c>
      <c r="R2332">
        <v>6186922</v>
      </c>
    </row>
    <row r="2333" spans="1:18" x14ac:dyDescent="0.25">
      <c r="A2333" s="170">
        <v>45441</v>
      </c>
      <c r="B2333" s="116">
        <v>1469.95</v>
      </c>
      <c r="C2333" s="116">
        <v>1451.6</v>
      </c>
      <c r="D2333" s="116">
        <v>1448.7</v>
      </c>
      <c r="E2333" s="116">
        <v>1469.95</v>
      </c>
      <c r="F2333" s="116">
        <v>1451.6</v>
      </c>
      <c r="G2333">
        <v>206028</v>
      </c>
      <c r="H2333" s="116"/>
      <c r="I2333" s="116"/>
      <c r="L2333" s="170">
        <v>45441</v>
      </c>
      <c r="M2333" s="116">
        <v>1450.95</v>
      </c>
      <c r="N2333" s="116">
        <v>1465.5</v>
      </c>
      <c r="O2333" s="116">
        <v>1450</v>
      </c>
      <c r="P2333" s="116">
        <v>1465.4</v>
      </c>
      <c r="Q2333" s="116">
        <v>1450.95</v>
      </c>
      <c r="R2333">
        <v>7401634</v>
      </c>
    </row>
    <row r="2334" spans="1:18" x14ac:dyDescent="0.25">
      <c r="A2334" s="170">
        <v>45442</v>
      </c>
      <c r="B2334" s="116">
        <v>1449.9</v>
      </c>
      <c r="C2334" s="116">
        <v>1425.75</v>
      </c>
      <c r="D2334" s="116">
        <v>1421.7</v>
      </c>
      <c r="E2334" s="116">
        <v>1447.95</v>
      </c>
      <c r="F2334" s="116">
        <v>1425.75</v>
      </c>
      <c r="G2334">
        <v>515228</v>
      </c>
      <c r="H2334" s="116"/>
      <c r="I2334" s="116"/>
      <c r="L2334" s="170">
        <v>45442</v>
      </c>
      <c r="M2334" s="116">
        <v>1427.45</v>
      </c>
      <c r="N2334" s="116">
        <v>1449.85</v>
      </c>
      <c r="O2334" s="116">
        <v>1421.55</v>
      </c>
      <c r="P2334" s="116">
        <v>1442.8</v>
      </c>
      <c r="Q2334" s="116">
        <v>1427.45</v>
      </c>
      <c r="R2334">
        <v>9663150</v>
      </c>
    </row>
    <row r="2335" spans="1:18" x14ac:dyDescent="0.25">
      <c r="A2335" s="170">
        <v>45443</v>
      </c>
      <c r="B2335" s="116">
        <v>1436.5</v>
      </c>
      <c r="C2335" s="116">
        <v>1406.25</v>
      </c>
      <c r="D2335" s="116">
        <v>1400</v>
      </c>
      <c r="E2335" s="116">
        <v>1413</v>
      </c>
      <c r="F2335" s="116">
        <v>1406.25</v>
      </c>
      <c r="G2335">
        <v>692017</v>
      </c>
      <c r="H2335" s="116"/>
      <c r="I2335" s="116"/>
      <c r="L2335" s="170">
        <v>45443</v>
      </c>
      <c r="M2335" s="116">
        <v>1406.9</v>
      </c>
      <c r="N2335" s="116">
        <v>1436.75</v>
      </c>
      <c r="O2335" s="116">
        <v>1400</v>
      </c>
      <c r="P2335" s="116">
        <v>1409.8</v>
      </c>
      <c r="Q2335" s="116">
        <v>1406.9</v>
      </c>
      <c r="R2335">
        <v>37113815</v>
      </c>
    </row>
    <row r="2336" spans="1:18" x14ac:dyDescent="0.25">
      <c r="A2336" s="170">
        <v>45446</v>
      </c>
      <c r="B2336" s="116">
        <v>1439.05</v>
      </c>
      <c r="C2336" s="116">
        <v>1405.9</v>
      </c>
      <c r="D2336" s="116">
        <v>1404</v>
      </c>
      <c r="E2336" s="116">
        <v>1435.15</v>
      </c>
      <c r="F2336" s="116">
        <v>1405.9</v>
      </c>
      <c r="G2336">
        <v>182274</v>
      </c>
      <c r="H2336" s="116"/>
      <c r="I2336" s="116"/>
      <c r="L2336" s="170">
        <v>45446</v>
      </c>
      <c r="M2336" s="116">
        <v>1405.9</v>
      </c>
      <c r="N2336" s="116">
        <v>1440</v>
      </c>
      <c r="O2336" s="116">
        <v>1404</v>
      </c>
      <c r="P2336" s="116">
        <v>1440</v>
      </c>
      <c r="Q2336" s="116">
        <v>1405.9</v>
      </c>
      <c r="R2336">
        <v>10589244</v>
      </c>
    </row>
    <row r="2337" spans="1:18" x14ac:dyDescent="0.25">
      <c r="A2337" s="170">
        <v>45447</v>
      </c>
      <c r="B2337" s="116">
        <v>1412.95</v>
      </c>
      <c r="C2337" s="116">
        <v>1394.4</v>
      </c>
      <c r="D2337" s="116">
        <v>1359.1</v>
      </c>
      <c r="E2337" s="116">
        <v>1411.95</v>
      </c>
      <c r="F2337" s="116">
        <v>1394.4</v>
      </c>
      <c r="G2337">
        <v>1016378</v>
      </c>
      <c r="H2337" s="116"/>
      <c r="I2337" s="116"/>
      <c r="L2337" s="170">
        <v>45447</v>
      </c>
      <c r="M2337" s="116">
        <v>1393.65</v>
      </c>
      <c r="N2337" s="116">
        <v>1415</v>
      </c>
      <c r="O2337" s="116">
        <v>1358.35</v>
      </c>
      <c r="P2337" s="116">
        <v>1409</v>
      </c>
      <c r="Q2337" s="116">
        <v>1393.65</v>
      </c>
      <c r="R2337">
        <v>13736134</v>
      </c>
    </row>
    <row r="2338" spans="1:18" x14ac:dyDescent="0.25">
      <c r="A2338" s="170">
        <v>45448</v>
      </c>
      <c r="B2338" s="116">
        <v>1438</v>
      </c>
      <c r="C2338" s="116">
        <v>1430.25</v>
      </c>
      <c r="D2338" s="116">
        <v>1400</v>
      </c>
      <c r="E2338" s="116">
        <v>1400</v>
      </c>
      <c r="F2338" s="116">
        <v>1430.25</v>
      </c>
      <c r="G2338">
        <v>505138</v>
      </c>
      <c r="H2338" s="116"/>
      <c r="I2338" s="116"/>
      <c r="L2338" s="170">
        <v>45448</v>
      </c>
      <c r="M2338" s="116">
        <v>1430.1</v>
      </c>
      <c r="N2338" s="116">
        <v>1438</v>
      </c>
      <c r="O2338" s="116">
        <v>1400.15</v>
      </c>
      <c r="P2338" s="116">
        <v>1400.15</v>
      </c>
      <c r="Q2338" s="116">
        <v>1430.1</v>
      </c>
      <c r="R2338">
        <v>9233424</v>
      </c>
    </row>
    <row r="2339" spans="1:18" x14ac:dyDescent="0.25">
      <c r="A2339" s="170">
        <v>45449</v>
      </c>
      <c r="B2339" s="116">
        <v>1474</v>
      </c>
      <c r="C2339" s="116">
        <v>1472.5</v>
      </c>
      <c r="D2339" s="116">
        <v>1437.4</v>
      </c>
      <c r="E2339" s="116">
        <v>1442.55</v>
      </c>
      <c r="F2339" s="116">
        <v>1472.5</v>
      </c>
      <c r="G2339">
        <v>712430</v>
      </c>
      <c r="H2339" s="116"/>
      <c r="I2339" s="116"/>
      <c r="L2339" s="170">
        <v>45449</v>
      </c>
      <c r="M2339" s="116">
        <v>1472.25</v>
      </c>
      <c r="N2339" s="116">
        <v>1474.3</v>
      </c>
      <c r="O2339" s="116">
        <v>1437.5</v>
      </c>
      <c r="P2339" s="116">
        <v>1444.95</v>
      </c>
      <c r="Q2339" s="116">
        <v>1472.25</v>
      </c>
      <c r="R2339">
        <v>12660930</v>
      </c>
    </row>
    <row r="2340" spans="1:18" x14ac:dyDescent="0.25">
      <c r="A2340" s="170">
        <v>45450</v>
      </c>
      <c r="B2340" s="116">
        <v>1539</v>
      </c>
      <c r="C2340" s="116">
        <v>1533.35</v>
      </c>
      <c r="D2340" s="116">
        <v>1475.15</v>
      </c>
      <c r="E2340" s="116">
        <v>1475.15</v>
      </c>
      <c r="F2340" s="116">
        <v>1533.35</v>
      </c>
      <c r="G2340">
        <v>2034394</v>
      </c>
      <c r="H2340" s="116"/>
      <c r="I2340" s="116"/>
      <c r="L2340" s="170">
        <v>45450</v>
      </c>
      <c r="M2340" s="116">
        <v>1533.6</v>
      </c>
      <c r="N2340" s="116">
        <v>1539.7</v>
      </c>
      <c r="O2340" s="116">
        <v>1477.25</v>
      </c>
      <c r="P2340" s="116">
        <v>1481</v>
      </c>
      <c r="Q2340" s="116">
        <v>1533.6</v>
      </c>
      <c r="R2340">
        <v>24075302</v>
      </c>
    </row>
    <row r="2341" spans="1:18" x14ac:dyDescent="0.25">
      <c r="A2341" s="170">
        <v>45453</v>
      </c>
      <c r="B2341" s="116">
        <v>1528.85</v>
      </c>
      <c r="C2341" s="116">
        <v>1499.65</v>
      </c>
      <c r="D2341" s="116">
        <v>1497.9</v>
      </c>
      <c r="E2341" s="116">
        <v>1528.85</v>
      </c>
      <c r="F2341" s="116">
        <v>1499.65</v>
      </c>
      <c r="G2341">
        <v>228905</v>
      </c>
      <c r="H2341" s="116"/>
      <c r="I2341" s="116"/>
      <c r="L2341" s="170">
        <v>45453</v>
      </c>
      <c r="M2341" s="116">
        <v>1499.75</v>
      </c>
      <c r="N2341" s="116">
        <v>1529.8</v>
      </c>
      <c r="O2341" s="116">
        <v>1497.3</v>
      </c>
      <c r="P2341" s="116">
        <v>1525.3</v>
      </c>
      <c r="Q2341" s="116">
        <v>1499.75</v>
      </c>
      <c r="R2341">
        <v>6810606</v>
      </c>
    </row>
    <row r="2342" spans="1:18" x14ac:dyDescent="0.25">
      <c r="A2342" s="170">
        <v>45454</v>
      </c>
      <c r="B2342" s="116">
        <v>1506.55</v>
      </c>
      <c r="C2342" s="116">
        <v>1495.6</v>
      </c>
      <c r="D2342" s="116">
        <v>1494</v>
      </c>
      <c r="E2342" s="116">
        <v>1504.95</v>
      </c>
      <c r="F2342" s="116">
        <v>1495.6</v>
      </c>
      <c r="G2342">
        <v>111787</v>
      </c>
      <c r="H2342" s="116"/>
      <c r="I2342" s="116"/>
      <c r="L2342" s="170">
        <v>45454</v>
      </c>
      <c r="M2342" s="116">
        <v>1495.75</v>
      </c>
      <c r="N2342" s="116">
        <v>1506.45</v>
      </c>
      <c r="O2342" s="116">
        <v>1493.95</v>
      </c>
      <c r="P2342" s="116">
        <v>1500.05</v>
      </c>
      <c r="Q2342" s="116">
        <v>1495.75</v>
      </c>
      <c r="R2342">
        <v>4853054</v>
      </c>
    </row>
    <row r="2343" spans="1:18" x14ac:dyDescent="0.25">
      <c r="A2343" s="170">
        <v>45455</v>
      </c>
      <c r="B2343" s="116">
        <v>1508.95</v>
      </c>
      <c r="C2343" s="116">
        <v>1485</v>
      </c>
      <c r="D2343" s="116">
        <v>1483.05</v>
      </c>
      <c r="E2343" s="116">
        <v>1503</v>
      </c>
      <c r="F2343" s="116">
        <v>1485</v>
      </c>
      <c r="G2343">
        <v>255297</v>
      </c>
      <c r="H2343" s="116"/>
      <c r="I2343" s="116"/>
      <c r="L2343" s="170">
        <v>45455</v>
      </c>
      <c r="M2343" s="116">
        <v>1485.2</v>
      </c>
      <c r="N2343" s="116">
        <v>1508.75</v>
      </c>
      <c r="O2343" s="116">
        <v>1482.75</v>
      </c>
      <c r="P2343" s="116">
        <v>1507</v>
      </c>
      <c r="Q2343" s="116">
        <v>1485.2</v>
      </c>
      <c r="R2343">
        <v>9564320</v>
      </c>
    </row>
    <row r="2344" spans="1:18" x14ac:dyDescent="0.25">
      <c r="A2344" s="170">
        <v>45456</v>
      </c>
      <c r="B2344" s="116">
        <v>1505</v>
      </c>
      <c r="C2344" s="116">
        <v>1494.25</v>
      </c>
      <c r="D2344" s="116">
        <v>1489.75</v>
      </c>
      <c r="E2344" s="116">
        <v>1498</v>
      </c>
      <c r="F2344" s="116">
        <v>1494.25</v>
      </c>
      <c r="G2344">
        <v>212377</v>
      </c>
      <c r="H2344" s="116"/>
      <c r="I2344" s="116"/>
      <c r="L2344" s="170">
        <v>45456</v>
      </c>
      <c r="M2344" s="116">
        <v>1493.95</v>
      </c>
      <c r="N2344" s="116">
        <v>1505</v>
      </c>
      <c r="O2344" s="116">
        <v>1489.35</v>
      </c>
      <c r="P2344" s="116">
        <v>1495</v>
      </c>
      <c r="Q2344" s="116">
        <v>1493.95</v>
      </c>
      <c r="R2344">
        <v>7307565</v>
      </c>
    </row>
    <row r="2345" spans="1:18" x14ac:dyDescent="0.25">
      <c r="A2345" s="170">
        <v>45457</v>
      </c>
      <c r="B2345" s="116">
        <v>1501</v>
      </c>
      <c r="C2345" s="116">
        <v>1488.55</v>
      </c>
      <c r="D2345" s="116">
        <v>1486</v>
      </c>
      <c r="E2345" s="116">
        <v>1500.05</v>
      </c>
      <c r="F2345" s="116">
        <v>1488.55</v>
      </c>
      <c r="G2345">
        <v>280369</v>
      </c>
      <c r="H2345" s="116"/>
      <c r="I2345" s="116"/>
      <c r="L2345" s="170">
        <v>45457</v>
      </c>
      <c r="M2345" s="116">
        <v>1488.9</v>
      </c>
      <c r="N2345" s="116">
        <v>1503.7</v>
      </c>
      <c r="O2345" s="116">
        <v>1486.05</v>
      </c>
      <c r="P2345" s="116">
        <v>1503.7</v>
      </c>
      <c r="Q2345" s="116">
        <v>1488.9</v>
      </c>
      <c r="R2345">
        <v>4237727</v>
      </c>
    </row>
    <row r="2346" spans="1:18" x14ac:dyDescent="0.25">
      <c r="A2346" s="170">
        <v>45461</v>
      </c>
      <c r="B2346" s="116">
        <v>1507.65</v>
      </c>
      <c r="C2346" s="116">
        <v>1497.85</v>
      </c>
      <c r="D2346" s="116">
        <v>1488.95</v>
      </c>
      <c r="E2346" s="116">
        <v>1488.95</v>
      </c>
      <c r="F2346" s="116">
        <v>1497.85</v>
      </c>
      <c r="G2346">
        <v>121668</v>
      </c>
      <c r="H2346" s="116"/>
      <c r="I2346" s="116"/>
      <c r="L2346" s="170">
        <v>45461</v>
      </c>
      <c r="M2346" s="116">
        <v>1498.2</v>
      </c>
      <c r="N2346" s="116">
        <v>1507</v>
      </c>
      <c r="O2346" s="116">
        <v>1495.4</v>
      </c>
      <c r="P2346" s="116">
        <v>1497</v>
      </c>
      <c r="Q2346" s="116">
        <v>1498.2</v>
      </c>
      <c r="R2346">
        <v>5420939</v>
      </c>
    </row>
    <row r="2347" spans="1:18" x14ac:dyDescent="0.25">
      <c r="A2347" s="170">
        <v>45462</v>
      </c>
      <c r="B2347" s="116">
        <v>1515.95</v>
      </c>
      <c r="C2347" s="116">
        <v>1511.35</v>
      </c>
      <c r="D2347" s="116">
        <v>1496.55</v>
      </c>
      <c r="E2347" s="116">
        <v>1502.45</v>
      </c>
      <c r="F2347" s="116">
        <v>1511.35</v>
      </c>
      <c r="G2347">
        <v>254774</v>
      </c>
      <c r="H2347" s="116"/>
      <c r="I2347" s="116"/>
      <c r="L2347" s="170">
        <v>45462</v>
      </c>
      <c r="M2347" s="116">
        <v>1511.35</v>
      </c>
      <c r="N2347" s="116">
        <v>1515.65</v>
      </c>
      <c r="O2347" s="116">
        <v>1496.7</v>
      </c>
      <c r="P2347" s="116">
        <v>1505</v>
      </c>
      <c r="Q2347" s="116">
        <v>1511.35</v>
      </c>
      <c r="R2347">
        <v>5493456</v>
      </c>
    </row>
    <row r="2348" spans="1:18" x14ac:dyDescent="0.25">
      <c r="A2348" s="170">
        <v>45463</v>
      </c>
      <c r="B2348" s="116">
        <v>1517.1</v>
      </c>
      <c r="C2348" s="116">
        <v>1515.3</v>
      </c>
      <c r="D2348" s="116">
        <v>1499.25</v>
      </c>
      <c r="E2348" s="116">
        <v>1513.05</v>
      </c>
      <c r="F2348" s="116">
        <v>1515.3</v>
      </c>
      <c r="G2348">
        <v>242401</v>
      </c>
      <c r="H2348" s="116"/>
      <c r="I2348" s="116"/>
      <c r="L2348" s="170">
        <v>45463</v>
      </c>
      <c r="M2348" s="116">
        <v>1515.4</v>
      </c>
      <c r="N2348" s="116">
        <v>1517.5</v>
      </c>
      <c r="O2348" s="116">
        <v>1499.1</v>
      </c>
      <c r="P2348" s="116">
        <v>1516.3</v>
      </c>
      <c r="Q2348" s="116">
        <v>1515.4</v>
      </c>
      <c r="R2348">
        <v>7927010</v>
      </c>
    </row>
    <row r="2349" spans="1:18" x14ac:dyDescent="0.25">
      <c r="A2349" s="170">
        <v>45464</v>
      </c>
      <c r="B2349" s="116">
        <v>1557.75</v>
      </c>
      <c r="C2349" s="116">
        <v>1531.7</v>
      </c>
      <c r="D2349" s="116">
        <v>1523.45</v>
      </c>
      <c r="E2349" s="116">
        <v>1531.05</v>
      </c>
      <c r="F2349" s="116">
        <v>1531.7</v>
      </c>
      <c r="G2349">
        <v>971925</v>
      </c>
      <c r="H2349" s="116"/>
      <c r="I2349" s="116"/>
      <c r="L2349" s="170">
        <v>45464</v>
      </c>
      <c r="M2349" s="116">
        <v>1532.7</v>
      </c>
      <c r="N2349" s="116">
        <v>1557.75</v>
      </c>
      <c r="O2349" s="116">
        <v>1523.7</v>
      </c>
      <c r="P2349" s="116">
        <v>1545</v>
      </c>
      <c r="Q2349" s="116">
        <v>1532.7</v>
      </c>
      <c r="R2349">
        <v>17301941</v>
      </c>
    </row>
    <row r="2350" spans="1:18" x14ac:dyDescent="0.25">
      <c r="A2350" s="170">
        <v>45467</v>
      </c>
      <c r="B2350" s="116">
        <v>1528.8</v>
      </c>
      <c r="C2350" s="116">
        <v>1527.25</v>
      </c>
      <c r="D2350" s="116">
        <v>1516.6</v>
      </c>
      <c r="E2350" s="116">
        <v>1526.25</v>
      </c>
      <c r="F2350" s="116">
        <v>1527.25</v>
      </c>
      <c r="G2350">
        <v>218485</v>
      </c>
      <c r="H2350" s="116"/>
      <c r="I2350" s="116"/>
      <c r="L2350" s="170">
        <v>45467</v>
      </c>
      <c r="M2350" s="116">
        <v>1527.15</v>
      </c>
      <c r="N2350" s="116">
        <v>1529.1</v>
      </c>
      <c r="O2350" s="116">
        <v>1515.4</v>
      </c>
      <c r="P2350" s="116">
        <v>1524.55</v>
      </c>
      <c r="Q2350" s="116">
        <v>1527.15</v>
      </c>
      <c r="R2350">
        <v>5564989</v>
      </c>
    </row>
    <row r="2351" spans="1:18" x14ac:dyDescent="0.25">
      <c r="A2351" s="170">
        <v>45468</v>
      </c>
      <c r="B2351" s="116">
        <v>1543.75</v>
      </c>
      <c r="C2351" s="116">
        <v>1541.3</v>
      </c>
      <c r="D2351" s="116">
        <v>1521.65</v>
      </c>
      <c r="E2351" s="116">
        <v>1526</v>
      </c>
      <c r="F2351" s="116">
        <v>1541.3</v>
      </c>
      <c r="G2351">
        <v>481445</v>
      </c>
      <c r="H2351" s="116"/>
      <c r="I2351" s="116"/>
      <c r="L2351" s="170">
        <v>45468</v>
      </c>
      <c r="M2351" s="116">
        <v>1541.95</v>
      </c>
      <c r="N2351" s="116">
        <v>1543.9</v>
      </c>
      <c r="O2351" s="116">
        <v>1520.35</v>
      </c>
      <c r="P2351" s="116">
        <v>1526</v>
      </c>
      <c r="Q2351" s="116">
        <v>1541.95</v>
      </c>
      <c r="R2351">
        <v>4551525</v>
      </c>
    </row>
    <row r="2352" spans="1:18" x14ac:dyDescent="0.25">
      <c r="A2352" s="170">
        <v>45469</v>
      </c>
      <c r="B2352" s="116">
        <v>1548.95</v>
      </c>
      <c r="C2352" s="116">
        <v>1541.35</v>
      </c>
      <c r="D2352" s="116">
        <v>1535.35</v>
      </c>
      <c r="E2352" s="116">
        <v>1540</v>
      </c>
      <c r="F2352" s="116">
        <v>1541.35</v>
      </c>
      <c r="G2352">
        <v>182325</v>
      </c>
      <c r="H2352" s="116"/>
      <c r="I2352" s="116"/>
      <c r="L2352" s="170">
        <v>45469</v>
      </c>
      <c r="M2352" s="116">
        <v>1540.7</v>
      </c>
      <c r="N2352" s="116">
        <v>1548.85</v>
      </c>
      <c r="O2352" s="116">
        <v>1535</v>
      </c>
      <c r="P2352" s="116">
        <v>1541</v>
      </c>
      <c r="Q2352" s="116">
        <v>1540.7</v>
      </c>
      <c r="R2352">
        <v>4851004</v>
      </c>
    </row>
    <row r="2353" spans="1:18" x14ac:dyDescent="0.25">
      <c r="A2353" s="170">
        <v>45470</v>
      </c>
      <c r="B2353" s="116">
        <v>1577.5</v>
      </c>
      <c r="C2353" s="116">
        <v>1573.5</v>
      </c>
      <c r="D2353" s="116">
        <v>1532.2</v>
      </c>
      <c r="E2353" s="116">
        <v>1540</v>
      </c>
      <c r="F2353" s="116">
        <v>1573.5</v>
      </c>
      <c r="G2353">
        <v>914944</v>
      </c>
      <c r="H2353" s="116"/>
      <c r="I2353" s="116"/>
      <c r="L2353" s="170">
        <v>45470</v>
      </c>
      <c r="M2353" s="116">
        <v>1573.35</v>
      </c>
      <c r="N2353" s="116">
        <v>1578.4</v>
      </c>
      <c r="O2353" s="116">
        <v>1532.05</v>
      </c>
      <c r="P2353" s="116">
        <v>1538.45</v>
      </c>
      <c r="Q2353" s="116">
        <v>1573.35</v>
      </c>
      <c r="R2353">
        <v>14757754</v>
      </c>
    </row>
    <row r="2354" spans="1:18" x14ac:dyDescent="0.25">
      <c r="A2354" s="170">
        <v>45471</v>
      </c>
      <c r="B2354" s="116">
        <v>1588</v>
      </c>
      <c r="C2354" s="116">
        <v>1566.95</v>
      </c>
      <c r="D2354" s="116">
        <v>1564</v>
      </c>
      <c r="E2354" s="116">
        <v>1571.1</v>
      </c>
      <c r="F2354" s="116">
        <v>1566.95</v>
      </c>
      <c r="G2354">
        <v>719140</v>
      </c>
      <c r="H2354" s="116"/>
      <c r="I2354" s="116"/>
      <c r="L2354" s="170">
        <v>45471</v>
      </c>
      <c r="M2354" s="116">
        <v>1566.75</v>
      </c>
      <c r="N2354" s="116">
        <v>1588.5</v>
      </c>
      <c r="O2354" s="116">
        <v>1564.25</v>
      </c>
      <c r="P2354" s="116">
        <v>1572.55</v>
      </c>
      <c r="Q2354" s="116">
        <v>1566.75</v>
      </c>
      <c r="R2354">
        <v>8197544</v>
      </c>
    </row>
    <row r="2355" spans="1:18" x14ac:dyDescent="0.25">
      <c r="A2355" s="170">
        <v>45474</v>
      </c>
      <c r="B2355" s="116">
        <v>1599.85</v>
      </c>
      <c r="C2355" s="116">
        <v>1589.75</v>
      </c>
      <c r="D2355" s="116">
        <v>1559.2</v>
      </c>
      <c r="E2355" s="116">
        <v>1561.05</v>
      </c>
      <c r="F2355" s="116">
        <v>1589.75</v>
      </c>
      <c r="G2355">
        <v>438488</v>
      </c>
      <c r="H2355" s="116"/>
      <c r="I2355" s="116"/>
      <c r="L2355" s="170">
        <v>45474</v>
      </c>
      <c r="M2355" s="116">
        <v>1590.8</v>
      </c>
      <c r="N2355" s="116">
        <v>1599.9</v>
      </c>
      <c r="O2355" s="116">
        <v>1559.5</v>
      </c>
      <c r="P2355" s="116">
        <v>1559.5</v>
      </c>
      <c r="Q2355" s="116">
        <v>1590.8</v>
      </c>
      <c r="R2355">
        <v>6801771</v>
      </c>
    </row>
    <row r="2356" spans="1:18" x14ac:dyDescent="0.25">
      <c r="A2356" s="170">
        <v>45475</v>
      </c>
      <c r="B2356" s="116">
        <v>1633.8</v>
      </c>
      <c r="C2356" s="116">
        <v>1621</v>
      </c>
      <c r="D2356" s="116">
        <v>1589</v>
      </c>
      <c r="E2356" s="116">
        <v>1598</v>
      </c>
      <c r="F2356" s="116">
        <v>1621</v>
      </c>
      <c r="G2356">
        <v>221285</v>
      </c>
      <c r="H2356" s="116"/>
      <c r="I2356" s="116"/>
      <c r="L2356" s="170">
        <v>45475</v>
      </c>
      <c r="M2356" s="116">
        <v>1621.05</v>
      </c>
      <c r="N2356" s="116">
        <v>1633.8</v>
      </c>
      <c r="O2356" s="116">
        <v>1586.5</v>
      </c>
      <c r="P2356" s="116">
        <v>1596.2</v>
      </c>
      <c r="Q2356" s="116">
        <v>1621.05</v>
      </c>
      <c r="R2356">
        <v>10493173</v>
      </c>
    </row>
    <row r="2357" spans="1:18" x14ac:dyDescent="0.25">
      <c r="A2357" s="170">
        <v>45476</v>
      </c>
      <c r="B2357" s="116">
        <v>1635.5</v>
      </c>
      <c r="C2357" s="116">
        <v>1627.6</v>
      </c>
      <c r="D2357" s="116">
        <v>1606.25</v>
      </c>
      <c r="E2357" s="116">
        <v>1624.95</v>
      </c>
      <c r="F2357" s="116">
        <v>1627.6</v>
      </c>
      <c r="G2357">
        <v>120360</v>
      </c>
      <c r="H2357" s="116"/>
      <c r="I2357" s="116"/>
      <c r="L2357" s="170">
        <v>45476</v>
      </c>
      <c r="M2357" s="116">
        <v>1627.4</v>
      </c>
      <c r="N2357" s="116">
        <v>1636</v>
      </c>
      <c r="O2357" s="116">
        <v>1606</v>
      </c>
      <c r="P2357" s="116">
        <v>1625</v>
      </c>
      <c r="Q2357" s="116">
        <v>1627.4</v>
      </c>
      <c r="R2357">
        <v>7269965</v>
      </c>
    </row>
    <row r="2358" spans="1:18" x14ac:dyDescent="0.25">
      <c r="A2358" s="170">
        <v>45477</v>
      </c>
      <c r="B2358" s="116">
        <v>1659.15</v>
      </c>
      <c r="C2358" s="116">
        <v>1649.15</v>
      </c>
      <c r="D2358" s="116">
        <v>1627.6</v>
      </c>
      <c r="E2358" s="116">
        <v>1627.65</v>
      </c>
      <c r="F2358" s="116">
        <v>1649.15</v>
      </c>
      <c r="G2358">
        <v>411364</v>
      </c>
      <c r="H2358" s="116"/>
      <c r="I2358" s="116"/>
      <c r="L2358" s="170">
        <v>45477</v>
      </c>
      <c r="M2358" s="116">
        <v>1650.65</v>
      </c>
      <c r="N2358" s="116">
        <v>1660</v>
      </c>
      <c r="O2358" s="116">
        <v>1628</v>
      </c>
      <c r="P2358" s="116">
        <v>1628.2</v>
      </c>
      <c r="Q2358" s="116">
        <v>1650.65</v>
      </c>
      <c r="R2358">
        <v>8008311</v>
      </c>
    </row>
    <row r="2359" spans="1:18" x14ac:dyDescent="0.25">
      <c r="A2359" s="170">
        <v>45478</v>
      </c>
      <c r="B2359" s="116">
        <v>1665</v>
      </c>
      <c r="C2359" s="116">
        <v>1647.2</v>
      </c>
      <c r="D2359" s="116">
        <v>1633.2</v>
      </c>
      <c r="E2359" s="116">
        <v>1649.55</v>
      </c>
      <c r="F2359" s="116">
        <v>1647.2</v>
      </c>
      <c r="G2359">
        <v>503374</v>
      </c>
      <c r="H2359" s="116"/>
      <c r="I2359" s="116"/>
      <c r="L2359" s="170">
        <v>45478</v>
      </c>
      <c r="M2359" s="116">
        <v>1647.45</v>
      </c>
      <c r="N2359" s="116">
        <v>1665.85</v>
      </c>
      <c r="O2359" s="116">
        <v>1633.35</v>
      </c>
      <c r="P2359" s="116">
        <v>1651.45</v>
      </c>
      <c r="Q2359" s="116">
        <v>1647.45</v>
      </c>
      <c r="R2359">
        <v>7065022</v>
      </c>
    </row>
    <row r="2360" spans="1:18" x14ac:dyDescent="0.25">
      <c r="A2360" s="170">
        <v>45481</v>
      </c>
      <c r="B2360" s="116">
        <v>1666</v>
      </c>
      <c r="C2360" s="116">
        <v>1661.65</v>
      </c>
      <c r="D2360" s="116">
        <v>1640</v>
      </c>
      <c r="E2360" s="116">
        <v>1642</v>
      </c>
      <c r="F2360" s="116">
        <v>1661.65</v>
      </c>
      <c r="G2360">
        <v>99345</v>
      </c>
      <c r="H2360" s="116"/>
      <c r="I2360" s="116"/>
      <c r="L2360" s="170">
        <v>45481</v>
      </c>
      <c r="M2360" s="116">
        <v>1661.65</v>
      </c>
      <c r="N2360" s="116">
        <v>1666</v>
      </c>
      <c r="O2360" s="116">
        <v>1640</v>
      </c>
      <c r="P2360" s="116">
        <v>1643.1</v>
      </c>
      <c r="Q2360" s="116">
        <v>1661.65</v>
      </c>
      <c r="R2360">
        <v>5880533</v>
      </c>
    </row>
    <row r="2361" spans="1:18" x14ac:dyDescent="0.25">
      <c r="A2361" s="170">
        <v>45482</v>
      </c>
      <c r="B2361" s="116">
        <v>1666</v>
      </c>
      <c r="C2361" s="116">
        <v>1657.25</v>
      </c>
      <c r="D2361" s="116">
        <v>1650.4</v>
      </c>
      <c r="E2361" s="116">
        <v>1659</v>
      </c>
      <c r="F2361" s="116">
        <v>1657.25</v>
      </c>
      <c r="G2361">
        <v>173026</v>
      </c>
      <c r="H2361" s="116"/>
      <c r="I2361" s="116"/>
      <c r="L2361" s="170">
        <v>45482</v>
      </c>
      <c r="M2361" s="116">
        <v>1657.15</v>
      </c>
      <c r="N2361" s="116">
        <v>1666.75</v>
      </c>
      <c r="O2361" s="116">
        <v>1651</v>
      </c>
      <c r="P2361" s="116">
        <v>1659.9</v>
      </c>
      <c r="Q2361" s="116">
        <v>1657.15</v>
      </c>
      <c r="R2361">
        <v>5191182</v>
      </c>
    </row>
    <row r="2362" spans="1:18" x14ac:dyDescent="0.25">
      <c r="A2362" s="170">
        <v>45483</v>
      </c>
      <c r="B2362" s="116">
        <v>1674</v>
      </c>
      <c r="C2362" s="116">
        <v>1647.7</v>
      </c>
      <c r="D2362" s="116">
        <v>1637.55</v>
      </c>
      <c r="E2362" s="116">
        <v>1657.5</v>
      </c>
      <c r="F2362" s="116">
        <v>1647.7</v>
      </c>
      <c r="G2362">
        <v>255972</v>
      </c>
      <c r="H2362" s="116"/>
      <c r="I2362" s="116"/>
      <c r="L2362" s="170">
        <v>45483</v>
      </c>
      <c r="M2362" s="116">
        <v>1648.25</v>
      </c>
      <c r="N2362" s="116">
        <v>1674</v>
      </c>
      <c r="O2362" s="116">
        <v>1637.55</v>
      </c>
      <c r="P2362" s="116">
        <v>1657</v>
      </c>
      <c r="Q2362" s="116">
        <v>1648.25</v>
      </c>
      <c r="R2362">
        <v>9852770</v>
      </c>
    </row>
    <row r="2363" spans="1:18" x14ac:dyDescent="0.25">
      <c r="A2363" s="170">
        <v>45484</v>
      </c>
      <c r="B2363" s="116">
        <v>1665</v>
      </c>
      <c r="C2363" s="116">
        <v>1653.05</v>
      </c>
      <c r="D2363" s="116">
        <v>1642.25</v>
      </c>
      <c r="E2363" s="116">
        <v>1655</v>
      </c>
      <c r="F2363" s="116">
        <v>1653.05</v>
      </c>
      <c r="G2363">
        <v>178432</v>
      </c>
      <c r="H2363" s="116"/>
      <c r="I2363" s="116"/>
      <c r="L2363" s="170">
        <v>45484</v>
      </c>
      <c r="M2363" s="116">
        <v>1652.7</v>
      </c>
      <c r="N2363" s="116">
        <v>1665</v>
      </c>
      <c r="O2363" s="116">
        <v>1642.05</v>
      </c>
      <c r="P2363" s="116">
        <v>1656</v>
      </c>
      <c r="Q2363" s="116">
        <v>1652.7</v>
      </c>
      <c r="R2363">
        <v>8857679</v>
      </c>
    </row>
    <row r="2364" spans="1:18" x14ac:dyDescent="0.25">
      <c r="A2364" s="170">
        <v>45485</v>
      </c>
      <c r="B2364" s="116">
        <v>1719</v>
      </c>
      <c r="C2364" s="116">
        <v>1712</v>
      </c>
      <c r="D2364" s="116">
        <v>1666.85</v>
      </c>
      <c r="E2364" s="116">
        <v>1675.05</v>
      </c>
      <c r="F2364" s="116">
        <v>1712</v>
      </c>
      <c r="G2364">
        <v>1025252</v>
      </c>
      <c r="H2364" s="116"/>
      <c r="I2364" s="116"/>
      <c r="L2364" s="170">
        <v>45485</v>
      </c>
      <c r="M2364" s="116">
        <v>1711.75</v>
      </c>
      <c r="N2364" s="116">
        <v>1719.75</v>
      </c>
      <c r="O2364" s="116">
        <v>1666.65</v>
      </c>
      <c r="P2364" s="116">
        <v>1680</v>
      </c>
      <c r="Q2364" s="116">
        <v>1711.75</v>
      </c>
      <c r="R2364">
        <v>17078316</v>
      </c>
    </row>
    <row r="2365" spans="1:18" x14ac:dyDescent="0.25">
      <c r="A2365" s="170">
        <v>45488</v>
      </c>
      <c r="B2365" s="116">
        <v>1728.1</v>
      </c>
      <c r="C2365" s="116">
        <v>1707.2</v>
      </c>
      <c r="D2365" s="116">
        <v>1702.25</v>
      </c>
      <c r="E2365" s="116">
        <v>1715.3</v>
      </c>
      <c r="F2365" s="116">
        <v>1707.2</v>
      </c>
      <c r="G2365">
        <v>319131</v>
      </c>
      <c r="H2365" s="116"/>
      <c r="I2365" s="116"/>
      <c r="L2365" s="170">
        <v>45488</v>
      </c>
      <c r="M2365" s="116">
        <v>1707.05</v>
      </c>
      <c r="N2365" s="116">
        <v>1728</v>
      </c>
      <c r="O2365" s="116">
        <v>1702.65</v>
      </c>
      <c r="P2365" s="116">
        <v>1726.2</v>
      </c>
      <c r="Q2365" s="116">
        <v>1707.05</v>
      </c>
      <c r="R2365">
        <v>6942230</v>
      </c>
    </row>
    <row r="2366" spans="1:18" x14ac:dyDescent="0.25">
      <c r="A2366" s="170">
        <v>45489</v>
      </c>
      <c r="B2366" s="116">
        <v>1737.5</v>
      </c>
      <c r="C2366" s="116">
        <v>1725.8</v>
      </c>
      <c r="D2366" s="116">
        <v>1699.3</v>
      </c>
      <c r="E2366" s="116">
        <v>1713.2</v>
      </c>
      <c r="F2366" s="116">
        <v>1725.8</v>
      </c>
      <c r="G2366">
        <v>265172</v>
      </c>
      <c r="H2366" s="116"/>
      <c r="I2366" s="116"/>
      <c r="L2366" s="170">
        <v>45489</v>
      </c>
      <c r="M2366" s="116">
        <v>1726.05</v>
      </c>
      <c r="N2366" s="116">
        <v>1737.9</v>
      </c>
      <c r="O2366" s="116">
        <v>1700</v>
      </c>
      <c r="P2366" s="116">
        <v>1718.6</v>
      </c>
      <c r="Q2366" s="116">
        <v>1726.05</v>
      </c>
      <c r="R2366">
        <v>6886281</v>
      </c>
    </row>
    <row r="2367" spans="1:18" x14ac:dyDescent="0.25">
      <c r="A2367" s="170">
        <v>45491</v>
      </c>
      <c r="B2367" s="116">
        <v>1764.95</v>
      </c>
      <c r="C2367" s="116">
        <v>1759.15</v>
      </c>
      <c r="D2367" s="116">
        <v>1720.75</v>
      </c>
      <c r="E2367" s="116">
        <v>1724.95</v>
      </c>
      <c r="F2367" s="116">
        <v>1759.15</v>
      </c>
      <c r="G2367">
        <v>286775</v>
      </c>
      <c r="H2367" s="116"/>
      <c r="I2367" s="116"/>
      <c r="L2367" s="170">
        <v>45491</v>
      </c>
      <c r="M2367" s="116">
        <v>1758.05</v>
      </c>
      <c r="N2367" s="116">
        <v>1765.4</v>
      </c>
      <c r="O2367" s="116">
        <v>1719</v>
      </c>
      <c r="P2367" s="116">
        <v>1719</v>
      </c>
      <c r="Q2367" s="116">
        <v>1758.05</v>
      </c>
      <c r="R2367">
        <v>11248896</v>
      </c>
    </row>
    <row r="2368" spans="1:18" x14ac:dyDescent="0.25">
      <c r="A2368" s="170">
        <v>45492</v>
      </c>
      <c r="B2368" s="116">
        <v>1843</v>
      </c>
      <c r="C2368" s="116">
        <v>1792.85</v>
      </c>
      <c r="D2368" s="116">
        <v>1786</v>
      </c>
      <c r="E2368" s="116">
        <v>1842.05</v>
      </c>
      <c r="F2368" s="116">
        <v>1792.85</v>
      </c>
      <c r="G2368">
        <v>1647829</v>
      </c>
      <c r="H2368" s="116"/>
      <c r="I2368" s="116"/>
      <c r="L2368" s="170">
        <v>45492</v>
      </c>
      <c r="M2368" s="116">
        <v>1792.95</v>
      </c>
      <c r="N2368" s="116">
        <v>1844</v>
      </c>
      <c r="O2368" s="116">
        <v>1786.45</v>
      </c>
      <c r="P2368" s="116">
        <v>1844</v>
      </c>
      <c r="Q2368" s="116">
        <v>1792.95</v>
      </c>
      <c r="R2368">
        <v>29819116</v>
      </c>
    </row>
    <row r="2369" spans="1:18" x14ac:dyDescent="0.25">
      <c r="A2369" s="170">
        <v>45495</v>
      </c>
      <c r="B2369" s="116">
        <v>1823.15</v>
      </c>
      <c r="C2369" s="116">
        <v>1810.55</v>
      </c>
      <c r="D2369" s="116">
        <v>1793.75</v>
      </c>
      <c r="E2369" s="116">
        <v>1800</v>
      </c>
      <c r="F2369" s="116">
        <v>1810.55</v>
      </c>
      <c r="G2369">
        <v>175147</v>
      </c>
      <c r="H2369" s="116"/>
      <c r="I2369" s="116"/>
      <c r="L2369" s="170">
        <v>45495</v>
      </c>
      <c r="M2369" s="116">
        <v>1810.85</v>
      </c>
      <c r="N2369" s="116">
        <v>1823</v>
      </c>
      <c r="O2369" s="116">
        <v>1792.95</v>
      </c>
      <c r="P2369" s="116">
        <v>1800.15</v>
      </c>
      <c r="Q2369" s="116">
        <v>1810.85</v>
      </c>
      <c r="R2369">
        <v>8462126</v>
      </c>
    </row>
    <row r="2370" spans="1:18" x14ac:dyDescent="0.25">
      <c r="A2370" s="170">
        <v>45496</v>
      </c>
      <c r="B2370" s="116">
        <v>1839.75</v>
      </c>
      <c r="C2370" s="116">
        <v>1836.95</v>
      </c>
      <c r="D2370" s="116">
        <v>1783</v>
      </c>
      <c r="E2370" s="116">
        <v>1808</v>
      </c>
      <c r="F2370" s="116">
        <v>1836.95</v>
      </c>
      <c r="G2370">
        <v>186623</v>
      </c>
      <c r="H2370" s="116"/>
      <c r="I2370" s="116"/>
      <c r="L2370" s="170">
        <v>45496</v>
      </c>
      <c r="M2370" s="116">
        <v>1836.9</v>
      </c>
      <c r="N2370" s="116">
        <v>1839.95</v>
      </c>
      <c r="O2370" s="116">
        <v>1783.25</v>
      </c>
      <c r="P2370" s="116">
        <v>1810</v>
      </c>
      <c r="Q2370" s="116">
        <v>1836.9</v>
      </c>
      <c r="R2370">
        <v>7113056</v>
      </c>
    </row>
    <row r="2371" spans="1:18" x14ac:dyDescent="0.25">
      <c r="A2371" s="170">
        <v>45497</v>
      </c>
      <c r="B2371" s="116">
        <v>1840.55</v>
      </c>
      <c r="C2371" s="116">
        <v>1830.2</v>
      </c>
      <c r="D2371" s="116">
        <v>1820.2</v>
      </c>
      <c r="E2371" s="116">
        <v>1828.9</v>
      </c>
      <c r="F2371" s="116">
        <v>1830.2</v>
      </c>
      <c r="G2371">
        <v>355661</v>
      </c>
      <c r="H2371" s="116"/>
      <c r="I2371" s="116"/>
      <c r="L2371" s="170">
        <v>45497</v>
      </c>
      <c r="M2371" s="116">
        <v>1833.95</v>
      </c>
      <c r="N2371" s="116">
        <v>1842.35</v>
      </c>
      <c r="O2371" s="116">
        <v>1819.6</v>
      </c>
      <c r="P2371" s="116">
        <v>1837.5</v>
      </c>
      <c r="Q2371" s="116">
        <v>1833.95</v>
      </c>
      <c r="R2371">
        <v>6002845</v>
      </c>
    </row>
    <row r="2372" spans="1:18" x14ac:dyDescent="0.25">
      <c r="A2372" s="170">
        <v>45498</v>
      </c>
      <c r="B2372" s="116">
        <v>1830.6</v>
      </c>
      <c r="C2372" s="116">
        <v>1825.35</v>
      </c>
      <c r="D2372" s="116">
        <v>1813.75</v>
      </c>
      <c r="E2372" s="116">
        <v>1821.65</v>
      </c>
      <c r="F2372" s="116">
        <v>1825.35</v>
      </c>
      <c r="G2372">
        <v>93576</v>
      </c>
      <c r="H2372" s="116"/>
      <c r="I2372" s="116"/>
      <c r="L2372" s="170">
        <v>45498</v>
      </c>
      <c r="M2372" s="116">
        <v>1824.85</v>
      </c>
      <c r="N2372" s="116">
        <v>1830.9</v>
      </c>
      <c r="O2372" s="116">
        <v>1812</v>
      </c>
      <c r="P2372" s="116">
        <v>1820</v>
      </c>
      <c r="Q2372" s="116">
        <v>1824.85</v>
      </c>
      <c r="R2372">
        <v>5815599</v>
      </c>
    </row>
    <row r="2373" spans="1:18" x14ac:dyDescent="0.25">
      <c r="A2373" s="170">
        <v>45499</v>
      </c>
      <c r="B2373" s="116">
        <v>1883</v>
      </c>
      <c r="C2373" s="116">
        <v>1878.75</v>
      </c>
      <c r="D2373" s="116">
        <v>1824.5</v>
      </c>
      <c r="E2373" s="116">
        <v>1824.5</v>
      </c>
      <c r="F2373" s="116">
        <v>1878.75</v>
      </c>
      <c r="G2373">
        <v>756974</v>
      </c>
      <c r="H2373" s="116"/>
      <c r="I2373" s="116"/>
      <c r="L2373" s="170">
        <v>45499</v>
      </c>
      <c r="M2373" s="116">
        <v>1878.9</v>
      </c>
      <c r="N2373" s="116">
        <v>1883</v>
      </c>
      <c r="O2373" s="116">
        <v>1825.35</v>
      </c>
      <c r="P2373" s="116">
        <v>1825.35</v>
      </c>
      <c r="Q2373" s="116">
        <v>1878.9</v>
      </c>
      <c r="R2373">
        <v>11369047</v>
      </c>
    </row>
    <row r="2374" spans="1:18" x14ac:dyDescent="0.25">
      <c r="A2374" s="170">
        <v>45502</v>
      </c>
      <c r="B2374" s="116">
        <v>1903</v>
      </c>
      <c r="C2374" s="116">
        <v>1872.3</v>
      </c>
      <c r="D2374" s="116">
        <v>1864.15</v>
      </c>
      <c r="E2374" s="116">
        <v>1885.05</v>
      </c>
      <c r="F2374" s="116">
        <v>1872.3</v>
      </c>
      <c r="G2374">
        <v>82954</v>
      </c>
      <c r="H2374" s="116"/>
      <c r="I2374" s="116"/>
      <c r="L2374" s="170">
        <v>45502</v>
      </c>
      <c r="M2374" s="116">
        <v>1871.1</v>
      </c>
      <c r="N2374" s="116">
        <v>1903</v>
      </c>
      <c r="O2374" s="116">
        <v>1864</v>
      </c>
      <c r="P2374" s="116">
        <v>1893.6</v>
      </c>
      <c r="Q2374" s="116">
        <v>1871.1</v>
      </c>
      <c r="R2374">
        <v>4635931</v>
      </c>
    </row>
    <row r="2375" spans="1:18" x14ac:dyDescent="0.25">
      <c r="A2375" s="170">
        <v>45503</v>
      </c>
      <c r="B2375" s="116">
        <v>1879.9</v>
      </c>
      <c r="C2375" s="116">
        <v>1877</v>
      </c>
      <c r="D2375" s="116">
        <v>1860</v>
      </c>
      <c r="E2375" s="116">
        <v>1867.25</v>
      </c>
      <c r="F2375" s="116">
        <v>1877</v>
      </c>
      <c r="G2375">
        <v>129390</v>
      </c>
      <c r="H2375" s="116"/>
      <c r="I2375" s="116"/>
      <c r="L2375" s="170">
        <v>45503</v>
      </c>
      <c r="M2375" s="116">
        <v>1877.15</v>
      </c>
      <c r="N2375" s="116">
        <v>1879.95</v>
      </c>
      <c r="O2375" s="116">
        <v>1860</v>
      </c>
      <c r="P2375" s="116">
        <v>1871.1</v>
      </c>
      <c r="Q2375" s="116">
        <v>1877.15</v>
      </c>
      <c r="R2375">
        <v>2721265</v>
      </c>
    </row>
    <row r="2376" spans="1:18" x14ac:dyDescent="0.25">
      <c r="A2376" s="170">
        <v>45504</v>
      </c>
      <c r="B2376" s="116">
        <v>1884</v>
      </c>
      <c r="C2376" s="116">
        <v>1868.05</v>
      </c>
      <c r="D2376" s="116">
        <v>1865.5</v>
      </c>
      <c r="E2376" s="116">
        <v>1874.35</v>
      </c>
      <c r="F2376" s="116">
        <v>1868.05</v>
      </c>
      <c r="G2376">
        <v>50275</v>
      </c>
      <c r="H2376" s="116"/>
      <c r="I2376" s="116"/>
      <c r="L2376" s="170">
        <v>45504</v>
      </c>
      <c r="M2376" s="116">
        <v>1868.25</v>
      </c>
      <c r="N2376" s="116">
        <v>1885.15</v>
      </c>
      <c r="O2376" s="116">
        <v>1865.05</v>
      </c>
      <c r="P2376" s="116">
        <v>1877</v>
      </c>
      <c r="Q2376" s="116">
        <v>1868.25</v>
      </c>
      <c r="R2376">
        <v>5004209</v>
      </c>
    </row>
    <row r="2377" spans="1:18" x14ac:dyDescent="0.25">
      <c r="A2377" s="170">
        <v>45505</v>
      </c>
      <c r="B2377" s="116">
        <v>1867.55</v>
      </c>
      <c r="C2377" s="116">
        <v>1852.3</v>
      </c>
      <c r="D2377" s="116">
        <v>1845.4</v>
      </c>
      <c r="E2377" s="116">
        <v>1845.4</v>
      </c>
      <c r="F2377" s="116">
        <v>1852.3</v>
      </c>
      <c r="G2377">
        <v>198684</v>
      </c>
      <c r="H2377" s="116"/>
      <c r="I2377" s="116"/>
      <c r="L2377" s="170">
        <v>45505</v>
      </c>
      <c r="M2377" s="116">
        <v>1852.6</v>
      </c>
      <c r="N2377" s="116">
        <v>1867.9</v>
      </c>
      <c r="O2377" s="116">
        <v>1845.1</v>
      </c>
      <c r="P2377" s="116">
        <v>1856.1</v>
      </c>
      <c r="Q2377" s="116">
        <v>1852.6</v>
      </c>
      <c r="R2377">
        <v>7475014</v>
      </c>
    </row>
    <row r="2378" spans="1:18" x14ac:dyDescent="0.25">
      <c r="A2378" s="170">
        <v>45506</v>
      </c>
      <c r="B2378" s="116">
        <v>1860</v>
      </c>
      <c r="C2378" s="116">
        <v>1821.4</v>
      </c>
      <c r="D2378" s="116">
        <v>1816.2</v>
      </c>
      <c r="E2378" s="116">
        <v>1843.95</v>
      </c>
      <c r="F2378" s="116">
        <v>1821.4</v>
      </c>
      <c r="G2378">
        <v>577170</v>
      </c>
      <c r="H2378" s="116"/>
      <c r="I2378" s="116"/>
      <c r="L2378" s="170">
        <v>45506</v>
      </c>
      <c r="M2378" s="116">
        <v>1821.2</v>
      </c>
      <c r="N2378" s="116">
        <v>1859.5</v>
      </c>
      <c r="O2378" s="116">
        <v>1816.15</v>
      </c>
      <c r="P2378" s="116">
        <v>1843</v>
      </c>
      <c r="Q2378" s="116">
        <v>1821.2</v>
      </c>
      <c r="R2378">
        <v>7400938</v>
      </c>
    </row>
    <row r="2379" spans="1:18" x14ac:dyDescent="0.25">
      <c r="A2379" s="170">
        <v>45509</v>
      </c>
      <c r="B2379" s="116">
        <v>1797.6</v>
      </c>
      <c r="C2379" s="116">
        <v>1751.4</v>
      </c>
      <c r="D2379" s="116">
        <v>1718.4</v>
      </c>
      <c r="E2379" s="116">
        <v>1761</v>
      </c>
      <c r="F2379" s="116">
        <v>1751.4</v>
      </c>
      <c r="G2379">
        <v>580128</v>
      </c>
      <c r="H2379" s="116"/>
      <c r="I2379" s="116"/>
      <c r="L2379" s="170">
        <v>45509</v>
      </c>
      <c r="M2379" s="116">
        <v>1751.9</v>
      </c>
      <c r="N2379" s="116">
        <v>1797.5</v>
      </c>
      <c r="O2379" s="116">
        <v>1718.55</v>
      </c>
      <c r="P2379" s="116">
        <v>1784.95</v>
      </c>
      <c r="Q2379" s="116">
        <v>1751.9</v>
      </c>
      <c r="R2379">
        <v>10736703</v>
      </c>
    </row>
    <row r="2380" spans="1:18" x14ac:dyDescent="0.25">
      <c r="A2380" s="170">
        <v>45510</v>
      </c>
      <c r="B2380" s="116">
        <v>1796.65</v>
      </c>
      <c r="C2380" s="116">
        <v>1750.65</v>
      </c>
      <c r="D2380" s="116">
        <v>1745</v>
      </c>
      <c r="E2380" s="116">
        <v>1751.45</v>
      </c>
      <c r="F2380" s="116">
        <v>1750.65</v>
      </c>
      <c r="G2380">
        <v>111439</v>
      </c>
      <c r="H2380" s="116"/>
      <c r="I2380" s="116"/>
      <c r="L2380" s="170">
        <v>45510</v>
      </c>
      <c r="M2380" s="116">
        <v>1751.1</v>
      </c>
      <c r="N2380" s="116">
        <v>1796.95</v>
      </c>
      <c r="O2380" s="116">
        <v>1744.85</v>
      </c>
      <c r="P2380" s="116">
        <v>1760.2</v>
      </c>
      <c r="Q2380" s="116">
        <v>1751.1</v>
      </c>
      <c r="R2380">
        <v>7690163</v>
      </c>
    </row>
    <row r="2381" spans="1:18" x14ac:dyDescent="0.25">
      <c r="A2381" s="170">
        <v>45511</v>
      </c>
      <c r="B2381" s="116">
        <v>1797</v>
      </c>
      <c r="C2381" s="116">
        <v>1792</v>
      </c>
      <c r="D2381" s="116">
        <v>1762.05</v>
      </c>
      <c r="E2381" s="116">
        <v>1789.95</v>
      </c>
      <c r="F2381" s="116">
        <v>1792</v>
      </c>
      <c r="G2381">
        <v>54563</v>
      </c>
      <c r="H2381" s="116"/>
      <c r="I2381" s="116"/>
      <c r="L2381" s="170">
        <v>45511</v>
      </c>
      <c r="M2381" s="116">
        <v>1791.65</v>
      </c>
      <c r="N2381" s="116">
        <v>1797.9</v>
      </c>
      <c r="O2381" s="116">
        <v>1762.1</v>
      </c>
      <c r="P2381" s="116">
        <v>1796</v>
      </c>
      <c r="Q2381" s="116">
        <v>1791.65</v>
      </c>
      <c r="R2381">
        <v>5094329</v>
      </c>
    </row>
    <row r="2382" spans="1:18" x14ac:dyDescent="0.25">
      <c r="A2382" s="170">
        <v>45512</v>
      </c>
      <c r="B2382" s="116">
        <v>1784.35</v>
      </c>
      <c r="C2382" s="116">
        <v>1741.1</v>
      </c>
      <c r="D2382" s="116">
        <v>1727.45</v>
      </c>
      <c r="E2382" s="116">
        <v>1784.35</v>
      </c>
      <c r="F2382" s="116">
        <v>1741.1</v>
      </c>
      <c r="G2382">
        <v>212394</v>
      </c>
      <c r="H2382" s="116"/>
      <c r="I2382" s="116"/>
      <c r="L2382" s="170">
        <v>45512</v>
      </c>
      <c r="M2382" s="116">
        <v>1743.15</v>
      </c>
      <c r="N2382" s="116">
        <v>1779.95</v>
      </c>
      <c r="O2382" s="116">
        <v>1727.1</v>
      </c>
      <c r="P2382" s="116">
        <v>1779.95</v>
      </c>
      <c r="Q2382" s="116">
        <v>1743.15</v>
      </c>
      <c r="R2382">
        <v>6227910</v>
      </c>
    </row>
    <row r="2383" spans="1:18" x14ac:dyDescent="0.25">
      <c r="A2383" s="170">
        <v>45513</v>
      </c>
      <c r="B2383" s="116">
        <v>1779.9</v>
      </c>
      <c r="C2383" s="116">
        <v>1770.85</v>
      </c>
      <c r="D2383" s="116">
        <v>1756.55</v>
      </c>
      <c r="E2383" s="116">
        <v>1774.65</v>
      </c>
      <c r="F2383" s="116">
        <v>1770.85</v>
      </c>
      <c r="G2383">
        <v>273636</v>
      </c>
      <c r="H2383" s="116"/>
      <c r="I2383" s="116"/>
      <c r="L2383" s="170">
        <v>45513</v>
      </c>
      <c r="M2383" s="116">
        <v>1770.75</v>
      </c>
      <c r="N2383" s="116">
        <v>1780.75</v>
      </c>
      <c r="O2383" s="116">
        <v>1756</v>
      </c>
      <c r="P2383" s="116">
        <v>1771.25</v>
      </c>
      <c r="Q2383" s="116">
        <v>1770.75</v>
      </c>
      <c r="R2383">
        <v>4258524</v>
      </c>
    </row>
    <row r="2384" spans="1:18" x14ac:dyDescent="0.25">
      <c r="A2384" s="170">
        <v>45516</v>
      </c>
      <c r="B2384" s="116">
        <v>1803</v>
      </c>
      <c r="C2384" s="116">
        <v>1797.55</v>
      </c>
      <c r="D2384" s="116">
        <v>1765.05</v>
      </c>
      <c r="E2384" s="116">
        <v>1765.05</v>
      </c>
      <c r="F2384" s="116">
        <v>1797.55</v>
      </c>
      <c r="G2384">
        <v>140719</v>
      </c>
      <c r="H2384" s="116"/>
      <c r="I2384" s="116"/>
      <c r="L2384" s="170">
        <v>45516</v>
      </c>
      <c r="M2384" s="116">
        <v>1797.4</v>
      </c>
      <c r="N2384" s="116">
        <v>1803.5</v>
      </c>
      <c r="O2384" s="116">
        <v>1768.1</v>
      </c>
      <c r="P2384" s="116">
        <v>1773.05</v>
      </c>
      <c r="Q2384" s="116">
        <v>1797.4</v>
      </c>
      <c r="R2384">
        <v>4315329</v>
      </c>
    </row>
    <row r="2385" spans="1:18" x14ac:dyDescent="0.25">
      <c r="A2385" s="170">
        <v>45517</v>
      </c>
      <c r="B2385" s="116">
        <v>1807.4</v>
      </c>
      <c r="C2385" s="116">
        <v>1796.8</v>
      </c>
      <c r="D2385" s="116">
        <v>1789.55</v>
      </c>
      <c r="E2385" s="116">
        <v>1806.35</v>
      </c>
      <c r="F2385" s="116">
        <v>1796.8</v>
      </c>
      <c r="G2385">
        <v>149499</v>
      </c>
      <c r="H2385" s="116"/>
      <c r="I2385" s="116"/>
      <c r="L2385" s="170">
        <v>45517</v>
      </c>
      <c r="M2385" s="116">
        <v>1797.45</v>
      </c>
      <c r="N2385" s="116">
        <v>1810</v>
      </c>
      <c r="O2385" s="116">
        <v>1789.05</v>
      </c>
      <c r="P2385" s="116">
        <v>1810</v>
      </c>
      <c r="Q2385" s="116">
        <v>1797.45</v>
      </c>
      <c r="R2385">
        <v>4176918</v>
      </c>
    </row>
    <row r="2386" spans="1:18" x14ac:dyDescent="0.25">
      <c r="A2386" s="170">
        <v>45518</v>
      </c>
      <c r="B2386" s="116">
        <v>1825</v>
      </c>
      <c r="C2386" s="116">
        <v>1822.65</v>
      </c>
      <c r="D2386" s="116">
        <v>1797.35</v>
      </c>
      <c r="E2386" s="116">
        <v>1797.35</v>
      </c>
      <c r="F2386" s="116">
        <v>1822.65</v>
      </c>
      <c r="G2386">
        <v>506152</v>
      </c>
      <c r="H2386" s="116"/>
      <c r="I2386" s="116"/>
      <c r="L2386" s="170">
        <v>45518</v>
      </c>
      <c r="M2386" s="116">
        <v>1823.25</v>
      </c>
      <c r="N2386" s="116">
        <v>1825</v>
      </c>
      <c r="O2386" s="116">
        <v>1797.45</v>
      </c>
      <c r="P2386" s="116">
        <v>1802</v>
      </c>
      <c r="Q2386" s="116">
        <v>1823.25</v>
      </c>
      <c r="R2386">
        <v>7450718</v>
      </c>
    </row>
    <row r="2387" spans="1:18" x14ac:dyDescent="0.25">
      <c r="A2387" s="170">
        <v>45520</v>
      </c>
      <c r="B2387" s="116">
        <v>1861.8</v>
      </c>
      <c r="C2387" s="116">
        <v>1859.35</v>
      </c>
      <c r="D2387" s="116">
        <v>1830.65</v>
      </c>
      <c r="E2387" s="116">
        <v>1847.25</v>
      </c>
      <c r="F2387" s="116">
        <v>1859.35</v>
      </c>
      <c r="G2387">
        <v>321175</v>
      </c>
      <c r="H2387" s="116"/>
      <c r="I2387" s="116"/>
      <c r="L2387" s="170">
        <v>45520</v>
      </c>
      <c r="M2387" s="116">
        <v>1858.95</v>
      </c>
      <c r="N2387" s="116">
        <v>1861.85</v>
      </c>
      <c r="O2387" s="116">
        <v>1829.5</v>
      </c>
      <c r="P2387" s="116">
        <v>1850</v>
      </c>
      <c r="Q2387" s="116">
        <v>1858.95</v>
      </c>
      <c r="R2387">
        <v>7335657</v>
      </c>
    </row>
    <row r="2388" spans="1:18" x14ac:dyDescent="0.25">
      <c r="A2388" s="170">
        <v>45523</v>
      </c>
      <c r="B2388" s="116">
        <v>1866.85</v>
      </c>
      <c r="C2388" s="116">
        <v>1864.1</v>
      </c>
      <c r="D2388" s="116">
        <v>1849.45</v>
      </c>
      <c r="E2388" s="116">
        <v>1859.35</v>
      </c>
      <c r="F2388" s="116">
        <v>1864.1</v>
      </c>
      <c r="G2388">
        <v>105146</v>
      </c>
      <c r="H2388" s="116"/>
      <c r="I2388" s="116"/>
      <c r="L2388" s="170">
        <v>45523</v>
      </c>
      <c r="M2388" s="116">
        <v>1864.8</v>
      </c>
      <c r="N2388" s="116">
        <v>1867.55</v>
      </c>
      <c r="O2388" s="116">
        <v>1849.2</v>
      </c>
      <c r="P2388" s="116">
        <v>1860</v>
      </c>
      <c r="Q2388" s="116">
        <v>1864.8</v>
      </c>
      <c r="R2388">
        <v>2585989</v>
      </c>
    </row>
    <row r="2389" spans="1:18" x14ac:dyDescent="0.25">
      <c r="A2389" s="170">
        <v>45524</v>
      </c>
      <c r="B2389" s="116">
        <v>1885.7</v>
      </c>
      <c r="C2389" s="116">
        <v>1873.5</v>
      </c>
      <c r="D2389" s="116">
        <v>1868.35</v>
      </c>
      <c r="E2389" s="116">
        <v>1880.05</v>
      </c>
      <c r="F2389" s="116">
        <v>1873.5</v>
      </c>
      <c r="G2389">
        <v>70074</v>
      </c>
      <c r="H2389" s="116"/>
      <c r="I2389" s="116"/>
      <c r="L2389" s="170">
        <v>45524</v>
      </c>
      <c r="M2389" s="116">
        <v>1872.2</v>
      </c>
      <c r="N2389" s="116">
        <v>1885.7</v>
      </c>
      <c r="O2389" s="116">
        <v>1868.2</v>
      </c>
      <c r="P2389" s="116">
        <v>1880</v>
      </c>
      <c r="Q2389" s="116">
        <v>1872.2</v>
      </c>
      <c r="R2389">
        <v>3870333</v>
      </c>
    </row>
    <row r="2390" spans="1:18" x14ac:dyDescent="0.25">
      <c r="A2390" s="170">
        <v>45525</v>
      </c>
      <c r="B2390" s="116">
        <v>1879.95</v>
      </c>
      <c r="C2390" s="116">
        <v>1872.25</v>
      </c>
      <c r="D2390" s="116">
        <v>1866.65</v>
      </c>
      <c r="E2390" s="116">
        <v>1874</v>
      </c>
      <c r="F2390" s="116">
        <v>1872.25</v>
      </c>
      <c r="G2390">
        <v>86735</v>
      </c>
      <c r="H2390" s="116"/>
      <c r="I2390" s="116"/>
      <c r="L2390" s="170">
        <v>45525</v>
      </c>
      <c r="M2390" s="116">
        <v>1872.7</v>
      </c>
      <c r="N2390" s="116">
        <v>1879</v>
      </c>
      <c r="O2390" s="116">
        <v>1867.1</v>
      </c>
      <c r="P2390" s="116">
        <v>1875.1</v>
      </c>
      <c r="Q2390" s="116">
        <v>1872.7</v>
      </c>
      <c r="R2390">
        <v>1966902</v>
      </c>
    </row>
    <row r="2391" spans="1:18" x14ac:dyDescent="0.25">
      <c r="A2391" s="170">
        <v>45526</v>
      </c>
      <c r="B2391" s="116">
        <v>1893.3</v>
      </c>
      <c r="C2391" s="116">
        <v>1879.95</v>
      </c>
      <c r="D2391" s="116">
        <v>1869.9</v>
      </c>
      <c r="E2391" s="116">
        <v>1882.35</v>
      </c>
      <c r="F2391" s="116">
        <v>1879.95</v>
      </c>
      <c r="G2391">
        <v>81706</v>
      </c>
      <c r="H2391" s="116"/>
      <c r="I2391" s="116"/>
      <c r="L2391" s="170">
        <v>45526</v>
      </c>
      <c r="M2391" s="116">
        <v>1880.25</v>
      </c>
      <c r="N2391" s="116">
        <v>1893.65</v>
      </c>
      <c r="O2391" s="116">
        <v>1869.7</v>
      </c>
      <c r="P2391" s="116">
        <v>1884</v>
      </c>
      <c r="Q2391" s="116">
        <v>1880.25</v>
      </c>
      <c r="R2391">
        <v>4300287</v>
      </c>
    </row>
    <row r="2392" spans="1:18" x14ac:dyDescent="0.25">
      <c r="A2392" s="170">
        <v>45527</v>
      </c>
      <c r="B2392" s="116">
        <v>1880.25</v>
      </c>
      <c r="C2392" s="116">
        <v>1862.35</v>
      </c>
      <c r="D2392" s="116">
        <v>1856.55</v>
      </c>
      <c r="E2392" s="116">
        <v>1878.95</v>
      </c>
      <c r="F2392" s="116">
        <v>1862.35</v>
      </c>
      <c r="G2392">
        <v>322603</v>
      </c>
      <c r="H2392" s="116"/>
      <c r="I2392" s="116"/>
      <c r="L2392" s="170">
        <v>45527</v>
      </c>
      <c r="M2392" s="116">
        <v>1862.1</v>
      </c>
      <c r="N2392" s="116">
        <v>1882.6</v>
      </c>
      <c r="O2392" s="116">
        <v>1857</v>
      </c>
      <c r="P2392" s="116">
        <v>1878.2</v>
      </c>
      <c r="Q2392" s="116">
        <v>1862.1</v>
      </c>
      <c r="R2392">
        <v>5015935</v>
      </c>
    </row>
    <row r="2393" spans="1:18" x14ac:dyDescent="0.25">
      <c r="A2393" s="170">
        <v>45530</v>
      </c>
      <c r="B2393" s="116">
        <v>1888.35</v>
      </c>
      <c r="C2393" s="116">
        <v>1875.95</v>
      </c>
      <c r="D2393" s="116">
        <v>1866.75</v>
      </c>
      <c r="E2393" s="116">
        <v>1870</v>
      </c>
      <c r="F2393" s="116">
        <v>1875.95</v>
      </c>
      <c r="G2393">
        <v>120624</v>
      </c>
      <c r="H2393" s="116"/>
      <c r="I2393" s="116"/>
      <c r="L2393" s="170">
        <v>45530</v>
      </c>
      <c r="M2393" s="116">
        <v>1876.15</v>
      </c>
      <c r="N2393" s="116">
        <v>1888.75</v>
      </c>
      <c r="O2393" s="116">
        <v>1864</v>
      </c>
      <c r="P2393" s="116">
        <v>1870</v>
      </c>
      <c r="Q2393" s="116">
        <v>1876.15</v>
      </c>
      <c r="R2393">
        <v>3728589</v>
      </c>
    </row>
    <row r="2394" spans="1:18" x14ac:dyDescent="0.25">
      <c r="A2394" s="170">
        <v>45531</v>
      </c>
      <c r="B2394" s="116">
        <v>1902</v>
      </c>
      <c r="C2394" s="116">
        <v>1900.15</v>
      </c>
      <c r="D2394" s="116">
        <v>1874</v>
      </c>
      <c r="E2394" s="116">
        <v>1881.7</v>
      </c>
      <c r="F2394" s="116">
        <v>1900.15</v>
      </c>
      <c r="G2394">
        <v>130940</v>
      </c>
      <c r="H2394" s="116"/>
      <c r="I2394" s="116"/>
      <c r="L2394" s="170">
        <v>45531</v>
      </c>
      <c r="M2394" s="116">
        <v>1900.1</v>
      </c>
      <c r="N2394" s="116">
        <v>1902.75</v>
      </c>
      <c r="O2394" s="116">
        <v>1873.9</v>
      </c>
      <c r="P2394" s="116">
        <v>1876.15</v>
      </c>
      <c r="Q2394" s="116">
        <v>1900.1</v>
      </c>
      <c r="R2394">
        <v>3830679</v>
      </c>
    </row>
    <row r="2395" spans="1:18" x14ac:dyDescent="0.25">
      <c r="A2395" s="170">
        <v>45532</v>
      </c>
      <c r="B2395" s="116">
        <v>1950.2</v>
      </c>
      <c r="C2395" s="116">
        <v>1939.2</v>
      </c>
      <c r="D2395" s="116">
        <v>1896.9</v>
      </c>
      <c r="E2395" s="116">
        <v>1904.5</v>
      </c>
      <c r="F2395" s="116">
        <v>1939.2</v>
      </c>
      <c r="G2395">
        <v>336061</v>
      </c>
      <c r="H2395" s="116"/>
      <c r="I2395" s="116"/>
      <c r="L2395" s="170">
        <v>45532</v>
      </c>
      <c r="M2395" s="116">
        <v>1939.1</v>
      </c>
      <c r="N2395" s="116">
        <v>1951</v>
      </c>
      <c r="O2395" s="116">
        <v>1897.4</v>
      </c>
      <c r="P2395" s="116">
        <v>1906.9</v>
      </c>
      <c r="Q2395" s="116">
        <v>1939.1</v>
      </c>
      <c r="R2395">
        <v>6514531</v>
      </c>
    </row>
    <row r="2396" spans="1:18" x14ac:dyDescent="0.25">
      <c r="A2396" s="170">
        <v>45533</v>
      </c>
      <c r="B2396" s="116">
        <v>1950</v>
      </c>
      <c r="C2396" s="116">
        <v>1932.4</v>
      </c>
      <c r="D2396" s="116">
        <v>1920.6</v>
      </c>
      <c r="E2396" s="116">
        <v>1935</v>
      </c>
      <c r="F2396" s="116">
        <v>1932.4</v>
      </c>
      <c r="G2396">
        <v>171353</v>
      </c>
      <c r="H2396" s="116"/>
      <c r="I2396" s="116"/>
      <c r="L2396" s="170">
        <v>45533</v>
      </c>
      <c r="M2396" s="116">
        <v>1933.35</v>
      </c>
      <c r="N2396" s="116">
        <v>1950.5</v>
      </c>
      <c r="O2396" s="116">
        <v>1920.9</v>
      </c>
      <c r="P2396" s="116">
        <v>1933</v>
      </c>
      <c r="Q2396" s="116">
        <v>1933.35</v>
      </c>
      <c r="R2396">
        <v>7228284</v>
      </c>
    </row>
    <row r="2397" spans="1:18" x14ac:dyDescent="0.25">
      <c r="A2397" s="170">
        <v>45534</v>
      </c>
      <c r="B2397" s="116">
        <v>1950</v>
      </c>
      <c r="C2397" s="116">
        <v>1943.3</v>
      </c>
      <c r="D2397" s="116">
        <v>1928.15</v>
      </c>
      <c r="E2397" s="116">
        <v>1943.9</v>
      </c>
      <c r="F2397" s="116">
        <v>1943.3</v>
      </c>
      <c r="G2397">
        <v>219394</v>
      </c>
      <c r="H2397" s="116"/>
      <c r="I2397" s="116"/>
      <c r="L2397" s="170">
        <v>45534</v>
      </c>
      <c r="M2397" s="116">
        <v>1943.7</v>
      </c>
      <c r="N2397" s="116">
        <v>1950</v>
      </c>
      <c r="O2397" s="116">
        <v>1928</v>
      </c>
      <c r="P2397" s="116">
        <v>1938</v>
      </c>
      <c r="Q2397" s="116">
        <v>1943.7</v>
      </c>
      <c r="R2397">
        <v>13466759</v>
      </c>
    </row>
    <row r="2398" spans="1:18" x14ac:dyDescent="0.25">
      <c r="A2398" s="170">
        <v>45537</v>
      </c>
      <c r="B2398" s="116">
        <v>1975.05</v>
      </c>
      <c r="C2398" s="116">
        <v>1964.1</v>
      </c>
      <c r="D2398" s="116">
        <v>1942.95</v>
      </c>
      <c r="E2398" s="116">
        <v>1943</v>
      </c>
      <c r="F2398" s="116">
        <v>1964.1</v>
      </c>
      <c r="G2398">
        <v>151346</v>
      </c>
      <c r="H2398" s="116"/>
      <c r="I2398" s="116"/>
      <c r="L2398" s="170">
        <v>45537</v>
      </c>
      <c r="M2398" s="116">
        <v>1964.5</v>
      </c>
      <c r="N2398" s="116">
        <v>1975.75</v>
      </c>
      <c r="O2398" s="116">
        <v>1942.8</v>
      </c>
      <c r="P2398" s="116">
        <v>1943.35</v>
      </c>
      <c r="Q2398" s="116">
        <v>1964.5</v>
      </c>
      <c r="R2398">
        <v>5573739</v>
      </c>
    </row>
    <row r="2399" spans="1:18" x14ac:dyDescent="0.25">
      <c r="A2399" s="170">
        <v>45538</v>
      </c>
      <c r="B2399" s="116">
        <v>1965</v>
      </c>
      <c r="C2399" s="116">
        <v>1940.2</v>
      </c>
      <c r="D2399" s="116">
        <v>1936</v>
      </c>
      <c r="E2399" s="116">
        <v>1964.9</v>
      </c>
      <c r="F2399" s="116">
        <v>1940.2</v>
      </c>
      <c r="G2399">
        <v>103637</v>
      </c>
      <c r="H2399" s="116"/>
      <c r="I2399" s="116"/>
      <c r="L2399" s="170">
        <v>45538</v>
      </c>
      <c r="M2399" s="116">
        <v>1941.25</v>
      </c>
      <c r="N2399" s="116">
        <v>1967</v>
      </c>
      <c r="O2399" s="116">
        <v>1936.45</v>
      </c>
      <c r="P2399" s="116">
        <v>1967</v>
      </c>
      <c r="Q2399" s="116">
        <v>1941.25</v>
      </c>
      <c r="R2399">
        <v>4694322</v>
      </c>
    </row>
    <row r="2400" spans="1:18" x14ac:dyDescent="0.25">
      <c r="A2400" s="170">
        <v>45539</v>
      </c>
      <c r="B2400" s="116">
        <v>1928.2</v>
      </c>
      <c r="C2400" s="116">
        <v>1922.05</v>
      </c>
      <c r="D2400" s="116">
        <v>1900.75</v>
      </c>
      <c r="E2400" s="116">
        <v>1907.6</v>
      </c>
      <c r="F2400" s="116">
        <v>1922.05</v>
      </c>
      <c r="G2400">
        <v>105955</v>
      </c>
      <c r="H2400" s="116"/>
      <c r="I2400" s="116"/>
      <c r="L2400" s="170">
        <v>45539</v>
      </c>
      <c r="M2400" s="116">
        <v>1922.45</v>
      </c>
      <c r="N2400" s="116">
        <v>1927.2</v>
      </c>
      <c r="O2400" s="116">
        <v>1900.05</v>
      </c>
      <c r="P2400" s="116">
        <v>1921.1</v>
      </c>
      <c r="Q2400" s="116">
        <v>1922.45</v>
      </c>
      <c r="R2400">
        <v>4778310</v>
      </c>
    </row>
    <row r="2401" spans="1:18" x14ac:dyDescent="0.25">
      <c r="A2401" s="170">
        <v>45540</v>
      </c>
      <c r="B2401" s="116">
        <v>1938.9</v>
      </c>
      <c r="C2401" s="116">
        <v>1933</v>
      </c>
      <c r="D2401" s="116">
        <v>1910.05</v>
      </c>
      <c r="E2401" s="116">
        <v>1923.15</v>
      </c>
      <c r="F2401" s="116">
        <v>1933</v>
      </c>
      <c r="G2401">
        <v>94075</v>
      </c>
      <c r="H2401" s="116"/>
      <c r="I2401" s="116"/>
      <c r="L2401" s="170">
        <v>45540</v>
      </c>
      <c r="M2401" s="116">
        <v>1933.15</v>
      </c>
      <c r="N2401" s="116">
        <v>1940</v>
      </c>
      <c r="O2401" s="116">
        <v>1909.6</v>
      </c>
      <c r="P2401" s="116">
        <v>1926.25</v>
      </c>
      <c r="Q2401" s="116">
        <v>1933.15</v>
      </c>
      <c r="R2401">
        <v>4081810</v>
      </c>
    </row>
    <row r="2402" spans="1:18" x14ac:dyDescent="0.25">
      <c r="A2402" s="170">
        <v>45541</v>
      </c>
      <c r="B2402" s="116">
        <v>1935.9</v>
      </c>
      <c r="C2402" s="116">
        <v>1902.2</v>
      </c>
      <c r="D2402" s="116">
        <v>1896.7</v>
      </c>
      <c r="E2402" s="116">
        <v>1931.15</v>
      </c>
      <c r="F2402" s="116">
        <v>1902.2</v>
      </c>
      <c r="G2402">
        <v>274994</v>
      </c>
      <c r="H2402" s="116"/>
      <c r="I2402" s="116"/>
      <c r="L2402" s="170">
        <v>45541</v>
      </c>
      <c r="M2402" s="116">
        <v>1901.85</v>
      </c>
      <c r="N2402" s="116">
        <v>1936.5</v>
      </c>
      <c r="O2402" s="116">
        <v>1896.85</v>
      </c>
      <c r="P2402" s="116">
        <v>1922</v>
      </c>
      <c r="Q2402" s="116">
        <v>1901.85</v>
      </c>
      <c r="R2402">
        <v>5848106</v>
      </c>
    </row>
    <row r="2403" spans="1:18" x14ac:dyDescent="0.25">
      <c r="A2403" s="170">
        <v>45544</v>
      </c>
      <c r="B2403" s="116">
        <v>1920.5</v>
      </c>
      <c r="C2403" s="116">
        <v>1894.7</v>
      </c>
      <c r="D2403" s="116">
        <v>1885.05</v>
      </c>
      <c r="E2403" s="116">
        <v>1885.05</v>
      </c>
      <c r="F2403" s="116">
        <v>1894.7</v>
      </c>
      <c r="G2403">
        <v>221300</v>
      </c>
      <c r="H2403" s="116"/>
      <c r="I2403" s="116"/>
      <c r="L2403" s="170">
        <v>45544</v>
      </c>
      <c r="M2403" s="116">
        <v>1894.65</v>
      </c>
      <c r="N2403" s="116">
        <v>1920.85</v>
      </c>
      <c r="O2403" s="116">
        <v>1889</v>
      </c>
      <c r="P2403" s="116">
        <v>1890</v>
      </c>
      <c r="Q2403" s="116">
        <v>1894.65</v>
      </c>
      <c r="R2403">
        <v>4772612</v>
      </c>
    </row>
    <row r="2404" spans="1:18" x14ac:dyDescent="0.25">
      <c r="A2404" s="170">
        <v>45545</v>
      </c>
      <c r="B2404" s="116">
        <v>1935</v>
      </c>
      <c r="C2404" s="116">
        <v>1912.9</v>
      </c>
      <c r="D2404" s="116">
        <v>1896.6</v>
      </c>
      <c r="E2404" s="116">
        <v>1905</v>
      </c>
      <c r="F2404" s="116">
        <v>1912.9</v>
      </c>
      <c r="G2404">
        <v>162880</v>
      </c>
      <c r="H2404" s="116"/>
      <c r="I2404" s="116"/>
      <c r="L2404" s="170">
        <v>45545</v>
      </c>
      <c r="M2404" s="116">
        <v>1912.3</v>
      </c>
      <c r="N2404" s="116">
        <v>1935</v>
      </c>
      <c r="O2404" s="116">
        <v>1896</v>
      </c>
      <c r="P2404" s="116">
        <v>1904.9</v>
      </c>
      <c r="Q2404" s="116">
        <v>1912.3</v>
      </c>
      <c r="R2404">
        <v>6909600</v>
      </c>
    </row>
    <row r="2405" spans="1:18" x14ac:dyDescent="0.25">
      <c r="A2405" s="170">
        <v>45546</v>
      </c>
      <c r="B2405" s="116">
        <v>1926</v>
      </c>
      <c r="C2405" s="116">
        <v>1910.8</v>
      </c>
      <c r="D2405" s="116">
        <v>1904.85</v>
      </c>
      <c r="E2405" s="116">
        <v>1913</v>
      </c>
      <c r="F2405" s="116">
        <v>1910.8</v>
      </c>
      <c r="G2405">
        <v>165928</v>
      </c>
      <c r="H2405" s="116"/>
      <c r="I2405" s="116"/>
      <c r="L2405" s="170">
        <v>45546</v>
      </c>
      <c r="M2405" s="116">
        <v>1910.15</v>
      </c>
      <c r="N2405" s="116">
        <v>1926</v>
      </c>
      <c r="O2405" s="116">
        <v>1905</v>
      </c>
      <c r="P2405" s="116">
        <v>1914.7</v>
      </c>
      <c r="Q2405" s="116">
        <v>1910.15</v>
      </c>
      <c r="R2405">
        <v>5312946</v>
      </c>
    </row>
    <row r="2406" spans="1:18" x14ac:dyDescent="0.25">
      <c r="A2406" s="170">
        <v>45547</v>
      </c>
      <c r="B2406" s="116">
        <v>1956</v>
      </c>
      <c r="C2406" s="116">
        <v>1950.35</v>
      </c>
      <c r="D2406" s="116">
        <v>1910.8</v>
      </c>
      <c r="E2406" s="116">
        <v>1921.25</v>
      </c>
      <c r="F2406" s="116">
        <v>1950.35</v>
      </c>
      <c r="G2406">
        <v>211482</v>
      </c>
      <c r="H2406" s="116"/>
      <c r="I2406" s="116"/>
      <c r="L2406" s="170">
        <v>45547</v>
      </c>
      <c r="M2406" s="116">
        <v>1950.45</v>
      </c>
      <c r="N2406" s="116">
        <v>1956.4</v>
      </c>
      <c r="O2406" s="116">
        <v>1910.8</v>
      </c>
      <c r="P2406" s="116">
        <v>1925</v>
      </c>
      <c r="Q2406" s="116">
        <v>1950.45</v>
      </c>
      <c r="R2406">
        <v>8555092</v>
      </c>
    </row>
    <row r="2407" spans="1:18" x14ac:dyDescent="0.25">
      <c r="A2407" s="170">
        <v>45548</v>
      </c>
      <c r="B2407" s="116">
        <v>1958.7</v>
      </c>
      <c r="C2407" s="116">
        <v>1944.3</v>
      </c>
      <c r="D2407" s="116">
        <v>1935.45</v>
      </c>
      <c r="E2407" s="116">
        <v>1950.35</v>
      </c>
      <c r="F2407" s="116">
        <v>1944.3</v>
      </c>
      <c r="G2407">
        <v>300090</v>
      </c>
      <c r="H2407" s="116"/>
      <c r="I2407" s="116"/>
      <c r="L2407" s="170">
        <v>45548</v>
      </c>
      <c r="M2407" s="116">
        <v>1944.1</v>
      </c>
      <c r="N2407" s="116">
        <v>1958.6</v>
      </c>
      <c r="O2407" s="116">
        <v>1935.65</v>
      </c>
      <c r="P2407" s="116">
        <v>1950.45</v>
      </c>
      <c r="Q2407" s="116">
        <v>1944.1</v>
      </c>
      <c r="R2407">
        <v>3843127</v>
      </c>
    </row>
    <row r="2408" spans="1:18" x14ac:dyDescent="0.25">
      <c r="A2408" s="170">
        <v>45551</v>
      </c>
      <c r="B2408" s="116">
        <v>1952</v>
      </c>
      <c r="C2408" s="116">
        <v>1949.75</v>
      </c>
      <c r="D2408" s="116">
        <v>1932.45</v>
      </c>
      <c r="E2408" s="116">
        <v>1940.25</v>
      </c>
      <c r="F2408" s="116">
        <v>1949.75</v>
      </c>
      <c r="G2408">
        <v>123161</v>
      </c>
      <c r="H2408" s="116"/>
      <c r="I2408" s="116"/>
      <c r="L2408" s="170">
        <v>45551</v>
      </c>
      <c r="M2408" s="116">
        <v>1950.25</v>
      </c>
      <c r="N2408" s="116">
        <v>1952</v>
      </c>
      <c r="O2408" s="116">
        <v>1933.05</v>
      </c>
      <c r="P2408" s="116">
        <v>1945.75</v>
      </c>
      <c r="Q2408" s="116">
        <v>1950.25</v>
      </c>
      <c r="R2408">
        <v>1570181</v>
      </c>
    </row>
    <row r="2409" spans="1:18" x14ac:dyDescent="0.25">
      <c r="A2409" s="170">
        <v>45552</v>
      </c>
      <c r="B2409" s="116">
        <v>1958.2</v>
      </c>
      <c r="C2409" s="116">
        <v>1952.65</v>
      </c>
      <c r="D2409" s="116">
        <v>1942.45</v>
      </c>
      <c r="E2409" s="116">
        <v>1949.75</v>
      </c>
      <c r="F2409" s="116">
        <v>1952.65</v>
      </c>
      <c r="G2409">
        <v>70650</v>
      </c>
      <c r="H2409" s="116"/>
      <c r="I2409" s="116"/>
      <c r="L2409" s="170">
        <v>45552</v>
      </c>
      <c r="M2409" s="116">
        <v>1952.55</v>
      </c>
      <c r="N2409" s="116">
        <v>1958.45</v>
      </c>
      <c r="O2409" s="116">
        <v>1942.15</v>
      </c>
      <c r="P2409" s="116">
        <v>1947.75</v>
      </c>
      <c r="Q2409" s="116">
        <v>1952.55</v>
      </c>
      <c r="R2409">
        <v>2793127</v>
      </c>
    </row>
    <row r="2410" spans="1:18" x14ac:dyDescent="0.25">
      <c r="A2410" s="170">
        <v>45553</v>
      </c>
      <c r="B2410" s="116">
        <v>1940</v>
      </c>
      <c r="C2410" s="116">
        <v>1892.35</v>
      </c>
      <c r="D2410" s="116">
        <v>1882</v>
      </c>
      <c r="E2410" s="116">
        <v>1940</v>
      </c>
      <c r="F2410" s="116">
        <v>1892.35</v>
      </c>
      <c r="G2410">
        <v>269091</v>
      </c>
      <c r="H2410" s="116"/>
      <c r="I2410" s="116"/>
      <c r="L2410" s="170">
        <v>45553</v>
      </c>
      <c r="M2410" s="116">
        <v>1892.15</v>
      </c>
      <c r="N2410" s="116">
        <v>1938.75</v>
      </c>
      <c r="O2410" s="116">
        <v>1881.3</v>
      </c>
      <c r="P2410" s="116">
        <v>1938.75</v>
      </c>
      <c r="Q2410" s="116">
        <v>1892.15</v>
      </c>
      <c r="R2410">
        <v>6385468</v>
      </c>
    </row>
    <row r="2411" spans="1:18" x14ac:dyDescent="0.25">
      <c r="A2411" s="170">
        <v>45554</v>
      </c>
      <c r="B2411" s="116">
        <v>1924.2</v>
      </c>
      <c r="C2411" s="116">
        <v>1894.15</v>
      </c>
      <c r="D2411" s="116">
        <v>1878.25</v>
      </c>
      <c r="E2411" s="116">
        <v>1918.5</v>
      </c>
      <c r="F2411" s="116">
        <v>1894.15</v>
      </c>
      <c r="G2411">
        <v>260296</v>
      </c>
      <c r="H2411" s="116"/>
      <c r="I2411" s="116"/>
      <c r="L2411" s="170">
        <v>45554</v>
      </c>
      <c r="M2411" s="116">
        <v>1894.2</v>
      </c>
      <c r="N2411" s="116">
        <v>1924.9</v>
      </c>
      <c r="O2411" s="116">
        <v>1878.8</v>
      </c>
      <c r="P2411" s="116">
        <v>1910.6</v>
      </c>
      <c r="Q2411" s="116">
        <v>1894.2</v>
      </c>
      <c r="R2411">
        <v>7976570</v>
      </c>
    </row>
    <row r="2412" spans="1:18" x14ac:dyDescent="0.25">
      <c r="A2412" s="170">
        <v>45555</v>
      </c>
      <c r="B2412" s="116">
        <v>1915</v>
      </c>
      <c r="C2412" s="116">
        <v>1906.1</v>
      </c>
      <c r="D2412" s="116">
        <v>1866.95</v>
      </c>
      <c r="E2412" s="116">
        <v>1911.25</v>
      </c>
      <c r="F2412" s="116">
        <v>1906.1</v>
      </c>
      <c r="G2412">
        <v>898237</v>
      </c>
      <c r="H2412" s="116"/>
      <c r="I2412" s="116"/>
      <c r="L2412" s="170">
        <v>45555</v>
      </c>
      <c r="M2412" s="116">
        <v>1905.75</v>
      </c>
      <c r="N2412" s="116">
        <v>1915</v>
      </c>
      <c r="O2412" s="116">
        <v>1867.4</v>
      </c>
      <c r="P2412" s="116">
        <v>1905</v>
      </c>
      <c r="Q2412" s="116">
        <v>1905.75</v>
      </c>
      <c r="R2412">
        <v>15242974</v>
      </c>
    </row>
    <row r="2413" spans="1:18" x14ac:dyDescent="0.25">
      <c r="A2413" s="170">
        <v>45558</v>
      </c>
      <c r="B2413" s="116">
        <v>1918</v>
      </c>
      <c r="C2413" s="116">
        <v>1897</v>
      </c>
      <c r="D2413" s="116">
        <v>1879</v>
      </c>
      <c r="E2413" s="116">
        <v>1908.55</v>
      </c>
      <c r="F2413" s="116">
        <v>1897</v>
      </c>
      <c r="G2413">
        <v>173160</v>
      </c>
      <c r="H2413" s="116"/>
      <c r="I2413" s="116"/>
      <c r="L2413" s="170">
        <v>45558</v>
      </c>
      <c r="M2413" s="116">
        <v>1896.45</v>
      </c>
      <c r="N2413" s="116">
        <v>1918.9</v>
      </c>
      <c r="O2413" s="116">
        <v>1878.45</v>
      </c>
      <c r="P2413" s="116">
        <v>1909</v>
      </c>
      <c r="Q2413" s="116">
        <v>1896.45</v>
      </c>
      <c r="R2413">
        <v>3636672</v>
      </c>
    </row>
    <row r="2414" spans="1:18" x14ac:dyDescent="0.25">
      <c r="A2414" s="170">
        <v>45559</v>
      </c>
      <c r="B2414" s="116">
        <v>1910</v>
      </c>
      <c r="C2414" s="116">
        <v>1897.8</v>
      </c>
      <c r="D2414" s="116">
        <v>1871.05</v>
      </c>
      <c r="E2414" s="116">
        <v>1885</v>
      </c>
      <c r="F2414" s="116">
        <v>1897.8</v>
      </c>
      <c r="G2414">
        <v>114447</v>
      </c>
      <c r="H2414" s="116"/>
      <c r="I2414" s="116"/>
      <c r="L2414" s="170">
        <v>45559</v>
      </c>
      <c r="M2414" s="116">
        <v>1898.6</v>
      </c>
      <c r="N2414" s="116">
        <v>1910.9</v>
      </c>
      <c r="O2414" s="116">
        <v>1871.4</v>
      </c>
      <c r="P2414" s="116">
        <v>1888</v>
      </c>
      <c r="Q2414" s="116">
        <v>1898.6</v>
      </c>
      <c r="R2414">
        <v>7277616</v>
      </c>
    </row>
    <row r="2415" spans="1:18" x14ac:dyDescent="0.25">
      <c r="A2415" s="170">
        <v>45560</v>
      </c>
      <c r="B2415" s="116">
        <v>1901</v>
      </c>
      <c r="C2415" s="116">
        <v>1896</v>
      </c>
      <c r="D2415" s="116">
        <v>1877.4</v>
      </c>
      <c r="E2415" s="116">
        <v>1893.45</v>
      </c>
      <c r="F2415" s="116">
        <v>1896</v>
      </c>
      <c r="G2415">
        <v>68854</v>
      </c>
      <c r="H2415" s="116"/>
      <c r="I2415" s="116"/>
      <c r="L2415" s="170">
        <v>45560</v>
      </c>
      <c r="M2415" s="116">
        <v>1895.3</v>
      </c>
      <c r="N2415" s="116">
        <v>1901.6</v>
      </c>
      <c r="O2415" s="116">
        <v>1876.8</v>
      </c>
      <c r="P2415" s="116">
        <v>1886.35</v>
      </c>
      <c r="Q2415" s="116">
        <v>1895.3</v>
      </c>
      <c r="R2415">
        <v>4268341</v>
      </c>
    </row>
    <row r="2416" spans="1:18" x14ac:dyDescent="0.25">
      <c r="A2416" s="170">
        <v>45561</v>
      </c>
      <c r="B2416" s="116">
        <v>1917.35</v>
      </c>
      <c r="C2416" s="116">
        <v>1899.35</v>
      </c>
      <c r="D2416" s="116">
        <v>1890.35</v>
      </c>
      <c r="E2416" s="116">
        <v>1890.35</v>
      </c>
      <c r="F2416" s="116">
        <v>1899.35</v>
      </c>
      <c r="G2416">
        <v>129294</v>
      </c>
      <c r="H2416" s="116"/>
      <c r="I2416" s="116"/>
      <c r="L2416" s="170">
        <v>45561</v>
      </c>
      <c r="M2416" s="116">
        <v>1900.25</v>
      </c>
      <c r="N2416" s="116">
        <v>1917.95</v>
      </c>
      <c r="O2416" s="116">
        <v>1893</v>
      </c>
      <c r="P2416" s="116">
        <v>1897.8</v>
      </c>
      <c r="Q2416" s="116">
        <v>1900.25</v>
      </c>
      <c r="R2416">
        <v>8952803</v>
      </c>
    </row>
    <row r="2417" spans="1:18" x14ac:dyDescent="0.25">
      <c r="A2417" s="170">
        <v>45562</v>
      </c>
      <c r="B2417" s="116">
        <v>1974.65</v>
      </c>
      <c r="C2417" s="116">
        <v>1907.2</v>
      </c>
      <c r="D2417" s="116">
        <v>1903.3</v>
      </c>
      <c r="E2417" s="116">
        <v>1930</v>
      </c>
      <c r="F2417" s="116">
        <v>1907.2</v>
      </c>
      <c r="G2417">
        <v>262993</v>
      </c>
      <c r="H2417" s="116"/>
      <c r="I2417" s="116"/>
      <c r="L2417" s="170">
        <v>45562</v>
      </c>
      <c r="M2417" s="116">
        <v>1906.75</v>
      </c>
      <c r="N2417" s="116">
        <v>1974.6</v>
      </c>
      <c r="O2417" s="116">
        <v>1903.3</v>
      </c>
      <c r="P2417" s="116">
        <v>1932.1</v>
      </c>
      <c r="Q2417" s="116">
        <v>1906.75</v>
      </c>
      <c r="R2417">
        <v>14908931</v>
      </c>
    </row>
    <row r="2418" spans="1:18" x14ac:dyDescent="0.25">
      <c r="A2418" s="170">
        <v>45565</v>
      </c>
      <c r="B2418" s="116">
        <v>1900</v>
      </c>
      <c r="C2418" s="116">
        <v>1876</v>
      </c>
      <c r="D2418" s="116">
        <v>1870</v>
      </c>
      <c r="E2418" s="116">
        <v>1884.95</v>
      </c>
      <c r="F2418" s="116">
        <v>1876</v>
      </c>
      <c r="G2418">
        <v>110696</v>
      </c>
      <c r="H2418" s="116"/>
      <c r="I2418" s="116"/>
      <c r="L2418" s="170">
        <v>45565</v>
      </c>
      <c r="M2418" s="116">
        <v>1875.6</v>
      </c>
      <c r="N2418" s="116">
        <v>1901.25</v>
      </c>
      <c r="O2418" s="116">
        <v>1870.5</v>
      </c>
      <c r="P2418" s="116">
        <v>1880</v>
      </c>
      <c r="Q2418" s="116">
        <v>1875.6</v>
      </c>
      <c r="R2418">
        <v>6986955</v>
      </c>
    </row>
    <row r="2419" spans="1:18" x14ac:dyDescent="0.25">
      <c r="A2419" s="170">
        <v>45566</v>
      </c>
      <c r="B2419" s="116">
        <v>1909</v>
      </c>
      <c r="C2419" s="116">
        <v>1904.15</v>
      </c>
      <c r="D2419" s="116">
        <v>1875</v>
      </c>
      <c r="E2419" s="116">
        <v>1876</v>
      </c>
      <c r="F2419" s="116">
        <v>1904.15</v>
      </c>
      <c r="G2419">
        <v>283922</v>
      </c>
      <c r="H2419" s="116"/>
      <c r="I2419" s="116"/>
      <c r="L2419" s="170">
        <v>45566</v>
      </c>
      <c r="M2419" s="116">
        <v>1904.35</v>
      </c>
      <c r="N2419" s="116">
        <v>1908.95</v>
      </c>
      <c r="O2419" s="116">
        <v>1875</v>
      </c>
      <c r="P2419" s="116">
        <v>1875</v>
      </c>
      <c r="Q2419" s="116">
        <v>1904.35</v>
      </c>
      <c r="R2419">
        <v>4029072</v>
      </c>
    </row>
    <row r="2420" spans="1:18" x14ac:dyDescent="0.25">
      <c r="A2420" s="170">
        <v>45568</v>
      </c>
      <c r="B2420" s="116">
        <v>1911.95</v>
      </c>
      <c r="C2420" s="116">
        <v>1893.1</v>
      </c>
      <c r="D2420" s="116">
        <v>1881.1</v>
      </c>
      <c r="E2420" s="116">
        <v>1886.15</v>
      </c>
      <c r="F2420" s="116">
        <v>1893.1</v>
      </c>
      <c r="G2420">
        <v>185365</v>
      </c>
      <c r="H2420" s="116"/>
      <c r="I2420" s="116"/>
      <c r="L2420" s="170">
        <v>45568</v>
      </c>
      <c r="M2420" s="116">
        <v>1893.4</v>
      </c>
      <c r="N2420" s="116">
        <v>1911.85</v>
      </c>
      <c r="O2420" s="116">
        <v>1881</v>
      </c>
      <c r="P2420" s="116">
        <v>1889.5</v>
      </c>
      <c r="Q2420" s="116">
        <v>1893.4</v>
      </c>
      <c r="R2420">
        <v>7503887</v>
      </c>
    </row>
    <row r="2421" spans="1:18" x14ac:dyDescent="0.25">
      <c r="A2421" s="170">
        <v>45569</v>
      </c>
      <c r="B2421" s="116">
        <v>1954.1</v>
      </c>
      <c r="C2421" s="116">
        <v>1918.35</v>
      </c>
      <c r="D2421" s="116">
        <v>1888.65</v>
      </c>
      <c r="E2421" s="116">
        <v>1888.65</v>
      </c>
      <c r="F2421" s="116">
        <v>1918.35</v>
      </c>
      <c r="G2421">
        <v>537361</v>
      </c>
      <c r="H2421" s="116"/>
      <c r="I2421" s="116"/>
      <c r="L2421" s="170">
        <v>45569</v>
      </c>
      <c r="M2421" s="116">
        <v>1918.15</v>
      </c>
      <c r="N2421" s="116">
        <v>1954.1</v>
      </c>
      <c r="O2421" s="116">
        <v>1886</v>
      </c>
      <c r="P2421" s="116">
        <v>1889.55</v>
      </c>
      <c r="Q2421" s="116">
        <v>1918.15</v>
      </c>
      <c r="R2421">
        <v>10001483</v>
      </c>
    </row>
    <row r="2422" spans="1:18" x14ac:dyDescent="0.25">
      <c r="A2422" s="170">
        <v>45572</v>
      </c>
      <c r="B2422" s="116">
        <v>1942.25</v>
      </c>
      <c r="C2422" s="116">
        <v>1933.75</v>
      </c>
      <c r="D2422" s="116">
        <v>1915.6</v>
      </c>
      <c r="E2422" s="116">
        <v>1922.05</v>
      </c>
      <c r="F2422" s="116">
        <v>1933.75</v>
      </c>
      <c r="G2422">
        <v>367272</v>
      </c>
      <c r="H2422" s="116"/>
      <c r="I2422" s="116"/>
      <c r="L2422" s="170">
        <v>45572</v>
      </c>
      <c r="M2422" s="116">
        <v>1934.3</v>
      </c>
      <c r="N2422" s="116">
        <v>1942</v>
      </c>
      <c r="O2422" s="116">
        <v>1916.05</v>
      </c>
      <c r="P2422" s="116">
        <v>1923.2</v>
      </c>
      <c r="Q2422" s="116">
        <v>1934.3</v>
      </c>
      <c r="R2422">
        <v>6112575</v>
      </c>
    </row>
    <row r="2423" spans="1:18" x14ac:dyDescent="0.25">
      <c r="A2423" s="170">
        <v>45573</v>
      </c>
      <c r="B2423" s="116">
        <v>1957.75</v>
      </c>
      <c r="C2423" s="116">
        <v>1948.5</v>
      </c>
      <c r="D2423" s="116">
        <v>1906.9</v>
      </c>
      <c r="E2423" s="116">
        <v>1934.75</v>
      </c>
      <c r="F2423" s="116">
        <v>1948.5</v>
      </c>
      <c r="G2423">
        <v>303314</v>
      </c>
      <c r="H2423" s="116"/>
      <c r="I2423" s="116"/>
      <c r="L2423" s="170">
        <v>45573</v>
      </c>
      <c r="M2423" s="116">
        <v>1948.55</v>
      </c>
      <c r="N2423" s="116">
        <v>1957.95</v>
      </c>
      <c r="O2423" s="116">
        <v>1906.35</v>
      </c>
      <c r="P2423" s="116">
        <v>1937.9</v>
      </c>
      <c r="Q2423" s="116">
        <v>1948.55</v>
      </c>
      <c r="R2423">
        <v>5637391</v>
      </c>
    </row>
    <row r="2424" spans="1:18" x14ac:dyDescent="0.25">
      <c r="A2424" s="170">
        <v>45574</v>
      </c>
      <c r="B2424" s="116">
        <v>1976.9</v>
      </c>
      <c r="C2424" s="116">
        <v>1953.9</v>
      </c>
      <c r="D2424" s="116">
        <v>1945.5</v>
      </c>
      <c r="E2424" s="116">
        <v>1951.7</v>
      </c>
      <c r="F2424" s="116">
        <v>1953.9</v>
      </c>
      <c r="G2424">
        <v>127209</v>
      </c>
      <c r="H2424" s="116"/>
      <c r="I2424" s="116"/>
      <c r="L2424" s="170">
        <v>45574</v>
      </c>
      <c r="M2424" s="116">
        <v>1952.75</v>
      </c>
      <c r="N2424" s="116">
        <v>1977</v>
      </c>
      <c r="O2424" s="116">
        <v>1945.1</v>
      </c>
      <c r="P2424" s="116">
        <v>1952.55</v>
      </c>
      <c r="Q2424" s="116">
        <v>1952.75</v>
      </c>
      <c r="R2424">
        <v>4857163</v>
      </c>
    </row>
    <row r="2425" spans="1:18" x14ac:dyDescent="0.25">
      <c r="A2425" s="170">
        <v>45575</v>
      </c>
      <c r="B2425" s="116">
        <v>1969.9</v>
      </c>
      <c r="C2425" s="116">
        <v>1919.05</v>
      </c>
      <c r="D2425" s="116">
        <v>1914.25</v>
      </c>
      <c r="E2425" s="116">
        <v>1969.9</v>
      </c>
      <c r="F2425" s="116">
        <v>1919.05</v>
      </c>
      <c r="G2425">
        <v>133629</v>
      </c>
      <c r="H2425" s="116"/>
      <c r="I2425" s="116"/>
      <c r="L2425" s="170">
        <v>45575</v>
      </c>
      <c r="M2425" s="116">
        <v>1919</v>
      </c>
      <c r="N2425" s="116">
        <v>1964</v>
      </c>
      <c r="O2425" s="116">
        <v>1914.1</v>
      </c>
      <c r="P2425" s="116">
        <v>1957.9</v>
      </c>
      <c r="Q2425" s="116">
        <v>1919</v>
      </c>
      <c r="R2425">
        <v>4782119</v>
      </c>
    </row>
    <row r="2426" spans="1:18" x14ac:dyDescent="0.25">
      <c r="A2426" s="170">
        <v>45576</v>
      </c>
      <c r="B2426" s="116">
        <v>1946.9</v>
      </c>
      <c r="C2426" s="116">
        <v>1935</v>
      </c>
      <c r="D2426" s="116">
        <v>1909.9</v>
      </c>
      <c r="E2426" s="116">
        <v>1918.05</v>
      </c>
      <c r="F2426" s="116">
        <v>1935</v>
      </c>
      <c r="G2426">
        <v>219738</v>
      </c>
      <c r="H2426" s="116"/>
      <c r="I2426" s="116"/>
      <c r="L2426" s="170">
        <v>45576</v>
      </c>
      <c r="M2426" s="116">
        <v>1935.1</v>
      </c>
      <c r="N2426" s="116">
        <v>1947</v>
      </c>
      <c r="O2426" s="116">
        <v>1910.1</v>
      </c>
      <c r="P2426" s="116">
        <v>1918</v>
      </c>
      <c r="Q2426" s="116">
        <v>1935.1</v>
      </c>
      <c r="R2426">
        <v>4709431</v>
      </c>
    </row>
    <row r="2427" spans="1:18" x14ac:dyDescent="0.25">
      <c r="A2427" s="170">
        <v>45579</v>
      </c>
      <c r="B2427" s="116">
        <v>1970</v>
      </c>
      <c r="C2427" s="116">
        <v>1958.7</v>
      </c>
      <c r="D2427" s="116">
        <v>1933.75</v>
      </c>
      <c r="E2427" s="116">
        <v>1934.95</v>
      </c>
      <c r="F2427" s="116">
        <v>1958.7</v>
      </c>
      <c r="G2427">
        <v>78170</v>
      </c>
      <c r="H2427" s="116"/>
      <c r="I2427" s="116"/>
      <c r="L2427" s="170">
        <v>45579</v>
      </c>
      <c r="M2427" s="116">
        <v>1958.9</v>
      </c>
      <c r="N2427" s="116">
        <v>1969.5</v>
      </c>
      <c r="O2427" s="116">
        <v>1931.1</v>
      </c>
      <c r="P2427" s="116">
        <v>1932.15</v>
      </c>
      <c r="Q2427" s="116">
        <v>1958.9</v>
      </c>
      <c r="R2427">
        <v>3751378</v>
      </c>
    </row>
    <row r="2428" spans="1:18" x14ac:dyDescent="0.25">
      <c r="A2428" s="170">
        <v>45580</v>
      </c>
      <c r="B2428" s="116">
        <v>1990.9</v>
      </c>
      <c r="C2428" s="116">
        <v>1959.1</v>
      </c>
      <c r="D2428" s="116">
        <v>1952</v>
      </c>
      <c r="E2428" s="116">
        <v>1964.95</v>
      </c>
      <c r="F2428" s="116">
        <v>1959.1</v>
      </c>
      <c r="G2428">
        <v>218415</v>
      </c>
      <c r="H2428" s="116"/>
      <c r="I2428" s="116"/>
      <c r="L2428" s="170">
        <v>45580</v>
      </c>
      <c r="M2428" s="116">
        <v>1959.3</v>
      </c>
      <c r="N2428" s="116">
        <v>1991.45</v>
      </c>
      <c r="O2428" s="116">
        <v>1951.75</v>
      </c>
      <c r="P2428" s="116">
        <v>1960</v>
      </c>
      <c r="Q2428" s="116">
        <v>1959.3</v>
      </c>
      <c r="R2428">
        <v>5353705</v>
      </c>
    </row>
    <row r="2429" spans="1:18" x14ac:dyDescent="0.25">
      <c r="A2429" s="170">
        <v>45581</v>
      </c>
      <c r="B2429" s="116">
        <v>1960.1</v>
      </c>
      <c r="C2429" s="116">
        <v>1919.9</v>
      </c>
      <c r="D2429" s="116">
        <v>1916.3</v>
      </c>
      <c r="E2429" s="116">
        <v>1958.95</v>
      </c>
      <c r="F2429" s="116">
        <v>1919.9</v>
      </c>
      <c r="G2429">
        <v>65346</v>
      </c>
      <c r="H2429" s="116"/>
      <c r="I2429" s="116"/>
      <c r="L2429" s="170">
        <v>45581</v>
      </c>
      <c r="M2429" s="116">
        <v>1920.1</v>
      </c>
      <c r="N2429" s="116">
        <v>1959.55</v>
      </c>
      <c r="O2429" s="116">
        <v>1916.35</v>
      </c>
      <c r="P2429" s="116">
        <v>1955</v>
      </c>
      <c r="Q2429" s="116">
        <v>1920.1</v>
      </c>
      <c r="R2429">
        <v>3111512</v>
      </c>
    </row>
    <row r="2430" spans="1:18" x14ac:dyDescent="0.25">
      <c r="A2430" s="170">
        <v>45582</v>
      </c>
      <c r="B2430" s="116">
        <v>1978</v>
      </c>
      <c r="C2430" s="116">
        <v>1969.5</v>
      </c>
      <c r="D2430" s="116">
        <v>1930</v>
      </c>
      <c r="E2430" s="116">
        <v>1930</v>
      </c>
      <c r="F2430" s="116">
        <v>1969.5</v>
      </c>
      <c r="G2430">
        <v>265093</v>
      </c>
      <c r="H2430" s="116"/>
      <c r="I2430" s="116"/>
      <c r="L2430" s="170">
        <v>45582</v>
      </c>
      <c r="M2430" s="116">
        <v>1968.1</v>
      </c>
      <c r="N2430" s="116">
        <v>1978</v>
      </c>
      <c r="O2430" s="116">
        <v>1930.15</v>
      </c>
      <c r="P2430" s="116">
        <v>1935.2</v>
      </c>
      <c r="Q2430" s="116">
        <v>1968.1</v>
      </c>
      <c r="R2430">
        <v>8162822</v>
      </c>
    </row>
    <row r="2431" spans="1:18" x14ac:dyDescent="0.25">
      <c r="A2431" s="170">
        <v>45583</v>
      </c>
      <c r="B2431" s="116">
        <v>1936.8</v>
      </c>
      <c r="C2431" s="116">
        <v>1878.85</v>
      </c>
      <c r="D2431" s="116">
        <v>1870</v>
      </c>
      <c r="E2431" s="116">
        <v>1905</v>
      </c>
      <c r="F2431" s="116">
        <v>1878.85</v>
      </c>
      <c r="G2431">
        <v>532991</v>
      </c>
      <c r="H2431" s="116"/>
      <c r="I2431" s="116"/>
      <c r="L2431" s="170">
        <v>45583</v>
      </c>
      <c r="M2431" s="116">
        <v>1879.6</v>
      </c>
      <c r="N2431" s="116">
        <v>1936.85</v>
      </c>
      <c r="O2431" s="116">
        <v>1869.25</v>
      </c>
      <c r="P2431" s="116">
        <v>1893.8</v>
      </c>
      <c r="Q2431" s="116">
        <v>1879.6</v>
      </c>
      <c r="R2431">
        <v>10526196</v>
      </c>
    </row>
    <row r="2432" spans="1:18" x14ac:dyDescent="0.25">
      <c r="A2432" s="170">
        <v>45586</v>
      </c>
      <c r="B2432" s="116">
        <v>1899.4</v>
      </c>
      <c r="C2432" s="116">
        <v>1852.5</v>
      </c>
      <c r="D2432" s="116">
        <v>1838.1</v>
      </c>
      <c r="E2432" s="116">
        <v>1899.4</v>
      </c>
      <c r="F2432" s="116">
        <v>1852.5</v>
      </c>
      <c r="G2432">
        <v>156295</v>
      </c>
      <c r="H2432" s="116"/>
      <c r="I2432" s="116"/>
      <c r="L2432" s="170">
        <v>45586</v>
      </c>
      <c r="M2432" s="116">
        <v>1852.75</v>
      </c>
      <c r="N2432" s="116">
        <v>1898.8</v>
      </c>
      <c r="O2432" s="116">
        <v>1838</v>
      </c>
      <c r="P2432" s="116">
        <v>1891.1</v>
      </c>
      <c r="Q2432" s="116">
        <v>1852.75</v>
      </c>
      <c r="R2432">
        <v>4654601</v>
      </c>
    </row>
    <row r="2433" spans="1:18" x14ac:dyDescent="0.25">
      <c r="A2433" s="170">
        <v>45587</v>
      </c>
      <c r="B2433" s="116">
        <v>1877.7</v>
      </c>
      <c r="C2433" s="116">
        <v>1850.95</v>
      </c>
      <c r="D2433" s="116">
        <v>1846.05</v>
      </c>
      <c r="E2433" s="116">
        <v>1846.05</v>
      </c>
      <c r="F2433" s="116">
        <v>1850.95</v>
      </c>
      <c r="G2433">
        <v>67574</v>
      </c>
      <c r="H2433" s="116"/>
      <c r="I2433" s="116"/>
      <c r="L2433" s="170">
        <v>45587</v>
      </c>
      <c r="M2433" s="116">
        <v>1851.6</v>
      </c>
      <c r="N2433" s="116">
        <v>1877.8</v>
      </c>
      <c r="O2433" s="116">
        <v>1846.95</v>
      </c>
      <c r="P2433" s="116">
        <v>1858.2</v>
      </c>
      <c r="Q2433" s="116">
        <v>1851.6</v>
      </c>
      <c r="R2433">
        <v>4125240</v>
      </c>
    </row>
    <row r="2434" spans="1:18" x14ac:dyDescent="0.25">
      <c r="A2434" s="170">
        <v>45588</v>
      </c>
      <c r="B2434" s="116">
        <v>1885.5</v>
      </c>
      <c r="C2434" s="116">
        <v>1872.85</v>
      </c>
      <c r="D2434" s="116">
        <v>1842.35</v>
      </c>
      <c r="E2434" s="116">
        <v>1842.35</v>
      </c>
      <c r="F2434" s="116">
        <v>1872.85</v>
      </c>
      <c r="G2434">
        <v>115059</v>
      </c>
      <c r="H2434" s="116"/>
      <c r="I2434" s="116"/>
      <c r="L2434" s="170">
        <v>45588</v>
      </c>
      <c r="M2434" s="116">
        <v>1873.4</v>
      </c>
      <c r="N2434" s="116">
        <v>1886</v>
      </c>
      <c r="O2434" s="116">
        <v>1844</v>
      </c>
      <c r="P2434" s="116">
        <v>1845.25</v>
      </c>
      <c r="Q2434" s="116">
        <v>1873.4</v>
      </c>
      <c r="R2434">
        <v>4311910</v>
      </c>
    </row>
    <row r="2435" spans="1:18" x14ac:dyDescent="0.25">
      <c r="A2435" s="170">
        <v>45589</v>
      </c>
      <c r="B2435" s="116">
        <v>1883.7</v>
      </c>
      <c r="C2435" s="116">
        <v>1864.4</v>
      </c>
      <c r="D2435" s="116">
        <v>1860.1</v>
      </c>
      <c r="E2435" s="116">
        <v>1872.05</v>
      </c>
      <c r="F2435" s="116">
        <v>1864.4</v>
      </c>
      <c r="G2435">
        <v>66000</v>
      </c>
      <c r="H2435" s="116"/>
      <c r="I2435" s="116"/>
      <c r="L2435" s="170">
        <v>45589</v>
      </c>
      <c r="M2435" s="116">
        <v>1863.35</v>
      </c>
      <c r="N2435" s="116">
        <v>1884</v>
      </c>
      <c r="O2435" s="116">
        <v>1860</v>
      </c>
      <c r="P2435" s="116">
        <v>1861.4</v>
      </c>
      <c r="Q2435" s="116">
        <v>1863.35</v>
      </c>
      <c r="R2435">
        <v>2906475</v>
      </c>
    </row>
    <row r="2436" spans="1:18" x14ac:dyDescent="0.25">
      <c r="A2436" s="170">
        <v>45590</v>
      </c>
      <c r="B2436" s="116">
        <v>1876</v>
      </c>
      <c r="C2436" s="116">
        <v>1853.25</v>
      </c>
      <c r="D2436" s="116">
        <v>1845.65</v>
      </c>
      <c r="E2436" s="116">
        <v>1868.75</v>
      </c>
      <c r="F2436" s="116">
        <v>1853.25</v>
      </c>
      <c r="G2436">
        <v>298913</v>
      </c>
      <c r="H2436" s="116"/>
      <c r="I2436" s="116"/>
      <c r="L2436" s="170">
        <v>45590</v>
      </c>
      <c r="M2436" s="116">
        <v>1862.05</v>
      </c>
      <c r="N2436" s="116">
        <v>1876.35</v>
      </c>
      <c r="O2436" s="116">
        <v>1846.4</v>
      </c>
      <c r="P2436" s="116">
        <v>1863.45</v>
      </c>
      <c r="Q2436" s="116">
        <v>1862.05</v>
      </c>
      <c r="R2436">
        <v>4689120</v>
      </c>
    </row>
    <row r="2437" spans="1:18" x14ac:dyDescent="0.25">
      <c r="A2437" s="170">
        <v>45593</v>
      </c>
      <c r="B2437" s="116">
        <v>1881.1</v>
      </c>
      <c r="C2437" s="116">
        <v>1866.25</v>
      </c>
      <c r="D2437" s="116">
        <v>1855.05</v>
      </c>
      <c r="E2437" s="116">
        <v>1855.05</v>
      </c>
      <c r="F2437" s="116">
        <v>1866.25</v>
      </c>
      <c r="G2437">
        <v>176878</v>
      </c>
      <c r="H2437" s="116"/>
      <c r="I2437" s="116"/>
      <c r="L2437" s="170">
        <v>45593</v>
      </c>
      <c r="M2437" s="116">
        <v>1865.35</v>
      </c>
      <c r="N2437" s="116">
        <v>1881.9</v>
      </c>
      <c r="O2437" s="116">
        <v>1857</v>
      </c>
      <c r="P2437" s="116">
        <v>1859.7</v>
      </c>
      <c r="Q2437" s="116">
        <v>1865.35</v>
      </c>
      <c r="R2437">
        <v>7018940</v>
      </c>
    </row>
    <row r="2438" spans="1:18" x14ac:dyDescent="0.25">
      <c r="A2438" s="170">
        <v>45594</v>
      </c>
      <c r="B2438" s="116">
        <v>1851.6</v>
      </c>
      <c r="C2438" s="116">
        <v>1838.75</v>
      </c>
      <c r="D2438" s="116">
        <v>1828.9</v>
      </c>
      <c r="E2438" s="116">
        <v>1847</v>
      </c>
      <c r="F2438" s="116">
        <v>1838.75</v>
      </c>
      <c r="G2438">
        <v>83833</v>
      </c>
      <c r="H2438" s="116"/>
      <c r="I2438" s="116"/>
      <c r="L2438" s="170">
        <v>45594</v>
      </c>
      <c r="M2438" s="116">
        <v>1839.3</v>
      </c>
      <c r="N2438" s="116">
        <v>1851.6</v>
      </c>
      <c r="O2438" s="116">
        <v>1829</v>
      </c>
      <c r="P2438" s="116">
        <v>1846</v>
      </c>
      <c r="Q2438" s="116">
        <v>1839.3</v>
      </c>
      <c r="R2438">
        <v>4621252</v>
      </c>
    </row>
    <row r="2439" spans="1:18" x14ac:dyDescent="0.25">
      <c r="A2439" s="170">
        <v>45595</v>
      </c>
      <c r="B2439" s="116">
        <v>1839.85</v>
      </c>
      <c r="C2439" s="116">
        <v>1801.75</v>
      </c>
      <c r="D2439" s="116">
        <v>1797</v>
      </c>
      <c r="E2439" s="116">
        <v>1834.95</v>
      </c>
      <c r="F2439" s="116">
        <v>1801.75</v>
      </c>
      <c r="G2439">
        <v>79714</v>
      </c>
      <c r="H2439" s="116"/>
      <c r="I2439" s="116"/>
      <c r="L2439" s="170">
        <v>45595</v>
      </c>
      <c r="M2439" s="116">
        <v>1802.1</v>
      </c>
      <c r="N2439" s="116">
        <v>1839</v>
      </c>
      <c r="O2439" s="116">
        <v>1796.35</v>
      </c>
      <c r="P2439" s="116">
        <v>1832</v>
      </c>
      <c r="Q2439" s="116">
        <v>1802.1</v>
      </c>
      <c r="R2439">
        <v>5919715</v>
      </c>
    </row>
    <row r="2440" spans="1:18" x14ac:dyDescent="0.25">
      <c r="A2440" s="170">
        <v>45596</v>
      </c>
      <c r="B2440" s="116">
        <v>1797</v>
      </c>
      <c r="C2440" s="116">
        <v>1757.15</v>
      </c>
      <c r="D2440" s="116">
        <v>1747.2</v>
      </c>
      <c r="E2440" s="116">
        <v>1797</v>
      </c>
      <c r="F2440" s="116">
        <v>1757.15</v>
      </c>
      <c r="G2440">
        <v>272382</v>
      </c>
      <c r="H2440" s="116"/>
      <c r="I2440" s="116"/>
      <c r="L2440" s="170">
        <v>45596</v>
      </c>
      <c r="M2440" s="116">
        <v>1757.25</v>
      </c>
      <c r="N2440" s="116">
        <v>1787.9</v>
      </c>
      <c r="O2440" s="116">
        <v>1746.5</v>
      </c>
      <c r="P2440" s="116">
        <v>1787.9</v>
      </c>
      <c r="Q2440" s="116">
        <v>1757.25</v>
      </c>
      <c r="R2440">
        <v>7395236</v>
      </c>
    </row>
    <row r="2441" spans="1:18" x14ac:dyDescent="0.25">
      <c r="A2441" s="170">
        <v>45597</v>
      </c>
      <c r="B2441" s="116">
        <v>1766.3</v>
      </c>
      <c r="C2441" s="116">
        <v>1761.6</v>
      </c>
      <c r="D2441" s="116">
        <v>1754.4</v>
      </c>
      <c r="E2441" s="116">
        <v>1763</v>
      </c>
      <c r="F2441" s="116">
        <v>1761.6</v>
      </c>
      <c r="G2441">
        <v>16395</v>
      </c>
      <c r="H2441" s="116"/>
      <c r="I2441" s="116"/>
      <c r="L2441" s="170">
        <v>45597</v>
      </c>
      <c r="M2441" s="116">
        <v>1760.85</v>
      </c>
      <c r="N2441" s="116">
        <v>1766</v>
      </c>
      <c r="O2441" s="116">
        <v>1752.05</v>
      </c>
      <c r="P2441" s="116">
        <v>1764.5</v>
      </c>
      <c r="Q2441" s="116">
        <v>1760.85</v>
      </c>
      <c r="R2441">
        <v>371966</v>
      </c>
    </row>
    <row r="2442" spans="1:18" x14ac:dyDescent="0.25">
      <c r="A2442" s="170">
        <v>45600</v>
      </c>
      <c r="B2442" s="116">
        <v>1768.25</v>
      </c>
      <c r="C2442" s="116">
        <v>1764.9</v>
      </c>
      <c r="D2442" s="116">
        <v>1718.5</v>
      </c>
      <c r="E2442" s="116">
        <v>1728.95</v>
      </c>
      <c r="F2442" s="116">
        <v>1764.9</v>
      </c>
      <c r="G2442">
        <v>183170</v>
      </c>
      <c r="H2442" s="116"/>
      <c r="I2442" s="116"/>
      <c r="L2442" s="170">
        <v>45600</v>
      </c>
      <c r="M2442" s="116">
        <v>1763.65</v>
      </c>
      <c r="N2442" s="116">
        <v>1767</v>
      </c>
      <c r="O2442" s="116">
        <v>1718</v>
      </c>
      <c r="P2442" s="116">
        <v>1724.5</v>
      </c>
      <c r="Q2442" s="116">
        <v>1763.65</v>
      </c>
      <c r="R2442">
        <v>7336722</v>
      </c>
    </row>
    <row r="2443" spans="1:18" x14ac:dyDescent="0.25">
      <c r="A2443" s="170">
        <v>45601</v>
      </c>
      <c r="B2443" s="116">
        <v>1768.25</v>
      </c>
      <c r="C2443" s="116">
        <v>1753.8</v>
      </c>
      <c r="D2443" s="116">
        <v>1745.1</v>
      </c>
      <c r="E2443" s="116">
        <v>1763.75</v>
      </c>
      <c r="F2443" s="116">
        <v>1753.8</v>
      </c>
      <c r="G2443">
        <v>87084</v>
      </c>
      <c r="H2443" s="116"/>
      <c r="I2443" s="116"/>
      <c r="L2443" s="170">
        <v>45601</v>
      </c>
      <c r="M2443" s="116">
        <v>1754.2</v>
      </c>
      <c r="N2443" s="116">
        <v>1768.45</v>
      </c>
      <c r="O2443" s="116">
        <v>1745</v>
      </c>
      <c r="P2443" s="116">
        <v>1760</v>
      </c>
      <c r="Q2443" s="116">
        <v>1754.2</v>
      </c>
      <c r="R2443">
        <v>3160880</v>
      </c>
    </row>
    <row r="2444" spans="1:18" x14ac:dyDescent="0.25">
      <c r="A2444" s="170">
        <v>45602</v>
      </c>
      <c r="B2444" s="116">
        <v>1827</v>
      </c>
      <c r="C2444" s="116">
        <v>1824.3</v>
      </c>
      <c r="D2444" s="116">
        <v>1763.5</v>
      </c>
      <c r="E2444" s="116">
        <v>1765</v>
      </c>
      <c r="F2444" s="116">
        <v>1824.3</v>
      </c>
      <c r="G2444">
        <v>2491228</v>
      </c>
      <c r="H2444" s="116"/>
      <c r="I2444" s="116"/>
      <c r="L2444" s="170">
        <v>45602</v>
      </c>
      <c r="M2444" s="116">
        <v>1823.7</v>
      </c>
      <c r="N2444" s="116">
        <v>1827.2</v>
      </c>
      <c r="O2444" s="116">
        <v>1762.65</v>
      </c>
      <c r="P2444" s="116">
        <v>1764</v>
      </c>
      <c r="Q2444" s="116">
        <v>1823.7</v>
      </c>
      <c r="R2444">
        <v>10421494</v>
      </c>
    </row>
    <row r="2445" spans="1:18" x14ac:dyDescent="0.25">
      <c r="A2445" s="170">
        <v>45603</v>
      </c>
      <c r="B2445" s="116">
        <v>1825.1</v>
      </c>
      <c r="C2445" s="116">
        <v>1802.65</v>
      </c>
      <c r="D2445" s="116">
        <v>1786.65</v>
      </c>
      <c r="E2445" s="116">
        <v>1819.85</v>
      </c>
      <c r="F2445" s="116">
        <v>1802.65</v>
      </c>
      <c r="G2445">
        <v>108778</v>
      </c>
      <c r="H2445" s="116"/>
      <c r="I2445" s="116"/>
      <c r="L2445" s="170">
        <v>45603</v>
      </c>
      <c r="M2445" s="116">
        <v>1803.05</v>
      </c>
      <c r="N2445" s="116">
        <v>1825.7</v>
      </c>
      <c r="O2445" s="116">
        <v>1787</v>
      </c>
      <c r="P2445" s="116">
        <v>1812.95</v>
      </c>
      <c r="Q2445" s="116">
        <v>1803.05</v>
      </c>
      <c r="R2445">
        <v>4550965</v>
      </c>
    </row>
    <row r="2446" spans="1:18" x14ac:dyDescent="0.25">
      <c r="A2446" s="170">
        <v>45604</v>
      </c>
      <c r="B2446" s="116">
        <v>1840</v>
      </c>
      <c r="C2446" s="116">
        <v>1831.05</v>
      </c>
      <c r="D2446" s="116">
        <v>1813.1</v>
      </c>
      <c r="E2446" s="116">
        <v>1815.95</v>
      </c>
      <c r="F2446" s="116">
        <v>1831.05</v>
      </c>
      <c r="G2446">
        <v>152794</v>
      </c>
      <c r="H2446" s="116"/>
      <c r="I2446" s="116"/>
      <c r="L2446" s="170">
        <v>45604</v>
      </c>
      <c r="M2446" s="116">
        <v>1829.95</v>
      </c>
      <c r="N2446" s="116">
        <v>1840.6</v>
      </c>
      <c r="O2446" s="116">
        <v>1813.15</v>
      </c>
      <c r="P2446" s="116">
        <v>1818</v>
      </c>
      <c r="Q2446" s="116">
        <v>1829.95</v>
      </c>
      <c r="R2446">
        <v>4210960</v>
      </c>
    </row>
    <row r="2447" spans="1:18" x14ac:dyDescent="0.25">
      <c r="A2447" s="170">
        <v>45607</v>
      </c>
      <c r="B2447" s="116">
        <v>1867.8</v>
      </c>
      <c r="C2447" s="116">
        <v>1860</v>
      </c>
      <c r="D2447" s="116">
        <v>1820.55</v>
      </c>
      <c r="E2447" s="116">
        <v>1820.55</v>
      </c>
      <c r="F2447" s="116">
        <v>1860</v>
      </c>
      <c r="G2447">
        <v>173854</v>
      </c>
      <c r="H2447" s="116"/>
      <c r="I2447" s="116"/>
      <c r="L2447" s="170">
        <v>45607</v>
      </c>
      <c r="M2447" s="116">
        <v>1860.1</v>
      </c>
      <c r="N2447" s="116">
        <v>1868</v>
      </c>
      <c r="O2447" s="116">
        <v>1822.55</v>
      </c>
      <c r="P2447" s="116">
        <v>1829</v>
      </c>
      <c r="Q2447" s="116">
        <v>1860.1</v>
      </c>
      <c r="R2447">
        <v>3804234</v>
      </c>
    </row>
    <row r="2448" spans="1:18" x14ac:dyDescent="0.25">
      <c r="A2448" s="170">
        <v>45608</v>
      </c>
      <c r="B2448" s="116">
        <v>1881.25</v>
      </c>
      <c r="C2448" s="116">
        <v>1867.95</v>
      </c>
      <c r="D2448" s="116">
        <v>1861.1</v>
      </c>
      <c r="E2448" s="116">
        <v>1863</v>
      </c>
      <c r="F2448" s="116">
        <v>1867.95</v>
      </c>
      <c r="G2448">
        <v>73031</v>
      </c>
      <c r="H2448" s="116"/>
      <c r="I2448" s="116"/>
      <c r="L2448" s="170">
        <v>45608</v>
      </c>
      <c r="M2448" s="116">
        <v>1868.8</v>
      </c>
      <c r="N2448" s="116">
        <v>1881</v>
      </c>
      <c r="O2448" s="116">
        <v>1861</v>
      </c>
      <c r="P2448" s="116">
        <v>1871.1</v>
      </c>
      <c r="Q2448" s="116">
        <v>1868.8</v>
      </c>
      <c r="R2448">
        <v>5012450</v>
      </c>
    </row>
    <row r="2449" spans="1:18" x14ac:dyDescent="0.25">
      <c r="A2449" s="170">
        <v>45609</v>
      </c>
      <c r="B2449" s="116">
        <v>1873.45</v>
      </c>
      <c r="C2449" s="116">
        <v>1868.3</v>
      </c>
      <c r="D2449" s="116">
        <v>1857</v>
      </c>
      <c r="E2449" s="116">
        <v>1865.95</v>
      </c>
      <c r="F2449" s="116">
        <v>1868.3</v>
      </c>
      <c r="G2449">
        <v>60793</v>
      </c>
      <c r="H2449" s="116"/>
      <c r="I2449" s="116"/>
      <c r="L2449" s="170">
        <v>45609</v>
      </c>
      <c r="M2449" s="116">
        <v>1868.4</v>
      </c>
      <c r="N2449" s="116">
        <v>1873.2</v>
      </c>
      <c r="O2449" s="116">
        <v>1856.3</v>
      </c>
      <c r="P2449" s="116">
        <v>1861.1</v>
      </c>
      <c r="Q2449" s="116">
        <v>1868.4</v>
      </c>
      <c r="R2449">
        <v>4257495</v>
      </c>
    </row>
    <row r="2450" spans="1:18" x14ac:dyDescent="0.25">
      <c r="A2450" s="170">
        <v>45610</v>
      </c>
      <c r="B2450" s="116">
        <v>1876.05</v>
      </c>
      <c r="C2450" s="116">
        <v>1864</v>
      </c>
      <c r="D2450" s="116">
        <v>1856.45</v>
      </c>
      <c r="E2450" s="116">
        <v>1869.65</v>
      </c>
      <c r="F2450" s="116">
        <v>1864</v>
      </c>
      <c r="G2450">
        <v>216343</v>
      </c>
      <c r="H2450" s="116"/>
      <c r="I2450" s="116"/>
      <c r="L2450" s="170">
        <v>45610</v>
      </c>
      <c r="M2450" s="116">
        <v>1864.55</v>
      </c>
      <c r="N2450" s="116">
        <v>1876</v>
      </c>
      <c r="O2450" s="116">
        <v>1856</v>
      </c>
      <c r="P2450" s="116">
        <v>1865.6</v>
      </c>
      <c r="Q2450" s="116">
        <v>1864.55</v>
      </c>
      <c r="R2450">
        <v>4311431</v>
      </c>
    </row>
    <row r="2451" spans="1:18" x14ac:dyDescent="0.25">
      <c r="A2451" s="170">
        <v>45614</v>
      </c>
      <c r="B2451" s="116">
        <v>1863.95</v>
      </c>
      <c r="C2451" s="116">
        <v>1811.4</v>
      </c>
      <c r="D2451" s="116">
        <v>1795.75</v>
      </c>
      <c r="E2451" s="116">
        <v>1863.95</v>
      </c>
      <c r="F2451" s="116">
        <v>1811.4</v>
      </c>
      <c r="G2451">
        <v>131100</v>
      </c>
      <c r="H2451" s="116"/>
      <c r="I2451" s="116"/>
      <c r="L2451" s="170">
        <v>45614</v>
      </c>
      <c r="M2451" s="116">
        <v>1811.45</v>
      </c>
      <c r="N2451" s="116">
        <v>1849.2</v>
      </c>
      <c r="O2451" s="116">
        <v>1795</v>
      </c>
      <c r="P2451" s="116">
        <v>1849.2</v>
      </c>
      <c r="Q2451" s="116">
        <v>1811.45</v>
      </c>
      <c r="R2451">
        <v>4839244</v>
      </c>
    </row>
    <row r="2452" spans="1:18" x14ac:dyDescent="0.25">
      <c r="A2452" s="170">
        <v>45615</v>
      </c>
      <c r="B2452" s="116">
        <v>1860</v>
      </c>
      <c r="C2452" s="116">
        <v>1825.55</v>
      </c>
      <c r="D2452" s="116">
        <v>1822.05</v>
      </c>
      <c r="E2452" s="116">
        <v>1822.05</v>
      </c>
      <c r="F2452" s="116">
        <v>1825.55</v>
      </c>
      <c r="G2452">
        <v>92671</v>
      </c>
      <c r="H2452" s="116"/>
      <c r="I2452" s="116"/>
      <c r="L2452" s="170">
        <v>45615</v>
      </c>
      <c r="M2452" s="116">
        <v>1824.75</v>
      </c>
      <c r="N2452" s="116">
        <v>1859.7</v>
      </c>
      <c r="O2452" s="116">
        <v>1820.55</v>
      </c>
      <c r="P2452" s="116">
        <v>1825.5</v>
      </c>
      <c r="Q2452" s="116">
        <v>1824.75</v>
      </c>
      <c r="R2452">
        <v>4669769</v>
      </c>
    </row>
    <row r="2453" spans="1:18" x14ac:dyDescent="0.25">
      <c r="A2453" s="170">
        <v>45617</v>
      </c>
      <c r="B2453" s="116">
        <v>1866.6</v>
      </c>
      <c r="C2453" s="116">
        <v>1834.2</v>
      </c>
      <c r="D2453" s="116">
        <v>1820.5</v>
      </c>
      <c r="E2453" s="116">
        <v>1839.95</v>
      </c>
      <c r="F2453" s="116">
        <v>1834.2</v>
      </c>
      <c r="G2453">
        <v>134583</v>
      </c>
      <c r="H2453" s="116"/>
      <c r="I2453" s="116"/>
      <c r="L2453" s="170">
        <v>45617</v>
      </c>
      <c r="M2453" s="116">
        <v>1834.05</v>
      </c>
      <c r="N2453" s="116">
        <v>1867</v>
      </c>
      <c r="O2453" s="116">
        <v>1820.6</v>
      </c>
      <c r="P2453" s="116">
        <v>1842</v>
      </c>
      <c r="Q2453" s="116">
        <v>1834.05</v>
      </c>
      <c r="R2453">
        <v>5436504</v>
      </c>
    </row>
    <row r="2454" spans="1:18" x14ac:dyDescent="0.25">
      <c r="A2454" s="170">
        <v>45618</v>
      </c>
      <c r="B2454" s="116">
        <v>1913.9</v>
      </c>
      <c r="C2454" s="116">
        <v>1902.95</v>
      </c>
      <c r="D2454" s="116">
        <v>1834.25</v>
      </c>
      <c r="E2454" s="116">
        <v>1849.35</v>
      </c>
      <c r="F2454" s="116">
        <v>1902.95</v>
      </c>
      <c r="G2454">
        <v>383445</v>
      </c>
      <c r="H2454" s="116"/>
      <c r="I2454" s="116"/>
      <c r="L2454" s="170">
        <v>45618</v>
      </c>
      <c r="M2454" s="116">
        <v>1902.25</v>
      </c>
      <c r="N2454" s="116">
        <v>1914.05</v>
      </c>
      <c r="O2454" s="116">
        <v>1834</v>
      </c>
      <c r="P2454" s="116">
        <v>1854.1</v>
      </c>
      <c r="Q2454" s="116">
        <v>1902.25</v>
      </c>
      <c r="R2454">
        <v>6301486</v>
      </c>
    </row>
    <row r="2455" spans="1:18" x14ac:dyDescent="0.25">
      <c r="A2455" s="170">
        <v>45621</v>
      </c>
      <c r="B2455" s="116">
        <v>1919</v>
      </c>
      <c r="C2455" s="116">
        <v>1889.15</v>
      </c>
      <c r="D2455" s="116">
        <v>1882.2</v>
      </c>
      <c r="E2455" s="116">
        <v>1910.5</v>
      </c>
      <c r="F2455" s="116">
        <v>1889.15</v>
      </c>
      <c r="G2455">
        <v>181895</v>
      </c>
      <c r="H2455" s="116"/>
      <c r="I2455" s="116"/>
      <c r="L2455" s="170">
        <v>45621</v>
      </c>
      <c r="M2455" s="116">
        <v>1889.7</v>
      </c>
      <c r="N2455" s="116">
        <v>1919.3</v>
      </c>
      <c r="O2455" s="116">
        <v>1882</v>
      </c>
      <c r="P2455" s="116">
        <v>1916</v>
      </c>
      <c r="Q2455" s="116">
        <v>1889.7</v>
      </c>
      <c r="R2455">
        <v>12764638</v>
      </c>
    </row>
    <row r="2456" spans="1:18" x14ac:dyDescent="0.25">
      <c r="A2456" s="170">
        <v>45622</v>
      </c>
      <c r="B2456" s="116">
        <v>1938.7</v>
      </c>
      <c r="C2456" s="116">
        <v>1921.85</v>
      </c>
      <c r="D2456" s="116">
        <v>1899.15</v>
      </c>
      <c r="E2456" s="116">
        <v>1901.45</v>
      </c>
      <c r="F2456" s="116">
        <v>1921.85</v>
      </c>
      <c r="G2456">
        <v>101596</v>
      </c>
      <c r="H2456" s="116"/>
      <c r="I2456" s="116"/>
      <c r="L2456" s="170">
        <v>45622</v>
      </c>
      <c r="M2456" s="116">
        <v>1924.15</v>
      </c>
      <c r="N2456" s="116">
        <v>1938.6</v>
      </c>
      <c r="O2456" s="116">
        <v>1897.3</v>
      </c>
      <c r="P2456" s="116">
        <v>1904.95</v>
      </c>
      <c r="Q2456" s="116">
        <v>1924.15</v>
      </c>
      <c r="R2456">
        <v>6850495</v>
      </c>
    </row>
    <row r="2457" spans="1:18" x14ac:dyDescent="0.25">
      <c r="A2457" s="170">
        <v>45623</v>
      </c>
      <c r="B2457" s="116">
        <v>1940.65</v>
      </c>
      <c r="C2457" s="116">
        <v>1924.1</v>
      </c>
      <c r="D2457" s="116">
        <v>1912.5</v>
      </c>
      <c r="E2457" s="116">
        <v>1939.95</v>
      </c>
      <c r="F2457" s="116">
        <v>1924.1</v>
      </c>
      <c r="G2457">
        <v>53515</v>
      </c>
      <c r="H2457" s="116"/>
      <c r="I2457" s="116"/>
      <c r="L2457" s="170">
        <v>45623</v>
      </c>
      <c r="M2457" s="116">
        <v>1924.5</v>
      </c>
      <c r="N2457" s="116">
        <v>1941.4</v>
      </c>
      <c r="O2457" s="116">
        <v>1911.75</v>
      </c>
      <c r="P2457" s="116">
        <v>1930.1</v>
      </c>
      <c r="Q2457" s="116">
        <v>1924.5</v>
      </c>
      <c r="R2457">
        <v>4447143</v>
      </c>
    </row>
    <row r="2458" spans="1:18" x14ac:dyDescent="0.25">
      <c r="A2458" s="170">
        <v>45624</v>
      </c>
      <c r="B2458" s="116">
        <v>1918.95</v>
      </c>
      <c r="C2458" s="116">
        <v>1857.45</v>
      </c>
      <c r="D2458" s="116">
        <v>1852.55</v>
      </c>
      <c r="E2458" s="116">
        <v>1918.95</v>
      </c>
      <c r="F2458" s="116">
        <v>1857.45</v>
      </c>
      <c r="G2458">
        <v>122450</v>
      </c>
      <c r="H2458" s="116"/>
      <c r="I2458" s="116"/>
      <c r="L2458" s="170">
        <v>45624</v>
      </c>
      <c r="M2458" s="116">
        <v>1856.65</v>
      </c>
      <c r="N2458" s="116">
        <v>1914.9</v>
      </c>
      <c r="O2458" s="116">
        <v>1851.65</v>
      </c>
      <c r="P2458" s="116">
        <v>1914.9</v>
      </c>
      <c r="Q2458" s="116">
        <v>1856.65</v>
      </c>
      <c r="R2458">
        <v>8468790</v>
      </c>
    </row>
    <row r="2459" spans="1:18" x14ac:dyDescent="0.25">
      <c r="A2459" s="170">
        <v>45625</v>
      </c>
      <c r="B2459" s="116">
        <v>1876.75</v>
      </c>
      <c r="C2459" s="116">
        <v>1858.45</v>
      </c>
      <c r="D2459" s="116">
        <v>1845.65</v>
      </c>
      <c r="E2459" s="116">
        <v>1855.35</v>
      </c>
      <c r="F2459" s="116">
        <v>1858.45</v>
      </c>
      <c r="G2459">
        <v>210152</v>
      </c>
      <c r="H2459" s="116"/>
      <c r="I2459" s="116"/>
      <c r="L2459" s="170">
        <v>45625</v>
      </c>
      <c r="M2459" s="116">
        <v>1857.85</v>
      </c>
      <c r="N2459" s="116">
        <v>1877</v>
      </c>
      <c r="O2459" s="116">
        <v>1845</v>
      </c>
      <c r="P2459" s="116">
        <v>1851.1</v>
      </c>
      <c r="Q2459" s="116">
        <v>1857.85</v>
      </c>
      <c r="R2459">
        <v>5244346</v>
      </c>
    </row>
    <row r="2460" spans="1:18" x14ac:dyDescent="0.25">
      <c r="A2460" s="170">
        <v>45628</v>
      </c>
      <c r="B2460" s="116">
        <v>1882</v>
      </c>
      <c r="C2460" s="116">
        <v>1879.2</v>
      </c>
      <c r="D2460" s="116">
        <v>1836</v>
      </c>
      <c r="E2460" s="116">
        <v>1850.1</v>
      </c>
      <c r="F2460" s="116">
        <v>1879.2</v>
      </c>
      <c r="G2460">
        <v>144317</v>
      </c>
      <c r="H2460" s="116"/>
      <c r="I2460" s="116"/>
      <c r="L2460" s="170">
        <v>45628</v>
      </c>
      <c r="M2460" s="116">
        <v>1879.8</v>
      </c>
      <c r="N2460" s="116">
        <v>1882.8</v>
      </c>
      <c r="O2460" s="116">
        <v>1835.2</v>
      </c>
      <c r="P2460" s="116">
        <v>1859</v>
      </c>
      <c r="Q2460" s="116">
        <v>1879.8</v>
      </c>
      <c r="R2460">
        <v>2868263</v>
      </c>
    </row>
    <row r="2461" spans="1:18" x14ac:dyDescent="0.25">
      <c r="A2461" s="170">
        <v>45629</v>
      </c>
      <c r="B2461" s="116">
        <v>1899</v>
      </c>
      <c r="C2461" s="116">
        <v>1891.4</v>
      </c>
      <c r="D2461" s="116">
        <v>1872</v>
      </c>
      <c r="E2461" s="116">
        <v>1880.5</v>
      </c>
      <c r="F2461" s="116">
        <v>1891.4</v>
      </c>
      <c r="G2461">
        <v>68682</v>
      </c>
      <c r="H2461" s="116"/>
      <c r="I2461" s="116"/>
      <c r="L2461" s="170">
        <v>45629</v>
      </c>
      <c r="M2461" s="116">
        <v>1892.1</v>
      </c>
      <c r="N2461" s="116">
        <v>1899.75</v>
      </c>
      <c r="O2461" s="116">
        <v>1871.15</v>
      </c>
      <c r="P2461" s="116">
        <v>1887</v>
      </c>
      <c r="Q2461" s="116">
        <v>1892.1</v>
      </c>
      <c r="R2461">
        <v>4715792</v>
      </c>
    </row>
    <row r="2462" spans="1:18" x14ac:dyDescent="0.25">
      <c r="A2462" s="170">
        <v>45630</v>
      </c>
      <c r="B2462" s="116">
        <v>1912.9</v>
      </c>
      <c r="C2462" s="116">
        <v>1890.3</v>
      </c>
      <c r="D2462" s="116">
        <v>1874.1</v>
      </c>
      <c r="E2462" s="116">
        <v>1886.95</v>
      </c>
      <c r="F2462" s="116">
        <v>1890.3</v>
      </c>
      <c r="G2462">
        <v>60195</v>
      </c>
      <c r="H2462" s="116"/>
      <c r="I2462" s="116"/>
      <c r="L2462" s="170">
        <v>45630</v>
      </c>
      <c r="M2462" s="116">
        <v>1889.25</v>
      </c>
      <c r="N2462" s="116">
        <v>1913.95</v>
      </c>
      <c r="O2462" s="116">
        <v>1875</v>
      </c>
      <c r="P2462" s="116">
        <v>1884</v>
      </c>
      <c r="Q2462" s="116">
        <v>1889.25</v>
      </c>
      <c r="R2462">
        <v>4705573</v>
      </c>
    </row>
    <row r="2463" spans="1:18" x14ac:dyDescent="0.25">
      <c r="A2463" s="170">
        <v>45631</v>
      </c>
      <c r="B2463" s="116">
        <v>1949</v>
      </c>
      <c r="C2463" s="116">
        <v>1934.35</v>
      </c>
      <c r="D2463" s="116">
        <v>1889.25</v>
      </c>
      <c r="E2463" s="116">
        <v>1900.5</v>
      </c>
      <c r="F2463" s="116">
        <v>1934.35</v>
      </c>
      <c r="G2463">
        <v>235468</v>
      </c>
      <c r="H2463" s="116"/>
      <c r="I2463" s="116"/>
      <c r="L2463" s="170">
        <v>45631</v>
      </c>
      <c r="M2463" s="116">
        <v>1934.85</v>
      </c>
      <c r="N2463" s="116">
        <v>1949.9</v>
      </c>
      <c r="O2463" s="116">
        <v>1888.95</v>
      </c>
      <c r="P2463" s="116">
        <v>1900</v>
      </c>
      <c r="Q2463" s="116">
        <v>1934.85</v>
      </c>
      <c r="R2463">
        <v>9050038</v>
      </c>
    </row>
    <row r="2464" spans="1:18" x14ac:dyDescent="0.25">
      <c r="A2464" s="170">
        <v>45632</v>
      </c>
      <c r="B2464" s="116">
        <v>1936.1</v>
      </c>
      <c r="C2464" s="116">
        <v>1923.2</v>
      </c>
      <c r="D2464" s="116">
        <v>1913</v>
      </c>
      <c r="E2464" s="116">
        <v>1929.8</v>
      </c>
      <c r="F2464" s="116">
        <v>1923.2</v>
      </c>
      <c r="G2464">
        <v>125863</v>
      </c>
      <c r="H2464" s="116"/>
      <c r="I2464" s="116"/>
      <c r="L2464" s="170">
        <v>45632</v>
      </c>
      <c r="M2464" s="116">
        <v>1922.4</v>
      </c>
      <c r="N2464" s="116">
        <v>1937.95</v>
      </c>
      <c r="O2464" s="116">
        <v>1912.4</v>
      </c>
      <c r="P2464" s="116">
        <v>1932.8</v>
      </c>
      <c r="Q2464" s="116">
        <v>1922.4</v>
      </c>
      <c r="R2464">
        <v>3573331</v>
      </c>
    </row>
    <row r="2465" spans="1:18" x14ac:dyDescent="0.25">
      <c r="A2465" s="170">
        <v>45635</v>
      </c>
      <c r="B2465" s="116">
        <v>1930.9</v>
      </c>
      <c r="C2465" s="116">
        <v>1925.3</v>
      </c>
      <c r="D2465" s="116">
        <v>1897.5</v>
      </c>
      <c r="E2465" s="116">
        <v>1922.7</v>
      </c>
      <c r="F2465" s="116">
        <v>1925.3</v>
      </c>
      <c r="G2465">
        <v>122141</v>
      </c>
      <c r="H2465" s="116"/>
      <c r="I2465" s="116"/>
      <c r="L2465" s="170">
        <v>45635</v>
      </c>
      <c r="M2465" s="116">
        <v>1923.65</v>
      </c>
      <c r="N2465" s="116">
        <v>1930.2</v>
      </c>
      <c r="O2465" s="116">
        <v>1897.2</v>
      </c>
      <c r="P2465" s="116">
        <v>1924.2</v>
      </c>
      <c r="Q2465" s="116">
        <v>1923.65</v>
      </c>
      <c r="R2465">
        <v>4274645</v>
      </c>
    </row>
    <row r="2466" spans="1:18" x14ac:dyDescent="0.25">
      <c r="A2466" s="170">
        <v>45636</v>
      </c>
      <c r="B2466" s="116">
        <v>1965</v>
      </c>
      <c r="C2466" s="116">
        <v>1948.7</v>
      </c>
      <c r="D2466" s="116">
        <v>1930</v>
      </c>
      <c r="E2466" s="116">
        <v>1930</v>
      </c>
      <c r="F2466" s="116">
        <v>1948.7</v>
      </c>
      <c r="G2466">
        <v>192342</v>
      </c>
      <c r="H2466" s="116"/>
      <c r="I2466" s="116"/>
      <c r="L2466" s="170">
        <v>45636</v>
      </c>
      <c r="M2466" s="116">
        <v>1948.55</v>
      </c>
      <c r="N2466" s="116">
        <v>1965.6</v>
      </c>
      <c r="O2466" s="116">
        <v>1932</v>
      </c>
      <c r="P2466" s="116">
        <v>1939</v>
      </c>
      <c r="Q2466" s="116">
        <v>1948.55</v>
      </c>
      <c r="R2466">
        <v>6174921</v>
      </c>
    </row>
    <row r="2467" spans="1:18" x14ac:dyDescent="0.25">
      <c r="A2467" s="170">
        <v>45637</v>
      </c>
      <c r="B2467" s="116">
        <v>1977.55</v>
      </c>
      <c r="C2467" s="116">
        <v>1968.7</v>
      </c>
      <c r="D2467" s="116">
        <v>1947.35</v>
      </c>
      <c r="E2467" s="116">
        <v>1952.55</v>
      </c>
      <c r="F2467" s="116">
        <v>1968.7</v>
      </c>
      <c r="G2467">
        <v>208326</v>
      </c>
      <c r="H2467" s="116"/>
      <c r="I2467" s="116"/>
      <c r="L2467" s="170">
        <v>45637</v>
      </c>
      <c r="M2467" s="116">
        <v>1974.15</v>
      </c>
      <c r="N2467" s="116">
        <v>1978</v>
      </c>
      <c r="O2467" s="116">
        <v>1952</v>
      </c>
      <c r="P2467" s="116">
        <v>1955</v>
      </c>
      <c r="Q2467" s="116">
        <v>1974.15</v>
      </c>
      <c r="R2467">
        <v>5025612</v>
      </c>
    </row>
    <row r="2468" spans="1:18" x14ac:dyDescent="0.25">
      <c r="A2468" s="170">
        <v>45638</v>
      </c>
      <c r="B2468" s="116">
        <v>1998.65</v>
      </c>
      <c r="C2468" s="116">
        <v>1986.75</v>
      </c>
      <c r="D2468" s="116">
        <v>1973</v>
      </c>
      <c r="E2468" s="116">
        <v>1975</v>
      </c>
      <c r="F2468" s="116">
        <v>1986.75</v>
      </c>
      <c r="G2468">
        <v>109677</v>
      </c>
      <c r="H2468" s="116"/>
      <c r="I2468" s="116"/>
      <c r="L2468" s="170">
        <v>45638</v>
      </c>
      <c r="M2468" s="116">
        <v>1987</v>
      </c>
      <c r="N2468" s="116">
        <v>1998.8</v>
      </c>
      <c r="O2468" s="116">
        <v>1970.55</v>
      </c>
      <c r="P2468" s="116">
        <v>1975.2</v>
      </c>
      <c r="Q2468" s="116">
        <v>1987</v>
      </c>
      <c r="R2468">
        <v>6462130</v>
      </c>
    </row>
    <row r="2469" spans="1:18" x14ac:dyDescent="0.25">
      <c r="A2469" s="170">
        <v>45639</v>
      </c>
      <c r="B2469" s="116">
        <v>2006.8</v>
      </c>
      <c r="C2469" s="116">
        <v>1999.85</v>
      </c>
      <c r="D2469" s="116">
        <v>1946.45</v>
      </c>
      <c r="E2469" s="116">
        <v>1969.6</v>
      </c>
      <c r="F2469" s="116">
        <v>1999.85</v>
      </c>
      <c r="G2469">
        <v>182861</v>
      </c>
      <c r="H2469" s="116"/>
      <c r="I2469" s="116"/>
      <c r="L2469" s="170">
        <v>45639</v>
      </c>
      <c r="M2469" s="116">
        <v>1999.7</v>
      </c>
      <c r="N2469" s="116">
        <v>2006.45</v>
      </c>
      <c r="O2469" s="116">
        <v>1953.8</v>
      </c>
      <c r="P2469" s="116">
        <v>1969.75</v>
      </c>
      <c r="Q2469" s="116">
        <v>1999.7</v>
      </c>
      <c r="R2469">
        <v>5362693</v>
      </c>
    </row>
    <row r="2470" spans="1:18" x14ac:dyDescent="0.25">
      <c r="A2470" s="170">
        <v>45642</v>
      </c>
      <c r="B2470" s="116">
        <v>1999.25</v>
      </c>
      <c r="C2470" s="116">
        <v>1979.65</v>
      </c>
      <c r="D2470" s="116">
        <v>1977.4</v>
      </c>
      <c r="E2470" s="116">
        <v>1990.3</v>
      </c>
      <c r="F2470" s="116">
        <v>1979.65</v>
      </c>
      <c r="G2470">
        <v>73924</v>
      </c>
      <c r="H2470" s="116"/>
      <c r="I2470" s="116"/>
      <c r="L2470" s="170">
        <v>45642</v>
      </c>
      <c r="M2470" s="116">
        <v>1980.05</v>
      </c>
      <c r="N2470" s="116">
        <v>1999.6</v>
      </c>
      <c r="O2470" s="116">
        <v>1977.6</v>
      </c>
      <c r="P2470" s="116">
        <v>1995.45</v>
      </c>
      <c r="Q2470" s="116">
        <v>1980.05</v>
      </c>
      <c r="R2470">
        <v>3119221</v>
      </c>
    </row>
    <row r="2471" spans="1:18" x14ac:dyDescent="0.25">
      <c r="A2471" s="170">
        <v>45643</v>
      </c>
      <c r="B2471" s="116">
        <v>1980.55</v>
      </c>
      <c r="C2471" s="116">
        <v>1976.65</v>
      </c>
      <c r="D2471" s="116">
        <v>1959</v>
      </c>
      <c r="E2471" s="116">
        <v>1970</v>
      </c>
      <c r="F2471" s="116">
        <v>1976.65</v>
      </c>
      <c r="G2471">
        <v>38762</v>
      </c>
      <c r="H2471" s="116"/>
      <c r="I2471" s="116"/>
      <c r="L2471" s="170">
        <v>45643</v>
      </c>
      <c r="M2471" s="116">
        <v>1976.6</v>
      </c>
      <c r="N2471" s="116">
        <v>1982</v>
      </c>
      <c r="O2471" s="116">
        <v>1958</v>
      </c>
      <c r="P2471" s="116">
        <v>1968</v>
      </c>
      <c r="Q2471" s="116">
        <v>1976.6</v>
      </c>
      <c r="R2471">
        <v>5811050</v>
      </c>
    </row>
    <row r="2472" spans="1:18" x14ac:dyDescent="0.25">
      <c r="A2472" s="170">
        <v>45644</v>
      </c>
      <c r="B2472" s="116">
        <v>1984.45</v>
      </c>
      <c r="C2472" s="116">
        <v>1978.9</v>
      </c>
      <c r="D2472" s="116">
        <v>1962.15</v>
      </c>
      <c r="E2472" s="116">
        <v>1965.05</v>
      </c>
      <c r="F2472" s="116">
        <v>1978.9</v>
      </c>
      <c r="G2472">
        <v>91783</v>
      </c>
      <c r="H2472" s="116"/>
      <c r="I2472" s="116"/>
      <c r="L2472" s="170">
        <v>45644</v>
      </c>
      <c r="M2472" s="116">
        <v>1979.15</v>
      </c>
      <c r="N2472" s="116">
        <v>1984.95</v>
      </c>
      <c r="O2472" s="116">
        <v>1961.6</v>
      </c>
      <c r="P2472" s="116">
        <v>1966.8</v>
      </c>
      <c r="Q2472" s="116">
        <v>1979.15</v>
      </c>
      <c r="R2472">
        <v>3064095</v>
      </c>
    </row>
    <row r="2473" spans="1:18" x14ac:dyDescent="0.25">
      <c r="A2473" s="170">
        <v>45645</v>
      </c>
      <c r="B2473" s="116">
        <v>1959</v>
      </c>
      <c r="C2473" s="116">
        <v>1948.15</v>
      </c>
      <c r="D2473" s="116">
        <v>1921</v>
      </c>
      <c r="E2473" s="116">
        <v>1939.35</v>
      </c>
      <c r="F2473" s="116">
        <v>1948.15</v>
      </c>
      <c r="G2473">
        <v>75296</v>
      </c>
      <c r="H2473" s="116"/>
      <c r="I2473" s="116"/>
      <c r="L2473" s="170">
        <v>45645</v>
      </c>
      <c r="M2473" s="116">
        <v>1946.2</v>
      </c>
      <c r="N2473" s="116">
        <v>1959.75</v>
      </c>
      <c r="O2473" s="116">
        <v>1920</v>
      </c>
      <c r="P2473" s="116">
        <v>1934</v>
      </c>
      <c r="Q2473" s="116">
        <v>1946.2</v>
      </c>
      <c r="R2473">
        <v>5323592</v>
      </c>
    </row>
    <row r="2474" spans="1:18" x14ac:dyDescent="0.25">
      <c r="A2474" s="170">
        <v>45646</v>
      </c>
      <c r="B2474" s="116">
        <v>1981.65</v>
      </c>
      <c r="C2474" s="116">
        <v>1922.05</v>
      </c>
      <c r="D2474" s="116">
        <v>1911.25</v>
      </c>
      <c r="E2474" s="116">
        <v>1972</v>
      </c>
      <c r="F2474" s="116">
        <v>1922.05</v>
      </c>
      <c r="G2474">
        <v>251755</v>
      </c>
      <c r="H2474" s="116"/>
      <c r="I2474" s="116"/>
      <c r="L2474" s="170">
        <v>45646</v>
      </c>
      <c r="M2474" s="116">
        <v>1922.15</v>
      </c>
      <c r="N2474" s="116">
        <v>1979.95</v>
      </c>
      <c r="O2474" s="116">
        <v>1911.25</v>
      </c>
      <c r="P2474" s="116">
        <v>1975.15</v>
      </c>
      <c r="Q2474" s="116">
        <v>1922.15</v>
      </c>
      <c r="R2474">
        <v>11056720</v>
      </c>
    </row>
    <row r="2475" spans="1:18" x14ac:dyDescent="0.25">
      <c r="A2475" s="170">
        <v>45649</v>
      </c>
      <c r="B2475" s="116">
        <v>1940.45</v>
      </c>
      <c r="C2475" s="116">
        <v>1923.85</v>
      </c>
      <c r="D2475" s="116">
        <v>1909.25</v>
      </c>
      <c r="E2475" s="116">
        <v>1927.15</v>
      </c>
      <c r="F2475" s="116">
        <v>1923.85</v>
      </c>
      <c r="G2475">
        <v>65647</v>
      </c>
      <c r="H2475" s="116"/>
      <c r="I2475" s="116"/>
      <c r="L2475" s="170">
        <v>45649</v>
      </c>
      <c r="M2475" s="116">
        <v>1924.3</v>
      </c>
      <c r="N2475" s="116">
        <v>1940</v>
      </c>
      <c r="O2475" s="116">
        <v>1909</v>
      </c>
      <c r="P2475" s="116">
        <v>1930.05</v>
      </c>
      <c r="Q2475" s="116">
        <v>1924.3</v>
      </c>
      <c r="R2475">
        <v>2781793</v>
      </c>
    </row>
    <row r="2476" spans="1:18" x14ac:dyDescent="0.25">
      <c r="A2476" s="170">
        <v>45650</v>
      </c>
      <c r="B2476" s="116">
        <v>1941.75</v>
      </c>
      <c r="C2476" s="116">
        <v>1909.3</v>
      </c>
      <c r="D2476" s="116">
        <v>1900.25</v>
      </c>
      <c r="E2476" s="116">
        <v>1924.15</v>
      </c>
      <c r="F2476" s="116">
        <v>1909.3</v>
      </c>
      <c r="G2476">
        <v>225966</v>
      </c>
      <c r="H2476" s="116"/>
      <c r="I2476" s="116"/>
      <c r="L2476" s="170">
        <v>45650</v>
      </c>
      <c r="M2476" s="116">
        <v>1909.05</v>
      </c>
      <c r="N2476" s="116">
        <v>1942</v>
      </c>
      <c r="O2476" s="116">
        <v>1840</v>
      </c>
      <c r="P2476" s="116">
        <v>1927.05</v>
      </c>
      <c r="Q2476" s="116">
        <v>1909.05</v>
      </c>
      <c r="R2476">
        <v>2360544</v>
      </c>
    </row>
    <row r="2477" spans="1:18" x14ac:dyDescent="0.25">
      <c r="A2477" s="170">
        <v>45652</v>
      </c>
      <c r="B2477" s="116">
        <v>1920.9</v>
      </c>
      <c r="C2477" s="116">
        <v>1906.2</v>
      </c>
      <c r="D2477" s="116">
        <v>1902.5</v>
      </c>
      <c r="E2477" s="116">
        <v>1906</v>
      </c>
      <c r="F2477" s="116">
        <v>1906.2</v>
      </c>
      <c r="G2477">
        <v>294282</v>
      </c>
      <c r="H2477" s="116"/>
      <c r="I2477" s="116"/>
      <c r="L2477" s="170">
        <v>45652</v>
      </c>
      <c r="M2477" s="116">
        <v>1907.4</v>
      </c>
      <c r="N2477" s="116">
        <v>1919.75</v>
      </c>
      <c r="O2477" s="116">
        <v>1902.3</v>
      </c>
      <c r="P2477" s="116">
        <v>1909.05</v>
      </c>
      <c r="Q2477" s="116">
        <v>1907.4</v>
      </c>
      <c r="R2477">
        <v>3623321</v>
      </c>
    </row>
    <row r="2478" spans="1:18" x14ac:dyDescent="0.25">
      <c r="A2478" s="170">
        <v>45653</v>
      </c>
      <c r="B2478" s="116">
        <v>1924</v>
      </c>
      <c r="C2478" s="116">
        <v>1916.55</v>
      </c>
      <c r="D2478" s="116">
        <v>1904</v>
      </c>
      <c r="E2478" s="116">
        <v>1915.95</v>
      </c>
      <c r="F2478" s="116">
        <v>1916.55</v>
      </c>
      <c r="G2478">
        <v>299022</v>
      </c>
      <c r="H2478" s="116"/>
      <c r="I2478" s="116"/>
      <c r="L2478" s="170">
        <v>45653</v>
      </c>
      <c r="M2478" s="116">
        <v>1916.75</v>
      </c>
      <c r="N2478" s="116">
        <v>1924.15</v>
      </c>
      <c r="O2478" s="116">
        <v>1903.9</v>
      </c>
      <c r="P2478" s="116">
        <v>1909.4</v>
      </c>
      <c r="Q2478" s="116">
        <v>1916.75</v>
      </c>
      <c r="R2478">
        <v>3937500</v>
      </c>
    </row>
    <row r="2479" spans="1:18" x14ac:dyDescent="0.25">
      <c r="A2479" s="170">
        <v>45656</v>
      </c>
      <c r="B2479" s="116">
        <v>1916</v>
      </c>
      <c r="C2479" s="116">
        <v>1905.7</v>
      </c>
      <c r="D2479" s="116">
        <v>1886.45</v>
      </c>
      <c r="E2479" s="116">
        <v>1916</v>
      </c>
      <c r="F2479" s="116">
        <v>1905.7</v>
      </c>
      <c r="G2479">
        <v>232307</v>
      </c>
      <c r="H2479" s="116"/>
      <c r="I2479" s="116"/>
      <c r="L2479" s="170">
        <v>45656</v>
      </c>
      <c r="M2479" s="116">
        <v>1906</v>
      </c>
      <c r="N2479" s="116">
        <v>1916</v>
      </c>
      <c r="O2479" s="116">
        <v>1886.5</v>
      </c>
      <c r="P2479" s="116">
        <v>1915.7</v>
      </c>
      <c r="Q2479" s="116">
        <v>1906</v>
      </c>
      <c r="R2479">
        <v>7789055</v>
      </c>
    </row>
    <row r="2480" spans="1:18" x14ac:dyDescent="0.25">
      <c r="A2480" s="170">
        <v>45657</v>
      </c>
      <c r="B2480" s="116">
        <v>1895.3</v>
      </c>
      <c r="C2480" s="116">
        <v>1880.7</v>
      </c>
      <c r="D2480" s="116">
        <v>1845.7</v>
      </c>
      <c r="E2480" s="116">
        <v>1895</v>
      </c>
      <c r="F2480" s="116">
        <v>1880.7</v>
      </c>
      <c r="G2480">
        <v>49186</v>
      </c>
      <c r="H2480" s="116"/>
      <c r="I2480" s="116"/>
      <c r="L2480" s="170">
        <v>45657</v>
      </c>
      <c r="M2480" s="116">
        <v>1880</v>
      </c>
      <c r="N2480" s="116">
        <v>1897</v>
      </c>
      <c r="O2480" s="116">
        <v>1845.05</v>
      </c>
      <c r="P2480" s="116">
        <v>1892.3</v>
      </c>
      <c r="Q2480" s="116">
        <v>1880</v>
      </c>
      <c r="R2480">
        <v>3613063</v>
      </c>
    </row>
    <row r="2481" spans="1:18" x14ac:dyDescent="0.25">
      <c r="A2481" s="170">
        <v>45658</v>
      </c>
      <c r="B2481" s="116">
        <v>1892.1</v>
      </c>
      <c r="C2481" s="116">
        <v>1882.65</v>
      </c>
      <c r="D2481" s="116">
        <v>1875</v>
      </c>
      <c r="E2481" s="116">
        <v>1879.95</v>
      </c>
      <c r="F2481" s="116">
        <v>1882.65</v>
      </c>
      <c r="G2481">
        <v>180770</v>
      </c>
      <c r="H2481" s="116"/>
      <c r="I2481" s="116"/>
      <c r="L2481" s="170">
        <v>45658</v>
      </c>
      <c r="M2481" s="116">
        <v>1882.5</v>
      </c>
      <c r="N2481" s="116">
        <v>1892.95</v>
      </c>
      <c r="O2481" s="116">
        <v>1874</v>
      </c>
      <c r="P2481" s="116">
        <v>1874</v>
      </c>
      <c r="Q2481" s="116">
        <v>1882.5</v>
      </c>
      <c r="R2481">
        <v>1838368</v>
      </c>
    </row>
    <row r="2482" spans="1:18" x14ac:dyDescent="0.25">
      <c r="A2482" s="170">
        <v>45659</v>
      </c>
      <c r="B2482" s="116">
        <v>1962.05</v>
      </c>
      <c r="C2482" s="116">
        <v>1957.65</v>
      </c>
      <c r="D2482" s="116">
        <v>1885</v>
      </c>
      <c r="E2482" s="116">
        <v>1890</v>
      </c>
      <c r="F2482" s="116">
        <v>1957.65</v>
      </c>
      <c r="G2482">
        <v>232274</v>
      </c>
      <c r="H2482" s="116"/>
      <c r="I2482" s="116"/>
      <c r="L2482" s="170">
        <v>45659</v>
      </c>
      <c r="M2482" s="116">
        <v>1957.85</v>
      </c>
      <c r="N2482" s="116">
        <v>1962.65</v>
      </c>
      <c r="O2482" s="116">
        <v>1885.3</v>
      </c>
      <c r="P2482" s="116">
        <v>1887</v>
      </c>
      <c r="Q2482" s="116">
        <v>1957.85</v>
      </c>
      <c r="R2482">
        <v>7083645</v>
      </c>
    </row>
    <row r="2483" spans="1:18" x14ac:dyDescent="0.25">
      <c r="A2483" s="170">
        <v>45660</v>
      </c>
      <c r="B2483" s="116">
        <v>1957.45</v>
      </c>
      <c r="C2483" s="116">
        <v>1938.3</v>
      </c>
      <c r="D2483" s="116">
        <v>1922.2</v>
      </c>
      <c r="E2483" s="116">
        <v>1957.45</v>
      </c>
      <c r="F2483" s="116">
        <v>1938.3</v>
      </c>
      <c r="G2483">
        <v>205298</v>
      </c>
      <c r="H2483" s="116"/>
      <c r="I2483" s="116"/>
      <c r="L2483" s="170">
        <v>45660</v>
      </c>
      <c r="M2483" s="116">
        <v>1938.75</v>
      </c>
      <c r="N2483" s="116">
        <v>1952.95</v>
      </c>
      <c r="O2483" s="116">
        <v>1922</v>
      </c>
      <c r="P2483" s="116">
        <v>1952.95</v>
      </c>
      <c r="Q2483" s="116">
        <v>1938.75</v>
      </c>
      <c r="R2483">
        <v>6218003</v>
      </c>
    </row>
    <row r="2484" spans="1:18" x14ac:dyDescent="0.25">
      <c r="A2484" s="170">
        <v>45663</v>
      </c>
      <c r="B2484" s="116">
        <v>1972.95</v>
      </c>
      <c r="C2484" s="116">
        <v>1937.85</v>
      </c>
      <c r="D2484" s="116">
        <v>1927.85</v>
      </c>
      <c r="E2484" s="116">
        <v>1954.65</v>
      </c>
      <c r="F2484" s="116">
        <v>1937.85</v>
      </c>
      <c r="G2484">
        <v>189323</v>
      </c>
      <c r="H2484" s="116"/>
      <c r="I2484" s="116"/>
      <c r="L2484" s="170">
        <v>45663</v>
      </c>
      <c r="M2484" s="116">
        <v>1937.85</v>
      </c>
      <c r="N2484" s="116">
        <v>1973</v>
      </c>
      <c r="O2484" s="116">
        <v>1928</v>
      </c>
      <c r="P2484" s="116">
        <v>1952</v>
      </c>
      <c r="Q2484" s="116">
        <v>1937.85</v>
      </c>
      <c r="R2484">
        <v>7164403</v>
      </c>
    </row>
    <row r="2485" spans="1:18" x14ac:dyDescent="0.25">
      <c r="A2485" s="170">
        <v>45664</v>
      </c>
      <c r="B2485" s="116">
        <v>1959.4</v>
      </c>
      <c r="C2485" s="116">
        <v>1932.55</v>
      </c>
      <c r="D2485" s="116">
        <v>1924.4</v>
      </c>
      <c r="E2485" s="116">
        <v>1938.45</v>
      </c>
      <c r="F2485" s="116">
        <v>1932.55</v>
      </c>
      <c r="G2485">
        <v>244697</v>
      </c>
      <c r="H2485" s="116"/>
      <c r="I2485" s="116"/>
      <c r="L2485" s="170">
        <v>45664</v>
      </c>
      <c r="M2485" s="116">
        <v>1930.85</v>
      </c>
      <c r="N2485" s="116">
        <v>1958.55</v>
      </c>
      <c r="O2485" s="116">
        <v>1923.65</v>
      </c>
      <c r="P2485" s="116">
        <v>1945</v>
      </c>
      <c r="Q2485" s="116">
        <v>1930.85</v>
      </c>
      <c r="R2485">
        <v>4294832</v>
      </c>
    </row>
    <row r="2486" spans="1:18" x14ac:dyDescent="0.25">
      <c r="A2486" s="170">
        <v>45665</v>
      </c>
      <c r="B2486" s="116">
        <v>1938.95</v>
      </c>
      <c r="C2486" s="116">
        <v>1933.15</v>
      </c>
      <c r="D2486" s="116">
        <v>1888.3</v>
      </c>
      <c r="E2486" s="116">
        <v>1922.05</v>
      </c>
      <c r="F2486" s="116">
        <v>1933.15</v>
      </c>
      <c r="G2486">
        <v>201177</v>
      </c>
      <c r="H2486" s="116"/>
      <c r="I2486" s="116"/>
      <c r="L2486" s="170">
        <v>45665</v>
      </c>
      <c r="M2486" s="116">
        <v>1933.15</v>
      </c>
      <c r="N2486" s="116">
        <v>1938.6</v>
      </c>
      <c r="O2486" s="116">
        <v>1888.75</v>
      </c>
      <c r="P2486" s="116">
        <v>1930</v>
      </c>
      <c r="Q2486" s="116">
        <v>1933.15</v>
      </c>
      <c r="R2486">
        <v>5482050</v>
      </c>
    </row>
    <row r="2487" spans="1:18" x14ac:dyDescent="0.25">
      <c r="A2487" s="170">
        <v>45666</v>
      </c>
      <c r="B2487" s="116">
        <v>1952</v>
      </c>
      <c r="C2487" s="116">
        <v>1917.8</v>
      </c>
      <c r="D2487" s="116">
        <v>1909.85</v>
      </c>
      <c r="E2487" s="116">
        <v>1941.85</v>
      </c>
      <c r="F2487" s="116">
        <v>1917.8</v>
      </c>
      <c r="G2487">
        <v>272548</v>
      </c>
      <c r="H2487" s="116"/>
      <c r="I2487" s="116"/>
      <c r="L2487" s="170">
        <v>45666</v>
      </c>
      <c r="M2487" s="116">
        <v>1917.3</v>
      </c>
      <c r="N2487" s="116">
        <v>1951.85</v>
      </c>
      <c r="O2487" s="116">
        <v>1910.55</v>
      </c>
      <c r="P2487" s="116">
        <v>1934.05</v>
      </c>
      <c r="Q2487" s="116">
        <v>1917.3</v>
      </c>
      <c r="R2487">
        <v>6833503</v>
      </c>
    </row>
    <row r="2488" spans="1:18" x14ac:dyDescent="0.25">
      <c r="A2488" s="170">
        <v>45667</v>
      </c>
      <c r="B2488" s="116">
        <v>1977</v>
      </c>
      <c r="C2488" s="116">
        <v>1966.7</v>
      </c>
      <c r="D2488" s="116">
        <v>1931.55</v>
      </c>
      <c r="E2488" s="116">
        <v>1931.55</v>
      </c>
      <c r="F2488" s="116">
        <v>1966.7</v>
      </c>
      <c r="G2488">
        <v>320367</v>
      </c>
      <c r="H2488" s="116"/>
      <c r="I2488" s="116"/>
      <c r="L2488" s="170">
        <v>45667</v>
      </c>
      <c r="M2488" s="116">
        <v>1966.95</v>
      </c>
      <c r="N2488" s="116">
        <v>1977.8</v>
      </c>
      <c r="O2488" s="116">
        <v>1932.25</v>
      </c>
      <c r="P2488" s="116">
        <v>1937</v>
      </c>
      <c r="Q2488" s="116">
        <v>1966.95</v>
      </c>
      <c r="R2488">
        <v>8036913</v>
      </c>
    </row>
    <row r="2489" spans="1:18" x14ac:dyDescent="0.25">
      <c r="A2489" s="170">
        <v>45670</v>
      </c>
      <c r="B2489" s="116">
        <v>1982.55</v>
      </c>
      <c r="C2489" s="116">
        <v>1961.8</v>
      </c>
      <c r="D2489" s="116">
        <v>1948.75</v>
      </c>
      <c r="E2489" s="116">
        <v>1950.05</v>
      </c>
      <c r="F2489" s="116">
        <v>1961.8</v>
      </c>
      <c r="G2489">
        <v>140309</v>
      </c>
      <c r="H2489" s="116"/>
      <c r="I2489" s="116"/>
      <c r="L2489" s="170">
        <v>45670</v>
      </c>
      <c r="M2489" s="116">
        <v>1962.2</v>
      </c>
      <c r="N2489" s="116">
        <v>1982.8</v>
      </c>
      <c r="O2489" s="116">
        <v>1949</v>
      </c>
      <c r="P2489" s="116">
        <v>1956</v>
      </c>
      <c r="Q2489" s="116">
        <v>1962.2</v>
      </c>
      <c r="R2489">
        <v>5804152</v>
      </c>
    </row>
    <row r="2490" spans="1:18" x14ac:dyDescent="0.25">
      <c r="A2490" s="170">
        <v>45671</v>
      </c>
      <c r="B2490" s="116">
        <v>1972</v>
      </c>
      <c r="C2490" s="116">
        <v>1939.3</v>
      </c>
      <c r="D2490" s="116">
        <v>1931.25</v>
      </c>
      <c r="E2490" s="116">
        <v>1960.05</v>
      </c>
      <c r="F2490" s="116">
        <v>1939.3</v>
      </c>
      <c r="G2490">
        <v>215561</v>
      </c>
      <c r="H2490" s="116"/>
      <c r="I2490" s="116"/>
      <c r="L2490" s="170">
        <v>45671</v>
      </c>
      <c r="M2490" s="116">
        <v>1940.05</v>
      </c>
      <c r="N2490" s="116">
        <v>1971.8</v>
      </c>
      <c r="O2490" s="116">
        <v>1931.1</v>
      </c>
      <c r="P2490" s="116">
        <v>1968.85</v>
      </c>
      <c r="Q2490" s="116">
        <v>1940.05</v>
      </c>
      <c r="R2490">
        <v>5792162</v>
      </c>
    </row>
    <row r="2491" spans="1:18" x14ac:dyDescent="0.25">
      <c r="A2491" s="170">
        <v>45672</v>
      </c>
      <c r="B2491" s="116">
        <v>1957.9</v>
      </c>
      <c r="C2491" s="116">
        <v>1949.8</v>
      </c>
      <c r="D2491" s="116">
        <v>1938</v>
      </c>
      <c r="E2491" s="116">
        <v>1951.95</v>
      </c>
      <c r="F2491" s="116">
        <v>1949.8</v>
      </c>
      <c r="G2491">
        <v>40167</v>
      </c>
      <c r="H2491" s="116"/>
      <c r="I2491" s="116"/>
      <c r="L2491" s="170">
        <v>45672</v>
      </c>
      <c r="M2491" s="116">
        <v>1949.65</v>
      </c>
      <c r="N2491" s="116">
        <v>1958.05</v>
      </c>
      <c r="O2491" s="116">
        <v>1937.1</v>
      </c>
      <c r="P2491" s="116">
        <v>1947</v>
      </c>
      <c r="Q2491" s="116">
        <v>1949.65</v>
      </c>
      <c r="R2491">
        <v>2985439</v>
      </c>
    </row>
    <row r="2492" spans="1:18" x14ac:dyDescent="0.25">
      <c r="A2492" s="170">
        <v>45673</v>
      </c>
      <c r="B2492" s="116">
        <v>1967.75</v>
      </c>
      <c r="C2492" s="116">
        <v>1926.2</v>
      </c>
      <c r="D2492" s="116">
        <v>1917.75</v>
      </c>
      <c r="E2492" s="116">
        <v>1962.4</v>
      </c>
      <c r="F2492" s="116">
        <v>1926.2</v>
      </c>
      <c r="G2492">
        <v>113338</v>
      </c>
      <c r="H2492" s="116"/>
      <c r="I2492" s="116"/>
      <c r="L2492" s="170">
        <v>45673</v>
      </c>
      <c r="M2492" s="116">
        <v>1928.45</v>
      </c>
      <c r="N2492" s="116">
        <v>1966.95</v>
      </c>
      <c r="O2492" s="116">
        <v>1916.85</v>
      </c>
      <c r="P2492" s="116">
        <v>1965.95</v>
      </c>
      <c r="Q2492" s="116">
        <v>1928.45</v>
      </c>
      <c r="R2492">
        <v>7533579</v>
      </c>
    </row>
    <row r="2493" spans="1:18" x14ac:dyDescent="0.25">
      <c r="A2493" s="170">
        <v>45674</v>
      </c>
      <c r="B2493" s="116">
        <v>1869.95</v>
      </c>
      <c r="C2493" s="116">
        <v>1815.1</v>
      </c>
      <c r="D2493" s="116">
        <v>1812.7</v>
      </c>
      <c r="E2493" s="116">
        <v>1869.95</v>
      </c>
      <c r="F2493" s="116">
        <v>1815.1</v>
      </c>
      <c r="G2493">
        <v>256183</v>
      </c>
      <c r="H2493" s="116"/>
      <c r="I2493" s="116"/>
      <c r="L2493" s="170">
        <v>45674</v>
      </c>
      <c r="M2493" s="116">
        <v>1815.45</v>
      </c>
      <c r="N2493" s="116">
        <v>1858</v>
      </c>
      <c r="O2493" s="116">
        <v>1812</v>
      </c>
      <c r="P2493" s="116">
        <v>1851</v>
      </c>
      <c r="Q2493" s="116">
        <v>1815.45</v>
      </c>
      <c r="R2493">
        <v>16409953</v>
      </c>
    </row>
    <row r="2494" spans="1:18" x14ac:dyDescent="0.25">
      <c r="A2494" s="170">
        <v>45677</v>
      </c>
      <c r="B2494" s="116">
        <v>1831.6</v>
      </c>
      <c r="C2494" s="116">
        <v>1813.25</v>
      </c>
      <c r="D2494" s="116">
        <v>1793.2</v>
      </c>
      <c r="E2494" s="116">
        <v>1822.4</v>
      </c>
      <c r="F2494" s="116">
        <v>1813.25</v>
      </c>
      <c r="G2494">
        <v>54311</v>
      </c>
      <c r="H2494" s="116"/>
      <c r="I2494" s="116"/>
      <c r="L2494" s="170">
        <v>45677</v>
      </c>
      <c r="M2494" s="116">
        <v>1813.3</v>
      </c>
      <c r="N2494" s="116">
        <v>1827.95</v>
      </c>
      <c r="O2494" s="116">
        <v>1793.15</v>
      </c>
      <c r="P2494" s="116">
        <v>1822.95</v>
      </c>
      <c r="Q2494" s="116">
        <v>1813.3</v>
      </c>
      <c r="R2494">
        <v>4333011</v>
      </c>
    </row>
    <row r="2495" spans="1:18" x14ac:dyDescent="0.25">
      <c r="A2495" s="170">
        <v>45678</v>
      </c>
      <c r="B2495" s="116">
        <v>1831.85</v>
      </c>
      <c r="C2495" s="116">
        <v>1799.8</v>
      </c>
      <c r="D2495" s="116">
        <v>1792.45</v>
      </c>
      <c r="E2495" s="116">
        <v>1820</v>
      </c>
      <c r="F2495" s="116">
        <v>1799.8</v>
      </c>
      <c r="G2495">
        <v>504737</v>
      </c>
      <c r="H2495" s="116"/>
      <c r="I2495" s="116"/>
      <c r="L2495" s="170">
        <v>45678</v>
      </c>
      <c r="M2495" s="116">
        <v>1800.7</v>
      </c>
      <c r="N2495" s="116">
        <v>1831.65</v>
      </c>
      <c r="O2495" s="116">
        <v>1793.05</v>
      </c>
      <c r="P2495" s="116">
        <v>1819.05</v>
      </c>
      <c r="Q2495" s="116">
        <v>1800.7</v>
      </c>
      <c r="R2495">
        <v>7169109</v>
      </c>
    </row>
    <row r="2496" spans="1:18" x14ac:dyDescent="0.25">
      <c r="A2496" s="170">
        <v>45679</v>
      </c>
      <c r="B2496" s="116">
        <v>1865.4</v>
      </c>
      <c r="C2496" s="116">
        <v>1856.6</v>
      </c>
      <c r="D2496" s="116">
        <v>1806.1</v>
      </c>
      <c r="E2496" s="116">
        <v>1806.1</v>
      </c>
      <c r="F2496" s="116">
        <v>1856.6</v>
      </c>
      <c r="G2496">
        <v>142272</v>
      </c>
      <c r="H2496" s="116"/>
      <c r="I2496" s="116"/>
      <c r="L2496" s="170">
        <v>45679</v>
      </c>
      <c r="M2496" s="116">
        <v>1856.45</v>
      </c>
      <c r="N2496" s="116">
        <v>1865.8</v>
      </c>
      <c r="O2496" s="116">
        <v>1805.15</v>
      </c>
      <c r="P2496" s="116">
        <v>1807.4</v>
      </c>
      <c r="Q2496" s="116">
        <v>1856.45</v>
      </c>
      <c r="R2496">
        <v>8373913</v>
      </c>
    </row>
    <row r="2497" spans="1:18" x14ac:dyDescent="0.25">
      <c r="A2497" s="170">
        <v>45680</v>
      </c>
      <c r="B2497" s="116">
        <v>1879.5</v>
      </c>
      <c r="C2497" s="116">
        <v>1864.8</v>
      </c>
      <c r="D2497" s="116">
        <v>1850.65</v>
      </c>
      <c r="E2497" s="116">
        <v>1856.45</v>
      </c>
      <c r="F2497" s="116">
        <v>1864.8</v>
      </c>
      <c r="G2497">
        <v>135461</v>
      </c>
      <c r="H2497" s="116"/>
      <c r="I2497" s="116"/>
      <c r="L2497" s="170">
        <v>45680</v>
      </c>
      <c r="M2497" s="116">
        <v>1865.45</v>
      </c>
      <c r="N2497" s="116">
        <v>1879.55</v>
      </c>
      <c r="O2497" s="116">
        <v>1852.7</v>
      </c>
      <c r="P2497" s="116">
        <v>1858</v>
      </c>
      <c r="Q2497" s="116">
        <v>1865.45</v>
      </c>
      <c r="R2497">
        <v>5907471</v>
      </c>
    </row>
    <row r="2498" spans="1:18" x14ac:dyDescent="0.25">
      <c r="A2498" s="170">
        <v>45681</v>
      </c>
      <c r="B2498" s="116">
        <v>1894.85</v>
      </c>
      <c r="C2498" s="116">
        <v>1875.15</v>
      </c>
      <c r="D2498" s="116">
        <v>1864.8</v>
      </c>
      <c r="E2498" s="116">
        <v>1865</v>
      </c>
      <c r="F2498" s="116">
        <v>1875.15</v>
      </c>
      <c r="G2498">
        <v>273838</v>
      </c>
      <c r="H2498" s="116"/>
      <c r="I2498" s="116"/>
      <c r="L2498" s="170">
        <v>45681</v>
      </c>
      <c r="M2498" s="116">
        <v>1875.45</v>
      </c>
      <c r="N2498" s="116">
        <v>1894.9</v>
      </c>
      <c r="O2498" s="116">
        <v>1864.25</v>
      </c>
      <c r="P2498" s="116">
        <v>1865.5</v>
      </c>
      <c r="Q2498" s="116">
        <v>1875.45</v>
      </c>
      <c r="R2498">
        <v>4887027</v>
      </c>
    </row>
    <row r="2499" spans="1:18" x14ac:dyDescent="0.25">
      <c r="A2499" s="170">
        <v>45684</v>
      </c>
      <c r="B2499" s="116">
        <v>1862.45</v>
      </c>
      <c r="C2499" s="116">
        <v>1822.1</v>
      </c>
      <c r="D2499" s="116">
        <v>1812.9</v>
      </c>
      <c r="E2499" s="116">
        <v>1850</v>
      </c>
      <c r="F2499" s="116">
        <v>1822.1</v>
      </c>
      <c r="G2499">
        <v>93143</v>
      </c>
      <c r="H2499" s="116"/>
      <c r="I2499" s="116"/>
      <c r="L2499" s="170">
        <v>45684</v>
      </c>
      <c r="M2499" s="116">
        <v>1822</v>
      </c>
      <c r="N2499" s="116">
        <v>1863</v>
      </c>
      <c r="O2499" s="116">
        <v>1812</v>
      </c>
      <c r="P2499" s="116">
        <v>1848.75</v>
      </c>
      <c r="Q2499" s="116">
        <v>1822</v>
      </c>
      <c r="R2499">
        <v>7652371</v>
      </c>
    </row>
    <row r="2500" spans="1:18" x14ac:dyDescent="0.25">
      <c r="A2500" s="170">
        <v>45685</v>
      </c>
      <c r="B2500" s="116">
        <v>1863</v>
      </c>
      <c r="C2500" s="116">
        <v>1829.15</v>
      </c>
      <c r="D2500" s="116">
        <v>1822.3</v>
      </c>
      <c r="E2500" s="116">
        <v>1822.3</v>
      </c>
      <c r="F2500" s="116">
        <v>1829.15</v>
      </c>
      <c r="G2500">
        <v>366784</v>
      </c>
      <c r="H2500" s="116"/>
      <c r="I2500" s="116"/>
      <c r="L2500" s="170">
        <v>45685</v>
      </c>
      <c r="M2500" s="116">
        <v>1829.75</v>
      </c>
      <c r="N2500" s="116">
        <v>1863.5</v>
      </c>
      <c r="O2500" s="116">
        <v>1824.9</v>
      </c>
      <c r="P2500" s="116">
        <v>1830</v>
      </c>
      <c r="Q2500" s="116">
        <v>1829.75</v>
      </c>
      <c r="R2500">
        <v>6999495</v>
      </c>
    </row>
    <row r="2501" spans="1:18" x14ac:dyDescent="0.25">
      <c r="A2501" s="170">
        <v>45686</v>
      </c>
      <c r="B2501" s="116">
        <v>1888</v>
      </c>
      <c r="C2501" s="116">
        <v>1880.85</v>
      </c>
      <c r="D2501" s="116">
        <v>1838.55</v>
      </c>
      <c r="E2501" s="116">
        <v>1838.55</v>
      </c>
      <c r="F2501" s="116">
        <v>1880.85</v>
      </c>
      <c r="G2501">
        <v>220194</v>
      </c>
      <c r="H2501" s="116"/>
      <c r="I2501" s="116"/>
      <c r="L2501" s="170">
        <v>45686</v>
      </c>
      <c r="M2501" s="116">
        <v>1881.25</v>
      </c>
      <c r="N2501" s="116">
        <v>1888.65</v>
      </c>
      <c r="O2501" s="116">
        <v>1840.5</v>
      </c>
      <c r="P2501" s="116">
        <v>1845</v>
      </c>
      <c r="Q2501" s="116">
        <v>1881.25</v>
      </c>
      <c r="R2501">
        <v>5145155</v>
      </c>
    </row>
    <row r="2502" spans="1:18" x14ac:dyDescent="0.25">
      <c r="A2502" s="170">
        <v>45687</v>
      </c>
      <c r="B2502" s="116">
        <v>1885.95</v>
      </c>
      <c r="C2502" s="116">
        <v>1859.85</v>
      </c>
      <c r="D2502" s="116">
        <v>1844.95</v>
      </c>
      <c r="E2502" s="116">
        <v>1878.95</v>
      </c>
      <c r="F2502" s="116">
        <v>1859.85</v>
      </c>
      <c r="G2502">
        <v>98815</v>
      </c>
      <c r="H2502" s="116"/>
      <c r="I2502" s="116"/>
      <c r="L2502" s="170">
        <v>45687</v>
      </c>
      <c r="M2502" s="116">
        <v>1859.95</v>
      </c>
      <c r="N2502" s="116">
        <v>1887.2</v>
      </c>
      <c r="O2502" s="116">
        <v>1844</v>
      </c>
      <c r="P2502" s="116">
        <v>1873.15</v>
      </c>
      <c r="Q2502" s="116">
        <v>1859.95</v>
      </c>
      <c r="R2502">
        <v>7336056</v>
      </c>
    </row>
    <row r="2503" spans="1:18" x14ac:dyDescent="0.25">
      <c r="A2503" s="170">
        <v>45688</v>
      </c>
      <c r="B2503" s="116">
        <v>1896.15</v>
      </c>
      <c r="C2503" s="116">
        <v>1880.05</v>
      </c>
      <c r="D2503" s="116">
        <v>1864.1</v>
      </c>
      <c r="E2503" s="116">
        <v>1864.1</v>
      </c>
      <c r="F2503" s="116">
        <v>1880.05</v>
      </c>
      <c r="G2503">
        <v>218826</v>
      </c>
      <c r="H2503" s="116"/>
      <c r="I2503" s="116"/>
      <c r="L2503" s="170">
        <v>45688</v>
      </c>
      <c r="M2503" s="116">
        <v>1879.8</v>
      </c>
      <c r="N2503" s="116">
        <v>1897.45</v>
      </c>
      <c r="O2503" s="116">
        <v>1871</v>
      </c>
      <c r="P2503" s="116">
        <v>1871</v>
      </c>
      <c r="Q2503" s="116">
        <v>1879.8</v>
      </c>
      <c r="R2503">
        <v>5820470</v>
      </c>
    </row>
    <row r="2504" spans="1:18" x14ac:dyDescent="0.25">
      <c r="A2504" s="170">
        <v>45689</v>
      </c>
      <c r="B2504" s="116">
        <v>1889.95</v>
      </c>
      <c r="C2504" s="116">
        <v>1851.9</v>
      </c>
      <c r="D2504" s="116">
        <v>1845.2</v>
      </c>
      <c r="E2504" s="116">
        <v>1873.75</v>
      </c>
      <c r="F2504" s="116">
        <v>1851.9</v>
      </c>
      <c r="G2504">
        <v>70912</v>
      </c>
      <c r="H2504" s="116"/>
      <c r="I2504" s="116"/>
      <c r="L2504" s="170">
        <v>45689</v>
      </c>
      <c r="M2504" s="116">
        <v>1851.35</v>
      </c>
      <c r="N2504" s="116">
        <v>1890.6</v>
      </c>
      <c r="O2504" s="116">
        <v>1846</v>
      </c>
      <c r="P2504" s="116">
        <v>1880.3</v>
      </c>
      <c r="Q2504" s="116">
        <v>1851.35</v>
      </c>
      <c r="R2504">
        <v>1701402</v>
      </c>
    </row>
    <row r="2505" spans="1:18" x14ac:dyDescent="0.25">
      <c r="A2505" s="170">
        <v>45691</v>
      </c>
      <c r="B2505" s="116">
        <v>1876.5</v>
      </c>
      <c r="C2505" s="116">
        <v>1863.85</v>
      </c>
      <c r="D2505" s="116">
        <v>1832.8</v>
      </c>
      <c r="E2505" s="116">
        <v>1839.95</v>
      </c>
      <c r="F2505" s="116">
        <v>1863.85</v>
      </c>
      <c r="G2505">
        <v>130888</v>
      </c>
      <c r="H2505" s="116"/>
      <c r="I2505" s="116"/>
      <c r="L2505" s="170">
        <v>45691</v>
      </c>
      <c r="M2505" s="116">
        <v>1863.3</v>
      </c>
      <c r="N2505" s="116">
        <v>1876.55</v>
      </c>
      <c r="O2505" s="116">
        <v>1832.4</v>
      </c>
      <c r="P2505" s="116">
        <v>1836</v>
      </c>
      <c r="Q2505" s="116">
        <v>1863.3</v>
      </c>
      <c r="R2505">
        <v>4823228</v>
      </c>
    </row>
    <row r="2506" spans="1:18" x14ac:dyDescent="0.25">
      <c r="A2506" s="170">
        <v>45692</v>
      </c>
      <c r="B2506" s="116">
        <v>1911.4</v>
      </c>
      <c r="C2506" s="116">
        <v>1899.25</v>
      </c>
      <c r="D2506" s="116">
        <v>1875</v>
      </c>
      <c r="E2506" s="116">
        <v>1887</v>
      </c>
      <c r="F2506" s="116">
        <v>1899.25</v>
      </c>
      <c r="G2506">
        <v>386977</v>
      </c>
      <c r="H2506" s="116"/>
      <c r="I2506" s="116"/>
      <c r="L2506" s="170">
        <v>45692</v>
      </c>
      <c r="M2506" s="116">
        <v>1898.8</v>
      </c>
      <c r="N2506" s="116">
        <v>1911.2</v>
      </c>
      <c r="O2506" s="116">
        <v>1875</v>
      </c>
      <c r="P2506" s="116">
        <v>1889</v>
      </c>
      <c r="Q2506" s="116">
        <v>1898.8</v>
      </c>
      <c r="R2506">
        <v>7334787</v>
      </c>
    </row>
    <row r="2507" spans="1:18" x14ac:dyDescent="0.25">
      <c r="A2507" s="170">
        <v>45693</v>
      </c>
      <c r="B2507" s="116">
        <v>1919.1</v>
      </c>
      <c r="C2507" s="116">
        <v>1897.1</v>
      </c>
      <c r="D2507" s="116">
        <v>1894.55</v>
      </c>
      <c r="E2507" s="116">
        <v>1907.9</v>
      </c>
      <c r="F2507" s="116">
        <v>1897.1</v>
      </c>
      <c r="G2507">
        <v>189137</v>
      </c>
      <c r="H2507" s="116"/>
      <c r="I2507" s="116"/>
      <c r="L2507" s="170">
        <v>45693</v>
      </c>
      <c r="M2507" s="116">
        <v>1897.05</v>
      </c>
      <c r="N2507" s="116">
        <v>1919.7</v>
      </c>
      <c r="O2507" s="116">
        <v>1894.3</v>
      </c>
      <c r="P2507" s="116">
        <v>1906</v>
      </c>
      <c r="Q2507" s="116">
        <v>1897.05</v>
      </c>
      <c r="R2507">
        <v>4996744</v>
      </c>
    </row>
    <row r="2508" spans="1:18" x14ac:dyDescent="0.25">
      <c r="A2508" s="170">
        <v>45694</v>
      </c>
      <c r="B2508" s="116">
        <v>1922.65</v>
      </c>
      <c r="C2508" s="116">
        <v>1915.95</v>
      </c>
      <c r="D2508" s="116">
        <v>1900.05</v>
      </c>
      <c r="E2508" s="116">
        <v>1920</v>
      </c>
      <c r="F2508" s="116">
        <v>1915.95</v>
      </c>
      <c r="G2508">
        <v>107219</v>
      </c>
      <c r="H2508" s="116"/>
      <c r="I2508" s="116"/>
      <c r="L2508" s="170">
        <v>45694</v>
      </c>
      <c r="M2508" s="116">
        <v>1915.65</v>
      </c>
      <c r="N2508" s="116">
        <v>1924</v>
      </c>
      <c r="O2508" s="116">
        <v>1900</v>
      </c>
      <c r="P2508" s="116">
        <v>1917</v>
      </c>
      <c r="Q2508" s="116">
        <v>1915.65</v>
      </c>
      <c r="R2508">
        <v>4765255</v>
      </c>
    </row>
    <row r="2509" spans="1:18" x14ac:dyDescent="0.25">
      <c r="A2509" s="170">
        <v>45695</v>
      </c>
      <c r="B2509" s="116">
        <v>1921</v>
      </c>
      <c r="C2509" s="116">
        <v>1902.75</v>
      </c>
      <c r="D2509" s="116">
        <v>1880.2</v>
      </c>
      <c r="E2509" s="116">
        <v>1880.2</v>
      </c>
      <c r="F2509" s="116">
        <v>1902.75</v>
      </c>
      <c r="G2509">
        <v>141726</v>
      </c>
      <c r="H2509" s="116"/>
      <c r="I2509" s="116"/>
      <c r="L2509" s="170">
        <v>45695</v>
      </c>
      <c r="M2509" s="116">
        <v>1903.65</v>
      </c>
      <c r="N2509" s="116">
        <v>1923.7</v>
      </c>
      <c r="O2509" s="116">
        <v>1889.45</v>
      </c>
      <c r="P2509" s="116">
        <v>1919.3</v>
      </c>
      <c r="Q2509" s="116">
        <v>1903.65</v>
      </c>
      <c r="R2509">
        <v>4126260</v>
      </c>
    </row>
    <row r="2510" spans="1:18" x14ac:dyDescent="0.25">
      <c r="A2510" s="170">
        <v>45698</v>
      </c>
      <c r="B2510" s="116">
        <v>1908.5</v>
      </c>
      <c r="C2510" s="116">
        <v>1879.2</v>
      </c>
      <c r="D2510" s="116">
        <v>1878.25</v>
      </c>
      <c r="E2510" s="116">
        <v>1908.5</v>
      </c>
      <c r="F2510" s="116">
        <v>1879.2</v>
      </c>
      <c r="G2510">
        <v>204511</v>
      </c>
      <c r="H2510" s="116"/>
      <c r="I2510" s="116"/>
      <c r="L2510" s="170">
        <v>45698</v>
      </c>
      <c r="M2510" s="116">
        <v>1880.3</v>
      </c>
      <c r="N2510" s="116">
        <v>1905</v>
      </c>
      <c r="O2510" s="116">
        <v>1878.6</v>
      </c>
      <c r="P2510" s="116">
        <v>1905</v>
      </c>
      <c r="Q2510" s="116">
        <v>1880.3</v>
      </c>
      <c r="R2510">
        <v>3828734</v>
      </c>
    </row>
    <row r="2511" spans="1:18" x14ac:dyDescent="0.25">
      <c r="A2511" s="170">
        <v>45699</v>
      </c>
      <c r="B2511" s="116">
        <v>1902.55</v>
      </c>
      <c r="C2511" s="116">
        <v>1876.8</v>
      </c>
      <c r="D2511" s="116">
        <v>1869.7</v>
      </c>
      <c r="E2511" s="116">
        <v>1879.3</v>
      </c>
      <c r="F2511" s="116">
        <v>1876.8</v>
      </c>
      <c r="G2511">
        <v>694809</v>
      </c>
      <c r="H2511" s="116"/>
      <c r="I2511" s="116"/>
      <c r="L2511" s="170">
        <v>45699</v>
      </c>
      <c r="M2511" s="116">
        <v>1875.65</v>
      </c>
      <c r="N2511" s="116">
        <v>1903</v>
      </c>
      <c r="O2511" s="116">
        <v>1870</v>
      </c>
      <c r="P2511" s="116">
        <v>1883.1</v>
      </c>
      <c r="Q2511" s="116">
        <v>1875.65</v>
      </c>
      <c r="R2511">
        <v>4411601</v>
      </c>
    </row>
    <row r="2512" spans="1:18" x14ac:dyDescent="0.25">
      <c r="A2512" s="170">
        <v>45700</v>
      </c>
      <c r="B2512" s="116">
        <v>1894.5</v>
      </c>
      <c r="C2512" s="116">
        <v>1863.75</v>
      </c>
      <c r="D2512" s="116">
        <v>1846.25</v>
      </c>
      <c r="E2512" s="116">
        <v>1876.85</v>
      </c>
      <c r="F2512" s="116">
        <v>1863.75</v>
      </c>
      <c r="G2512">
        <v>649652</v>
      </c>
      <c r="H2512" s="116"/>
      <c r="I2512" s="116"/>
      <c r="L2512" s="170">
        <v>45700</v>
      </c>
      <c r="M2512" s="116">
        <v>1863.15</v>
      </c>
      <c r="N2512" s="116">
        <v>1894.6</v>
      </c>
      <c r="O2512" s="116">
        <v>1847</v>
      </c>
      <c r="P2512" s="116">
        <v>1885</v>
      </c>
      <c r="Q2512" s="116">
        <v>1863.15</v>
      </c>
      <c r="R2512">
        <v>5633947</v>
      </c>
    </row>
    <row r="2513" spans="1:18" x14ac:dyDescent="0.25">
      <c r="A2513" s="170">
        <v>45701</v>
      </c>
      <c r="B2513" s="116">
        <v>1873.5</v>
      </c>
      <c r="C2513" s="116">
        <v>1843.25</v>
      </c>
      <c r="D2513" s="116">
        <v>1835.15</v>
      </c>
      <c r="E2513" s="116">
        <v>1865.5</v>
      </c>
      <c r="F2513" s="116">
        <v>1843.25</v>
      </c>
      <c r="G2513">
        <v>149469</v>
      </c>
      <c r="H2513" s="116"/>
      <c r="I2513" s="116"/>
      <c r="L2513" s="170">
        <v>45701</v>
      </c>
      <c r="M2513" s="116">
        <v>1843.25</v>
      </c>
      <c r="N2513" s="116">
        <v>1873.5</v>
      </c>
      <c r="O2513" s="116">
        <v>1835.65</v>
      </c>
      <c r="P2513" s="116">
        <v>1868.5</v>
      </c>
      <c r="Q2513" s="116">
        <v>1843.25</v>
      </c>
      <c r="R2513">
        <v>5237744</v>
      </c>
    </row>
    <row r="2514" spans="1:18" x14ac:dyDescent="0.25">
      <c r="A2514" s="170">
        <v>45702</v>
      </c>
      <c r="B2514" s="116">
        <v>1859</v>
      </c>
      <c r="C2514" s="116">
        <v>1856.3</v>
      </c>
      <c r="D2514" s="116">
        <v>1828.05</v>
      </c>
      <c r="E2514" s="116">
        <v>1852.5</v>
      </c>
      <c r="F2514" s="116">
        <v>1856.3</v>
      </c>
      <c r="G2514">
        <v>132900</v>
      </c>
      <c r="H2514" s="116"/>
      <c r="I2514" s="116"/>
      <c r="L2514" s="170">
        <v>45702</v>
      </c>
      <c r="M2514" s="116">
        <v>1856.4</v>
      </c>
      <c r="N2514" s="116">
        <v>1859.3</v>
      </c>
      <c r="O2514" s="116">
        <v>1828.35</v>
      </c>
      <c r="P2514" s="116">
        <v>1854</v>
      </c>
      <c r="Q2514" s="116">
        <v>1856.4</v>
      </c>
      <c r="R2514">
        <v>5292961</v>
      </c>
    </row>
    <row r="2515" spans="1:18" x14ac:dyDescent="0.25">
      <c r="A2515" s="170">
        <v>45705</v>
      </c>
      <c r="B2515" s="116">
        <v>1850.05</v>
      </c>
      <c r="C2515" s="116">
        <v>1842.6</v>
      </c>
      <c r="D2515" s="116">
        <v>1823</v>
      </c>
      <c r="E2515" s="116">
        <v>1848</v>
      </c>
      <c r="F2515" s="116">
        <v>1842.6</v>
      </c>
      <c r="G2515">
        <v>106879</v>
      </c>
      <c r="H2515" s="116"/>
      <c r="I2515" s="116"/>
      <c r="L2515" s="170">
        <v>45705</v>
      </c>
      <c r="M2515" s="116">
        <v>1842.3</v>
      </c>
      <c r="N2515" s="116">
        <v>1852.75</v>
      </c>
      <c r="O2515" s="116">
        <v>1822.15</v>
      </c>
      <c r="P2515" s="116">
        <v>1838.55</v>
      </c>
      <c r="Q2515" s="116">
        <v>1842.3</v>
      </c>
      <c r="R2515">
        <v>4428956</v>
      </c>
    </row>
    <row r="2516" spans="1:18" x14ac:dyDescent="0.25">
      <c r="A2516" s="170">
        <v>45706</v>
      </c>
      <c r="B2516" s="116">
        <v>1861</v>
      </c>
      <c r="C2516" s="116">
        <v>1851.5</v>
      </c>
      <c r="D2516" s="116">
        <v>1838</v>
      </c>
      <c r="E2516" s="116">
        <v>1840.6</v>
      </c>
      <c r="F2516" s="116">
        <v>1851.5</v>
      </c>
      <c r="G2516">
        <v>169092</v>
      </c>
      <c r="H2516" s="116"/>
      <c r="I2516" s="116"/>
      <c r="L2516" s="170">
        <v>45706</v>
      </c>
      <c r="M2516" s="116">
        <v>1851.95</v>
      </c>
      <c r="N2516" s="116">
        <v>1861.65</v>
      </c>
      <c r="O2516" s="116">
        <v>1837.6</v>
      </c>
      <c r="P2516" s="116">
        <v>1842.3</v>
      </c>
      <c r="Q2516" s="116">
        <v>1851.95</v>
      </c>
      <c r="R2516">
        <v>4365260</v>
      </c>
    </row>
    <row r="2517" spans="1:18" x14ac:dyDescent="0.25">
      <c r="A2517" s="170">
        <v>45707</v>
      </c>
      <c r="B2517" s="116">
        <v>1848.9</v>
      </c>
      <c r="C2517" s="116">
        <v>1810.8</v>
      </c>
      <c r="D2517" s="116">
        <v>1807</v>
      </c>
      <c r="E2517" s="116">
        <v>1845.95</v>
      </c>
      <c r="F2517" s="116">
        <v>1810.8</v>
      </c>
      <c r="G2517">
        <v>76054</v>
      </c>
      <c r="H2517" s="116"/>
      <c r="I2517" s="116"/>
      <c r="L2517" s="170">
        <v>45707</v>
      </c>
      <c r="M2517" s="116">
        <v>1810.8</v>
      </c>
      <c r="N2517" s="116">
        <v>1849.2</v>
      </c>
      <c r="O2517" s="116">
        <v>1805.9</v>
      </c>
      <c r="P2517" s="116">
        <v>1847.4</v>
      </c>
      <c r="Q2517" s="116">
        <v>1810.8</v>
      </c>
      <c r="R2517">
        <v>4611411</v>
      </c>
    </row>
    <row r="2518" spans="1:18" x14ac:dyDescent="0.25">
      <c r="A2518" s="170">
        <v>45708</v>
      </c>
      <c r="B2518" s="116">
        <v>1830.5</v>
      </c>
      <c r="C2518" s="116">
        <v>1823.45</v>
      </c>
      <c r="D2518" s="116">
        <v>1800.3</v>
      </c>
      <c r="E2518" s="116">
        <v>1800.3</v>
      </c>
      <c r="F2518" s="116">
        <v>1823.45</v>
      </c>
      <c r="G2518">
        <v>118255</v>
      </c>
      <c r="H2518" s="116"/>
      <c r="I2518" s="116"/>
      <c r="L2518" s="170">
        <v>45708</v>
      </c>
      <c r="M2518" s="116">
        <v>1825.15</v>
      </c>
      <c r="N2518" s="116">
        <v>1831</v>
      </c>
      <c r="O2518" s="116">
        <v>1805.55</v>
      </c>
      <c r="P2518" s="116">
        <v>1805.55</v>
      </c>
      <c r="Q2518" s="116">
        <v>1825.15</v>
      </c>
      <c r="R2518">
        <v>2218020</v>
      </c>
    </row>
    <row r="2519" spans="1:18" x14ac:dyDescent="0.25">
      <c r="A2519" s="170">
        <v>45709</v>
      </c>
      <c r="B2519" s="116">
        <v>1828.75</v>
      </c>
      <c r="C2519" s="116">
        <v>1815.15</v>
      </c>
      <c r="D2519" s="116">
        <v>1806.5</v>
      </c>
      <c r="E2519" s="116">
        <v>1828.75</v>
      </c>
      <c r="F2519" s="116">
        <v>1815.15</v>
      </c>
      <c r="G2519">
        <v>900230</v>
      </c>
      <c r="H2519" s="116"/>
      <c r="I2519" s="116"/>
      <c r="L2519" s="170">
        <v>45709</v>
      </c>
      <c r="M2519" s="116">
        <v>1815</v>
      </c>
      <c r="N2519" s="116">
        <v>1829.85</v>
      </c>
      <c r="O2519" s="116">
        <v>1806.2</v>
      </c>
      <c r="P2519" s="116">
        <v>1821.8</v>
      </c>
      <c r="Q2519" s="116">
        <v>1815</v>
      </c>
      <c r="R2519">
        <v>3379879</v>
      </c>
    </row>
    <row r="2520" spans="1:18" x14ac:dyDescent="0.25">
      <c r="A2520" s="170">
        <v>45712</v>
      </c>
      <c r="B2520" s="116">
        <v>1809.8</v>
      </c>
      <c r="C2520" s="116">
        <v>1764.15</v>
      </c>
      <c r="D2520" s="116">
        <v>1750</v>
      </c>
      <c r="E2520" s="116">
        <v>1809.8</v>
      </c>
      <c r="F2520" s="116">
        <v>1764.15</v>
      </c>
      <c r="G2520">
        <v>200716</v>
      </c>
      <c r="H2520" s="116"/>
      <c r="I2520" s="116"/>
      <c r="L2520" s="170">
        <v>45712</v>
      </c>
      <c r="M2520" s="116">
        <v>1764.1</v>
      </c>
      <c r="N2520" s="116">
        <v>1808</v>
      </c>
      <c r="O2520" s="116">
        <v>1750.25</v>
      </c>
      <c r="P2520" s="116">
        <v>1800.05</v>
      </c>
      <c r="Q2520" s="116">
        <v>1764.1</v>
      </c>
      <c r="R2520">
        <v>7594720</v>
      </c>
    </row>
    <row r="2521" spans="1:18" x14ac:dyDescent="0.25">
      <c r="A2521" s="170">
        <v>45713</v>
      </c>
      <c r="B2521" s="116">
        <v>1778.45</v>
      </c>
      <c r="C2521" s="116">
        <v>1768.2</v>
      </c>
      <c r="D2521" s="116">
        <v>1749.15</v>
      </c>
      <c r="E2521" s="116">
        <v>1751.5</v>
      </c>
      <c r="F2521" s="116">
        <v>1768.2</v>
      </c>
      <c r="G2521">
        <v>299475</v>
      </c>
      <c r="H2521" s="116"/>
      <c r="I2521" s="116"/>
      <c r="L2521" s="170">
        <v>45713</v>
      </c>
      <c r="M2521" s="116">
        <v>1767.7</v>
      </c>
      <c r="N2521" s="116">
        <v>1778.45</v>
      </c>
      <c r="O2521" s="116">
        <v>1745.15</v>
      </c>
      <c r="P2521" s="116">
        <v>1745.15</v>
      </c>
      <c r="Q2521" s="116">
        <v>1767.7</v>
      </c>
      <c r="R2521">
        <v>5092963</v>
      </c>
    </row>
    <row r="2522" spans="1:18" x14ac:dyDescent="0.25">
      <c r="A2522" s="170">
        <v>45715</v>
      </c>
      <c r="B2522" s="116">
        <v>1775.9</v>
      </c>
      <c r="C2522" s="116">
        <v>1764.2</v>
      </c>
      <c r="D2522" s="116">
        <v>1751.15</v>
      </c>
      <c r="E2522" s="116">
        <v>1758.2</v>
      </c>
      <c r="F2522" s="116">
        <v>1764.2</v>
      </c>
      <c r="G2522">
        <v>80318</v>
      </c>
      <c r="H2522" s="116"/>
      <c r="I2522" s="116"/>
      <c r="L2522" s="170">
        <v>45715</v>
      </c>
      <c r="M2522" s="116">
        <v>1764.3</v>
      </c>
      <c r="N2522" s="116">
        <v>1775.85</v>
      </c>
      <c r="O2522" s="116">
        <v>1751.1</v>
      </c>
      <c r="P2522" s="116">
        <v>1755.2</v>
      </c>
      <c r="Q2522" s="116">
        <v>1764.3</v>
      </c>
      <c r="R2522">
        <v>5757079</v>
      </c>
    </row>
    <row r="2523" spans="1:18" x14ac:dyDescent="0.25">
      <c r="A2523" s="170">
        <v>45716</v>
      </c>
      <c r="B2523" s="116">
        <v>1754.45</v>
      </c>
      <c r="C2523" s="116">
        <v>1688.05</v>
      </c>
      <c r="D2523" s="116">
        <v>1682.8</v>
      </c>
      <c r="E2523" s="116">
        <v>1754.1</v>
      </c>
      <c r="F2523" s="116">
        <v>1688.05</v>
      </c>
      <c r="G2523">
        <v>113082</v>
      </c>
      <c r="H2523" s="116"/>
      <c r="I2523" s="116"/>
      <c r="L2523" s="170">
        <v>45716</v>
      </c>
      <c r="M2523" s="116">
        <v>1687.7</v>
      </c>
      <c r="N2523" s="116">
        <v>1755.1</v>
      </c>
      <c r="O2523" s="116">
        <v>1682.45</v>
      </c>
      <c r="P2523" s="116">
        <v>1755.05</v>
      </c>
      <c r="Q2523" s="116">
        <v>1687.7</v>
      </c>
      <c r="R2523">
        <v>12182167</v>
      </c>
    </row>
    <row r="2524" spans="1:18" x14ac:dyDescent="0.25">
      <c r="A2524" s="170">
        <v>45719</v>
      </c>
      <c r="B2524" s="116">
        <v>1728.45</v>
      </c>
      <c r="C2524" s="116">
        <v>1708.1</v>
      </c>
      <c r="D2524" s="116">
        <v>1688.4</v>
      </c>
      <c r="E2524" s="116">
        <v>1688.4</v>
      </c>
      <c r="F2524" s="116">
        <v>1708.1</v>
      </c>
      <c r="G2524">
        <v>695948</v>
      </c>
      <c r="H2524" s="116"/>
      <c r="I2524" s="116"/>
      <c r="L2524" s="170">
        <v>45719</v>
      </c>
      <c r="M2524" s="116">
        <v>1708.6</v>
      </c>
      <c r="N2524" s="116">
        <v>1728.6</v>
      </c>
      <c r="O2524" s="116">
        <v>1692.3</v>
      </c>
      <c r="P2524" s="116">
        <v>1692.3</v>
      </c>
      <c r="Q2524" s="116">
        <v>1708.6</v>
      </c>
      <c r="R2524">
        <v>7504969</v>
      </c>
    </row>
    <row r="2525" spans="1:18" x14ac:dyDescent="0.25">
      <c r="A2525" s="170">
        <v>45720</v>
      </c>
      <c r="B2525" s="116">
        <v>1699.95</v>
      </c>
      <c r="C2525" s="116">
        <v>1689.7</v>
      </c>
      <c r="D2525" s="116">
        <v>1670</v>
      </c>
      <c r="E2525" s="116">
        <v>1699.95</v>
      </c>
      <c r="F2525" s="116">
        <v>1689.7</v>
      </c>
      <c r="G2525">
        <v>124480</v>
      </c>
      <c r="H2525" s="116"/>
      <c r="I2525" s="116"/>
      <c r="L2525" s="170">
        <v>45720</v>
      </c>
      <c r="M2525" s="116">
        <v>1688.3</v>
      </c>
      <c r="N2525" s="116">
        <v>1699</v>
      </c>
      <c r="O2525" s="116">
        <v>1670</v>
      </c>
      <c r="P2525" s="116">
        <v>1695</v>
      </c>
      <c r="Q2525" s="116">
        <v>1688.3</v>
      </c>
      <c r="R2525">
        <v>6759673</v>
      </c>
    </row>
    <row r="2526" spans="1:18" x14ac:dyDescent="0.25">
      <c r="A2526" s="170">
        <v>45721</v>
      </c>
      <c r="B2526" s="116">
        <v>1732.3</v>
      </c>
      <c r="C2526" s="116">
        <v>1710.8</v>
      </c>
      <c r="D2526" s="116">
        <v>1690.05</v>
      </c>
      <c r="E2526" s="116">
        <v>1690.05</v>
      </c>
      <c r="F2526" s="116">
        <v>1710.8</v>
      </c>
      <c r="G2526">
        <v>126336</v>
      </c>
      <c r="H2526" s="116"/>
      <c r="I2526" s="116"/>
      <c r="L2526" s="170">
        <v>45721</v>
      </c>
      <c r="M2526" s="116">
        <v>1711.5</v>
      </c>
      <c r="N2526" s="116">
        <v>1732.95</v>
      </c>
      <c r="O2526" s="116">
        <v>1692.45</v>
      </c>
      <c r="P2526" s="116">
        <v>1692.45</v>
      </c>
      <c r="Q2526" s="116">
        <v>1711.5</v>
      </c>
      <c r="R2526">
        <v>8180782</v>
      </c>
    </row>
    <row r="2527" spans="1:18" x14ac:dyDescent="0.25">
      <c r="A2527" s="170">
        <v>45722</v>
      </c>
      <c r="B2527" s="116">
        <v>1721.15</v>
      </c>
      <c r="C2527" s="116">
        <v>1713.2</v>
      </c>
      <c r="D2527" s="116">
        <v>1691</v>
      </c>
      <c r="E2527" s="116">
        <v>1718.65</v>
      </c>
      <c r="F2527" s="116">
        <v>1713.2</v>
      </c>
      <c r="G2527">
        <v>92840</v>
      </c>
      <c r="H2527" s="116"/>
      <c r="I2527" s="116"/>
      <c r="L2527" s="170">
        <v>45722</v>
      </c>
      <c r="M2527" s="116">
        <v>1715.85</v>
      </c>
      <c r="N2527" s="116">
        <v>1722.3</v>
      </c>
      <c r="O2527" s="116">
        <v>1691.1</v>
      </c>
      <c r="P2527" s="116">
        <v>1715</v>
      </c>
      <c r="Q2527" s="116">
        <v>1715.85</v>
      </c>
      <c r="R2527">
        <v>10610547</v>
      </c>
    </row>
    <row r="2528" spans="1:18" x14ac:dyDescent="0.25">
      <c r="A2528" s="170">
        <v>45723</v>
      </c>
      <c r="B2528" s="116">
        <v>1704.95</v>
      </c>
      <c r="C2528" s="116">
        <v>1685.75</v>
      </c>
      <c r="D2528" s="116">
        <v>1675.8</v>
      </c>
      <c r="E2528" s="116">
        <v>1704.95</v>
      </c>
      <c r="F2528" s="116">
        <v>1685.75</v>
      </c>
      <c r="G2528">
        <v>66194</v>
      </c>
      <c r="H2528" s="116"/>
      <c r="I2528" s="116"/>
      <c r="L2528" s="170">
        <v>45723</v>
      </c>
      <c r="M2528" s="116">
        <v>1686</v>
      </c>
      <c r="N2528" s="116">
        <v>1705</v>
      </c>
      <c r="O2528" s="116">
        <v>1675.5</v>
      </c>
      <c r="P2528" s="116">
        <v>1703.1</v>
      </c>
      <c r="Q2528" s="116">
        <v>1686</v>
      </c>
      <c r="R2528">
        <v>8019331</v>
      </c>
    </row>
    <row r="2529" spans="1:18" x14ac:dyDescent="0.25">
      <c r="A2529" s="170">
        <v>45726</v>
      </c>
      <c r="B2529" s="116">
        <v>1718.8</v>
      </c>
      <c r="C2529" s="116">
        <v>1702.75</v>
      </c>
      <c r="D2529" s="116">
        <v>1676.8</v>
      </c>
      <c r="E2529" s="116">
        <v>1689.95</v>
      </c>
      <c r="F2529" s="116">
        <v>1702.75</v>
      </c>
      <c r="G2529">
        <v>81295</v>
      </c>
      <c r="H2529" s="116"/>
      <c r="I2529" s="116"/>
      <c r="L2529" s="170">
        <v>45726</v>
      </c>
      <c r="M2529" s="116">
        <v>1701.45</v>
      </c>
      <c r="N2529" s="116">
        <v>1719</v>
      </c>
      <c r="O2529" s="116">
        <v>1676.2</v>
      </c>
      <c r="P2529" s="116">
        <v>1686</v>
      </c>
      <c r="Q2529" s="116">
        <v>1701.45</v>
      </c>
      <c r="R2529">
        <v>7558981</v>
      </c>
    </row>
    <row r="2530" spans="1:18" x14ac:dyDescent="0.25">
      <c r="A2530" s="170">
        <v>45727</v>
      </c>
      <c r="B2530" s="116">
        <v>1682.95</v>
      </c>
      <c r="C2530" s="116">
        <v>1660.6</v>
      </c>
      <c r="D2530" s="116">
        <v>1637.05</v>
      </c>
      <c r="E2530" s="116">
        <v>1682.95</v>
      </c>
      <c r="F2530" s="116">
        <v>1660.6</v>
      </c>
      <c r="G2530">
        <v>184062</v>
      </c>
      <c r="H2530" s="116"/>
      <c r="I2530" s="116"/>
      <c r="L2530" s="170">
        <v>45727</v>
      </c>
      <c r="M2530" s="116">
        <v>1661.6</v>
      </c>
      <c r="N2530" s="116">
        <v>1680</v>
      </c>
      <c r="O2530" s="116">
        <v>1637.05</v>
      </c>
      <c r="P2530" s="116">
        <v>1680</v>
      </c>
      <c r="Q2530" s="116">
        <v>1661.6</v>
      </c>
      <c r="R2530">
        <v>12671234</v>
      </c>
    </row>
    <row r="2531" spans="1:18" x14ac:dyDescent="0.25">
      <c r="A2531" s="170">
        <v>45728</v>
      </c>
      <c r="B2531" s="116">
        <v>1639.65</v>
      </c>
      <c r="C2531" s="116">
        <v>1589.6</v>
      </c>
      <c r="D2531" s="116">
        <v>1564.15</v>
      </c>
      <c r="E2531" s="116">
        <v>1639.65</v>
      </c>
      <c r="F2531" s="116">
        <v>1589.6</v>
      </c>
      <c r="G2531">
        <v>186559</v>
      </c>
      <c r="H2531" s="116"/>
      <c r="I2531" s="116"/>
      <c r="L2531" s="170">
        <v>45728</v>
      </c>
      <c r="M2531" s="116">
        <v>1590.85</v>
      </c>
      <c r="N2531" s="116">
        <v>1636.9</v>
      </c>
      <c r="O2531" s="116">
        <v>1563.8</v>
      </c>
      <c r="P2531" s="116">
        <v>1636.9</v>
      </c>
      <c r="Q2531" s="116">
        <v>1590.85</v>
      </c>
      <c r="R2531">
        <v>14870008</v>
      </c>
    </row>
    <row r="2532" spans="1:18" x14ac:dyDescent="0.25">
      <c r="A2532" s="170">
        <v>45729</v>
      </c>
      <c r="B2532" s="116">
        <v>1606.6</v>
      </c>
      <c r="C2532" s="116">
        <v>1579.25</v>
      </c>
      <c r="D2532" s="116">
        <v>1571</v>
      </c>
      <c r="E2532" s="116">
        <v>1597.5</v>
      </c>
      <c r="F2532" s="116">
        <v>1579.25</v>
      </c>
      <c r="G2532">
        <v>99375</v>
      </c>
      <c r="H2532" s="116"/>
      <c r="I2532" s="116"/>
      <c r="L2532" s="170">
        <v>45729</v>
      </c>
      <c r="M2532" s="116">
        <v>1579.85</v>
      </c>
      <c r="N2532" s="116">
        <v>1606.05</v>
      </c>
      <c r="O2532" s="116">
        <v>1570.3</v>
      </c>
      <c r="P2532" s="116">
        <v>1599.25</v>
      </c>
      <c r="Q2532" s="116">
        <v>1579.85</v>
      </c>
      <c r="R2532">
        <v>7822888</v>
      </c>
    </row>
    <row r="2533" spans="1:18" x14ac:dyDescent="0.25">
      <c r="A2533" s="170">
        <v>45733</v>
      </c>
      <c r="B2533" s="116">
        <v>1594</v>
      </c>
      <c r="C2533" s="116">
        <v>1590.55</v>
      </c>
      <c r="D2533" s="116">
        <v>1551</v>
      </c>
      <c r="E2533" s="116">
        <v>1555</v>
      </c>
      <c r="F2533" s="116">
        <v>1590.55</v>
      </c>
      <c r="G2533">
        <v>65835</v>
      </c>
      <c r="H2533" s="116"/>
      <c r="I2533" s="116"/>
      <c r="L2533" s="170">
        <v>45733</v>
      </c>
      <c r="M2533" s="116">
        <v>1590.05</v>
      </c>
      <c r="N2533" s="116">
        <v>1594</v>
      </c>
      <c r="O2533" s="116">
        <v>1545.15</v>
      </c>
      <c r="P2533" s="116">
        <v>1545.15</v>
      </c>
      <c r="Q2533" s="116">
        <v>1590.05</v>
      </c>
      <c r="R2533">
        <v>7526032</v>
      </c>
    </row>
    <row r="2534" spans="1:18" x14ac:dyDescent="0.25">
      <c r="A2534" s="170">
        <v>45734</v>
      </c>
      <c r="B2534" s="116">
        <v>1612.7</v>
      </c>
      <c r="C2534" s="116">
        <v>1608.8</v>
      </c>
      <c r="D2534" s="116">
        <v>1582.05</v>
      </c>
      <c r="E2534" s="116">
        <v>1596.3</v>
      </c>
      <c r="F2534" s="116">
        <v>1608.8</v>
      </c>
      <c r="G2534">
        <v>137751</v>
      </c>
      <c r="H2534" s="116"/>
      <c r="I2534" s="116"/>
      <c r="L2534" s="170">
        <v>45734</v>
      </c>
      <c r="M2534" s="116">
        <v>1609.35</v>
      </c>
      <c r="N2534" s="116">
        <v>1612.9</v>
      </c>
      <c r="O2534" s="116">
        <v>1582.35</v>
      </c>
      <c r="P2534" s="116">
        <v>1597.65</v>
      </c>
      <c r="Q2534" s="116">
        <v>1609.35</v>
      </c>
      <c r="R2534">
        <v>6298054</v>
      </c>
    </row>
    <row r="2535" spans="1:18" x14ac:dyDescent="0.25">
      <c r="A2535" s="170">
        <v>45735</v>
      </c>
      <c r="B2535" s="116">
        <v>1608.75</v>
      </c>
      <c r="C2535" s="116">
        <v>1586.55</v>
      </c>
      <c r="D2535" s="116">
        <v>1572.6</v>
      </c>
      <c r="E2535" s="116">
        <v>1608.75</v>
      </c>
      <c r="F2535" s="116">
        <v>1586.55</v>
      </c>
      <c r="G2535">
        <v>108452</v>
      </c>
      <c r="H2535" s="116"/>
      <c r="I2535" s="116"/>
      <c r="L2535" s="170">
        <v>45735</v>
      </c>
      <c r="M2535" s="116">
        <v>1586.55</v>
      </c>
      <c r="N2535" s="116">
        <v>1603</v>
      </c>
      <c r="O2535" s="116">
        <v>1572.8</v>
      </c>
      <c r="P2535" s="116">
        <v>1603</v>
      </c>
      <c r="Q2535" s="116">
        <v>1586.55</v>
      </c>
      <c r="R2535">
        <v>7387068</v>
      </c>
    </row>
    <row r="2536" spans="1:18" x14ac:dyDescent="0.25">
      <c r="A2536" s="170">
        <v>45736</v>
      </c>
      <c r="B2536" s="116">
        <v>1631</v>
      </c>
      <c r="C2536" s="116">
        <v>1614.15</v>
      </c>
      <c r="D2536" s="116">
        <v>1592.95</v>
      </c>
      <c r="E2536" s="116">
        <v>1592.95</v>
      </c>
      <c r="F2536" s="116">
        <v>1614.15</v>
      </c>
      <c r="G2536">
        <v>155196</v>
      </c>
      <c r="H2536" s="116"/>
      <c r="I2536" s="116"/>
      <c r="L2536" s="170">
        <v>45736</v>
      </c>
      <c r="M2536" s="116">
        <v>1615.55</v>
      </c>
      <c r="N2536" s="116">
        <v>1631.9</v>
      </c>
      <c r="O2536" s="116">
        <v>1592</v>
      </c>
      <c r="P2536" s="116">
        <v>1592</v>
      </c>
      <c r="Q2536" s="116">
        <v>1615.55</v>
      </c>
      <c r="R2536">
        <v>7186750</v>
      </c>
    </row>
    <row r="2537" spans="1:18" x14ac:dyDescent="0.25">
      <c r="A2537" s="170">
        <v>45737</v>
      </c>
      <c r="B2537" s="116">
        <v>1603.55</v>
      </c>
      <c r="C2537" s="116">
        <v>1592.6</v>
      </c>
      <c r="D2537" s="116">
        <v>1564.15</v>
      </c>
      <c r="E2537" s="116">
        <v>1580</v>
      </c>
      <c r="F2537" s="116">
        <v>1592.6</v>
      </c>
      <c r="G2537">
        <v>91843</v>
      </c>
      <c r="H2537" s="116"/>
      <c r="I2537" s="116"/>
      <c r="L2537" s="170">
        <v>45737</v>
      </c>
      <c r="M2537" s="116">
        <v>1592.55</v>
      </c>
      <c r="N2537" s="116">
        <v>1603.9</v>
      </c>
      <c r="O2537" s="116">
        <v>1563.65</v>
      </c>
      <c r="P2537" s="116">
        <v>1577.95</v>
      </c>
      <c r="Q2537" s="116">
        <v>1592.55</v>
      </c>
      <c r="R2537">
        <v>10074677</v>
      </c>
    </row>
    <row r="2538" spans="1:18" x14ac:dyDescent="0.25">
      <c r="A2538" s="170">
        <v>45740</v>
      </c>
      <c r="B2538" s="116">
        <v>1606.55</v>
      </c>
      <c r="C2538" s="116">
        <v>1592.2</v>
      </c>
      <c r="D2538" s="116">
        <v>1572.55</v>
      </c>
      <c r="E2538" s="116">
        <v>1598.3</v>
      </c>
      <c r="F2538" s="116">
        <v>1592.2</v>
      </c>
      <c r="G2538">
        <v>274520</v>
      </c>
      <c r="H2538" s="116"/>
      <c r="I2538" s="116"/>
      <c r="L2538" s="170">
        <v>45740</v>
      </c>
      <c r="M2538" s="116">
        <v>1592.75</v>
      </c>
      <c r="N2538" s="116">
        <v>1607.1</v>
      </c>
      <c r="O2538" s="116">
        <v>1572.7</v>
      </c>
      <c r="P2538" s="116">
        <v>1597.95</v>
      </c>
      <c r="Q2538" s="116">
        <v>1592.75</v>
      </c>
      <c r="R2538">
        <v>8857726</v>
      </c>
    </row>
    <row r="2539" spans="1:18" x14ac:dyDescent="0.25">
      <c r="A2539" s="170">
        <v>45741</v>
      </c>
      <c r="B2539" s="116">
        <v>1635.9</v>
      </c>
      <c r="C2539" s="116">
        <v>1631.7</v>
      </c>
      <c r="D2539" s="116">
        <v>1603</v>
      </c>
      <c r="E2539" s="116">
        <v>1603</v>
      </c>
      <c r="F2539" s="116">
        <v>1631.7</v>
      </c>
      <c r="G2539">
        <v>232600</v>
      </c>
      <c r="H2539" s="116"/>
      <c r="I2539" s="116"/>
      <c r="L2539" s="170">
        <v>45741</v>
      </c>
      <c r="M2539" s="116">
        <v>1628.45</v>
      </c>
      <c r="N2539" s="116">
        <v>1636.15</v>
      </c>
      <c r="O2539" s="116">
        <v>1605</v>
      </c>
      <c r="P2539" s="116">
        <v>1605</v>
      </c>
      <c r="Q2539" s="116">
        <v>1628.45</v>
      </c>
      <c r="R2539">
        <v>9890140</v>
      </c>
    </row>
    <row r="2540" spans="1:18" x14ac:dyDescent="0.25">
      <c r="A2540" s="170">
        <v>45742</v>
      </c>
      <c r="B2540" s="116">
        <v>1637.8</v>
      </c>
      <c r="C2540" s="116">
        <v>1598.15</v>
      </c>
      <c r="D2540" s="116">
        <v>1595</v>
      </c>
      <c r="E2540" s="116">
        <v>1630</v>
      </c>
      <c r="F2540" s="116">
        <v>1598.15</v>
      </c>
      <c r="G2540">
        <v>134262</v>
      </c>
      <c r="H2540" s="116"/>
      <c r="I2540" s="116"/>
      <c r="L2540" s="170">
        <v>45742</v>
      </c>
      <c r="M2540" s="116">
        <v>1599.45</v>
      </c>
      <c r="N2540" s="116">
        <v>1637.75</v>
      </c>
      <c r="O2540" s="116">
        <v>1595</v>
      </c>
      <c r="P2540" s="116">
        <v>1626</v>
      </c>
      <c r="Q2540" s="116">
        <v>1599.45</v>
      </c>
      <c r="R2540">
        <v>6651302</v>
      </c>
    </row>
    <row r="2541" spans="1:18" x14ac:dyDescent="0.25">
      <c r="A2541" s="170">
        <v>45743</v>
      </c>
      <c r="B2541" s="116">
        <v>1620</v>
      </c>
      <c r="C2541" s="116">
        <v>1603.55</v>
      </c>
      <c r="D2541" s="116">
        <v>1586.4</v>
      </c>
      <c r="E2541" s="116">
        <v>1595.6</v>
      </c>
      <c r="F2541" s="116">
        <v>1603.55</v>
      </c>
      <c r="G2541">
        <v>158837</v>
      </c>
      <c r="H2541" s="116"/>
      <c r="I2541" s="116"/>
      <c r="L2541" s="170">
        <v>45743</v>
      </c>
      <c r="M2541" s="116">
        <v>1603.55</v>
      </c>
      <c r="N2541" s="116">
        <v>1619.95</v>
      </c>
      <c r="O2541" s="116">
        <v>1586</v>
      </c>
      <c r="P2541" s="116">
        <v>1595.55</v>
      </c>
      <c r="Q2541" s="116">
        <v>1603.55</v>
      </c>
      <c r="R2541">
        <v>9426573</v>
      </c>
    </row>
    <row r="2542" spans="1:18" x14ac:dyDescent="0.25">
      <c r="A2542" s="170">
        <v>45744</v>
      </c>
      <c r="B2542" s="116">
        <v>1597.8</v>
      </c>
      <c r="C2542" s="116">
        <v>1570.4</v>
      </c>
      <c r="D2542" s="116">
        <v>1565.05</v>
      </c>
      <c r="E2542" s="116">
        <v>1594.95</v>
      </c>
      <c r="F2542" s="116">
        <v>1570.4</v>
      </c>
      <c r="G2542">
        <v>229420</v>
      </c>
      <c r="H2542" s="116"/>
      <c r="I2542" s="116"/>
      <c r="L2542" s="170">
        <v>45744</v>
      </c>
      <c r="M2542" s="116">
        <v>1570.65</v>
      </c>
      <c r="N2542" s="116">
        <v>1598.45</v>
      </c>
      <c r="O2542" s="116">
        <v>1560</v>
      </c>
      <c r="P2542" s="116">
        <v>1590</v>
      </c>
      <c r="Q2542" s="116">
        <v>1570.65</v>
      </c>
      <c r="R2542">
        <v>6799047</v>
      </c>
    </row>
    <row r="2543" spans="1:18" x14ac:dyDescent="0.25">
      <c r="A2543" s="170">
        <v>45748</v>
      </c>
      <c r="B2543" s="116">
        <v>1547.7</v>
      </c>
      <c r="C2543" s="116">
        <v>1527.5</v>
      </c>
      <c r="D2543" s="116">
        <v>1518</v>
      </c>
      <c r="E2543" s="116">
        <v>1535.1</v>
      </c>
      <c r="F2543" s="116">
        <v>1527.5</v>
      </c>
      <c r="G2543">
        <v>265555</v>
      </c>
      <c r="H2543" s="116"/>
      <c r="I2543" s="116"/>
      <c r="L2543" s="170">
        <v>45748</v>
      </c>
      <c r="M2543" s="116">
        <v>1526.5</v>
      </c>
      <c r="N2543" s="116">
        <v>1547.4</v>
      </c>
      <c r="O2543" s="116">
        <v>1517.85</v>
      </c>
      <c r="P2543" s="116">
        <v>1539.25</v>
      </c>
      <c r="Q2543" s="116">
        <v>1526.5</v>
      </c>
      <c r="R2543">
        <v>12680733</v>
      </c>
    </row>
    <row r="2544" spans="1:18" x14ac:dyDescent="0.25">
      <c r="A2544" s="170">
        <v>45749</v>
      </c>
      <c r="B2544" s="116">
        <v>1555.5</v>
      </c>
      <c r="C2544" s="116">
        <v>1549.85</v>
      </c>
      <c r="D2544" s="116">
        <v>1531.5</v>
      </c>
      <c r="E2544" s="116">
        <v>1531.5</v>
      </c>
      <c r="F2544" s="116">
        <v>1549.85</v>
      </c>
      <c r="G2544">
        <v>136844</v>
      </c>
      <c r="H2544" s="116"/>
      <c r="I2544" s="116"/>
      <c r="L2544" s="170">
        <v>45749</v>
      </c>
      <c r="M2544" s="116">
        <v>1550.15</v>
      </c>
      <c r="N2544" s="116">
        <v>1555.65</v>
      </c>
      <c r="O2544" s="116">
        <v>1535.2</v>
      </c>
      <c r="P2544" s="116">
        <v>1535.2</v>
      </c>
      <c r="Q2544" s="116">
        <v>1550.15</v>
      </c>
      <c r="R2544">
        <v>6193478</v>
      </c>
    </row>
    <row r="2545" spans="1:18" x14ac:dyDescent="0.25">
      <c r="A2545" s="170">
        <v>45750</v>
      </c>
      <c r="B2545" s="116">
        <v>1530</v>
      </c>
      <c r="C2545" s="116">
        <v>1497</v>
      </c>
      <c r="D2545" s="116">
        <v>1485.1</v>
      </c>
      <c r="E2545" s="116">
        <v>1522.9</v>
      </c>
      <c r="F2545" s="116">
        <v>1497</v>
      </c>
      <c r="G2545">
        <v>293518</v>
      </c>
      <c r="H2545" s="116"/>
      <c r="I2545" s="116"/>
      <c r="L2545" s="170">
        <v>45750</v>
      </c>
      <c r="M2545" s="116">
        <v>1496.5</v>
      </c>
      <c r="N2545" s="116">
        <v>1534.65</v>
      </c>
      <c r="O2545" s="116">
        <v>1485.05</v>
      </c>
      <c r="P2545" s="116">
        <v>1534.65</v>
      </c>
      <c r="Q2545" s="116">
        <v>1496.5</v>
      </c>
      <c r="R2545">
        <v>10459504</v>
      </c>
    </row>
    <row r="2546" spans="1:18" x14ac:dyDescent="0.25">
      <c r="A2546" s="170">
        <v>45751</v>
      </c>
      <c r="B2546" s="116">
        <v>1472</v>
      </c>
      <c r="C2546" s="116">
        <v>1452.3</v>
      </c>
      <c r="D2546" s="116">
        <v>1448</v>
      </c>
      <c r="E2546" s="116">
        <v>1466.95</v>
      </c>
      <c r="F2546" s="116">
        <v>1452.3</v>
      </c>
      <c r="G2546">
        <v>353376</v>
      </c>
      <c r="H2546" s="116"/>
      <c r="I2546" s="116"/>
      <c r="L2546" s="170">
        <v>45751</v>
      </c>
      <c r="M2546" s="116">
        <v>1451.65</v>
      </c>
      <c r="N2546" s="116">
        <v>1472</v>
      </c>
      <c r="O2546" s="116">
        <v>1448</v>
      </c>
      <c r="P2546" s="116">
        <v>1460.5</v>
      </c>
      <c r="Q2546" s="116">
        <v>1451.65</v>
      </c>
      <c r="R2546">
        <v>9590254</v>
      </c>
    </row>
    <row r="2547" spans="1:18" x14ac:dyDescent="0.25">
      <c r="A2547" s="170">
        <v>45754</v>
      </c>
      <c r="B2547" s="116">
        <v>1406.85</v>
      </c>
      <c r="C2547" s="116">
        <v>1397.8</v>
      </c>
      <c r="D2547" s="116">
        <v>1307.0999999999999</v>
      </c>
      <c r="E2547" s="116">
        <v>1350</v>
      </c>
      <c r="F2547" s="116">
        <v>1397.8</v>
      </c>
      <c r="G2547">
        <v>1050658</v>
      </c>
      <c r="H2547" s="116"/>
      <c r="I2547" s="116"/>
      <c r="L2547" s="170">
        <v>45754</v>
      </c>
      <c r="M2547" s="116">
        <v>1396.75</v>
      </c>
      <c r="N2547" s="116">
        <v>1405.9</v>
      </c>
      <c r="O2547" s="116">
        <v>1307</v>
      </c>
      <c r="P2547" s="116">
        <v>1352</v>
      </c>
      <c r="Q2547" s="116">
        <v>1396.75</v>
      </c>
      <c r="R2547">
        <v>21715252</v>
      </c>
    </row>
    <row r="2548" spans="1:18" x14ac:dyDescent="0.25">
      <c r="A2548" s="170">
        <v>45755</v>
      </c>
      <c r="B2548" s="116">
        <v>1456.5</v>
      </c>
      <c r="C2548" s="116">
        <v>1429.3</v>
      </c>
      <c r="D2548" s="116">
        <v>1415</v>
      </c>
      <c r="E2548" s="116">
        <v>1427</v>
      </c>
      <c r="F2548" s="116">
        <v>1429.3</v>
      </c>
      <c r="G2548">
        <v>415932</v>
      </c>
      <c r="H2548" s="116"/>
      <c r="I2548" s="116"/>
      <c r="L2548" s="170">
        <v>45755</v>
      </c>
      <c r="M2548" s="116">
        <v>1428.8</v>
      </c>
      <c r="N2548" s="116">
        <v>1456.5</v>
      </c>
      <c r="O2548" s="116">
        <v>1415</v>
      </c>
      <c r="P2548" s="116">
        <v>1431</v>
      </c>
      <c r="Q2548" s="116">
        <v>1428.8</v>
      </c>
      <c r="R2548">
        <v>12805001</v>
      </c>
    </row>
    <row r="2549" spans="1:18" x14ac:dyDescent="0.25">
      <c r="A2549" s="170">
        <v>45756</v>
      </c>
      <c r="B2549" s="116">
        <v>1408.2</v>
      </c>
      <c r="C2549" s="116">
        <v>1404.2</v>
      </c>
      <c r="D2549" s="116">
        <v>1381.35</v>
      </c>
      <c r="E2549" s="116">
        <v>1408.2</v>
      </c>
      <c r="F2549" s="116">
        <v>1404.2</v>
      </c>
      <c r="G2549">
        <v>263142</v>
      </c>
      <c r="H2549" s="116"/>
      <c r="I2549" s="116"/>
      <c r="L2549" s="170">
        <v>45756</v>
      </c>
      <c r="M2549" s="116">
        <v>1403.7</v>
      </c>
      <c r="N2549" s="116">
        <v>1409.45</v>
      </c>
      <c r="O2549" s="116">
        <v>1381.9</v>
      </c>
      <c r="P2549" s="116">
        <v>1405.05</v>
      </c>
      <c r="Q2549" s="116">
        <v>1403.7</v>
      </c>
      <c r="R2549">
        <v>8546854</v>
      </c>
    </row>
    <row r="2550" spans="1:18" x14ac:dyDescent="0.25">
      <c r="A2550" s="170">
        <v>45758</v>
      </c>
      <c r="B2550" s="116">
        <v>1438.55</v>
      </c>
      <c r="C2550" s="116">
        <v>1410.6</v>
      </c>
      <c r="D2550" s="116">
        <v>1397.65</v>
      </c>
      <c r="E2550" s="116">
        <v>1414.65</v>
      </c>
      <c r="F2550" s="116">
        <v>1410.6</v>
      </c>
      <c r="G2550">
        <v>493400</v>
      </c>
      <c r="H2550" s="116"/>
      <c r="I2550" s="116"/>
      <c r="L2550" s="170">
        <v>45758</v>
      </c>
      <c r="M2550" s="116">
        <v>1409.45</v>
      </c>
      <c r="N2550" s="116">
        <v>1438.8</v>
      </c>
      <c r="O2550" s="116">
        <v>1397.05</v>
      </c>
      <c r="P2550" s="116">
        <v>1411.25</v>
      </c>
      <c r="Q2550" s="116">
        <v>1409.45</v>
      </c>
      <c r="R2550">
        <v>12567440</v>
      </c>
    </row>
    <row r="2551" spans="1:18" x14ac:dyDescent="0.25">
      <c r="A2551" s="170">
        <v>45762</v>
      </c>
      <c r="B2551" s="116">
        <v>1447</v>
      </c>
      <c r="C2551" s="116">
        <v>1427.25</v>
      </c>
      <c r="D2551" s="116">
        <v>1409.1</v>
      </c>
      <c r="E2551" s="116">
        <v>1440.4</v>
      </c>
      <c r="F2551" s="116">
        <v>1427.25</v>
      </c>
      <c r="G2551">
        <v>383484</v>
      </c>
      <c r="H2551" s="116"/>
      <c r="I2551" s="116"/>
      <c r="L2551" s="170">
        <v>45762</v>
      </c>
      <c r="M2551" s="116">
        <v>1426</v>
      </c>
      <c r="N2551" s="116">
        <v>1447.7</v>
      </c>
      <c r="O2551" s="116">
        <v>1409</v>
      </c>
      <c r="P2551" s="116">
        <v>1445.6</v>
      </c>
      <c r="Q2551" s="116">
        <v>1426</v>
      </c>
      <c r="R2551">
        <v>10178530</v>
      </c>
    </row>
    <row r="2552" spans="1:18" x14ac:dyDescent="0.25">
      <c r="A2552" s="170">
        <v>45763</v>
      </c>
      <c r="B2552" s="116">
        <v>1429.95</v>
      </c>
      <c r="C2552" s="116">
        <v>1413</v>
      </c>
      <c r="D2552" s="116">
        <v>1396.95</v>
      </c>
      <c r="E2552" s="116">
        <v>1429.95</v>
      </c>
      <c r="F2552" s="116">
        <v>1413</v>
      </c>
      <c r="G2552">
        <v>345038</v>
      </c>
      <c r="H2552" s="116"/>
      <c r="I2552" s="116"/>
      <c r="L2552" s="170">
        <v>45763</v>
      </c>
      <c r="M2552" s="116">
        <v>1413.1</v>
      </c>
      <c r="N2552" s="116">
        <v>1427.5</v>
      </c>
      <c r="O2552" s="116">
        <v>1396.8</v>
      </c>
      <c r="P2552" s="116">
        <v>1425</v>
      </c>
      <c r="Q2552" s="116">
        <v>1413.1</v>
      </c>
      <c r="R2552">
        <v>12022740</v>
      </c>
    </row>
    <row r="2553" spans="1:18" x14ac:dyDescent="0.25">
      <c r="A2553" s="170">
        <v>45764</v>
      </c>
      <c r="B2553" s="116">
        <v>1429.4</v>
      </c>
      <c r="C2553" s="116">
        <v>1420.2</v>
      </c>
      <c r="D2553" s="116">
        <v>1378.6</v>
      </c>
      <c r="E2553" s="116">
        <v>1404.85</v>
      </c>
      <c r="F2553" s="116">
        <v>1420.2</v>
      </c>
      <c r="G2553">
        <v>771330</v>
      </c>
      <c r="H2553" s="116"/>
      <c r="I2553" s="116"/>
      <c r="L2553" s="170">
        <v>45764</v>
      </c>
      <c r="M2553" s="116">
        <v>1419.5</v>
      </c>
      <c r="N2553" s="116">
        <v>1429.8</v>
      </c>
      <c r="O2553" s="116">
        <v>1378.3</v>
      </c>
      <c r="P2553" s="116">
        <v>1398</v>
      </c>
      <c r="Q2553" s="116">
        <v>1419.5</v>
      </c>
      <c r="R2553">
        <v>14264227</v>
      </c>
    </row>
    <row r="2554" spans="1:18" x14ac:dyDescent="0.25">
      <c r="A2554" s="170">
        <v>45768</v>
      </c>
      <c r="B2554" s="116">
        <v>1471.5</v>
      </c>
      <c r="C2554" s="116">
        <v>1450.45</v>
      </c>
      <c r="D2554" s="116">
        <v>1409</v>
      </c>
      <c r="E2554" s="116">
        <v>1409</v>
      </c>
      <c r="F2554" s="116">
        <v>1450.45</v>
      </c>
      <c r="G2554">
        <v>592543</v>
      </c>
      <c r="H2554" s="116"/>
      <c r="I2554" s="116"/>
      <c r="L2554" s="170">
        <v>45768</v>
      </c>
      <c r="M2554" s="116">
        <v>1451</v>
      </c>
      <c r="N2554" s="116">
        <v>1471.8</v>
      </c>
      <c r="O2554" s="116">
        <v>1410</v>
      </c>
      <c r="P2554" s="116">
        <v>1410</v>
      </c>
      <c r="Q2554" s="116">
        <v>1451</v>
      </c>
      <c r="R2554">
        <v>15648970</v>
      </c>
    </row>
    <row r="2555" spans="1:18" x14ac:dyDescent="0.25">
      <c r="A2555" s="170">
        <v>45769</v>
      </c>
      <c r="B2555" s="116">
        <v>1448.95</v>
      </c>
      <c r="C2555" s="116">
        <v>1422.4</v>
      </c>
      <c r="D2555" s="116">
        <v>1419.6</v>
      </c>
      <c r="E2555" s="116">
        <v>1448.95</v>
      </c>
      <c r="F2555" s="116">
        <v>1422.4</v>
      </c>
      <c r="G2555">
        <v>391747</v>
      </c>
      <c r="H2555" s="116"/>
      <c r="I2555" s="116"/>
      <c r="L2555" s="170">
        <v>45769</v>
      </c>
      <c r="M2555" s="116">
        <v>1422.8</v>
      </c>
      <c r="N2555" s="116">
        <v>1440</v>
      </c>
      <c r="O2555" s="116">
        <v>1419.3</v>
      </c>
      <c r="P2555" s="116">
        <v>1440</v>
      </c>
      <c r="Q2555" s="116">
        <v>1422.8</v>
      </c>
      <c r="R2555">
        <v>9399738</v>
      </c>
    </row>
    <row r="2556" spans="1:18" x14ac:dyDescent="0.25">
      <c r="A2556" s="170">
        <v>45770</v>
      </c>
      <c r="B2556" s="116">
        <v>1487.85</v>
      </c>
      <c r="C2556" s="116">
        <v>1474.85</v>
      </c>
      <c r="D2556" s="116">
        <v>1441.55</v>
      </c>
      <c r="E2556" s="116">
        <v>1447.35</v>
      </c>
      <c r="F2556" s="116">
        <v>1474.85</v>
      </c>
      <c r="G2556">
        <v>329800</v>
      </c>
      <c r="H2556" s="116"/>
      <c r="I2556" s="116"/>
      <c r="L2556" s="170">
        <v>45770</v>
      </c>
      <c r="M2556" s="116">
        <v>1474.9</v>
      </c>
      <c r="N2556" s="116">
        <v>1487.8</v>
      </c>
      <c r="O2556" s="116">
        <v>1439.6</v>
      </c>
      <c r="P2556" s="116">
        <v>1446</v>
      </c>
      <c r="Q2556" s="116">
        <v>1474.9</v>
      </c>
      <c r="R2556">
        <v>11136642</v>
      </c>
    </row>
    <row r="2557" spans="1:18" x14ac:dyDescent="0.25">
      <c r="A2557" s="170">
        <v>45771</v>
      </c>
      <c r="B2557" s="116">
        <v>1483</v>
      </c>
      <c r="C2557" s="116">
        <v>1471.3</v>
      </c>
      <c r="D2557" s="116">
        <v>1461.15</v>
      </c>
      <c r="E2557" s="116">
        <v>1474.75</v>
      </c>
      <c r="F2557" s="116">
        <v>1471.3</v>
      </c>
      <c r="G2557">
        <v>179407</v>
      </c>
      <c r="H2557" s="116"/>
      <c r="I2557" s="116"/>
      <c r="L2557" s="170">
        <v>45771</v>
      </c>
      <c r="M2557" s="116">
        <v>1471.4</v>
      </c>
      <c r="N2557" s="116">
        <v>1482.9</v>
      </c>
      <c r="O2557" s="116">
        <v>1461.5</v>
      </c>
      <c r="P2557" s="116">
        <v>1469.9</v>
      </c>
      <c r="Q2557" s="116">
        <v>1471.4</v>
      </c>
      <c r="R2557">
        <v>7114292</v>
      </c>
    </row>
    <row r="2558" spans="1:18" x14ac:dyDescent="0.25">
      <c r="A2558" s="170">
        <v>45772</v>
      </c>
      <c r="B2558" s="116">
        <v>1501.5</v>
      </c>
      <c r="C2558" s="116">
        <v>1480.2</v>
      </c>
      <c r="D2558" s="116">
        <v>1464</v>
      </c>
      <c r="E2558" s="116">
        <v>1474.1</v>
      </c>
      <c r="F2558" s="116">
        <v>1480.2</v>
      </c>
      <c r="G2558">
        <v>236153</v>
      </c>
      <c r="H2558" s="116"/>
      <c r="I2558" s="116"/>
      <c r="L2558" s="170">
        <v>45772</v>
      </c>
      <c r="M2558" s="116">
        <v>1480.2</v>
      </c>
      <c r="N2558" s="116">
        <v>1501.7</v>
      </c>
      <c r="O2558" s="116">
        <v>1463.5</v>
      </c>
      <c r="P2558" s="116">
        <v>1475.5</v>
      </c>
      <c r="Q2558" s="116">
        <v>1480.2</v>
      </c>
      <c r="R2558">
        <v>8329979</v>
      </c>
    </row>
    <row r="2559" spans="1:18" x14ac:dyDescent="0.25">
      <c r="A2559" s="170">
        <v>45775</v>
      </c>
      <c r="B2559" s="116">
        <v>1488.7</v>
      </c>
      <c r="C2559" s="116">
        <v>1482.2</v>
      </c>
      <c r="D2559" s="116">
        <v>1465.3</v>
      </c>
      <c r="E2559" s="116">
        <v>1483</v>
      </c>
      <c r="F2559" s="116">
        <v>1482.2</v>
      </c>
      <c r="G2559">
        <v>532448</v>
      </c>
      <c r="H2559" s="116"/>
      <c r="I2559" s="116"/>
      <c r="L2559" s="170">
        <v>45775</v>
      </c>
      <c r="M2559" s="116">
        <v>1482.1</v>
      </c>
      <c r="N2559" s="116">
        <v>1489.6</v>
      </c>
      <c r="O2559" s="116">
        <v>1465.3</v>
      </c>
      <c r="P2559" s="116">
        <v>1480.2</v>
      </c>
      <c r="Q2559" s="116">
        <v>1482.1</v>
      </c>
      <c r="R2559">
        <v>5886253</v>
      </c>
    </row>
    <row r="2560" spans="1:18" x14ac:dyDescent="0.25">
      <c r="A2560" s="170">
        <v>45776</v>
      </c>
      <c r="B2560" s="116">
        <v>1509.6</v>
      </c>
      <c r="C2560" s="116">
        <v>1497.4</v>
      </c>
      <c r="D2560" s="116">
        <v>1474.5</v>
      </c>
      <c r="E2560" s="116">
        <v>1482.2</v>
      </c>
      <c r="F2560" s="116">
        <v>1497.4</v>
      </c>
      <c r="G2560">
        <v>398565</v>
      </c>
      <c r="H2560" s="116"/>
      <c r="I2560" s="116"/>
      <c r="L2560" s="170">
        <v>45776</v>
      </c>
      <c r="M2560" s="116">
        <v>1497.5</v>
      </c>
      <c r="N2560" s="116">
        <v>1509.8</v>
      </c>
      <c r="O2560" s="116">
        <v>1474.1</v>
      </c>
      <c r="P2560" s="116">
        <v>1482</v>
      </c>
      <c r="Q2560" s="116">
        <v>1497.5</v>
      </c>
      <c r="R2560">
        <v>8056743</v>
      </c>
    </row>
    <row r="2561" spans="1:18" x14ac:dyDescent="0.25">
      <c r="A2561" s="170">
        <v>45777</v>
      </c>
      <c r="B2561" s="116">
        <v>1508</v>
      </c>
      <c r="C2561" s="116">
        <v>1498.9</v>
      </c>
      <c r="D2561" s="116">
        <v>1486</v>
      </c>
      <c r="E2561" s="116">
        <v>1497.4</v>
      </c>
      <c r="F2561" s="116">
        <v>1498.9</v>
      </c>
      <c r="G2561">
        <v>119269</v>
      </c>
      <c r="H2561" s="116"/>
      <c r="I2561" s="116"/>
      <c r="L2561" s="170">
        <v>45777</v>
      </c>
      <c r="M2561" s="116">
        <v>1500.1</v>
      </c>
      <c r="N2561" s="116">
        <v>1508.8</v>
      </c>
      <c r="O2561" s="116">
        <v>1482.6</v>
      </c>
      <c r="P2561" s="116">
        <v>1496.8</v>
      </c>
      <c r="Q2561" s="116">
        <v>1500.1</v>
      </c>
      <c r="R2561">
        <v>7704183</v>
      </c>
    </row>
    <row r="2562" spans="1:18" x14ac:dyDescent="0.25">
      <c r="A2562" s="170">
        <v>45779</v>
      </c>
      <c r="B2562" s="116">
        <v>1523.7</v>
      </c>
      <c r="C2562" s="116">
        <v>1506.45</v>
      </c>
      <c r="D2562" s="116">
        <v>1496.4</v>
      </c>
      <c r="E2562" s="116">
        <v>1504.95</v>
      </c>
      <c r="F2562" s="116">
        <v>1506.45</v>
      </c>
      <c r="G2562">
        <v>92930</v>
      </c>
      <c r="H2562" s="116"/>
      <c r="I2562" s="116"/>
      <c r="L2562" s="170">
        <v>45779</v>
      </c>
      <c r="M2562" s="116">
        <v>1506.8</v>
      </c>
      <c r="N2562" s="116">
        <v>1523.2</v>
      </c>
      <c r="O2562" s="116">
        <v>1496.2</v>
      </c>
      <c r="P2562" s="116">
        <v>1499.7</v>
      </c>
      <c r="Q2562" s="116">
        <v>1506.8</v>
      </c>
      <c r="R2562">
        <v>8733014</v>
      </c>
    </row>
    <row r="2563" spans="1:18" x14ac:dyDescent="0.25">
      <c r="A2563" s="170">
        <v>45782</v>
      </c>
      <c r="B2563" s="116">
        <v>1522.45</v>
      </c>
      <c r="C2563" s="116">
        <v>1507.7</v>
      </c>
      <c r="D2563" s="116">
        <v>1502.75</v>
      </c>
      <c r="E2563" s="116">
        <v>1507.35</v>
      </c>
      <c r="F2563" s="116">
        <v>1507.7</v>
      </c>
      <c r="G2563">
        <v>105684</v>
      </c>
      <c r="H2563" s="116"/>
      <c r="I2563" s="116"/>
      <c r="L2563" s="170">
        <v>45782</v>
      </c>
      <c r="M2563" s="116">
        <v>1508.6</v>
      </c>
      <c r="N2563" s="116">
        <v>1523</v>
      </c>
      <c r="O2563" s="116">
        <v>1502.8</v>
      </c>
      <c r="P2563" s="116">
        <v>1515</v>
      </c>
      <c r="Q2563" s="116">
        <v>1508.6</v>
      </c>
      <c r="R2563">
        <v>4282493</v>
      </c>
    </row>
    <row r="2564" spans="1:18" x14ac:dyDescent="0.25">
      <c r="A2564" s="170">
        <v>45783</v>
      </c>
      <c r="B2564" s="116">
        <v>1515.5</v>
      </c>
      <c r="C2564" s="116">
        <v>1511.3</v>
      </c>
      <c r="D2564" s="116">
        <v>1499.1</v>
      </c>
      <c r="E2564" s="116">
        <v>1509</v>
      </c>
      <c r="F2564" s="116">
        <v>1511.3</v>
      </c>
      <c r="G2564">
        <v>94902</v>
      </c>
      <c r="H2564" s="116"/>
      <c r="I2564" s="116"/>
      <c r="L2564" s="170">
        <v>45783</v>
      </c>
      <c r="M2564" s="116">
        <v>1511.5</v>
      </c>
      <c r="N2564" s="116">
        <v>1515.6</v>
      </c>
      <c r="O2564" s="116">
        <v>1499.1</v>
      </c>
      <c r="P2564" s="116">
        <v>1506</v>
      </c>
      <c r="Q2564" s="116">
        <v>1511.5</v>
      </c>
      <c r="R2564">
        <v>4270530</v>
      </c>
    </row>
    <row r="2565" spans="1:18" x14ac:dyDescent="0.25">
      <c r="A2565" s="170">
        <v>45784</v>
      </c>
      <c r="B2565" s="116">
        <v>1518.75</v>
      </c>
      <c r="C2565" s="116">
        <v>1508.5</v>
      </c>
      <c r="D2565" s="116">
        <v>1495.05</v>
      </c>
      <c r="E2565" s="116">
        <v>1501.3</v>
      </c>
      <c r="F2565" s="116">
        <v>1508.5</v>
      </c>
      <c r="G2565">
        <v>109324</v>
      </c>
      <c r="H2565" s="116"/>
      <c r="I2565" s="116"/>
      <c r="L2565" s="170">
        <v>45784</v>
      </c>
      <c r="M2565" s="116">
        <v>1508.3</v>
      </c>
      <c r="N2565" s="116">
        <v>1518.8</v>
      </c>
      <c r="O2565" s="116">
        <v>1496.6</v>
      </c>
      <c r="P2565" s="116">
        <v>1500</v>
      </c>
      <c r="Q2565" s="116">
        <v>1508.3</v>
      </c>
      <c r="R2565">
        <v>5691799</v>
      </c>
    </row>
    <row r="2566" spans="1:18" x14ac:dyDescent="0.25">
      <c r="A2566" s="170">
        <v>45785</v>
      </c>
      <c r="B2566" s="116">
        <v>1516.4</v>
      </c>
      <c r="C2566" s="116">
        <v>1511.25</v>
      </c>
      <c r="D2566" s="116">
        <v>1501.35</v>
      </c>
      <c r="E2566" s="116">
        <v>1509.95</v>
      </c>
      <c r="F2566" s="116">
        <v>1511.25</v>
      </c>
      <c r="G2566">
        <v>170453</v>
      </c>
      <c r="H2566" s="116"/>
      <c r="I2566" s="116"/>
      <c r="L2566" s="170">
        <v>45785</v>
      </c>
      <c r="M2566" s="116">
        <v>1511.4</v>
      </c>
      <c r="N2566" s="116">
        <v>1516.5</v>
      </c>
      <c r="O2566" s="116">
        <v>1501.2</v>
      </c>
      <c r="P2566" s="116">
        <v>1508</v>
      </c>
      <c r="Q2566" s="116">
        <v>1511.4</v>
      </c>
      <c r="R2566">
        <v>8424409</v>
      </c>
    </row>
    <row r="2567" spans="1:18" x14ac:dyDescent="0.25">
      <c r="A2567" s="170">
        <v>45786</v>
      </c>
      <c r="B2567" s="116">
        <v>1511</v>
      </c>
      <c r="C2567" s="116">
        <v>1507.45</v>
      </c>
      <c r="D2567" s="116">
        <v>1491.2</v>
      </c>
      <c r="E2567" s="116">
        <v>1491.2</v>
      </c>
      <c r="F2567" s="116">
        <v>1507.45</v>
      </c>
      <c r="G2567">
        <v>75913</v>
      </c>
      <c r="H2567" s="116"/>
      <c r="I2567" s="116"/>
      <c r="L2567" s="170">
        <v>45786</v>
      </c>
      <c r="M2567" s="116">
        <v>1507.6</v>
      </c>
      <c r="N2567" s="116">
        <v>1511.4</v>
      </c>
      <c r="O2567" s="116">
        <v>1494.1</v>
      </c>
      <c r="P2567" s="116">
        <v>1500.7</v>
      </c>
      <c r="Q2567" s="116">
        <v>1507.6</v>
      </c>
      <c r="R2567">
        <v>4478653</v>
      </c>
    </row>
    <row r="2568" spans="1:18" x14ac:dyDescent="0.25">
      <c r="A2568" s="170">
        <v>45789</v>
      </c>
      <c r="B2568" s="116">
        <v>1632</v>
      </c>
      <c r="C2568" s="116">
        <v>1626.7</v>
      </c>
      <c r="D2568" s="116">
        <v>1534.05</v>
      </c>
      <c r="E2568" s="116">
        <v>1535.25</v>
      </c>
      <c r="F2568" s="116">
        <v>1626.7</v>
      </c>
      <c r="G2568">
        <v>302933</v>
      </c>
      <c r="H2568" s="116"/>
      <c r="I2568" s="116"/>
      <c r="L2568" s="170">
        <v>45789</v>
      </c>
      <c r="M2568" s="116">
        <v>1626.9</v>
      </c>
      <c r="N2568" s="116">
        <v>1632</v>
      </c>
      <c r="O2568" s="116">
        <v>1532</v>
      </c>
      <c r="P2568" s="116">
        <v>1537</v>
      </c>
      <c r="Q2568" s="116">
        <v>1626.9</v>
      </c>
      <c r="R2568">
        <v>11372857</v>
      </c>
    </row>
    <row r="2569" spans="1:18" x14ac:dyDescent="0.25">
      <c r="A2569" s="170">
        <v>45790</v>
      </c>
      <c r="B2569" s="116">
        <v>1619.6</v>
      </c>
      <c r="C2569" s="116">
        <v>1569.1</v>
      </c>
      <c r="D2569" s="116">
        <v>1564.95</v>
      </c>
      <c r="E2569" s="116">
        <v>1619.6</v>
      </c>
      <c r="F2569" s="116">
        <v>1569.1</v>
      </c>
      <c r="G2569">
        <v>435421</v>
      </c>
      <c r="H2569" s="116"/>
      <c r="I2569" s="116"/>
      <c r="L2569" s="170">
        <v>45790</v>
      </c>
      <c r="M2569" s="116">
        <v>1568.6</v>
      </c>
      <c r="N2569" s="116">
        <v>1612.2</v>
      </c>
      <c r="O2569" s="116">
        <v>1564.6</v>
      </c>
      <c r="P2569" s="116">
        <v>1609</v>
      </c>
      <c r="Q2569" s="116">
        <v>1568.6</v>
      </c>
      <c r="R2569">
        <v>12846210</v>
      </c>
    </row>
    <row r="2570" spans="1:18" x14ac:dyDescent="0.25">
      <c r="A2570" s="170">
        <v>45791</v>
      </c>
      <c r="B2570" s="116">
        <v>1594.15</v>
      </c>
      <c r="C2570" s="116">
        <v>1592.6</v>
      </c>
      <c r="D2570" s="116">
        <v>1570</v>
      </c>
      <c r="E2570" s="116">
        <v>1575</v>
      </c>
      <c r="F2570" s="116">
        <v>1592.6</v>
      </c>
      <c r="G2570">
        <v>196636</v>
      </c>
      <c r="H2570" s="116"/>
      <c r="I2570" s="116"/>
      <c r="L2570" s="170">
        <v>45791</v>
      </c>
      <c r="M2570" s="116">
        <v>1592.4</v>
      </c>
      <c r="N2570" s="116">
        <v>1595</v>
      </c>
      <c r="O2570" s="116">
        <v>1569.5</v>
      </c>
      <c r="P2570" s="116">
        <v>1574</v>
      </c>
      <c r="Q2570" s="116">
        <v>1592.4</v>
      </c>
      <c r="R2570">
        <v>4870057</v>
      </c>
    </row>
    <row r="2571" spans="1:18" x14ac:dyDescent="0.25">
      <c r="A2571" s="170">
        <v>45792</v>
      </c>
      <c r="B2571" s="116">
        <v>1618.85</v>
      </c>
      <c r="C2571" s="116">
        <v>1613.25</v>
      </c>
      <c r="D2571" s="116">
        <v>1571.2</v>
      </c>
      <c r="E2571" s="116">
        <v>1592.35</v>
      </c>
      <c r="F2571" s="116">
        <v>1613.25</v>
      </c>
      <c r="G2571">
        <v>332079</v>
      </c>
      <c r="H2571" s="116"/>
      <c r="I2571" s="116"/>
      <c r="L2571" s="170">
        <v>45792</v>
      </c>
      <c r="M2571" s="116">
        <v>1613</v>
      </c>
      <c r="N2571" s="116">
        <v>1618.6</v>
      </c>
      <c r="O2571" s="116">
        <v>1571</v>
      </c>
      <c r="P2571" s="116">
        <v>1589.8</v>
      </c>
      <c r="Q2571" s="116">
        <v>1613</v>
      </c>
      <c r="R2571">
        <v>11151167</v>
      </c>
    </row>
    <row r="2572" spans="1:18" x14ac:dyDescent="0.25">
      <c r="A2572" s="170">
        <v>45793</v>
      </c>
      <c r="B2572" s="116">
        <v>1614.2</v>
      </c>
      <c r="C2572" s="116">
        <v>1589.75</v>
      </c>
      <c r="D2572" s="116">
        <v>1581.3</v>
      </c>
      <c r="E2572" s="116">
        <v>1614.2</v>
      </c>
      <c r="F2572" s="116">
        <v>1589.75</v>
      </c>
      <c r="G2572">
        <v>230333</v>
      </c>
      <c r="H2572" s="116"/>
      <c r="I2572" s="116"/>
      <c r="L2572" s="170">
        <v>45793</v>
      </c>
      <c r="M2572" s="116">
        <v>1589.9</v>
      </c>
      <c r="N2572" s="116">
        <v>1612.6</v>
      </c>
      <c r="O2572" s="116">
        <v>1581.5</v>
      </c>
      <c r="P2572" s="116">
        <v>1612.6</v>
      </c>
      <c r="Q2572" s="116">
        <v>1589.9</v>
      </c>
      <c r="R2572">
        <v>4576751</v>
      </c>
    </row>
    <row r="2573" spans="1:18" x14ac:dyDescent="0.25">
      <c r="A2573" s="170">
        <v>45796</v>
      </c>
      <c r="B2573" s="116">
        <v>1583.95</v>
      </c>
      <c r="C2573" s="116">
        <v>1559.15</v>
      </c>
      <c r="D2573" s="116">
        <v>1555</v>
      </c>
      <c r="E2573" s="116">
        <v>1583.95</v>
      </c>
      <c r="F2573" s="116">
        <v>1559.15</v>
      </c>
      <c r="G2573">
        <v>402469</v>
      </c>
      <c r="H2573" s="116"/>
      <c r="I2573" s="116"/>
      <c r="L2573" s="170">
        <v>45796</v>
      </c>
      <c r="M2573" s="116">
        <v>1559.8</v>
      </c>
      <c r="N2573" s="116">
        <v>1585</v>
      </c>
      <c r="O2573" s="116">
        <v>1555.7</v>
      </c>
      <c r="P2573" s="116">
        <v>1576.5</v>
      </c>
      <c r="Q2573" s="116">
        <v>1559.8</v>
      </c>
      <c r="R2573">
        <v>8855798</v>
      </c>
    </row>
    <row r="2574" spans="1:18" x14ac:dyDescent="0.25">
      <c r="A2574" s="170">
        <v>45797</v>
      </c>
      <c r="B2574" s="116">
        <v>1583</v>
      </c>
      <c r="C2574" s="116">
        <v>1560.4</v>
      </c>
      <c r="D2574" s="116">
        <v>1558.3</v>
      </c>
      <c r="E2574" s="116">
        <v>1567</v>
      </c>
      <c r="F2574" s="116">
        <v>1560.4</v>
      </c>
      <c r="G2574">
        <v>320816</v>
      </c>
      <c r="H2574" s="116"/>
      <c r="I2574" s="116"/>
      <c r="L2574" s="170">
        <v>45797</v>
      </c>
      <c r="M2574" s="116">
        <v>1560.6</v>
      </c>
      <c r="N2574" s="116">
        <v>1583.5</v>
      </c>
      <c r="O2574" s="116">
        <v>1558</v>
      </c>
      <c r="P2574" s="116">
        <v>1570</v>
      </c>
      <c r="Q2574" s="116">
        <v>1560.6</v>
      </c>
      <c r="R2574">
        <v>7143998</v>
      </c>
    </row>
    <row r="2575" spans="1:18" x14ac:dyDescent="0.25">
      <c r="A2575" s="170">
        <v>45798</v>
      </c>
      <c r="B2575" s="116">
        <v>1570</v>
      </c>
      <c r="C2575" s="116">
        <v>1568.1</v>
      </c>
      <c r="D2575" s="116">
        <v>1552.15</v>
      </c>
      <c r="E2575" s="116">
        <v>1561.65</v>
      </c>
      <c r="F2575" s="116">
        <v>1568.1</v>
      </c>
      <c r="G2575">
        <v>153101</v>
      </c>
      <c r="H2575" s="116"/>
      <c r="I2575" s="116"/>
      <c r="L2575" s="170">
        <v>45798</v>
      </c>
      <c r="M2575" s="116">
        <v>1568.5</v>
      </c>
      <c r="N2575" s="116">
        <v>1571</v>
      </c>
      <c r="O2575" s="116">
        <v>1552.1</v>
      </c>
      <c r="P2575" s="116">
        <v>1567.9</v>
      </c>
      <c r="Q2575" s="116">
        <v>1568.5</v>
      </c>
      <c r="R2575">
        <v>4157309</v>
      </c>
    </row>
    <row r="2576" spans="1:18" x14ac:dyDescent="0.25">
      <c r="A2576" s="170">
        <v>45799</v>
      </c>
      <c r="B2576" s="116">
        <v>1562</v>
      </c>
      <c r="C2576" s="116">
        <v>1549.2</v>
      </c>
      <c r="D2576" s="116">
        <v>1540.05</v>
      </c>
      <c r="E2576" s="116">
        <v>1562</v>
      </c>
      <c r="F2576" s="116">
        <v>1549.2</v>
      </c>
      <c r="G2576">
        <v>369151</v>
      </c>
      <c r="H2576" s="116"/>
      <c r="I2576" s="116"/>
      <c r="L2576" s="170">
        <v>45799</v>
      </c>
      <c r="M2576" s="116">
        <v>1547.5</v>
      </c>
      <c r="N2576" s="116">
        <v>1560.8</v>
      </c>
      <c r="O2576" s="116">
        <v>1540</v>
      </c>
      <c r="P2576" s="116">
        <v>1555.5</v>
      </c>
      <c r="Q2576" s="116">
        <v>1547.5</v>
      </c>
      <c r="R2576">
        <v>6158990</v>
      </c>
    </row>
    <row r="2577" spans="1:18" x14ac:dyDescent="0.25">
      <c r="A2577" s="170">
        <v>45800</v>
      </c>
      <c r="B2577" s="116">
        <v>1586.5</v>
      </c>
      <c r="C2577" s="116">
        <v>1564.5</v>
      </c>
      <c r="D2577" s="116">
        <v>1549.25</v>
      </c>
      <c r="E2577" s="116">
        <v>1550</v>
      </c>
      <c r="F2577" s="116">
        <v>1564.5</v>
      </c>
      <c r="G2577">
        <v>328344</v>
      </c>
      <c r="H2577" s="116"/>
      <c r="I2577" s="116"/>
      <c r="L2577" s="170">
        <v>45800</v>
      </c>
      <c r="M2577" s="116">
        <v>1564.8</v>
      </c>
      <c r="N2577" s="116">
        <v>1587.2</v>
      </c>
      <c r="O2577" s="116">
        <v>1550</v>
      </c>
      <c r="P2577" s="116">
        <v>1550</v>
      </c>
      <c r="Q2577" s="116">
        <v>1564.8</v>
      </c>
      <c r="R2577">
        <v>5038421</v>
      </c>
    </row>
    <row r="2578" spans="1:18" x14ac:dyDescent="0.25">
      <c r="A2578" s="170">
        <v>45803</v>
      </c>
      <c r="B2578" s="116">
        <v>1583.75</v>
      </c>
      <c r="C2578" s="116">
        <v>1580.4</v>
      </c>
      <c r="D2578" s="116">
        <v>1562.35</v>
      </c>
      <c r="E2578" s="116">
        <v>1569.95</v>
      </c>
      <c r="F2578" s="116">
        <v>1580.4</v>
      </c>
      <c r="G2578">
        <v>216608</v>
      </c>
      <c r="H2578" s="116"/>
      <c r="I2578" s="116"/>
      <c r="L2578" s="170">
        <v>45803</v>
      </c>
      <c r="M2578" s="116">
        <v>1580.5</v>
      </c>
      <c r="N2578" s="116">
        <v>1583.8</v>
      </c>
      <c r="O2578" s="116">
        <v>1562.7</v>
      </c>
      <c r="P2578" s="116">
        <v>1566.6</v>
      </c>
      <c r="Q2578" s="116">
        <v>1580.5</v>
      </c>
      <c r="R2578">
        <v>3170102</v>
      </c>
    </row>
    <row r="2579" spans="1:18" x14ac:dyDescent="0.25">
      <c r="A2579" s="170">
        <v>45804</v>
      </c>
      <c r="B2579" s="116">
        <v>1582.8</v>
      </c>
      <c r="C2579" s="116">
        <v>1570.5</v>
      </c>
      <c r="D2579" s="116">
        <v>1556.2</v>
      </c>
      <c r="E2579" s="116">
        <v>1578.25</v>
      </c>
      <c r="F2579" s="116">
        <v>1570.5</v>
      </c>
      <c r="G2579">
        <v>959158</v>
      </c>
      <c r="H2579" s="116"/>
      <c r="I2579" s="116"/>
      <c r="L2579" s="170">
        <v>45804</v>
      </c>
      <c r="M2579" s="116">
        <v>1570.1</v>
      </c>
      <c r="N2579" s="116">
        <v>1582.9</v>
      </c>
      <c r="O2579" s="116">
        <v>1556.4</v>
      </c>
      <c r="P2579" s="116">
        <v>1579.9</v>
      </c>
      <c r="Q2579" s="116">
        <v>1570.1</v>
      </c>
      <c r="R2579">
        <v>7775714</v>
      </c>
    </row>
    <row r="2580" spans="1:18" x14ac:dyDescent="0.25">
      <c r="A2580" s="170">
        <v>45805</v>
      </c>
      <c r="B2580" s="116">
        <v>1587</v>
      </c>
      <c r="C2580" s="116">
        <v>1572.05</v>
      </c>
      <c r="D2580" s="116">
        <v>1570.05</v>
      </c>
      <c r="E2580" s="116">
        <v>1574.05</v>
      </c>
      <c r="F2580" s="116">
        <v>1572.05</v>
      </c>
      <c r="G2580">
        <v>222802</v>
      </c>
      <c r="H2580" s="116"/>
      <c r="I2580" s="116"/>
      <c r="L2580" s="170">
        <v>45805</v>
      </c>
      <c r="M2580" s="116">
        <v>1571.8</v>
      </c>
      <c r="N2580" s="116">
        <v>1587.7</v>
      </c>
      <c r="O2580" s="116">
        <v>1570</v>
      </c>
      <c r="P2580" s="116">
        <v>1581</v>
      </c>
      <c r="Q2580" s="116">
        <v>1571.8</v>
      </c>
      <c r="R2580">
        <v>3623370</v>
      </c>
    </row>
    <row r="2581" spans="1:18" x14ac:dyDescent="0.25">
      <c r="A2581" s="170">
        <v>45806</v>
      </c>
      <c r="B2581" s="116">
        <v>1609</v>
      </c>
      <c r="C2581" s="116">
        <v>1585.4</v>
      </c>
      <c r="D2581" s="116">
        <v>1577</v>
      </c>
      <c r="E2581" s="116">
        <v>1585</v>
      </c>
      <c r="F2581" s="116">
        <v>1585.4</v>
      </c>
      <c r="G2581">
        <v>413916</v>
      </c>
      <c r="H2581" s="116"/>
      <c r="I2581" s="116"/>
      <c r="L2581" s="170">
        <v>45806</v>
      </c>
      <c r="M2581" s="116">
        <v>1585.6</v>
      </c>
      <c r="N2581" s="116">
        <v>1608.9</v>
      </c>
      <c r="O2581" s="116">
        <v>1576.6</v>
      </c>
      <c r="P2581" s="116">
        <v>1589</v>
      </c>
      <c r="Q2581" s="116">
        <v>1585.6</v>
      </c>
      <c r="R2581">
        <v>8609500</v>
      </c>
    </row>
    <row r="2582" spans="1:18" x14ac:dyDescent="0.25">
      <c r="A2582" s="170">
        <v>45807</v>
      </c>
      <c r="B2582" s="116">
        <v>1570.75</v>
      </c>
      <c r="C2582" s="116">
        <v>1562.8</v>
      </c>
      <c r="D2582" s="116">
        <v>1555.1</v>
      </c>
      <c r="E2582" s="116">
        <v>1569</v>
      </c>
      <c r="F2582" s="116">
        <v>1562.8</v>
      </c>
      <c r="G2582">
        <v>361932</v>
      </c>
      <c r="H2582" s="116"/>
      <c r="I2582" s="116"/>
      <c r="L2582" s="170">
        <v>45807</v>
      </c>
      <c r="M2582" s="116">
        <v>1562.7</v>
      </c>
      <c r="N2582" s="116">
        <v>1572</v>
      </c>
      <c r="O2582" s="116">
        <v>1555.1</v>
      </c>
      <c r="P2582" s="116">
        <v>1571</v>
      </c>
      <c r="Q2582" s="116">
        <v>1562.7</v>
      </c>
      <c r="R2582">
        <v>13148092</v>
      </c>
    </row>
    <row r="2583" spans="1:18" x14ac:dyDescent="0.25">
      <c r="A2583" s="170">
        <v>45810</v>
      </c>
      <c r="B2583" s="116">
        <v>1562</v>
      </c>
      <c r="C2583" s="116">
        <v>1554.2</v>
      </c>
      <c r="D2583" s="116">
        <v>1538.75</v>
      </c>
      <c r="E2583" s="116">
        <v>1562</v>
      </c>
      <c r="F2583" s="116">
        <v>1554.2</v>
      </c>
      <c r="G2583">
        <v>338024</v>
      </c>
      <c r="H2583" s="116"/>
      <c r="I2583" s="116"/>
      <c r="L2583" s="170">
        <v>45810</v>
      </c>
      <c r="M2583" s="116">
        <v>1553.8</v>
      </c>
      <c r="N2583" s="116">
        <v>1560</v>
      </c>
      <c r="O2583" s="116">
        <v>1539</v>
      </c>
      <c r="P2583" s="116">
        <v>1560</v>
      </c>
      <c r="Q2583" s="116">
        <v>1553.8</v>
      </c>
      <c r="R2583">
        <v>4374509</v>
      </c>
    </row>
    <row r="2584" spans="1:18" x14ac:dyDescent="0.25">
      <c r="A2584" s="170">
        <v>45811</v>
      </c>
      <c r="B2584" s="116">
        <v>1566.7</v>
      </c>
      <c r="C2584" s="116">
        <v>1542.35</v>
      </c>
      <c r="D2584" s="116">
        <v>1535.35</v>
      </c>
      <c r="E2584" s="116">
        <v>1561.8</v>
      </c>
      <c r="F2584" s="116">
        <v>1542.35</v>
      </c>
      <c r="G2584">
        <v>1190530</v>
      </c>
      <c r="H2584" s="116"/>
      <c r="I2584" s="116"/>
      <c r="L2584" s="170">
        <v>45811</v>
      </c>
      <c r="M2584" s="116">
        <v>1543</v>
      </c>
      <c r="N2584" s="116">
        <v>1567.3</v>
      </c>
      <c r="O2584" s="116">
        <v>1535.6</v>
      </c>
      <c r="P2584" s="116">
        <v>1559</v>
      </c>
      <c r="Q2584" s="116">
        <v>1543</v>
      </c>
      <c r="R2584">
        <v>6853403</v>
      </c>
    </row>
    <row r="2585" spans="1:18" x14ac:dyDescent="0.25">
      <c r="A2585" s="170">
        <v>45812</v>
      </c>
      <c r="B2585" s="116">
        <v>1557</v>
      </c>
      <c r="C2585" s="116">
        <v>1551.25</v>
      </c>
      <c r="D2585" s="116">
        <v>1542</v>
      </c>
      <c r="E2585" s="116">
        <v>1542.3</v>
      </c>
      <c r="F2585" s="116">
        <v>1551.25</v>
      </c>
      <c r="G2585">
        <v>47951</v>
      </c>
      <c r="H2585" s="116"/>
      <c r="I2585" s="116"/>
      <c r="L2585" s="170">
        <v>45812</v>
      </c>
      <c r="M2585" s="116">
        <v>1551.2</v>
      </c>
      <c r="N2585" s="116">
        <v>1557.3</v>
      </c>
      <c r="O2585" s="116">
        <v>1541.4</v>
      </c>
      <c r="P2585" s="116">
        <v>1543</v>
      </c>
      <c r="Q2585" s="116">
        <v>1551.2</v>
      </c>
      <c r="R2585">
        <v>4548307</v>
      </c>
    </row>
    <row r="2586" spans="1:18" x14ac:dyDescent="0.25">
      <c r="A2586" s="170">
        <v>45813</v>
      </c>
      <c r="B2586" s="116">
        <v>1567.45</v>
      </c>
      <c r="C2586" s="116">
        <v>1554.35</v>
      </c>
      <c r="D2586" s="116">
        <v>1542.4</v>
      </c>
      <c r="E2586" s="116">
        <v>1552</v>
      </c>
      <c r="F2586" s="116">
        <v>1554.35</v>
      </c>
      <c r="G2586">
        <v>175186</v>
      </c>
      <c r="H2586" s="116"/>
      <c r="I2586" s="116"/>
      <c r="L2586" s="170">
        <v>45813</v>
      </c>
      <c r="M2586" s="116">
        <v>1554.3</v>
      </c>
      <c r="N2586" s="116">
        <v>1567.7</v>
      </c>
      <c r="O2586" s="116">
        <v>1541.6</v>
      </c>
      <c r="P2586" s="116">
        <v>1547.9</v>
      </c>
      <c r="Q2586" s="116">
        <v>1554.3</v>
      </c>
      <c r="R2586">
        <v>6948539</v>
      </c>
    </row>
    <row r="2587" spans="1:18" x14ac:dyDescent="0.25">
      <c r="A2587" s="170">
        <v>45814</v>
      </c>
      <c r="B2587" s="116">
        <v>1568</v>
      </c>
      <c r="C2587" s="116">
        <v>1564.05</v>
      </c>
      <c r="D2587" s="116">
        <v>1543.7</v>
      </c>
      <c r="E2587" s="116">
        <v>1553.3</v>
      </c>
      <c r="F2587" s="116">
        <v>1564.05</v>
      </c>
      <c r="G2587">
        <v>310045</v>
      </c>
      <c r="H2587" s="116"/>
      <c r="I2587" s="116"/>
      <c r="L2587" s="170">
        <v>45814</v>
      </c>
      <c r="M2587" s="116">
        <v>1563.8</v>
      </c>
      <c r="N2587" s="116">
        <v>1568.9</v>
      </c>
      <c r="O2587" s="116">
        <v>1543.1</v>
      </c>
      <c r="P2587" s="116">
        <v>1554.7</v>
      </c>
      <c r="Q2587" s="116">
        <v>1563.8</v>
      </c>
      <c r="R2587">
        <v>3960020</v>
      </c>
    </row>
    <row r="2588" spans="1:18" x14ac:dyDescent="0.25">
      <c r="A2588" s="170">
        <v>45817</v>
      </c>
      <c r="B2588" s="116">
        <v>1587.9</v>
      </c>
      <c r="C2588" s="116">
        <v>1572.55</v>
      </c>
      <c r="D2588" s="116">
        <v>1570.1</v>
      </c>
      <c r="E2588" s="116">
        <v>1579</v>
      </c>
      <c r="F2588" s="116">
        <v>1572.55</v>
      </c>
      <c r="G2588">
        <v>292314</v>
      </c>
      <c r="H2588" s="116"/>
      <c r="I2588" s="116"/>
      <c r="L2588" s="170">
        <v>45817</v>
      </c>
      <c r="M2588" s="116">
        <v>1572.9</v>
      </c>
      <c r="N2588" s="116">
        <v>1588</v>
      </c>
      <c r="O2588" s="116">
        <v>1571</v>
      </c>
      <c r="P2588" s="116">
        <v>1578</v>
      </c>
      <c r="Q2588" s="116">
        <v>1572.9</v>
      </c>
      <c r="R2588">
        <v>2903202</v>
      </c>
    </row>
    <row r="2589" spans="1:18" x14ac:dyDescent="0.25">
      <c r="A2589" s="170">
        <v>45818</v>
      </c>
      <c r="B2589" s="116">
        <v>1607</v>
      </c>
      <c r="C2589" s="116">
        <v>1596.25</v>
      </c>
      <c r="D2589" s="116">
        <v>1577.7</v>
      </c>
      <c r="E2589" s="116">
        <v>1580</v>
      </c>
      <c r="F2589" s="116">
        <v>1596.25</v>
      </c>
      <c r="G2589">
        <v>400500</v>
      </c>
      <c r="H2589" s="116"/>
      <c r="I2589" s="116"/>
      <c r="L2589" s="170">
        <v>45818</v>
      </c>
      <c r="M2589" s="116">
        <v>1596</v>
      </c>
      <c r="N2589" s="116">
        <v>1607.5</v>
      </c>
      <c r="O2589" s="116">
        <v>1577.5</v>
      </c>
      <c r="P2589" s="116">
        <v>1584</v>
      </c>
      <c r="Q2589" s="116">
        <v>1596</v>
      </c>
      <c r="R2589">
        <v>8591925</v>
      </c>
    </row>
    <row r="2590" spans="1:18" x14ac:dyDescent="0.25">
      <c r="A2590" s="170">
        <v>45819</v>
      </c>
      <c r="B2590" s="116">
        <v>1634.1</v>
      </c>
      <c r="C2590" s="116">
        <v>1630.7</v>
      </c>
      <c r="D2590" s="116">
        <v>1589.95</v>
      </c>
      <c r="E2590" s="116">
        <v>1594.95</v>
      </c>
      <c r="F2590" s="116">
        <v>1630.7</v>
      </c>
      <c r="G2590">
        <v>420095</v>
      </c>
      <c r="H2590" s="116"/>
      <c r="I2590" s="116"/>
      <c r="L2590" s="170">
        <v>45819</v>
      </c>
      <c r="M2590" s="116">
        <v>1631.1</v>
      </c>
      <c r="N2590" s="116">
        <v>1634.6</v>
      </c>
      <c r="O2590" s="116">
        <v>1590.1</v>
      </c>
      <c r="P2590" s="116">
        <v>1590.1</v>
      </c>
      <c r="Q2590" s="116">
        <v>1631.1</v>
      </c>
      <c r="R2590">
        <v>10597410</v>
      </c>
    </row>
    <row r="2591" spans="1:18" x14ac:dyDescent="0.25">
      <c r="A2591" s="170">
        <v>45820</v>
      </c>
      <c r="B2591" s="116">
        <v>1627.5</v>
      </c>
      <c r="C2591" s="116">
        <v>1607.4</v>
      </c>
      <c r="D2591" s="116">
        <v>1598.4</v>
      </c>
      <c r="E2591" s="116">
        <v>1625.95</v>
      </c>
      <c r="F2591" s="116">
        <v>1607.4</v>
      </c>
      <c r="G2591">
        <v>176187</v>
      </c>
      <c r="H2591" s="116"/>
      <c r="I2591" s="116"/>
      <c r="L2591" s="170">
        <v>45820</v>
      </c>
      <c r="M2591" s="116">
        <v>1608.6</v>
      </c>
      <c r="N2591" s="116">
        <v>1628</v>
      </c>
      <c r="O2591" s="116">
        <v>1598.1</v>
      </c>
      <c r="P2591" s="116">
        <v>1617</v>
      </c>
      <c r="Q2591" s="116">
        <v>1608.6</v>
      </c>
      <c r="R2591">
        <v>10483574</v>
      </c>
    </row>
    <row r="2592" spans="1:18" x14ac:dyDescent="0.25">
      <c r="A2592" s="170">
        <v>45821</v>
      </c>
      <c r="B2592" s="116">
        <v>1608.75</v>
      </c>
      <c r="C2592" s="116">
        <v>1601.55</v>
      </c>
      <c r="D2592" s="116">
        <v>1570</v>
      </c>
      <c r="E2592" s="116">
        <v>1571.05</v>
      </c>
      <c r="F2592" s="116">
        <v>1601.55</v>
      </c>
      <c r="G2592">
        <v>115149</v>
      </c>
      <c r="H2592" s="116"/>
      <c r="I2592" s="116"/>
      <c r="L2592" s="170">
        <v>45821</v>
      </c>
      <c r="M2592" s="116">
        <v>1602</v>
      </c>
      <c r="N2592" s="116">
        <v>1609</v>
      </c>
      <c r="O2592" s="116">
        <v>1570.2</v>
      </c>
      <c r="P2592" s="116">
        <v>1576</v>
      </c>
      <c r="Q2592" s="116">
        <v>1602</v>
      </c>
      <c r="R2592">
        <v>6968315</v>
      </c>
    </row>
    <row r="2593" spans="1:18" x14ac:dyDescent="0.25">
      <c r="A2593" s="170">
        <v>45824</v>
      </c>
      <c r="B2593" s="116">
        <v>1634.5</v>
      </c>
      <c r="C2593" s="116">
        <v>1623.75</v>
      </c>
      <c r="D2593" s="116">
        <v>1596.8</v>
      </c>
      <c r="E2593" s="116">
        <v>1600</v>
      </c>
      <c r="F2593" s="116">
        <v>1623.75</v>
      </c>
      <c r="G2593">
        <v>436434</v>
      </c>
      <c r="H2593" s="116"/>
      <c r="I2593" s="116"/>
      <c r="L2593" s="170">
        <v>45824</v>
      </c>
      <c r="M2593" s="116">
        <v>1623.8</v>
      </c>
      <c r="N2593" s="116">
        <v>1634.8</v>
      </c>
      <c r="O2593" s="116">
        <v>1597.1</v>
      </c>
      <c r="P2593" s="116">
        <v>1600</v>
      </c>
      <c r="Q2593" s="116">
        <v>1623.8</v>
      </c>
      <c r="R2593">
        <v>5591842</v>
      </c>
    </row>
    <row r="2594" spans="1:18" x14ac:dyDescent="0.25">
      <c r="A2594" s="170">
        <v>45825</v>
      </c>
      <c r="B2594" s="116">
        <v>1647.7</v>
      </c>
      <c r="C2594" s="116">
        <v>1640.15</v>
      </c>
      <c r="D2594" s="116">
        <v>1615.2</v>
      </c>
      <c r="E2594" s="116">
        <v>1619.95</v>
      </c>
      <c r="F2594" s="116">
        <v>1640.15</v>
      </c>
      <c r="G2594">
        <v>2067483</v>
      </c>
      <c r="H2594" s="116"/>
      <c r="I2594" s="116"/>
      <c r="L2594" s="170">
        <v>45825</v>
      </c>
      <c r="M2594" s="116">
        <v>1639.9</v>
      </c>
      <c r="N2594" s="116">
        <v>1647.4</v>
      </c>
      <c r="O2594" s="116">
        <v>1615.6</v>
      </c>
      <c r="P2594" s="116">
        <v>1620.7</v>
      </c>
      <c r="Q2594" s="116">
        <v>1639.9</v>
      </c>
      <c r="R2594">
        <v>7622083</v>
      </c>
    </row>
    <row r="2595" spans="1:18" x14ac:dyDescent="0.25">
      <c r="A2595" s="170">
        <v>45826</v>
      </c>
      <c r="B2595" s="116">
        <v>1644.45</v>
      </c>
      <c r="C2595" s="116">
        <v>1632.8</v>
      </c>
      <c r="D2595" s="116">
        <v>1615</v>
      </c>
      <c r="E2595" s="116">
        <v>1615</v>
      </c>
      <c r="F2595" s="116">
        <v>1632.8</v>
      </c>
      <c r="G2595">
        <v>659232</v>
      </c>
      <c r="H2595" s="116"/>
      <c r="I2595" s="116"/>
      <c r="L2595" s="170">
        <v>45826</v>
      </c>
      <c r="M2595" s="116">
        <v>1632.9</v>
      </c>
      <c r="N2595" s="116">
        <v>1644.7</v>
      </c>
      <c r="O2595" s="116">
        <v>1621</v>
      </c>
      <c r="P2595" s="116">
        <v>1621</v>
      </c>
      <c r="Q2595" s="116">
        <v>1632.9</v>
      </c>
      <c r="R2595">
        <v>5629707</v>
      </c>
    </row>
    <row r="2596" spans="1:18" x14ac:dyDescent="0.25">
      <c r="A2596" s="170">
        <v>45827</v>
      </c>
      <c r="B2596" s="116">
        <v>1629.65</v>
      </c>
      <c r="C2596" s="116">
        <v>1618.5</v>
      </c>
      <c r="D2596" s="116">
        <v>1612.25</v>
      </c>
      <c r="E2596" s="116">
        <v>1629.65</v>
      </c>
      <c r="F2596" s="116">
        <v>1618.5</v>
      </c>
      <c r="G2596">
        <v>188630</v>
      </c>
      <c r="H2596" s="116"/>
      <c r="I2596" s="116"/>
      <c r="L2596" s="170">
        <v>45827</v>
      </c>
      <c r="M2596" s="116">
        <v>1618.4</v>
      </c>
      <c r="N2596" s="116">
        <v>1630</v>
      </c>
      <c r="O2596" s="116">
        <v>1611.5</v>
      </c>
      <c r="P2596" s="116">
        <v>1623.9</v>
      </c>
      <c r="Q2596" s="116">
        <v>1618.4</v>
      </c>
      <c r="R2596">
        <v>5147760</v>
      </c>
    </row>
    <row r="2597" spans="1:18" x14ac:dyDescent="0.25">
      <c r="A2597" s="170">
        <v>45828</v>
      </c>
      <c r="B2597" s="116">
        <v>1630</v>
      </c>
      <c r="C2597" s="116">
        <v>1621.85</v>
      </c>
      <c r="D2597" s="116">
        <v>1608.65</v>
      </c>
      <c r="E2597" s="116">
        <v>1619</v>
      </c>
      <c r="F2597" s="116">
        <v>1621.85</v>
      </c>
      <c r="G2597">
        <v>300615</v>
      </c>
      <c r="H2597" s="116"/>
      <c r="I2597" s="116"/>
      <c r="L2597" s="170">
        <v>45828</v>
      </c>
      <c r="M2597" s="116">
        <v>1622.9</v>
      </c>
      <c r="N2597" s="116">
        <v>1630.7</v>
      </c>
      <c r="O2597" s="116">
        <v>1608.9</v>
      </c>
      <c r="P2597" s="116">
        <v>1619</v>
      </c>
      <c r="Q2597" s="116">
        <v>1622.9</v>
      </c>
      <c r="R2597">
        <v>9202821</v>
      </c>
    </row>
    <row r="2598" spans="1:18" x14ac:dyDescent="0.25">
      <c r="A2598" s="170">
        <v>45831</v>
      </c>
      <c r="B2598" s="116">
        <v>1600.1</v>
      </c>
      <c r="C2598" s="116">
        <v>1584.7</v>
      </c>
      <c r="D2598" s="116">
        <v>1576</v>
      </c>
      <c r="E2598" s="116">
        <v>1600</v>
      </c>
      <c r="F2598" s="116">
        <v>1584.7</v>
      </c>
      <c r="G2598">
        <v>256524</v>
      </c>
      <c r="H2598" s="116"/>
      <c r="I2598" s="116"/>
      <c r="L2598" s="170">
        <v>45831</v>
      </c>
      <c r="M2598" s="116">
        <v>1584</v>
      </c>
      <c r="N2598" s="116">
        <v>1601</v>
      </c>
      <c r="O2598" s="116">
        <v>1575.4</v>
      </c>
      <c r="P2598" s="116">
        <v>1601</v>
      </c>
      <c r="Q2598" s="116">
        <v>1584</v>
      </c>
      <c r="R2598">
        <v>7943676</v>
      </c>
    </row>
    <row r="2599" spans="1:18" x14ac:dyDescent="0.25">
      <c r="A2599" s="170">
        <v>45832</v>
      </c>
      <c r="B2599" s="116">
        <v>1606.4</v>
      </c>
      <c r="C2599" s="116">
        <v>1581.55</v>
      </c>
      <c r="D2599" s="116">
        <v>1577.9</v>
      </c>
      <c r="E2599" s="116">
        <v>1603.15</v>
      </c>
      <c r="F2599" s="116">
        <v>1581.55</v>
      </c>
      <c r="G2599">
        <v>930652</v>
      </c>
      <c r="H2599" s="116"/>
      <c r="I2599" s="116"/>
      <c r="L2599" s="170">
        <v>45832</v>
      </c>
      <c r="M2599" s="116">
        <v>1581.6</v>
      </c>
      <c r="N2599" s="116">
        <v>1609</v>
      </c>
      <c r="O2599" s="116">
        <v>1576.6</v>
      </c>
      <c r="P2599" s="116">
        <v>1601</v>
      </c>
      <c r="Q2599" s="116">
        <v>1581.6</v>
      </c>
      <c r="R2599">
        <v>8083992</v>
      </c>
    </row>
    <row r="2600" spans="1:18" x14ac:dyDescent="0.25">
      <c r="A2600" s="170">
        <v>45833</v>
      </c>
      <c r="B2600" s="116">
        <v>1619.85</v>
      </c>
      <c r="C2600" s="116">
        <v>1615.5</v>
      </c>
      <c r="D2600" s="116">
        <v>1586</v>
      </c>
      <c r="E2600" s="116">
        <v>1592.95</v>
      </c>
      <c r="F2600" s="116">
        <v>1615.5</v>
      </c>
      <c r="G2600">
        <v>91093</v>
      </c>
      <c r="H2600" s="116"/>
      <c r="I2600" s="116"/>
      <c r="L2600" s="170">
        <v>45833</v>
      </c>
      <c r="M2600" s="116">
        <v>1614.9</v>
      </c>
      <c r="N2600" s="116">
        <v>1619.9</v>
      </c>
      <c r="O2600" s="116">
        <v>1585.1</v>
      </c>
      <c r="P2600" s="116">
        <v>1590</v>
      </c>
      <c r="Q2600" s="116">
        <v>1614.9</v>
      </c>
      <c r="R2600">
        <v>7813533</v>
      </c>
    </row>
    <row r="2601" spans="1:18" x14ac:dyDescent="0.25">
      <c r="A2601" s="170">
        <v>45834</v>
      </c>
      <c r="B2601" s="116">
        <v>1624.1</v>
      </c>
      <c r="C2601" s="116">
        <v>1615</v>
      </c>
      <c r="D2601" s="116">
        <v>1606.55</v>
      </c>
      <c r="E2601" s="116">
        <v>1615.45</v>
      </c>
      <c r="F2601" s="116">
        <v>1615</v>
      </c>
      <c r="G2601">
        <v>187926</v>
      </c>
      <c r="H2601" s="116"/>
      <c r="I2601" s="116"/>
      <c r="L2601" s="170">
        <v>45834</v>
      </c>
      <c r="M2601" s="116">
        <v>1616</v>
      </c>
      <c r="N2601" s="116">
        <v>1624</v>
      </c>
      <c r="O2601" s="116">
        <v>1606.6</v>
      </c>
      <c r="P2601" s="116">
        <v>1608.8</v>
      </c>
      <c r="Q2601" s="116">
        <v>1616</v>
      </c>
      <c r="R2601">
        <v>6519233</v>
      </c>
    </row>
    <row r="2602" spans="1:18" x14ac:dyDescent="0.25">
      <c r="A2602" s="170">
        <v>45835</v>
      </c>
      <c r="B2602" s="116">
        <v>1629.95</v>
      </c>
      <c r="C2602" s="116">
        <v>1608.6</v>
      </c>
      <c r="D2602" s="116">
        <v>1602.05</v>
      </c>
      <c r="E2602" s="116">
        <v>1602.05</v>
      </c>
      <c r="F2602" s="116">
        <v>1608.6</v>
      </c>
      <c r="G2602">
        <v>80596</v>
      </c>
      <c r="H2602" s="116"/>
      <c r="I2602" s="116"/>
      <c r="L2602" s="170">
        <v>45835</v>
      </c>
      <c r="M2602" s="116">
        <v>1608</v>
      </c>
      <c r="N2602" s="116">
        <v>1629.6</v>
      </c>
      <c r="O2602" s="116">
        <v>1602.4</v>
      </c>
      <c r="P2602" s="116">
        <v>1619</v>
      </c>
      <c r="Q2602" s="116">
        <v>1608</v>
      </c>
      <c r="R2602">
        <v>8912268</v>
      </c>
    </row>
    <row r="2603" spans="1:18" x14ac:dyDescent="0.25">
      <c r="A2603" s="170">
        <v>45838</v>
      </c>
      <c r="B2603" s="116">
        <v>1614.95</v>
      </c>
      <c r="C2603" s="116">
        <v>1601.3</v>
      </c>
      <c r="D2603" s="116">
        <v>1594.25</v>
      </c>
      <c r="E2603" s="116">
        <v>1609.3</v>
      </c>
      <c r="F2603" s="116">
        <v>1601.3</v>
      </c>
      <c r="G2603">
        <v>187993</v>
      </c>
      <c r="H2603" s="116"/>
      <c r="I2603" s="116"/>
      <c r="L2603" s="170">
        <v>45838</v>
      </c>
      <c r="M2603" s="116">
        <v>1601.8</v>
      </c>
      <c r="N2603" s="116">
        <v>1615</v>
      </c>
      <c r="O2603" s="116">
        <v>1594.1</v>
      </c>
      <c r="P2603" s="116">
        <v>1615</v>
      </c>
      <c r="Q2603" s="116">
        <v>1601.8</v>
      </c>
      <c r="R2603">
        <v>6294505</v>
      </c>
    </row>
    <row r="2604" spans="1:18" x14ac:dyDescent="0.25">
      <c r="A2604" s="170">
        <v>45839</v>
      </c>
      <c r="B2604" s="116">
        <v>1617</v>
      </c>
      <c r="C2604" s="116">
        <v>1608.15</v>
      </c>
      <c r="D2604" s="116">
        <v>1600.9</v>
      </c>
      <c r="E2604" s="116">
        <v>1601.3</v>
      </c>
      <c r="F2604" s="116">
        <v>1608.15</v>
      </c>
      <c r="G2604">
        <v>461917</v>
      </c>
      <c r="H2604" s="116"/>
      <c r="I2604" s="116"/>
      <c r="L2604" s="170">
        <v>45839</v>
      </c>
      <c r="M2604" s="116">
        <v>1606.8</v>
      </c>
      <c r="N2604" s="116">
        <v>1617.7</v>
      </c>
      <c r="O2604" s="116">
        <v>1600.5</v>
      </c>
      <c r="P2604" s="116">
        <v>1609</v>
      </c>
      <c r="Q2604" s="116">
        <v>1606.8</v>
      </c>
      <c r="R2604">
        <v>4178937</v>
      </c>
    </row>
    <row r="2605" spans="1:18" x14ac:dyDescent="0.25">
      <c r="A2605" s="170">
        <v>45840</v>
      </c>
      <c r="B2605" s="116">
        <v>1649</v>
      </c>
      <c r="C2605" s="116">
        <v>1609.9</v>
      </c>
      <c r="D2605" s="116">
        <v>1604</v>
      </c>
      <c r="E2605" s="116">
        <v>1616.6</v>
      </c>
      <c r="F2605" s="116">
        <v>1609.9</v>
      </c>
      <c r="G2605">
        <v>466445</v>
      </c>
      <c r="H2605" s="116"/>
      <c r="I2605" s="116"/>
      <c r="L2605" s="170">
        <v>45840</v>
      </c>
      <c r="M2605" s="116">
        <v>1610.5</v>
      </c>
      <c r="N2605" s="116">
        <v>1649</v>
      </c>
      <c r="O2605" s="116">
        <v>1603.4</v>
      </c>
      <c r="P2605" s="116">
        <v>1618</v>
      </c>
      <c r="Q2605" s="116">
        <v>1610.5</v>
      </c>
      <c r="R2605">
        <v>8653641</v>
      </c>
    </row>
    <row r="2606" spans="1:18" x14ac:dyDescent="0.25">
      <c r="A2606" s="170">
        <v>45841</v>
      </c>
      <c r="B2606" s="116">
        <v>1632</v>
      </c>
      <c r="C2606" s="116">
        <v>1618.15</v>
      </c>
      <c r="D2606" s="116">
        <v>1610</v>
      </c>
      <c r="E2606" s="116">
        <v>1610</v>
      </c>
      <c r="F2606" s="116">
        <v>1618.15</v>
      </c>
      <c r="G2606">
        <v>95119</v>
      </c>
      <c r="H2606" s="116"/>
      <c r="I2606" s="116"/>
      <c r="L2606" s="170">
        <v>45841</v>
      </c>
      <c r="M2606" s="116">
        <v>1618.7</v>
      </c>
      <c r="N2606" s="116">
        <v>1632.4</v>
      </c>
      <c r="O2606" s="116">
        <v>1615</v>
      </c>
      <c r="P2606" s="116">
        <v>1618.5</v>
      </c>
      <c r="Q2606" s="116">
        <v>1618.7</v>
      </c>
      <c r="R2606">
        <v>5259695</v>
      </c>
    </row>
    <row r="2607" spans="1:18" x14ac:dyDescent="0.25">
      <c r="A2607" s="170">
        <v>45842</v>
      </c>
      <c r="B2607" s="116">
        <v>1643.4</v>
      </c>
      <c r="C2607" s="116">
        <v>1640.2</v>
      </c>
      <c r="D2607" s="116">
        <v>1612.4</v>
      </c>
      <c r="E2607" s="116">
        <v>1628.15</v>
      </c>
      <c r="F2607" s="116">
        <v>1640.2</v>
      </c>
      <c r="G2607">
        <v>274445</v>
      </c>
      <c r="H2607" s="116"/>
      <c r="I2607" s="116"/>
      <c r="L2607" s="170">
        <v>45842</v>
      </c>
      <c r="M2607" s="116">
        <v>1640.7</v>
      </c>
      <c r="N2607" s="116">
        <v>1643.4</v>
      </c>
      <c r="O2607" s="116">
        <v>1612.3</v>
      </c>
      <c r="P2607" s="116">
        <v>1625</v>
      </c>
      <c r="Q2607" s="116">
        <v>1640.7</v>
      </c>
      <c r="R2607">
        <v>4411273</v>
      </c>
    </row>
    <row r="2608" spans="1:18" x14ac:dyDescent="0.25">
      <c r="A2608" s="170">
        <v>45845</v>
      </c>
      <c r="B2608" s="116">
        <v>1642.4</v>
      </c>
      <c r="C2608" s="116">
        <v>1627.5</v>
      </c>
      <c r="D2608" s="116">
        <v>1623.05</v>
      </c>
      <c r="E2608" s="116">
        <v>1640</v>
      </c>
      <c r="F2608" s="116">
        <v>1627.5</v>
      </c>
      <c r="G2608">
        <v>173344</v>
      </c>
      <c r="H2608" s="116"/>
      <c r="I2608" s="116"/>
      <c r="L2608" s="170">
        <v>45845</v>
      </c>
      <c r="M2608" s="116">
        <v>1627</v>
      </c>
      <c r="N2608" s="116">
        <v>1644</v>
      </c>
      <c r="O2608" s="116">
        <v>1623</v>
      </c>
      <c r="P2608" s="116">
        <v>1640</v>
      </c>
      <c r="Q2608" s="116">
        <v>1627</v>
      </c>
      <c r="R2608">
        <v>3294523</v>
      </c>
    </row>
    <row r="2609" spans="1:18" x14ac:dyDescent="0.25">
      <c r="A2609" s="170">
        <v>45846</v>
      </c>
      <c r="B2609" s="116">
        <v>1646.9</v>
      </c>
      <c r="C2609" s="116">
        <v>1638.65</v>
      </c>
      <c r="D2609" s="116">
        <v>1621.1</v>
      </c>
      <c r="E2609" s="116">
        <v>1628.2</v>
      </c>
      <c r="F2609" s="116">
        <v>1638.65</v>
      </c>
      <c r="G2609">
        <v>549019</v>
      </c>
      <c r="H2609" s="116"/>
      <c r="I2609" s="116"/>
      <c r="L2609" s="170">
        <v>45846</v>
      </c>
      <c r="M2609" s="116">
        <v>1638.7</v>
      </c>
      <c r="N2609" s="116">
        <v>1646.2</v>
      </c>
      <c r="O2609" s="116">
        <v>1621.5</v>
      </c>
      <c r="P2609" s="116">
        <v>1628</v>
      </c>
      <c r="Q2609" s="116">
        <v>1638.7</v>
      </c>
      <c r="R2609">
        <v>4590681</v>
      </c>
    </row>
    <row r="2610" spans="1:18" x14ac:dyDescent="0.25">
      <c r="A2610" s="170">
        <v>45847</v>
      </c>
      <c r="B2610" s="116">
        <v>1638.65</v>
      </c>
      <c r="C2610" s="116">
        <v>1633.9</v>
      </c>
      <c r="D2610" s="116">
        <v>1624</v>
      </c>
      <c r="E2610" s="116">
        <v>1638.65</v>
      </c>
      <c r="F2610" s="116">
        <v>1633.9</v>
      </c>
      <c r="G2610">
        <v>400089</v>
      </c>
      <c r="H2610" s="116"/>
      <c r="I2610" s="116"/>
      <c r="L2610" s="170">
        <v>45847</v>
      </c>
      <c r="M2610" s="116">
        <v>1633.7</v>
      </c>
      <c r="N2610" s="116">
        <v>1638</v>
      </c>
      <c r="O2610" s="116">
        <v>1623.6</v>
      </c>
      <c r="P2610" s="116">
        <v>1637.8</v>
      </c>
      <c r="Q2610" s="116">
        <v>1633.7</v>
      </c>
      <c r="R2610">
        <v>4580828</v>
      </c>
    </row>
    <row r="2611" spans="1:18" x14ac:dyDescent="0.25">
      <c r="A2611" s="170">
        <v>45848</v>
      </c>
      <c r="B2611" s="116">
        <v>1637</v>
      </c>
      <c r="C2611" s="116">
        <v>1616.75</v>
      </c>
      <c r="D2611" s="116">
        <v>1607.55</v>
      </c>
      <c r="E2611" s="116">
        <v>1637</v>
      </c>
      <c r="F2611" s="116">
        <v>1616.75</v>
      </c>
      <c r="G2611">
        <v>771970</v>
      </c>
      <c r="H2611" s="116"/>
      <c r="I2611" s="116"/>
      <c r="L2611" s="170">
        <v>45848</v>
      </c>
      <c r="M2611" s="116">
        <v>1615.8</v>
      </c>
      <c r="N2611" s="116">
        <v>1638.9</v>
      </c>
      <c r="O2611" s="116">
        <v>1607.1</v>
      </c>
      <c r="P2611" s="116">
        <v>1638.9</v>
      </c>
      <c r="Q2611" s="116">
        <v>1615.8</v>
      </c>
      <c r="R2611">
        <v>5330179</v>
      </c>
    </row>
    <row r="2612" spans="1:18" x14ac:dyDescent="0.25">
      <c r="A2612" s="170">
        <v>45849</v>
      </c>
      <c r="B2612" s="116">
        <v>1606.95</v>
      </c>
      <c r="C2612" s="116">
        <v>1594.9</v>
      </c>
      <c r="D2612" s="116">
        <v>1563.25</v>
      </c>
      <c r="E2612" s="116">
        <v>1579</v>
      </c>
      <c r="F2612" s="116">
        <v>1594.9</v>
      </c>
      <c r="G2612">
        <v>360567</v>
      </c>
      <c r="H2612" s="116"/>
      <c r="I2612" s="116"/>
      <c r="L2612" s="170">
        <v>45849</v>
      </c>
      <c r="M2612" s="116">
        <v>1594.9</v>
      </c>
      <c r="N2612" s="116">
        <v>1607.1</v>
      </c>
      <c r="O2612" s="116">
        <v>1563</v>
      </c>
      <c r="P2612" s="116">
        <v>1579.1</v>
      </c>
      <c r="Q2612" s="116">
        <v>1594.9</v>
      </c>
      <c r="R2612">
        <v>11391755</v>
      </c>
    </row>
    <row r="2613" spans="1:18" x14ac:dyDescent="0.25">
      <c r="A2613" s="170">
        <v>45852</v>
      </c>
      <c r="B2613" s="116">
        <v>1593.95</v>
      </c>
      <c r="C2613" s="116">
        <v>1570.45</v>
      </c>
      <c r="D2613" s="116">
        <v>1560</v>
      </c>
      <c r="E2613" s="116">
        <v>1589.2</v>
      </c>
      <c r="F2613" s="116">
        <v>1570.45</v>
      </c>
      <c r="G2613">
        <v>1462073</v>
      </c>
      <c r="H2613" s="116"/>
      <c r="I2613" s="116"/>
      <c r="L2613" s="170">
        <v>45852</v>
      </c>
      <c r="M2613" s="116">
        <v>1570.3</v>
      </c>
      <c r="N2613" s="116">
        <v>1591.8</v>
      </c>
      <c r="O2613" s="116">
        <v>1559.8</v>
      </c>
      <c r="P2613" s="116">
        <v>1591.8</v>
      </c>
      <c r="Q2613" s="116">
        <v>1570.3</v>
      </c>
      <c r="R2613">
        <v>9173426</v>
      </c>
    </row>
    <row r="2614" spans="1:18" x14ac:dyDescent="0.25">
      <c r="A2614" s="170">
        <v>45853</v>
      </c>
      <c r="B2614" s="116">
        <v>1603.8</v>
      </c>
      <c r="C2614" s="116">
        <v>1584.8</v>
      </c>
      <c r="D2614" s="116">
        <v>1565</v>
      </c>
      <c r="E2614" s="116">
        <v>1565</v>
      </c>
      <c r="F2614" s="116">
        <v>1584.8</v>
      </c>
      <c r="G2614">
        <v>896680</v>
      </c>
      <c r="H2614" s="116"/>
      <c r="I2614" s="116"/>
      <c r="L2614" s="170">
        <v>45853</v>
      </c>
      <c r="M2614" s="116">
        <v>1585.6</v>
      </c>
      <c r="N2614" s="116">
        <v>1603.6</v>
      </c>
      <c r="O2614" s="116">
        <v>1564</v>
      </c>
      <c r="P2614" s="116">
        <v>1565.1</v>
      </c>
      <c r="Q2614" s="116">
        <v>1585.6</v>
      </c>
      <c r="R2614">
        <v>7614807</v>
      </c>
    </row>
    <row r="2615" spans="1:18" x14ac:dyDescent="0.25">
      <c r="A2615" s="170">
        <v>45854</v>
      </c>
      <c r="B2615" s="116">
        <v>1612.1</v>
      </c>
      <c r="C2615" s="116">
        <v>1608.6</v>
      </c>
      <c r="D2615" s="116">
        <v>1579.8</v>
      </c>
      <c r="E2615" s="116">
        <v>1580</v>
      </c>
      <c r="F2615" s="116">
        <v>1608.6</v>
      </c>
      <c r="G2615">
        <v>60718</v>
      </c>
      <c r="H2615" s="116"/>
      <c r="I2615" s="116"/>
      <c r="L2615" s="170">
        <v>45854</v>
      </c>
      <c r="M2615" s="116">
        <v>1607.9</v>
      </c>
      <c r="N2615" s="116">
        <v>1612</v>
      </c>
      <c r="O2615" s="116">
        <v>1578.5</v>
      </c>
      <c r="P2615" s="116">
        <v>1579</v>
      </c>
      <c r="Q2615" s="116">
        <v>1607.9</v>
      </c>
      <c r="R2615">
        <v>6223491</v>
      </c>
    </row>
    <row r="2616" spans="1:18" x14ac:dyDescent="0.25">
      <c r="A2616" s="170">
        <v>45855</v>
      </c>
      <c r="B2616" s="116">
        <v>1609.75</v>
      </c>
      <c r="C2616" s="116">
        <v>1582.7</v>
      </c>
      <c r="D2616" s="116">
        <v>1580.5</v>
      </c>
      <c r="E2616" s="116">
        <v>1608.55</v>
      </c>
      <c r="F2616" s="116">
        <v>1582.7</v>
      </c>
      <c r="G2616">
        <v>159573</v>
      </c>
      <c r="H2616" s="116"/>
      <c r="I2616" s="116"/>
      <c r="L2616" s="170">
        <v>45855</v>
      </c>
      <c r="M2616" s="116">
        <v>1583.5</v>
      </c>
      <c r="N2616" s="116">
        <v>1610</v>
      </c>
      <c r="O2616" s="116">
        <v>1580.1</v>
      </c>
      <c r="P2616" s="116">
        <v>1598</v>
      </c>
      <c r="Q2616" s="116">
        <v>1583.5</v>
      </c>
      <c r="R2616">
        <v>7374814</v>
      </c>
    </row>
    <row r="2617" spans="1:18" x14ac:dyDescent="0.25">
      <c r="A2617" s="170">
        <v>45856</v>
      </c>
      <c r="B2617" s="116">
        <v>1599</v>
      </c>
      <c r="C2617" s="116">
        <v>1586.55</v>
      </c>
      <c r="D2617" s="116">
        <v>1579.9</v>
      </c>
      <c r="E2617" s="116">
        <v>1588.05</v>
      </c>
      <c r="F2617" s="116">
        <v>1586.55</v>
      </c>
      <c r="G2617">
        <v>369627</v>
      </c>
      <c r="H2617" s="116"/>
      <c r="I2617" s="116"/>
      <c r="L2617" s="170">
        <v>45856</v>
      </c>
      <c r="M2617" s="116">
        <v>1586.1</v>
      </c>
      <c r="N2617" s="116">
        <v>1599.3</v>
      </c>
      <c r="O2617" s="116">
        <v>1580</v>
      </c>
      <c r="P2617" s="116">
        <v>1592.1</v>
      </c>
      <c r="Q2617" s="116">
        <v>1586.1</v>
      </c>
      <c r="R2617">
        <v>5161833</v>
      </c>
    </row>
    <row r="2618" spans="1:18" x14ac:dyDescent="0.25">
      <c r="A2618" s="170">
        <v>45859</v>
      </c>
      <c r="B2618" s="116">
        <v>1589</v>
      </c>
      <c r="C2618" s="116">
        <v>1584.6</v>
      </c>
      <c r="D2618" s="116">
        <v>1568.25</v>
      </c>
      <c r="E2618" s="116">
        <v>1579.15</v>
      </c>
      <c r="F2618" s="116">
        <v>1584.6</v>
      </c>
      <c r="G2618">
        <v>120472</v>
      </c>
      <c r="H2618" s="116"/>
      <c r="I2618" s="116"/>
      <c r="L2618" s="170">
        <v>45859</v>
      </c>
      <c r="M2618" s="116">
        <v>1584.3</v>
      </c>
      <c r="N2618" s="116">
        <v>1589</v>
      </c>
      <c r="O2618" s="116">
        <v>1566.8</v>
      </c>
      <c r="P2618" s="116">
        <v>1580</v>
      </c>
      <c r="Q2618" s="116">
        <v>1584.3</v>
      </c>
      <c r="R2618">
        <v>3682661</v>
      </c>
    </row>
    <row r="2619" spans="1:18" x14ac:dyDescent="0.25">
      <c r="A2619" s="170">
        <v>45860</v>
      </c>
      <c r="B2619" s="116">
        <v>1585.6</v>
      </c>
      <c r="C2619" s="116">
        <v>1570.1</v>
      </c>
      <c r="D2619" s="116">
        <v>1567</v>
      </c>
      <c r="E2619" s="116">
        <v>1579.95</v>
      </c>
      <c r="F2619" s="116">
        <v>1570.1</v>
      </c>
      <c r="G2619">
        <v>571499</v>
      </c>
      <c r="H2619" s="116"/>
      <c r="I2619" s="116"/>
      <c r="L2619" s="170">
        <v>45860</v>
      </c>
      <c r="M2619" s="116">
        <v>1570.9</v>
      </c>
      <c r="N2619" s="116">
        <v>1585.8</v>
      </c>
      <c r="O2619" s="116">
        <v>1565</v>
      </c>
      <c r="P2619" s="116">
        <v>1565</v>
      </c>
      <c r="Q2619" s="116">
        <v>1570.9</v>
      </c>
      <c r="R2619">
        <v>8473741</v>
      </c>
    </row>
    <row r="2620" spans="1:18" x14ac:dyDescent="0.25">
      <c r="A2620" s="170">
        <v>45861</v>
      </c>
      <c r="B2620" s="116">
        <v>1592.4</v>
      </c>
      <c r="C2620" s="116">
        <v>1574.4</v>
      </c>
      <c r="D2620" s="116">
        <v>1551</v>
      </c>
      <c r="E2620" s="116">
        <v>1579.8</v>
      </c>
      <c r="F2620" s="116">
        <v>1574.4</v>
      </c>
      <c r="G2620">
        <v>239856</v>
      </c>
      <c r="H2620" s="116"/>
      <c r="I2620" s="116"/>
      <c r="L2620" s="170">
        <v>45861</v>
      </c>
      <c r="M2620" s="116">
        <v>1574.5</v>
      </c>
      <c r="N2620" s="116">
        <v>1591.9</v>
      </c>
      <c r="O2620" s="116">
        <v>1550</v>
      </c>
      <c r="P2620" s="116">
        <v>1576.3</v>
      </c>
      <c r="Q2620" s="116">
        <v>1574.5</v>
      </c>
      <c r="R2620">
        <v>8035026</v>
      </c>
    </row>
    <row r="2621" spans="1:18" x14ac:dyDescent="0.25">
      <c r="A2621" s="170">
        <v>45862</v>
      </c>
      <c r="B2621" s="116">
        <v>1581</v>
      </c>
      <c r="C2621" s="116">
        <v>1553.55</v>
      </c>
      <c r="D2621" s="116">
        <v>1548.2</v>
      </c>
      <c r="E2621" s="116">
        <v>1581</v>
      </c>
      <c r="F2621" s="116">
        <v>1553.55</v>
      </c>
      <c r="G2621">
        <v>380211</v>
      </c>
      <c r="H2621" s="116"/>
      <c r="I2621" s="116"/>
      <c r="L2621" s="170">
        <v>45862</v>
      </c>
      <c r="M2621" s="116">
        <v>1552.5</v>
      </c>
      <c r="N2621" s="116">
        <v>1582</v>
      </c>
      <c r="O2621" s="116">
        <v>1548.2</v>
      </c>
      <c r="P2621" s="116">
        <v>1580</v>
      </c>
      <c r="Q2621" s="116">
        <v>1552.5</v>
      </c>
      <c r="R2621">
        <v>14169664</v>
      </c>
    </row>
    <row r="2622" spans="1:18" x14ac:dyDescent="0.25">
      <c r="A2622" s="170">
        <v>45863</v>
      </c>
      <c r="B2622" s="116">
        <v>1549.75</v>
      </c>
      <c r="C2622" s="116">
        <v>1515.6</v>
      </c>
      <c r="D2622" s="116">
        <v>1511.35</v>
      </c>
      <c r="E2622" s="116">
        <v>1543</v>
      </c>
      <c r="F2622" s="116">
        <v>1515.6</v>
      </c>
      <c r="G2622">
        <v>463200</v>
      </c>
      <c r="H2622" s="116"/>
      <c r="I2622" s="116"/>
      <c r="L2622" s="170">
        <v>45863</v>
      </c>
      <c r="M2622" s="116">
        <v>1515.7</v>
      </c>
      <c r="N2622" s="116">
        <v>1549.5</v>
      </c>
      <c r="O2622" s="116">
        <v>1511.3</v>
      </c>
      <c r="P2622" s="116">
        <v>1543.4</v>
      </c>
      <c r="Q2622" s="116">
        <v>1515.7</v>
      </c>
      <c r="R2622">
        <v>10851259</v>
      </c>
    </row>
    <row r="2623" spans="1:18" x14ac:dyDescent="0.25">
      <c r="A2623" s="170">
        <v>45866</v>
      </c>
      <c r="B2623" s="116">
        <v>1519.35</v>
      </c>
      <c r="C2623" s="116">
        <v>1516.1</v>
      </c>
      <c r="D2623" s="116">
        <v>1482.7</v>
      </c>
      <c r="E2623" s="116">
        <v>1518.95</v>
      </c>
      <c r="F2623" s="116">
        <v>1516.1</v>
      </c>
      <c r="G2623">
        <v>287153</v>
      </c>
      <c r="H2623" s="116"/>
      <c r="I2623" s="116"/>
      <c r="L2623" s="170">
        <v>45866</v>
      </c>
      <c r="M2623" s="116">
        <v>1516</v>
      </c>
      <c r="N2623" s="116">
        <v>1519.3</v>
      </c>
      <c r="O2623" s="116">
        <v>1482.5</v>
      </c>
      <c r="P2623" s="116">
        <v>1513.9</v>
      </c>
      <c r="Q2623" s="116">
        <v>1516</v>
      </c>
      <c r="R2623">
        <v>6439855</v>
      </c>
    </row>
    <row r="2624" spans="1:18" x14ac:dyDescent="0.25">
      <c r="A2624" s="170">
        <v>45867</v>
      </c>
      <c r="B2624" s="116">
        <v>1517.2</v>
      </c>
      <c r="C2624" s="116">
        <v>1513.85</v>
      </c>
      <c r="D2624" s="116">
        <v>1496.6</v>
      </c>
      <c r="E2624" s="116">
        <v>1510.45</v>
      </c>
      <c r="F2624" s="116">
        <v>1513.85</v>
      </c>
      <c r="G2624">
        <v>341189</v>
      </c>
      <c r="H2624" s="116"/>
      <c r="I2624" s="116"/>
      <c r="L2624" s="170">
        <v>45867</v>
      </c>
      <c r="M2624" s="116">
        <v>1513.7</v>
      </c>
      <c r="N2624" s="116">
        <v>1517.2</v>
      </c>
      <c r="O2624" s="116">
        <v>1496.1</v>
      </c>
      <c r="P2624" s="116">
        <v>1512.9</v>
      </c>
      <c r="Q2624" s="116">
        <v>1513.7</v>
      </c>
      <c r="R2624">
        <v>7070448</v>
      </c>
    </row>
    <row r="2625" spans="1:18" x14ac:dyDescent="0.25">
      <c r="A2625" s="170">
        <v>45868</v>
      </c>
      <c r="B2625" s="116">
        <v>1521.5</v>
      </c>
      <c r="C2625" s="116">
        <v>1519.05</v>
      </c>
      <c r="D2625" s="116">
        <v>1505.7</v>
      </c>
      <c r="E2625" s="116">
        <v>1510.05</v>
      </c>
      <c r="F2625" s="116">
        <v>1519.05</v>
      </c>
      <c r="G2625">
        <v>159917</v>
      </c>
      <c r="H2625" s="116"/>
      <c r="I2625" s="116"/>
      <c r="L2625" s="170">
        <v>45868</v>
      </c>
      <c r="M2625" s="116">
        <v>1519</v>
      </c>
      <c r="N2625" s="116">
        <v>1521.7</v>
      </c>
      <c r="O2625" s="116">
        <v>1506</v>
      </c>
      <c r="P2625" s="116">
        <v>1519.9</v>
      </c>
      <c r="Q2625" s="116">
        <v>1519</v>
      </c>
      <c r="R2625">
        <v>5719051</v>
      </c>
    </row>
    <row r="2626" spans="1:18" x14ac:dyDescent="0.25">
      <c r="A2626" s="170">
        <v>45869</v>
      </c>
      <c r="B2626" s="116">
        <v>1526.7</v>
      </c>
      <c r="C2626" s="116">
        <v>1508.6</v>
      </c>
      <c r="D2626" s="116">
        <v>1497.1</v>
      </c>
      <c r="E2626" s="116">
        <v>1507.55</v>
      </c>
      <c r="F2626" s="116">
        <v>1508.6</v>
      </c>
      <c r="G2626">
        <v>827621</v>
      </c>
      <c r="H2626" s="116"/>
      <c r="I2626" s="116"/>
      <c r="L2626" s="170">
        <v>45869</v>
      </c>
      <c r="M2626" s="116">
        <v>1509</v>
      </c>
      <c r="N2626" s="116">
        <v>1527.1</v>
      </c>
      <c r="O2626" s="116">
        <v>1497</v>
      </c>
      <c r="P2626" s="116">
        <v>1509.7</v>
      </c>
      <c r="Q2626" s="116">
        <v>1509</v>
      </c>
      <c r="R2626">
        <v>6851407</v>
      </c>
    </row>
    <row r="2627" spans="1:18" x14ac:dyDescent="0.25">
      <c r="A2627" s="170">
        <v>45870</v>
      </c>
      <c r="B2627" s="116">
        <v>1498.75</v>
      </c>
      <c r="C2627" s="116">
        <v>1470.6</v>
      </c>
      <c r="D2627" s="116">
        <v>1466.1</v>
      </c>
      <c r="E2627" s="116">
        <v>1496.95</v>
      </c>
      <c r="F2627" s="116">
        <v>1470.6</v>
      </c>
      <c r="G2627">
        <v>150754</v>
      </c>
      <c r="H2627" s="116"/>
      <c r="I2627" s="116"/>
      <c r="L2627" s="170">
        <v>45870</v>
      </c>
      <c r="M2627" s="116">
        <v>1469.6</v>
      </c>
      <c r="N2627" s="116">
        <v>1498.7</v>
      </c>
      <c r="O2627" s="116">
        <v>1465.5</v>
      </c>
      <c r="P2627" s="116">
        <v>1493.9</v>
      </c>
      <c r="Q2627" s="116">
        <v>1469.6</v>
      </c>
      <c r="R2627">
        <v>8702978</v>
      </c>
    </row>
    <row r="2628" spans="1:18" x14ac:dyDescent="0.25">
      <c r="A2628" s="170">
        <v>45873</v>
      </c>
      <c r="B2628" s="116">
        <v>1482.5</v>
      </c>
      <c r="C2628" s="116">
        <v>1480.35</v>
      </c>
      <c r="D2628" s="116">
        <v>1451.2</v>
      </c>
      <c r="E2628" s="116">
        <v>1466</v>
      </c>
      <c r="F2628" s="116">
        <v>1480.35</v>
      </c>
      <c r="G2628">
        <v>144987</v>
      </c>
      <c r="H2628" s="116"/>
      <c r="I2628" s="116"/>
      <c r="L2628" s="170">
        <v>45873</v>
      </c>
      <c r="M2628" s="116">
        <v>1480.5</v>
      </c>
      <c r="N2628" s="116">
        <v>1482.8</v>
      </c>
      <c r="O2628" s="116">
        <v>1451</v>
      </c>
      <c r="P2628" s="116">
        <v>1461.5</v>
      </c>
      <c r="Q2628" s="116">
        <v>1480.5</v>
      </c>
      <c r="R2628">
        <v>8610216</v>
      </c>
    </row>
    <row r="2629" spans="1:18" x14ac:dyDescent="0.25">
      <c r="A2629" s="170">
        <v>45874</v>
      </c>
      <c r="B2629" s="116">
        <v>1479.9</v>
      </c>
      <c r="C2629" s="116">
        <v>1459.75</v>
      </c>
      <c r="D2629" s="116">
        <v>1454.75</v>
      </c>
      <c r="E2629" s="116">
        <v>1475.2</v>
      </c>
      <c r="F2629" s="116">
        <v>1459.75</v>
      </c>
      <c r="G2629">
        <v>491243</v>
      </c>
      <c r="H2629" s="116"/>
      <c r="I2629" s="116"/>
      <c r="L2629" s="170">
        <v>45874</v>
      </c>
      <c r="M2629" s="116">
        <v>1460.3</v>
      </c>
      <c r="N2629" s="116">
        <v>1478.7</v>
      </c>
      <c r="O2629" s="116">
        <v>1455</v>
      </c>
      <c r="P2629" s="116">
        <v>1478.7</v>
      </c>
      <c r="Q2629" s="116">
        <v>1460.3</v>
      </c>
      <c r="R2629">
        <v>10213323</v>
      </c>
    </row>
    <row r="2630" spans="1:18" x14ac:dyDescent="0.25">
      <c r="A2630" s="170">
        <v>45875</v>
      </c>
      <c r="B2630" s="116">
        <v>1455.7</v>
      </c>
      <c r="C2630" s="116">
        <v>1435.75</v>
      </c>
      <c r="D2630" s="116">
        <v>1430.3</v>
      </c>
      <c r="E2630" s="116">
        <v>1455.7</v>
      </c>
      <c r="F2630" s="116">
        <v>1435.75</v>
      </c>
      <c r="G2630">
        <v>96277</v>
      </c>
      <c r="H2630" s="116"/>
      <c r="I2630" s="116"/>
      <c r="L2630" s="170">
        <v>45875</v>
      </c>
      <c r="M2630" s="116">
        <v>1436.7</v>
      </c>
      <c r="N2630" s="116">
        <v>1456.1</v>
      </c>
      <c r="O2630" s="116">
        <v>1430.3</v>
      </c>
      <c r="P2630" s="116">
        <v>1452</v>
      </c>
      <c r="Q2630" s="116">
        <v>1436.7</v>
      </c>
      <c r="R2630">
        <v>10566934</v>
      </c>
    </row>
    <row r="2631" spans="1:18" x14ac:dyDescent="0.25">
      <c r="A2631" s="170">
        <v>45876</v>
      </c>
      <c r="B2631" s="116">
        <v>1442.7</v>
      </c>
      <c r="C2631" s="116">
        <v>1437.65</v>
      </c>
      <c r="D2631" s="116">
        <v>1414.55</v>
      </c>
      <c r="E2631" s="116">
        <v>1435</v>
      </c>
      <c r="F2631" s="116">
        <v>1437.65</v>
      </c>
      <c r="G2631">
        <v>195425</v>
      </c>
      <c r="H2631" s="116"/>
      <c r="I2631" s="116"/>
      <c r="L2631" s="170">
        <v>45876</v>
      </c>
      <c r="M2631" s="116">
        <v>1436.9</v>
      </c>
      <c r="N2631" s="116">
        <v>1442</v>
      </c>
      <c r="O2631" s="116">
        <v>1414.2</v>
      </c>
      <c r="P2631" s="116">
        <v>1430</v>
      </c>
      <c r="Q2631" s="116">
        <v>1436.9</v>
      </c>
      <c r="R2631">
        <v>9892020</v>
      </c>
    </row>
    <row r="2632" spans="1:18" x14ac:dyDescent="0.25">
      <c r="A2632" s="170">
        <v>45877</v>
      </c>
      <c r="B2632" s="116">
        <v>1433.35</v>
      </c>
      <c r="C2632" s="116">
        <v>1423.65</v>
      </c>
      <c r="D2632" s="116">
        <v>1417.05</v>
      </c>
      <c r="E2632" s="116">
        <v>1428.95</v>
      </c>
      <c r="F2632" s="116">
        <v>1423.65</v>
      </c>
      <c r="G2632">
        <v>317247</v>
      </c>
      <c r="H2632" s="116"/>
      <c r="I2632" s="116"/>
      <c r="L2632" s="170">
        <v>45877</v>
      </c>
      <c r="M2632" s="116">
        <v>1423.1</v>
      </c>
      <c r="N2632" s="116">
        <v>1433.2</v>
      </c>
      <c r="O2632" s="116">
        <v>1417.1</v>
      </c>
      <c r="P2632" s="116">
        <v>1425</v>
      </c>
      <c r="Q2632" s="116">
        <v>1423.1</v>
      </c>
      <c r="R2632">
        <v>10048009</v>
      </c>
    </row>
    <row r="2633" spans="1:18" x14ac:dyDescent="0.25">
      <c r="A2633" s="170">
        <v>45880</v>
      </c>
      <c r="B2633" s="116">
        <v>1433.2</v>
      </c>
      <c r="C2633" s="116">
        <v>1428</v>
      </c>
      <c r="D2633" s="116">
        <v>1414.5</v>
      </c>
      <c r="E2633" s="116">
        <v>1420</v>
      </c>
      <c r="F2633" s="116">
        <v>1428</v>
      </c>
      <c r="G2633">
        <v>130477</v>
      </c>
      <c r="H2633" s="116"/>
      <c r="I2633" s="116"/>
      <c r="L2633" s="170">
        <v>45880</v>
      </c>
      <c r="M2633" s="116">
        <v>1428.2</v>
      </c>
      <c r="N2633" s="116">
        <v>1433.4</v>
      </c>
      <c r="O2633" s="116">
        <v>1414</v>
      </c>
      <c r="P2633" s="116">
        <v>1419.9</v>
      </c>
      <c r="Q2633" s="116">
        <v>1428.2</v>
      </c>
      <c r="R2633">
        <v>6625368</v>
      </c>
    </row>
    <row r="2634" spans="1:18" x14ac:dyDescent="0.25">
      <c r="A2634" s="170">
        <v>45881</v>
      </c>
      <c r="B2634" s="116">
        <v>1441</v>
      </c>
      <c r="C2634" s="116">
        <v>1424.1</v>
      </c>
      <c r="D2634" s="116">
        <v>1421.15</v>
      </c>
      <c r="E2634" s="116">
        <v>1429.8</v>
      </c>
      <c r="F2634" s="116">
        <v>1424.1</v>
      </c>
      <c r="G2634">
        <v>704625</v>
      </c>
      <c r="H2634" s="116"/>
      <c r="I2634" s="116"/>
      <c r="L2634" s="170">
        <v>45881</v>
      </c>
      <c r="M2634" s="116">
        <v>1424.1</v>
      </c>
      <c r="N2634" s="116">
        <v>1441</v>
      </c>
      <c r="O2634" s="116">
        <v>1421</v>
      </c>
      <c r="P2634" s="116">
        <v>1428.2</v>
      </c>
      <c r="Q2634" s="116">
        <v>1424.1</v>
      </c>
      <c r="R2634">
        <v>9899184</v>
      </c>
    </row>
    <row r="2635" spans="1:18" x14ac:dyDescent="0.25">
      <c r="A2635" s="170">
        <v>45882</v>
      </c>
      <c r="B2635" s="116">
        <v>1434</v>
      </c>
      <c r="C2635" s="116">
        <v>1426</v>
      </c>
      <c r="D2635" s="116">
        <v>1422.2</v>
      </c>
      <c r="E2635" s="116">
        <v>1428.95</v>
      </c>
      <c r="F2635" s="116">
        <v>1426</v>
      </c>
      <c r="G2635">
        <v>317483</v>
      </c>
      <c r="H2635" s="116"/>
      <c r="I2635" s="116"/>
      <c r="L2635" s="170">
        <v>45882</v>
      </c>
      <c r="M2635" s="116">
        <v>1426.6</v>
      </c>
      <c r="N2635" s="116">
        <v>1434</v>
      </c>
      <c r="O2635" s="116">
        <v>1422.4</v>
      </c>
      <c r="P2635" s="116">
        <v>1425</v>
      </c>
      <c r="Q2635" s="116">
        <v>1426.6</v>
      </c>
      <c r="R2635">
        <v>10318063</v>
      </c>
    </row>
    <row r="2636" spans="1:18" x14ac:dyDescent="0.25">
      <c r="A2636" s="170">
        <v>45883</v>
      </c>
      <c r="B2636" s="116">
        <v>1470</v>
      </c>
      <c r="C2636" s="116">
        <v>1447.45</v>
      </c>
      <c r="D2636" s="116">
        <v>1427.4</v>
      </c>
      <c r="E2636" s="116">
        <v>1427.85</v>
      </c>
      <c r="F2636" s="116">
        <v>1447.45</v>
      </c>
      <c r="G2636">
        <v>215629</v>
      </c>
      <c r="H2636" s="116"/>
      <c r="I2636" s="116"/>
      <c r="L2636" s="170">
        <v>45883</v>
      </c>
      <c r="M2636" s="116">
        <v>1447.7</v>
      </c>
      <c r="N2636" s="116">
        <v>1470</v>
      </c>
      <c r="O2636" s="116">
        <v>1426.2</v>
      </c>
      <c r="P2636" s="116">
        <v>1426.2</v>
      </c>
      <c r="Q2636" s="116">
        <v>1447.7</v>
      </c>
      <c r="R2636">
        <v>12902347</v>
      </c>
    </row>
    <row r="2637" spans="1:18" x14ac:dyDescent="0.25">
      <c r="A2637" s="170">
        <v>45887</v>
      </c>
      <c r="B2637" s="116">
        <v>1468.45</v>
      </c>
      <c r="C2637" s="116">
        <v>1435.6</v>
      </c>
      <c r="D2637" s="116">
        <v>1429.65</v>
      </c>
      <c r="E2637" s="116">
        <v>1468.45</v>
      </c>
      <c r="F2637" s="116">
        <v>1435.6</v>
      </c>
      <c r="G2637">
        <v>86431</v>
      </c>
      <c r="H2637" s="116"/>
      <c r="I2637" s="116"/>
      <c r="L2637" s="170">
        <v>45887</v>
      </c>
      <c r="M2637" s="116">
        <v>1435.8</v>
      </c>
      <c r="N2637" s="116">
        <v>1464.7</v>
      </c>
      <c r="O2637" s="116">
        <v>1429.6</v>
      </c>
      <c r="P2637" s="116">
        <v>1464.7</v>
      </c>
      <c r="Q2637" s="116">
        <v>1435.8</v>
      </c>
      <c r="R2637">
        <v>7254561</v>
      </c>
    </row>
    <row r="2638" spans="1:18" x14ac:dyDescent="0.25">
      <c r="A2638" s="170">
        <v>45888</v>
      </c>
      <c r="B2638" s="116">
        <v>1449.7</v>
      </c>
      <c r="C2638" s="116">
        <v>1440</v>
      </c>
      <c r="D2638" s="116">
        <v>1434.5</v>
      </c>
      <c r="E2638" s="116">
        <v>1434.5</v>
      </c>
      <c r="F2638" s="116">
        <v>1440</v>
      </c>
      <c r="G2638">
        <v>564936</v>
      </c>
      <c r="H2638" s="116"/>
      <c r="I2638" s="116"/>
      <c r="L2638" s="170">
        <v>45888</v>
      </c>
      <c r="M2638" s="116">
        <v>1440</v>
      </c>
      <c r="N2638" s="116">
        <v>1449.4</v>
      </c>
      <c r="O2638" s="116">
        <v>1432.7</v>
      </c>
      <c r="P2638" s="116">
        <v>1432.7</v>
      </c>
      <c r="Q2638" s="116">
        <v>1440</v>
      </c>
      <c r="R2638">
        <v>3986094</v>
      </c>
    </row>
    <row r="2639" spans="1:18" x14ac:dyDescent="0.25">
      <c r="A2639" s="170">
        <v>45889</v>
      </c>
      <c r="B2639" s="116">
        <v>1499</v>
      </c>
      <c r="C2639" s="116">
        <v>1495.85</v>
      </c>
      <c r="D2639" s="116">
        <v>1439.9</v>
      </c>
      <c r="E2639" s="116">
        <v>1440</v>
      </c>
      <c r="F2639" s="116">
        <v>1495.85</v>
      </c>
      <c r="G2639">
        <v>353451</v>
      </c>
      <c r="H2639" s="116"/>
      <c r="I2639" s="116"/>
      <c r="L2639" s="170">
        <v>45889</v>
      </c>
      <c r="M2639" s="116">
        <v>1496.2</v>
      </c>
      <c r="N2639" s="116">
        <v>1499</v>
      </c>
      <c r="O2639" s="116">
        <v>1440.7</v>
      </c>
      <c r="P2639" s="116">
        <v>1440.7</v>
      </c>
      <c r="Q2639" s="116">
        <v>1496.2</v>
      </c>
      <c r="R2639">
        <v>10413061</v>
      </c>
    </row>
    <row r="2640" spans="1:18" x14ac:dyDescent="0.25">
      <c r="A2640" s="170">
        <v>45890</v>
      </c>
      <c r="B2640" s="116">
        <v>1508</v>
      </c>
      <c r="C2640" s="116">
        <v>1496.7</v>
      </c>
      <c r="D2640" s="116">
        <v>1484.15</v>
      </c>
      <c r="E2640" s="116">
        <v>1508</v>
      </c>
      <c r="F2640" s="116">
        <v>1496.7</v>
      </c>
      <c r="G2640">
        <v>161665</v>
      </c>
      <c r="H2640" s="116"/>
      <c r="I2640" s="116"/>
      <c r="L2640" s="170">
        <v>45890</v>
      </c>
      <c r="M2640" s="116">
        <v>1496.4</v>
      </c>
      <c r="N2640" s="116">
        <v>1508</v>
      </c>
      <c r="O2640" s="116">
        <v>1484.3</v>
      </c>
      <c r="P2640" s="116">
        <v>1508</v>
      </c>
      <c r="Q2640" s="116">
        <v>1496.4</v>
      </c>
      <c r="R2640">
        <v>6565539</v>
      </c>
    </row>
    <row r="2641" spans="1:18" x14ac:dyDescent="0.25">
      <c r="A2641" s="170">
        <v>45891</v>
      </c>
      <c r="B2641" s="116">
        <v>1501.45</v>
      </c>
      <c r="C2641" s="116">
        <v>1487.6</v>
      </c>
      <c r="D2641" s="116">
        <v>1485.9</v>
      </c>
      <c r="E2641" s="116">
        <v>1496.25</v>
      </c>
      <c r="F2641" s="116">
        <v>1487.6</v>
      </c>
      <c r="G2641">
        <v>196138</v>
      </c>
      <c r="H2641" s="116"/>
      <c r="I2641" s="116"/>
      <c r="L2641" s="170">
        <v>45891</v>
      </c>
      <c r="M2641" s="116">
        <v>1487.5</v>
      </c>
      <c r="N2641" s="116">
        <v>1504.3</v>
      </c>
      <c r="O2641" s="116">
        <v>1486.1</v>
      </c>
      <c r="P2641" s="116">
        <v>1498.1</v>
      </c>
      <c r="Q2641" s="116">
        <v>1487.5</v>
      </c>
      <c r="R2641">
        <v>5543397</v>
      </c>
    </row>
    <row r="2642" spans="1:18" x14ac:dyDescent="0.25">
      <c r="A2642" s="170">
        <v>45894</v>
      </c>
      <c r="B2642" s="116">
        <v>1539</v>
      </c>
      <c r="C2642" s="116">
        <v>1532.6</v>
      </c>
      <c r="D2642" s="116">
        <v>1492.05</v>
      </c>
      <c r="E2642" s="116">
        <v>1492.05</v>
      </c>
      <c r="F2642" s="116">
        <v>1532.6</v>
      </c>
      <c r="G2642">
        <v>530569</v>
      </c>
      <c r="H2642" s="116"/>
      <c r="I2642" s="116"/>
      <c r="L2642" s="170">
        <v>45894</v>
      </c>
      <c r="M2642" s="116">
        <v>1532.1</v>
      </c>
      <c r="N2642" s="116">
        <v>1539</v>
      </c>
      <c r="O2642" s="116">
        <v>1506.7</v>
      </c>
      <c r="P2642" s="116">
        <v>1506.7</v>
      </c>
      <c r="Q2642" s="116">
        <v>1532.1</v>
      </c>
      <c r="R2642">
        <v>10694531</v>
      </c>
    </row>
    <row r="2643" spans="1:18" x14ac:dyDescent="0.25">
      <c r="A2643" s="170">
        <v>45895</v>
      </c>
      <c r="B2643" s="116">
        <v>1538.3</v>
      </c>
      <c r="C2643" s="116">
        <v>1529.85</v>
      </c>
      <c r="D2643" s="116">
        <v>1518.05</v>
      </c>
      <c r="E2643" s="116">
        <v>1522.15</v>
      </c>
      <c r="F2643" s="116">
        <v>1529.85</v>
      </c>
      <c r="G2643">
        <v>848744</v>
      </c>
      <c r="H2643" s="116"/>
      <c r="I2643" s="116"/>
      <c r="L2643" s="170">
        <v>45895</v>
      </c>
      <c r="M2643" s="116">
        <v>1529.6</v>
      </c>
      <c r="N2643" s="116">
        <v>1538.4</v>
      </c>
      <c r="O2643" s="116">
        <v>1518.6</v>
      </c>
      <c r="P2643" s="116">
        <v>1523</v>
      </c>
      <c r="Q2643" s="116">
        <v>1529.6</v>
      </c>
      <c r="R2643">
        <v>15994798</v>
      </c>
    </row>
    <row r="2644" spans="1:18" x14ac:dyDescent="0.25">
      <c r="A2644" s="170">
        <v>45897</v>
      </c>
      <c r="B2644" s="116">
        <v>1528.4</v>
      </c>
      <c r="C2644" s="116">
        <v>1500.05</v>
      </c>
      <c r="D2644" s="116">
        <v>1498.1</v>
      </c>
      <c r="E2644" s="116">
        <v>1515.75</v>
      </c>
      <c r="F2644" s="116">
        <v>1500.05</v>
      </c>
      <c r="G2644">
        <v>220827</v>
      </c>
      <c r="H2644" s="116"/>
      <c r="I2644" s="116"/>
      <c r="L2644" s="170">
        <v>45897</v>
      </c>
      <c r="M2644" s="116">
        <v>1500.1</v>
      </c>
      <c r="N2644" s="116">
        <v>1529.6</v>
      </c>
      <c r="O2644" s="116">
        <v>1498</v>
      </c>
      <c r="P2644" s="116">
        <v>1529.6</v>
      </c>
      <c r="Q2644" s="116">
        <v>1500.1</v>
      </c>
      <c r="R2644">
        <v>5443364</v>
      </c>
    </row>
    <row r="2645" spans="1:18" x14ac:dyDescent="0.25">
      <c r="A2645" s="170">
        <v>45898</v>
      </c>
      <c r="B2645" s="116">
        <v>1500.9</v>
      </c>
      <c r="C2645" s="116">
        <v>1469.45</v>
      </c>
      <c r="D2645" s="116">
        <v>1467.5</v>
      </c>
      <c r="E2645" s="116">
        <v>1500</v>
      </c>
      <c r="F2645" s="116">
        <v>1469.45</v>
      </c>
      <c r="G2645">
        <v>463272</v>
      </c>
      <c r="H2645" s="116"/>
      <c r="I2645" s="116"/>
      <c r="L2645" s="170">
        <v>45898</v>
      </c>
      <c r="M2645" s="116">
        <v>1469.6</v>
      </c>
      <c r="N2645" s="116">
        <v>1501.9</v>
      </c>
      <c r="O2645" s="116">
        <v>1467.7</v>
      </c>
      <c r="P2645" s="116">
        <v>1501.9</v>
      </c>
      <c r="Q2645" s="116">
        <v>1469.6</v>
      </c>
      <c r="R2645">
        <v>8169075</v>
      </c>
    </row>
    <row r="2646" spans="1:18" x14ac:dyDescent="0.25">
      <c r="A2646" s="170">
        <v>45901</v>
      </c>
      <c r="B2646" s="116">
        <v>1502.5</v>
      </c>
      <c r="C2646" s="116">
        <v>1499.45</v>
      </c>
      <c r="D2646" s="116">
        <v>1472.2</v>
      </c>
      <c r="E2646" s="116">
        <v>1472.2</v>
      </c>
      <c r="F2646" s="116">
        <v>1499.45</v>
      </c>
      <c r="G2646">
        <v>98064</v>
      </c>
      <c r="H2646" s="116"/>
      <c r="I2646" s="116"/>
      <c r="L2646" s="170">
        <v>45901</v>
      </c>
      <c r="M2646" s="116">
        <v>1499.4</v>
      </c>
      <c r="N2646" s="116">
        <v>1503.4</v>
      </c>
      <c r="O2646" s="116">
        <v>1476.2</v>
      </c>
      <c r="P2646" s="116">
        <v>1476.7</v>
      </c>
      <c r="Q2646" s="116">
        <v>1499.4</v>
      </c>
      <c r="R2646">
        <v>4546057</v>
      </c>
    </row>
    <row r="2647" spans="1:18" x14ac:dyDescent="0.25">
      <c r="A2647" s="170">
        <v>45902</v>
      </c>
      <c r="B2647" s="116">
        <v>1512.85</v>
      </c>
      <c r="C2647" s="116">
        <v>1497.1</v>
      </c>
      <c r="D2647" s="116">
        <v>1486.1</v>
      </c>
      <c r="E2647" s="116">
        <v>1499.45</v>
      </c>
      <c r="F2647" s="116">
        <v>1497.1</v>
      </c>
      <c r="G2647">
        <v>80249</v>
      </c>
      <c r="H2647" s="116"/>
      <c r="I2647" s="116"/>
      <c r="L2647" s="170">
        <v>45902</v>
      </c>
      <c r="M2647" s="116">
        <v>1498.7</v>
      </c>
      <c r="N2647" s="116">
        <v>1512.8</v>
      </c>
      <c r="O2647" s="116">
        <v>1486.3</v>
      </c>
      <c r="P2647" s="116">
        <v>1499.4</v>
      </c>
      <c r="Q2647" s="116">
        <v>1498.7</v>
      </c>
      <c r="R2647">
        <v>5218763</v>
      </c>
    </row>
    <row r="2648" spans="1:18" x14ac:dyDescent="0.25">
      <c r="A2648" s="170">
        <v>45903</v>
      </c>
      <c r="B2648" s="116">
        <v>1502.4</v>
      </c>
      <c r="C2648" s="116">
        <v>1479.3</v>
      </c>
      <c r="D2648" s="116">
        <v>1473</v>
      </c>
      <c r="E2648" s="116">
        <v>1497.05</v>
      </c>
      <c r="F2648" s="116">
        <v>1479.3</v>
      </c>
      <c r="G2648">
        <v>115052</v>
      </c>
      <c r="H2648" s="116"/>
      <c r="I2648" s="116"/>
      <c r="L2648" s="170">
        <v>45903</v>
      </c>
      <c r="M2648" s="116">
        <v>1479.1</v>
      </c>
      <c r="N2648" s="116">
        <v>1501.9</v>
      </c>
      <c r="O2648" s="116">
        <v>1473</v>
      </c>
      <c r="P2648" s="116">
        <v>1500</v>
      </c>
      <c r="Q2648" s="116">
        <v>1479.1</v>
      </c>
      <c r="R2648">
        <v>4623483</v>
      </c>
    </row>
    <row r="2649" spans="1:18" x14ac:dyDescent="0.25">
      <c r="A2649" s="170">
        <v>45904</v>
      </c>
      <c r="B2649" s="116">
        <v>1485</v>
      </c>
      <c r="C2649" s="116">
        <v>1463.25</v>
      </c>
      <c r="D2649" s="116">
        <v>1460</v>
      </c>
      <c r="E2649" s="116">
        <v>1482.45</v>
      </c>
      <c r="F2649" s="116">
        <v>1463.25</v>
      </c>
      <c r="G2649">
        <v>498970</v>
      </c>
      <c r="H2649" s="116"/>
      <c r="I2649" s="116"/>
      <c r="L2649" s="170">
        <v>45904</v>
      </c>
      <c r="M2649" s="116">
        <v>1463</v>
      </c>
      <c r="N2649" s="116">
        <v>1484</v>
      </c>
      <c r="O2649" s="116">
        <v>1460.1</v>
      </c>
      <c r="P2649" s="116">
        <v>1484</v>
      </c>
      <c r="Q2649" s="116">
        <v>1463</v>
      </c>
      <c r="R2649">
        <v>5787724</v>
      </c>
    </row>
    <row r="2650" spans="1:18" x14ac:dyDescent="0.25">
      <c r="A2650" s="170">
        <v>45905</v>
      </c>
      <c r="B2650" s="116">
        <v>1472.55</v>
      </c>
      <c r="C2650" s="116">
        <v>1444.35</v>
      </c>
      <c r="D2650" s="116">
        <v>1433.15</v>
      </c>
      <c r="E2650" s="116">
        <v>1469.5</v>
      </c>
      <c r="F2650" s="116">
        <v>1444.35</v>
      </c>
      <c r="G2650">
        <v>251340</v>
      </c>
      <c r="H2650" s="116"/>
      <c r="I2650" s="116"/>
      <c r="L2650" s="170">
        <v>45905</v>
      </c>
      <c r="M2650" s="116">
        <v>1444.6</v>
      </c>
      <c r="N2650" s="116">
        <v>1472.7</v>
      </c>
      <c r="O2650" s="116">
        <v>1433</v>
      </c>
      <c r="P2650" s="116">
        <v>1470</v>
      </c>
      <c r="Q2650" s="116">
        <v>1444.6</v>
      </c>
      <c r="R2650">
        <v>5466487</v>
      </c>
    </row>
    <row r="2651" spans="1:18" x14ac:dyDescent="0.25">
      <c r="A2651" s="170">
        <v>45908</v>
      </c>
      <c r="B2651" s="116">
        <v>1458.45</v>
      </c>
      <c r="C2651" s="116">
        <v>1432.65</v>
      </c>
      <c r="D2651" s="116">
        <v>1428.35</v>
      </c>
      <c r="E2651" s="116">
        <v>1452</v>
      </c>
      <c r="F2651" s="116">
        <v>1432.65</v>
      </c>
      <c r="G2651">
        <v>144710</v>
      </c>
      <c r="H2651" s="116"/>
      <c r="I2651" s="116"/>
      <c r="L2651" s="170">
        <v>45908</v>
      </c>
      <c r="M2651" s="116">
        <v>1432.9</v>
      </c>
      <c r="N2651" s="116">
        <v>1458</v>
      </c>
      <c r="O2651" s="116">
        <v>1428.3</v>
      </c>
      <c r="P2651" s="116">
        <v>1451</v>
      </c>
      <c r="Q2651" s="116">
        <v>1432.9</v>
      </c>
      <c r="R2651">
        <v>3811567</v>
      </c>
    </row>
    <row r="2652" spans="1:18" x14ac:dyDescent="0.25">
      <c r="A2652" s="170">
        <v>45909</v>
      </c>
      <c r="B2652" s="116">
        <v>1507</v>
      </c>
      <c r="C2652" s="116">
        <v>1504.75</v>
      </c>
      <c r="D2652" s="116">
        <v>1472.6</v>
      </c>
      <c r="E2652" s="116">
        <v>1480</v>
      </c>
      <c r="F2652" s="116">
        <v>1504.75</v>
      </c>
      <c r="G2652">
        <v>575264</v>
      </c>
      <c r="H2652" s="116"/>
      <c r="I2652" s="116"/>
      <c r="L2652" s="170">
        <v>45909</v>
      </c>
      <c r="M2652" s="116">
        <v>1504.3</v>
      </c>
      <c r="N2652" s="116">
        <v>1507.2</v>
      </c>
      <c r="O2652" s="116">
        <v>1472.5</v>
      </c>
      <c r="P2652" s="116">
        <v>1481</v>
      </c>
      <c r="Q2652" s="116">
        <v>1504.3</v>
      </c>
      <c r="R2652">
        <v>13072640</v>
      </c>
    </row>
    <row r="2653" spans="1:18" x14ac:dyDescent="0.25">
      <c r="A2653" s="170">
        <v>45910</v>
      </c>
      <c r="B2653" s="116">
        <v>1534.5</v>
      </c>
      <c r="C2653" s="116">
        <v>1532.65</v>
      </c>
      <c r="D2653" s="116">
        <v>1509</v>
      </c>
      <c r="E2653" s="116">
        <v>1509</v>
      </c>
      <c r="F2653" s="116">
        <v>1532.65</v>
      </c>
      <c r="G2653">
        <v>425557</v>
      </c>
      <c r="H2653" s="116"/>
      <c r="I2653" s="116"/>
      <c r="L2653" s="170">
        <v>45910</v>
      </c>
      <c r="M2653" s="116">
        <v>1532.6</v>
      </c>
      <c r="N2653" s="116">
        <v>1534.9</v>
      </c>
      <c r="O2653" s="116">
        <v>1509.3</v>
      </c>
      <c r="P2653" s="116">
        <v>1510.1</v>
      </c>
      <c r="Q2653" s="116">
        <v>1532.6</v>
      </c>
      <c r="R2653">
        <v>7281071</v>
      </c>
    </row>
    <row r="2654" spans="1:18" x14ac:dyDescent="0.25">
      <c r="A2654" s="170">
        <v>45911</v>
      </c>
      <c r="B2654" s="116">
        <v>1530</v>
      </c>
      <c r="C2654" s="116">
        <v>1509.5</v>
      </c>
      <c r="D2654" s="116">
        <v>1506.65</v>
      </c>
      <c r="E2654" s="116">
        <v>1530</v>
      </c>
      <c r="F2654" s="116">
        <v>1509.5</v>
      </c>
      <c r="G2654">
        <v>817985</v>
      </c>
      <c r="H2654" s="116"/>
      <c r="I2654" s="116"/>
      <c r="L2654" s="170">
        <v>45911</v>
      </c>
      <c r="M2654" s="116">
        <v>1509.7</v>
      </c>
      <c r="N2654" s="116">
        <v>1527.5</v>
      </c>
      <c r="O2654" s="116">
        <v>1506.5</v>
      </c>
      <c r="P2654" s="116">
        <v>1523.9</v>
      </c>
      <c r="Q2654" s="116">
        <v>1509.7</v>
      </c>
      <c r="R2654">
        <v>8003662</v>
      </c>
    </row>
    <row r="2655" spans="1:18" x14ac:dyDescent="0.25">
      <c r="A2655" s="170">
        <v>45912</v>
      </c>
      <c r="B2655" s="116">
        <v>1544.65</v>
      </c>
      <c r="C2655" s="116">
        <v>1525.55</v>
      </c>
      <c r="D2655" s="116">
        <v>1522.65</v>
      </c>
      <c r="E2655" s="116">
        <v>1544.65</v>
      </c>
      <c r="F2655" s="116">
        <v>1525.55</v>
      </c>
      <c r="G2655">
        <v>443179</v>
      </c>
      <c r="H2655" s="116"/>
      <c r="I2655" s="116"/>
      <c r="L2655" s="170">
        <v>45912</v>
      </c>
      <c r="M2655" s="116">
        <v>1525.6</v>
      </c>
      <c r="N2655" s="116">
        <v>1542.9</v>
      </c>
      <c r="O2655" s="116">
        <v>1521.1</v>
      </c>
      <c r="P2655" s="116">
        <v>1537</v>
      </c>
      <c r="Q2655" s="116">
        <v>1525.6</v>
      </c>
      <c r="R2655">
        <v>12856963</v>
      </c>
    </row>
    <row r="2656" spans="1:18" x14ac:dyDescent="0.25">
      <c r="A2656" s="170">
        <v>45915</v>
      </c>
      <c r="B2656" s="116">
        <v>1527</v>
      </c>
      <c r="C2656" s="116">
        <v>1508.05</v>
      </c>
      <c r="D2656" s="116">
        <v>1501.4</v>
      </c>
      <c r="E2656" s="116">
        <v>1524.1</v>
      </c>
      <c r="F2656" s="116">
        <v>1508.05</v>
      </c>
      <c r="G2656">
        <v>165226</v>
      </c>
      <c r="H2656" s="116"/>
      <c r="I2656" s="116"/>
      <c r="L2656" s="170">
        <v>45915</v>
      </c>
      <c r="M2656" s="116">
        <v>1508.4</v>
      </c>
      <c r="N2656" s="116">
        <v>1527.5</v>
      </c>
      <c r="O2656" s="116">
        <v>1501.2</v>
      </c>
      <c r="P2656" s="116">
        <v>1525.6</v>
      </c>
      <c r="Q2656" s="116">
        <v>1508.4</v>
      </c>
      <c r="R2656">
        <v>6167414</v>
      </c>
    </row>
    <row r="2657" spans="1:18" x14ac:dyDescent="0.25">
      <c r="A2657" s="170">
        <v>45916</v>
      </c>
      <c r="B2657" s="116">
        <v>1514.35</v>
      </c>
      <c r="C2657" s="116">
        <v>1511.35</v>
      </c>
      <c r="D2657" s="116">
        <v>1503.95</v>
      </c>
      <c r="E2657" s="116">
        <v>1508.05</v>
      </c>
      <c r="F2657" s="116">
        <v>1511.35</v>
      </c>
      <c r="G2657">
        <v>188722</v>
      </c>
      <c r="H2657" s="116"/>
      <c r="I2657" s="116"/>
      <c r="L2657" s="170">
        <v>45916</v>
      </c>
      <c r="M2657" s="116">
        <v>1511.3</v>
      </c>
      <c r="N2657" s="116">
        <v>1514</v>
      </c>
      <c r="O2657" s="116">
        <v>1503.5</v>
      </c>
      <c r="P2657" s="116">
        <v>1508.4</v>
      </c>
      <c r="Q2657" s="116">
        <v>1511.3</v>
      </c>
      <c r="R2657">
        <v>8923112</v>
      </c>
    </row>
    <row r="2658" spans="1:18" x14ac:dyDescent="0.25">
      <c r="A2658" s="170">
        <v>45917</v>
      </c>
      <c r="B2658" s="116">
        <v>1526.75</v>
      </c>
      <c r="C2658" s="116">
        <v>1523</v>
      </c>
      <c r="D2658" s="116">
        <v>1514</v>
      </c>
      <c r="E2658" s="116">
        <v>1515.25</v>
      </c>
      <c r="F2658" s="116">
        <v>1523</v>
      </c>
      <c r="G2658">
        <v>213257</v>
      </c>
      <c r="H2658" s="116"/>
      <c r="I2658" s="116"/>
      <c r="L2658" s="170">
        <v>45917</v>
      </c>
      <c r="M2658" s="116">
        <v>1522.4</v>
      </c>
      <c r="N2658" s="116">
        <v>1526.7</v>
      </c>
      <c r="O2658" s="116">
        <v>1514</v>
      </c>
      <c r="P2658" s="116">
        <v>1516.9</v>
      </c>
      <c r="Q2658" s="116">
        <v>1522.4</v>
      </c>
      <c r="R2658">
        <v>4795698</v>
      </c>
    </row>
    <row r="2659" spans="1:18" x14ac:dyDescent="0.25">
      <c r="A2659" s="170">
        <v>45918</v>
      </c>
      <c r="B2659" s="116">
        <v>1554.8</v>
      </c>
      <c r="C2659" s="116">
        <v>1540.25</v>
      </c>
      <c r="D2659" s="116">
        <v>1538</v>
      </c>
      <c r="E2659" s="116">
        <v>1545</v>
      </c>
      <c r="F2659" s="116">
        <v>1540.25</v>
      </c>
      <c r="G2659">
        <v>661566</v>
      </c>
      <c r="H2659" s="116"/>
      <c r="I2659" s="116"/>
      <c r="L2659" s="170">
        <v>45918</v>
      </c>
      <c r="M2659" s="116">
        <v>1540.6</v>
      </c>
      <c r="N2659" s="116">
        <v>1555</v>
      </c>
      <c r="O2659" s="116">
        <v>1538.5</v>
      </c>
      <c r="P2659" s="116">
        <v>1550</v>
      </c>
      <c r="Q2659" s="116">
        <v>1540.6</v>
      </c>
      <c r="R2659">
        <v>9331945</v>
      </c>
    </row>
    <row r="2660" spans="1:18" x14ac:dyDescent="0.25">
      <c r="A2660" s="170">
        <v>45919</v>
      </c>
      <c r="B2660" s="116">
        <v>1550.95</v>
      </c>
      <c r="C2660" s="116">
        <v>1540.3</v>
      </c>
      <c r="D2660" s="116">
        <v>1520.6</v>
      </c>
      <c r="E2660" s="116">
        <v>1541.4</v>
      </c>
      <c r="F2660" s="116">
        <v>1540.3</v>
      </c>
      <c r="G2660">
        <v>145218</v>
      </c>
      <c r="H2660" s="116"/>
      <c r="I2660" s="116"/>
      <c r="L2660" s="170">
        <v>45919</v>
      </c>
      <c r="M2660" s="116">
        <v>1540.2</v>
      </c>
      <c r="N2660" s="116">
        <v>1551.3</v>
      </c>
      <c r="O2660" s="116">
        <v>1520.1</v>
      </c>
      <c r="P2660" s="116">
        <v>1544.6</v>
      </c>
      <c r="Q2660" s="116">
        <v>1540.2</v>
      </c>
      <c r="R2660">
        <v>12988129</v>
      </c>
    </row>
    <row r="2661" spans="1:18" x14ac:dyDescent="0.25">
      <c r="A2661" s="170">
        <v>45922</v>
      </c>
      <c r="B2661" s="116">
        <v>1514.7</v>
      </c>
      <c r="C2661" s="116">
        <v>1500.1</v>
      </c>
      <c r="D2661" s="116">
        <v>1480.05</v>
      </c>
      <c r="E2661" s="116">
        <v>1480.05</v>
      </c>
      <c r="F2661" s="116">
        <v>1500.1</v>
      </c>
      <c r="G2661">
        <v>722265</v>
      </c>
      <c r="H2661" s="116"/>
      <c r="I2661" s="116"/>
      <c r="L2661" s="170">
        <v>45922</v>
      </c>
      <c r="M2661" s="116">
        <v>1499.5</v>
      </c>
      <c r="N2661" s="116">
        <v>1514.7</v>
      </c>
      <c r="O2661" s="116">
        <v>1482</v>
      </c>
      <c r="P2661" s="116">
        <v>1482.7</v>
      </c>
      <c r="Q2661" s="116">
        <v>1499.5</v>
      </c>
      <c r="R2661">
        <v>15655204</v>
      </c>
    </row>
    <row r="2662" spans="1:18" x14ac:dyDescent="0.25">
      <c r="A2662" s="170">
        <v>45923</v>
      </c>
      <c r="B2662" s="116">
        <v>1512.95</v>
      </c>
      <c r="C2662" s="116">
        <v>1497.75</v>
      </c>
      <c r="D2662" s="116">
        <v>1493.05</v>
      </c>
      <c r="E2662" s="116">
        <v>1493.05</v>
      </c>
      <c r="F2662" s="116">
        <v>1497.75</v>
      </c>
      <c r="G2662">
        <v>216313</v>
      </c>
      <c r="H2662" s="116"/>
      <c r="I2662" s="116"/>
      <c r="L2662" s="170">
        <v>45923</v>
      </c>
      <c r="M2662" s="116">
        <v>1497.5</v>
      </c>
      <c r="N2662" s="116">
        <v>1513</v>
      </c>
      <c r="O2662" s="116">
        <v>1493</v>
      </c>
      <c r="P2662" s="116">
        <v>1493</v>
      </c>
      <c r="Q2662" s="116">
        <v>1497.5</v>
      </c>
      <c r="R2662">
        <v>9832164</v>
      </c>
    </row>
    <row r="2663" spans="1:18" x14ac:dyDescent="0.25">
      <c r="A2663" s="170">
        <v>45924</v>
      </c>
      <c r="B2663" s="116">
        <v>1496.7</v>
      </c>
      <c r="C2663" s="116">
        <v>1494.2</v>
      </c>
      <c r="D2663" s="116">
        <v>1483.1</v>
      </c>
      <c r="E2663" s="116">
        <v>1493</v>
      </c>
      <c r="F2663" s="116">
        <v>1494.2</v>
      </c>
      <c r="G2663">
        <v>238872</v>
      </c>
      <c r="H2663" s="116"/>
      <c r="I2663" s="116"/>
      <c r="L2663" s="170">
        <v>45924</v>
      </c>
      <c r="M2663" s="116">
        <v>1494.6</v>
      </c>
      <c r="N2663" s="116">
        <v>1496.7</v>
      </c>
      <c r="O2663" s="116">
        <v>1482.7</v>
      </c>
      <c r="P2663" s="116">
        <v>1487.2</v>
      </c>
      <c r="Q2663" s="116">
        <v>1494.6</v>
      </c>
      <c r="R2663">
        <v>4937004</v>
      </c>
    </row>
    <row r="2664" spans="1:18" x14ac:dyDescent="0.25">
      <c r="A2664" s="170">
        <v>45925</v>
      </c>
      <c r="B2664" s="116">
        <v>1503</v>
      </c>
      <c r="C2664" s="116">
        <v>1484.65</v>
      </c>
      <c r="D2664" s="116">
        <v>1476.55</v>
      </c>
      <c r="E2664" s="116">
        <v>1487</v>
      </c>
      <c r="F2664" s="116">
        <v>1484.65</v>
      </c>
      <c r="G2664">
        <v>451972</v>
      </c>
      <c r="H2664" s="116"/>
      <c r="I2664" s="116"/>
      <c r="L2664" s="170">
        <v>45925</v>
      </c>
      <c r="M2664" s="116">
        <v>1484.8</v>
      </c>
      <c r="N2664" s="116">
        <v>1502.7</v>
      </c>
      <c r="O2664" s="116">
        <v>1476.5</v>
      </c>
      <c r="P2664" s="116">
        <v>1489</v>
      </c>
      <c r="Q2664" s="116">
        <v>1484.8</v>
      </c>
      <c r="R2664">
        <v>9491867</v>
      </c>
    </row>
    <row r="2665" spans="1:18" x14ac:dyDescent="0.25">
      <c r="A2665" s="170">
        <v>45926</v>
      </c>
      <c r="B2665" s="116">
        <v>1478.65</v>
      </c>
      <c r="C2665" s="116">
        <v>1448.6</v>
      </c>
      <c r="D2665" s="116">
        <v>1441.3</v>
      </c>
      <c r="E2665" s="116">
        <v>1478.65</v>
      </c>
      <c r="F2665" s="116">
        <v>1448.6</v>
      </c>
      <c r="G2665">
        <v>208390</v>
      </c>
      <c r="H2665" s="116"/>
      <c r="I2665" s="116"/>
      <c r="L2665" s="170">
        <v>45926</v>
      </c>
      <c r="M2665" s="116">
        <v>1448.9</v>
      </c>
      <c r="N2665" s="116">
        <v>1478.7</v>
      </c>
      <c r="O2665" s="116">
        <v>1441.2</v>
      </c>
      <c r="P2665" s="116">
        <v>1475</v>
      </c>
      <c r="Q2665" s="116">
        <v>1448.9</v>
      </c>
      <c r="R2665">
        <v>8597058</v>
      </c>
    </row>
    <row r="2666" spans="1:18" x14ac:dyDescent="0.25">
      <c r="A2666" s="170">
        <v>45929</v>
      </c>
      <c r="B2666" s="116">
        <v>1464.75</v>
      </c>
      <c r="C2666" s="116">
        <v>1440.3</v>
      </c>
      <c r="D2666" s="116">
        <v>1436.7</v>
      </c>
      <c r="E2666" s="116">
        <v>1460.05</v>
      </c>
      <c r="F2666" s="116">
        <v>1440.3</v>
      </c>
      <c r="G2666">
        <v>1692478</v>
      </c>
      <c r="H2666" s="116"/>
      <c r="I2666" s="116"/>
      <c r="L2666" s="170">
        <v>45929</v>
      </c>
      <c r="M2666" s="116">
        <v>1441.8</v>
      </c>
      <c r="N2666" s="116">
        <v>1465</v>
      </c>
      <c r="O2666" s="116">
        <v>1436.5</v>
      </c>
      <c r="P2666" s="116">
        <v>1460</v>
      </c>
      <c r="Q2666" s="116">
        <v>1441.8</v>
      </c>
      <c r="R2666">
        <v>10513117</v>
      </c>
    </row>
    <row r="2667" spans="1:18" x14ac:dyDescent="0.25">
      <c r="A2667" s="170">
        <v>45930</v>
      </c>
      <c r="B2667" s="116">
        <v>1451.8</v>
      </c>
      <c r="C2667" s="116">
        <v>1442.05</v>
      </c>
      <c r="D2667" s="116">
        <v>1438.4</v>
      </c>
      <c r="E2667" s="116">
        <v>1443</v>
      </c>
      <c r="F2667" s="116">
        <v>1442.05</v>
      </c>
      <c r="G2667">
        <v>82243</v>
      </c>
      <c r="H2667" s="116"/>
      <c r="I2667" s="116"/>
      <c r="L2667" s="170">
        <v>45930</v>
      </c>
      <c r="M2667" s="116">
        <v>1441.8</v>
      </c>
      <c r="N2667" s="116">
        <v>1452.2</v>
      </c>
      <c r="O2667" s="116">
        <v>1438.1</v>
      </c>
      <c r="P2667" s="116">
        <v>1443</v>
      </c>
      <c r="Q2667" s="116">
        <v>1441.8</v>
      </c>
      <c r="R2667">
        <v>7556305</v>
      </c>
    </row>
    <row r="2668" spans="1:18" x14ac:dyDescent="0.25">
      <c r="A2668" s="170">
        <v>45931</v>
      </c>
      <c r="B2668" s="116">
        <v>1449.5</v>
      </c>
      <c r="C2668" s="116">
        <v>1445.65</v>
      </c>
      <c r="D2668" s="116">
        <v>1427.35</v>
      </c>
      <c r="E2668" s="116">
        <v>1445.4</v>
      </c>
      <c r="F2668" s="116">
        <v>1445.65</v>
      </c>
      <c r="G2668">
        <v>900662</v>
      </c>
      <c r="H2668" s="116"/>
      <c r="I2668" s="116"/>
      <c r="L2668" s="170">
        <v>45931</v>
      </c>
      <c r="M2668" s="116">
        <v>1445.8</v>
      </c>
      <c r="N2668" s="116">
        <v>1449.5</v>
      </c>
      <c r="O2668" s="116">
        <v>1427.4</v>
      </c>
      <c r="P2668" s="116">
        <v>1446</v>
      </c>
      <c r="Q2668" s="116">
        <v>1445.8</v>
      </c>
      <c r="R2668">
        <v>6250692</v>
      </c>
    </row>
    <row r="2669" spans="1:18" x14ac:dyDescent="0.25">
      <c r="A2669" s="170">
        <v>45933</v>
      </c>
      <c r="B2669" s="116">
        <v>1448.7</v>
      </c>
      <c r="C2669" s="116">
        <v>1446.55</v>
      </c>
      <c r="D2669" s="116">
        <v>1433.8</v>
      </c>
      <c r="E2669" s="116">
        <v>1443.45</v>
      </c>
      <c r="F2669" s="116">
        <v>1446.55</v>
      </c>
      <c r="G2669">
        <v>139459</v>
      </c>
      <c r="H2669" s="116"/>
      <c r="I2669" s="116"/>
      <c r="L2669" s="170">
        <v>45933</v>
      </c>
      <c r="M2669" s="116">
        <v>1446.6</v>
      </c>
      <c r="N2669" s="116">
        <v>1448.3</v>
      </c>
      <c r="O2669" s="116">
        <v>1433.2</v>
      </c>
      <c r="P2669" s="116">
        <v>1439</v>
      </c>
      <c r="Q2669" s="116">
        <v>1446.6</v>
      </c>
      <c r="R2669">
        <v>6877533</v>
      </c>
    </row>
    <row r="2670" spans="1:18" x14ac:dyDescent="0.25">
      <c r="A2670" s="170">
        <v>45936</v>
      </c>
      <c r="B2670" s="116">
        <v>1478.6</v>
      </c>
      <c r="C2670" s="116">
        <v>1475.15</v>
      </c>
      <c r="D2670" s="116">
        <v>1442.05</v>
      </c>
      <c r="E2670" s="116">
        <v>1446.55</v>
      </c>
      <c r="F2670" s="116">
        <v>1475.15</v>
      </c>
      <c r="G2670">
        <v>78527</v>
      </c>
      <c r="H2670" s="116"/>
      <c r="I2670" s="116"/>
      <c r="L2670" s="170">
        <v>45936</v>
      </c>
      <c r="M2670" s="116">
        <v>1476</v>
      </c>
      <c r="N2670" s="116">
        <v>1478.8</v>
      </c>
      <c r="O2670" s="116">
        <v>1442.3</v>
      </c>
      <c r="P2670" s="116">
        <v>1446.6</v>
      </c>
      <c r="Q2670" s="116">
        <v>1476</v>
      </c>
      <c r="R2670">
        <v>4630590</v>
      </c>
    </row>
    <row r="2671" spans="1:18" x14ac:dyDescent="0.25">
      <c r="A2671" s="170">
        <v>45937</v>
      </c>
      <c r="B2671" s="116">
        <v>1483</v>
      </c>
      <c r="C2671" s="116">
        <v>1456.1</v>
      </c>
      <c r="D2671" s="116">
        <v>1454.1</v>
      </c>
      <c r="E2671" s="116">
        <v>1479.35</v>
      </c>
      <c r="F2671" s="116">
        <v>1456.1</v>
      </c>
      <c r="G2671">
        <v>222046</v>
      </c>
      <c r="H2671" s="116"/>
      <c r="I2671" s="116"/>
      <c r="L2671" s="170">
        <v>45937</v>
      </c>
      <c r="M2671" s="116">
        <v>1458.5</v>
      </c>
      <c r="N2671" s="116">
        <v>1482.9</v>
      </c>
      <c r="O2671" s="116">
        <v>1454</v>
      </c>
      <c r="P2671" s="116">
        <v>1477.7</v>
      </c>
      <c r="Q2671" s="116">
        <v>1458.5</v>
      </c>
      <c r="R2671">
        <v>5570320</v>
      </c>
    </row>
    <row r="2672" spans="1:18" x14ac:dyDescent="0.25">
      <c r="A2672" s="170">
        <v>45938</v>
      </c>
      <c r="B2672" s="116">
        <v>1497.9</v>
      </c>
      <c r="C2672" s="116">
        <v>1494.95</v>
      </c>
      <c r="D2672" s="116">
        <v>1455</v>
      </c>
      <c r="E2672" s="116">
        <v>1456.1</v>
      </c>
      <c r="F2672" s="116">
        <v>1494.95</v>
      </c>
      <c r="G2672">
        <v>285653</v>
      </c>
      <c r="H2672" s="116"/>
      <c r="I2672" s="116"/>
      <c r="L2672" s="170">
        <v>45938</v>
      </c>
      <c r="M2672" s="116">
        <v>1495</v>
      </c>
      <c r="N2672" s="116">
        <v>1498</v>
      </c>
      <c r="O2672" s="116">
        <v>1455</v>
      </c>
      <c r="P2672" s="116">
        <v>1457</v>
      </c>
      <c r="Q2672" s="116">
        <v>1495</v>
      </c>
      <c r="R2672">
        <v>4657192</v>
      </c>
    </row>
    <row r="2673" spans="1:18" x14ac:dyDescent="0.25">
      <c r="A2673" s="170">
        <v>45939</v>
      </c>
      <c r="B2673" s="116">
        <v>1513.4</v>
      </c>
      <c r="C2673" s="116">
        <v>1509.4</v>
      </c>
      <c r="D2673" s="116">
        <v>1487.1</v>
      </c>
      <c r="E2673" s="116">
        <v>1503.9</v>
      </c>
      <c r="F2673" s="116">
        <v>1509.4</v>
      </c>
      <c r="G2673">
        <v>581651</v>
      </c>
      <c r="H2673" s="116"/>
      <c r="I2673" s="116"/>
      <c r="L2673" s="170">
        <v>45939</v>
      </c>
      <c r="M2673" s="116">
        <v>1509.3</v>
      </c>
      <c r="N2673" s="116">
        <v>1514</v>
      </c>
      <c r="O2673" s="116">
        <v>1487</v>
      </c>
      <c r="P2673" s="116">
        <v>1502</v>
      </c>
      <c r="Q2673" s="116">
        <v>1509.3</v>
      </c>
      <c r="R2673">
        <v>7028753</v>
      </c>
    </row>
    <row r="2674" spans="1:18" x14ac:dyDescent="0.25">
      <c r="A2674" s="170">
        <v>45940</v>
      </c>
      <c r="B2674" s="116">
        <v>1521.05</v>
      </c>
      <c r="C2674" s="116">
        <v>1514.25</v>
      </c>
      <c r="D2674" s="116">
        <v>1497.95</v>
      </c>
      <c r="E2674" s="116">
        <v>1510.05</v>
      </c>
      <c r="F2674" s="116">
        <v>1514.25</v>
      </c>
      <c r="G2674">
        <v>203481</v>
      </c>
      <c r="H2674" s="116"/>
      <c r="I2674" s="116"/>
      <c r="L2674" s="170">
        <v>45940</v>
      </c>
      <c r="M2674" s="116">
        <v>1514.9</v>
      </c>
      <c r="N2674" s="116">
        <v>1521.7</v>
      </c>
      <c r="O2674" s="116">
        <v>1498.8</v>
      </c>
      <c r="P2674" s="116">
        <v>1510</v>
      </c>
      <c r="Q2674" s="116">
        <v>1514.9</v>
      </c>
      <c r="R2674">
        <v>3738353</v>
      </c>
    </row>
    <row r="2675" spans="1:18" x14ac:dyDescent="0.25">
      <c r="A2675" s="170">
        <v>45943</v>
      </c>
      <c r="B2675" s="116">
        <v>1504.75</v>
      </c>
      <c r="C2675" s="116">
        <v>1493</v>
      </c>
      <c r="D2675" s="116">
        <v>1483.5</v>
      </c>
      <c r="E2675" s="116">
        <v>1499.95</v>
      </c>
      <c r="F2675" s="116">
        <v>1493</v>
      </c>
      <c r="G2675">
        <v>314857</v>
      </c>
      <c r="H2675" s="116"/>
      <c r="I2675" s="116"/>
      <c r="L2675" s="170">
        <v>45943</v>
      </c>
      <c r="M2675" s="116">
        <v>1493.2</v>
      </c>
      <c r="N2675" s="116">
        <v>1504.7</v>
      </c>
      <c r="O2675" s="116">
        <v>1483.4</v>
      </c>
      <c r="P2675" s="116">
        <v>1497</v>
      </c>
      <c r="Q2675" s="116">
        <v>1493.2</v>
      </c>
      <c r="R2675">
        <v>5859355</v>
      </c>
    </row>
    <row r="2676" spans="1:18" x14ac:dyDescent="0.25">
      <c r="A2676" s="170">
        <v>45944</v>
      </c>
      <c r="B2676" s="116">
        <v>1514.85</v>
      </c>
      <c r="C2676" s="116">
        <v>1489.8</v>
      </c>
      <c r="D2676" s="116">
        <v>1486.2</v>
      </c>
      <c r="E2676" s="116">
        <v>1494.95</v>
      </c>
      <c r="F2676" s="116">
        <v>1489.8</v>
      </c>
      <c r="G2676">
        <v>163842</v>
      </c>
      <c r="H2676" s="116"/>
      <c r="I2676" s="116"/>
      <c r="L2676" s="170">
        <v>45944</v>
      </c>
      <c r="M2676" s="116">
        <v>1489.9</v>
      </c>
      <c r="N2676" s="116">
        <v>1514.4</v>
      </c>
      <c r="O2676" s="116">
        <v>1486.5</v>
      </c>
      <c r="P2676" s="116">
        <v>1499</v>
      </c>
      <c r="Q2676" s="116">
        <v>1489.9</v>
      </c>
      <c r="R2676">
        <v>5600789</v>
      </c>
    </row>
    <row r="2677" spans="1:18" x14ac:dyDescent="0.25">
      <c r="A2677" s="170">
        <v>45945</v>
      </c>
      <c r="B2677" s="116">
        <v>1488.7</v>
      </c>
      <c r="C2677" s="116">
        <v>1473.9</v>
      </c>
      <c r="D2677" s="116">
        <v>1467.4</v>
      </c>
      <c r="E2677" s="116">
        <v>1488</v>
      </c>
      <c r="F2677" s="116">
        <v>1473.9</v>
      </c>
      <c r="G2677">
        <v>331279</v>
      </c>
      <c r="H2677" s="116"/>
      <c r="I2677" s="116"/>
      <c r="L2677" s="170">
        <v>45945</v>
      </c>
      <c r="M2677" s="116">
        <v>1474.4</v>
      </c>
      <c r="N2677" s="116">
        <v>1488.6</v>
      </c>
      <c r="O2677" s="116">
        <v>1467.5</v>
      </c>
      <c r="P2677" s="116">
        <v>1483.9</v>
      </c>
      <c r="Q2677" s="116">
        <v>1474.4</v>
      </c>
      <c r="R2677">
        <v>6986098</v>
      </c>
    </row>
    <row r="2678" spans="1:18" x14ac:dyDescent="0.25">
      <c r="A2678" s="170">
        <v>45946</v>
      </c>
      <c r="B2678" s="116">
        <v>1484.85</v>
      </c>
      <c r="C2678" s="116">
        <v>1472.75</v>
      </c>
      <c r="D2678" s="116">
        <v>1460.2</v>
      </c>
      <c r="E2678" s="116">
        <v>1475</v>
      </c>
      <c r="F2678" s="116">
        <v>1472.75</v>
      </c>
      <c r="G2678">
        <v>764627</v>
      </c>
      <c r="H2678" s="116"/>
      <c r="I2678" s="116"/>
      <c r="L2678" s="170">
        <v>45946</v>
      </c>
      <c r="M2678" s="116">
        <v>1471.5</v>
      </c>
      <c r="N2678" s="116">
        <v>1474.5</v>
      </c>
      <c r="O2678" s="116">
        <v>1460.5</v>
      </c>
      <c r="P2678" s="116">
        <v>1473.9</v>
      </c>
      <c r="Q2678" s="116">
        <v>1471.5</v>
      </c>
      <c r="R2678">
        <v>8005748</v>
      </c>
    </row>
    <row r="2679" spans="1:18" x14ac:dyDescent="0.25">
      <c r="A2679" s="170">
        <v>45947</v>
      </c>
      <c r="B2679" s="116">
        <v>1459</v>
      </c>
      <c r="C2679" s="116">
        <v>1441.3</v>
      </c>
      <c r="D2679" s="116">
        <v>1433.8</v>
      </c>
      <c r="E2679" s="116">
        <v>1459</v>
      </c>
      <c r="F2679" s="116">
        <v>1441.3</v>
      </c>
      <c r="G2679">
        <v>709603</v>
      </c>
      <c r="H2679" s="116"/>
      <c r="I2679" s="116"/>
      <c r="L2679" s="170">
        <v>45947</v>
      </c>
      <c r="M2679" s="116">
        <v>1441.1</v>
      </c>
      <c r="N2679" s="116">
        <v>1458.4</v>
      </c>
      <c r="O2679" s="116">
        <v>1434</v>
      </c>
      <c r="P2679" s="116">
        <v>1454.9</v>
      </c>
      <c r="Q2679" s="116">
        <v>1441.1</v>
      </c>
      <c r="R2679">
        <v>16959378</v>
      </c>
    </row>
    <row r="2680" spans="1:18" x14ac:dyDescent="0.25">
      <c r="A2680" s="170">
        <v>45950</v>
      </c>
      <c r="B2680" s="116">
        <v>1466.85</v>
      </c>
      <c r="C2680" s="116">
        <v>1461.5</v>
      </c>
      <c r="D2680" s="116">
        <v>1446.15</v>
      </c>
      <c r="E2680" s="116">
        <v>1446.15</v>
      </c>
      <c r="F2680" s="116">
        <v>1461.5</v>
      </c>
      <c r="G2680">
        <v>403826</v>
      </c>
      <c r="H2680" s="116"/>
      <c r="I2680" s="116"/>
      <c r="L2680" s="170">
        <v>45950</v>
      </c>
      <c r="M2680" s="116">
        <v>1460.9</v>
      </c>
      <c r="N2680" s="116">
        <v>1467</v>
      </c>
      <c r="O2680" s="116">
        <v>1450</v>
      </c>
      <c r="P2680" s="116">
        <v>1453.7</v>
      </c>
      <c r="Q2680" s="116">
        <v>1460.9</v>
      </c>
      <c r="R2680">
        <v>6994246</v>
      </c>
    </row>
    <row r="2681" spans="1:18" x14ac:dyDescent="0.25">
      <c r="A2681" s="170">
        <v>45951</v>
      </c>
      <c r="B2681" s="116">
        <v>1484.6</v>
      </c>
      <c r="C2681" s="116">
        <v>1472</v>
      </c>
      <c r="D2681" s="116">
        <v>1470</v>
      </c>
      <c r="E2681" s="116">
        <v>1477.25</v>
      </c>
      <c r="F2681" s="116">
        <v>1472</v>
      </c>
      <c r="G2681">
        <v>161060</v>
      </c>
      <c r="H2681" s="116"/>
      <c r="I2681" s="116"/>
      <c r="L2681" s="170">
        <v>45951</v>
      </c>
      <c r="M2681" s="116">
        <v>1472.4</v>
      </c>
      <c r="N2681" s="116">
        <v>1486</v>
      </c>
      <c r="O2681" s="116">
        <v>1470</v>
      </c>
      <c r="P2681" s="116">
        <v>1478</v>
      </c>
      <c r="Q2681" s="116">
        <v>1472.4</v>
      </c>
      <c r="R2681">
        <v>1698704</v>
      </c>
    </row>
    <row r="2682" spans="1:18" x14ac:dyDescent="0.25">
      <c r="A2682" s="170">
        <v>45953</v>
      </c>
      <c r="B2682" s="116">
        <v>1545.7</v>
      </c>
      <c r="C2682" s="116">
        <v>1528.85</v>
      </c>
      <c r="D2682" s="116">
        <v>1506.9</v>
      </c>
      <c r="E2682" s="116">
        <v>1515</v>
      </c>
      <c r="F2682" s="116">
        <v>1528.85</v>
      </c>
      <c r="G2682">
        <v>1133053</v>
      </c>
      <c r="H2682" s="116"/>
      <c r="I2682" s="116"/>
      <c r="L2682" s="170">
        <v>45953</v>
      </c>
      <c r="M2682" s="116">
        <v>1528.5</v>
      </c>
      <c r="N2682" s="116">
        <v>1546</v>
      </c>
      <c r="O2682" s="116">
        <v>1506</v>
      </c>
      <c r="P2682" s="116">
        <v>1510</v>
      </c>
      <c r="Q2682" s="116">
        <v>1528.5</v>
      </c>
      <c r="R2682">
        <v>20358624</v>
      </c>
    </row>
    <row r="2683" spans="1:18" x14ac:dyDescent="0.25">
      <c r="A2683" s="170">
        <v>45954</v>
      </c>
      <c r="B2683" s="116">
        <v>1542.3</v>
      </c>
      <c r="C2683" s="116">
        <v>1525.4</v>
      </c>
      <c r="D2683" s="116">
        <v>1517.45</v>
      </c>
      <c r="E2683" s="116">
        <v>1538</v>
      </c>
      <c r="F2683" s="116">
        <v>1525.4</v>
      </c>
      <c r="G2683">
        <v>373169</v>
      </c>
      <c r="H2683" s="116"/>
      <c r="I2683" s="116"/>
      <c r="L2683" s="170">
        <v>45954</v>
      </c>
      <c r="M2683" s="116">
        <v>1525.4</v>
      </c>
      <c r="N2683" s="116">
        <v>1543</v>
      </c>
      <c r="O2683" s="116">
        <v>1518</v>
      </c>
      <c r="P2683" s="116">
        <v>1539.5</v>
      </c>
      <c r="Q2683" s="116">
        <v>1525.4</v>
      </c>
      <c r="R2683">
        <v>8652257</v>
      </c>
    </row>
    <row r="2684" spans="1:18" x14ac:dyDescent="0.25">
      <c r="A2684" s="170">
        <v>45957</v>
      </c>
      <c r="B2684" s="116">
        <v>1515</v>
      </c>
      <c r="C2684" s="116">
        <v>1504.8</v>
      </c>
      <c r="D2684" s="116">
        <v>1498</v>
      </c>
      <c r="E2684" s="116">
        <v>1512.3</v>
      </c>
      <c r="F2684" s="116">
        <v>1504.8</v>
      </c>
      <c r="G2684">
        <v>295388</v>
      </c>
      <c r="H2684" s="116"/>
      <c r="I2684" s="116"/>
      <c r="L2684" s="170">
        <v>45957</v>
      </c>
      <c r="M2684" s="116">
        <v>1504.5</v>
      </c>
      <c r="N2684" s="116">
        <v>1515.3</v>
      </c>
      <c r="O2684" s="116">
        <v>1498.1</v>
      </c>
      <c r="P2684" s="116">
        <v>1510</v>
      </c>
      <c r="Q2684" s="116">
        <v>1504.5</v>
      </c>
      <c r="R2684">
        <v>7273211</v>
      </c>
    </row>
    <row r="2685" spans="1:18" x14ac:dyDescent="0.25">
      <c r="A2685" s="170">
        <v>45958</v>
      </c>
      <c r="B2685" s="116">
        <v>1505.55</v>
      </c>
      <c r="C2685" s="116">
        <v>1500.6</v>
      </c>
      <c r="D2685" s="116">
        <v>1490.5</v>
      </c>
      <c r="E2685" s="116">
        <v>1498.2</v>
      </c>
      <c r="F2685" s="116">
        <v>1500.6</v>
      </c>
      <c r="G2685">
        <v>443272</v>
      </c>
      <c r="H2685" s="116"/>
      <c r="I2685" s="116"/>
      <c r="L2685" s="170">
        <v>45958</v>
      </c>
      <c r="M2685" s="116">
        <v>1500.2</v>
      </c>
      <c r="N2685" s="116">
        <v>1506.5</v>
      </c>
      <c r="O2685" s="116">
        <v>1490.5</v>
      </c>
      <c r="P2685" s="116">
        <v>1499.7</v>
      </c>
      <c r="Q2685" s="116">
        <v>1500.2</v>
      </c>
      <c r="R2685">
        <v>8211019</v>
      </c>
    </row>
    <row r="2686" spans="1:18" x14ac:dyDescent="0.25">
      <c r="A2686" s="170">
        <v>45959</v>
      </c>
      <c r="B2686" s="116">
        <v>1519.8</v>
      </c>
      <c r="C2686" s="116">
        <v>1510.8</v>
      </c>
      <c r="D2686" s="116">
        <v>1496.85</v>
      </c>
      <c r="E2686" s="116">
        <v>1500</v>
      </c>
      <c r="F2686" s="116">
        <v>1510.8</v>
      </c>
      <c r="G2686">
        <v>273304</v>
      </c>
      <c r="H2686" s="116"/>
      <c r="I2686" s="116"/>
      <c r="L2686" s="170">
        <v>45959</v>
      </c>
      <c r="M2686" s="116">
        <v>1510.4</v>
      </c>
      <c r="N2686" s="116">
        <v>1520.2</v>
      </c>
      <c r="O2686" s="116">
        <v>1496.9</v>
      </c>
      <c r="P2686" s="116">
        <v>1500.2</v>
      </c>
      <c r="Q2686" s="116">
        <v>1510.4</v>
      </c>
      <c r="R2686">
        <v>4884976</v>
      </c>
    </row>
    <row r="2687" spans="1:18" x14ac:dyDescent="0.25">
      <c r="A2687" s="170">
        <v>45960</v>
      </c>
      <c r="B2687" s="116">
        <v>1507.8</v>
      </c>
      <c r="C2687" s="116">
        <v>1493.6</v>
      </c>
      <c r="D2687" s="116">
        <v>1489</v>
      </c>
      <c r="E2687" s="116">
        <v>1506</v>
      </c>
      <c r="F2687" s="116">
        <v>1493.6</v>
      </c>
      <c r="G2687">
        <v>556398</v>
      </c>
      <c r="H2687" s="116"/>
      <c r="I2687" s="116"/>
      <c r="L2687" s="170">
        <v>45960</v>
      </c>
      <c r="M2687" s="116">
        <v>1493.8</v>
      </c>
      <c r="N2687" s="116">
        <v>1508.2</v>
      </c>
      <c r="O2687" s="116">
        <v>1489.1</v>
      </c>
      <c r="P2687" s="116">
        <v>1507</v>
      </c>
      <c r="Q2687" s="116">
        <v>1493.8</v>
      </c>
      <c r="R2687">
        <v>5608867</v>
      </c>
    </row>
    <row r="2688" spans="1:18" x14ac:dyDescent="0.25">
      <c r="A2688" s="170">
        <v>45961</v>
      </c>
      <c r="B2688" s="116">
        <v>1496.95</v>
      </c>
      <c r="C2688" s="116">
        <v>1482.5</v>
      </c>
      <c r="D2688" s="116">
        <v>1481</v>
      </c>
      <c r="E2688" s="116">
        <v>1491.55</v>
      </c>
      <c r="F2688" s="116">
        <v>1482.5</v>
      </c>
      <c r="G2688">
        <v>330766</v>
      </c>
      <c r="H2688" s="116"/>
      <c r="I2688" s="116"/>
      <c r="L2688" s="170">
        <v>45961</v>
      </c>
      <c r="M2688" s="116">
        <v>1482.3</v>
      </c>
      <c r="N2688" s="116">
        <v>1497.1</v>
      </c>
      <c r="O2688" s="116">
        <v>1480.7</v>
      </c>
      <c r="P2688" s="116">
        <v>1490</v>
      </c>
      <c r="Q2688" s="116">
        <v>1482.3</v>
      </c>
      <c r="R2688">
        <v>4819814</v>
      </c>
    </row>
    <row r="2689" spans="1:18" x14ac:dyDescent="0.25">
      <c r="A2689" s="170">
        <v>45964</v>
      </c>
      <c r="B2689" s="116">
        <v>1490</v>
      </c>
      <c r="C2689" s="116">
        <v>1485.35</v>
      </c>
      <c r="D2689" s="116">
        <v>1474.35</v>
      </c>
      <c r="E2689" s="116">
        <v>1481.3</v>
      </c>
      <c r="F2689" s="116">
        <v>1485.35</v>
      </c>
      <c r="G2689">
        <v>296650</v>
      </c>
      <c r="H2689" s="116"/>
      <c r="I2689" s="116"/>
      <c r="L2689" s="170">
        <v>45964</v>
      </c>
      <c r="M2689" s="116">
        <v>1485.5</v>
      </c>
      <c r="N2689" s="116">
        <v>1491.4</v>
      </c>
      <c r="O2689" s="116">
        <v>1474.2</v>
      </c>
      <c r="P2689" s="116">
        <v>1482.3</v>
      </c>
      <c r="Q2689" s="116">
        <v>1485.5</v>
      </c>
      <c r="R2689">
        <v>5470600</v>
      </c>
    </row>
    <row r="2690" spans="1:18" x14ac:dyDescent="0.25">
      <c r="A2690" s="170">
        <v>45965</v>
      </c>
      <c r="B2690" s="116">
        <v>1481.2</v>
      </c>
      <c r="C2690" s="116">
        <v>1468</v>
      </c>
      <c r="D2690" s="116">
        <v>1463</v>
      </c>
      <c r="E2690" s="116">
        <v>1480</v>
      </c>
      <c r="F2690" s="116">
        <v>1468</v>
      </c>
      <c r="G2690">
        <v>162143</v>
      </c>
      <c r="H2690" s="116"/>
      <c r="I2690" s="116"/>
      <c r="L2690" s="170">
        <v>45965</v>
      </c>
      <c r="M2690" s="116">
        <v>1467.9</v>
      </c>
      <c r="N2690" s="116">
        <v>1481.9</v>
      </c>
      <c r="O2690" s="116">
        <v>1462.9</v>
      </c>
      <c r="P2690" s="116">
        <v>1479.7</v>
      </c>
      <c r="Q2690" s="116">
        <v>1467.9</v>
      </c>
      <c r="R2690">
        <v>8691330</v>
      </c>
    </row>
    <row r="2691" spans="1:18" x14ac:dyDescent="0.25">
      <c r="A2691" s="170">
        <v>45967</v>
      </c>
      <c r="B2691" s="116">
        <v>1482.7</v>
      </c>
      <c r="C2691" s="116">
        <v>1466.25</v>
      </c>
      <c r="D2691" s="116">
        <v>1461.3</v>
      </c>
      <c r="E2691" s="116">
        <v>1473.2</v>
      </c>
      <c r="F2691" s="116">
        <v>1466.25</v>
      </c>
      <c r="G2691">
        <v>1067624</v>
      </c>
      <c r="H2691" s="116"/>
      <c r="I2691" s="116"/>
      <c r="L2691" s="170">
        <v>45967</v>
      </c>
      <c r="M2691" s="116">
        <v>1466.7</v>
      </c>
      <c r="N2691" s="116">
        <v>1483</v>
      </c>
      <c r="O2691" s="116">
        <v>1461.9</v>
      </c>
      <c r="P2691" s="116">
        <v>1478.6</v>
      </c>
      <c r="Q2691" s="116">
        <v>1466.7</v>
      </c>
      <c r="R2691">
        <v>7944752</v>
      </c>
    </row>
    <row r="2692" spans="1:18" x14ac:dyDescent="0.25">
      <c r="A2692" s="170">
        <v>45968</v>
      </c>
      <c r="B2692" s="116">
        <v>1481.15</v>
      </c>
      <c r="C2692" s="116">
        <v>1477.35</v>
      </c>
      <c r="D2692" s="116">
        <v>1449.35</v>
      </c>
      <c r="E2692" s="116">
        <v>1470</v>
      </c>
      <c r="F2692" s="116">
        <v>1477.35</v>
      </c>
      <c r="G2692">
        <v>402284</v>
      </c>
      <c r="H2692" s="116"/>
      <c r="I2692" s="116"/>
      <c r="L2692" s="170">
        <v>45968</v>
      </c>
      <c r="M2692" s="116">
        <v>1476.8</v>
      </c>
      <c r="N2692" s="116">
        <v>1480.9</v>
      </c>
      <c r="O2692" s="116">
        <v>1449.1</v>
      </c>
      <c r="P2692" s="116">
        <v>1470</v>
      </c>
      <c r="Q2692" s="116">
        <v>1476.8</v>
      </c>
      <c r="R2692">
        <v>8765759</v>
      </c>
    </row>
    <row r="2693" spans="1:18" x14ac:dyDescent="0.25">
      <c r="A2693" s="170">
        <v>45971</v>
      </c>
      <c r="B2693" s="116">
        <v>1520</v>
      </c>
      <c r="C2693" s="116">
        <v>1514.6</v>
      </c>
      <c r="D2693" s="116">
        <v>1490.15</v>
      </c>
      <c r="E2693" s="116">
        <v>1495</v>
      </c>
      <c r="F2693" s="116">
        <v>1514.6</v>
      </c>
      <c r="G2693">
        <v>664564</v>
      </c>
      <c r="H2693" s="116"/>
      <c r="I2693" s="116"/>
      <c r="L2693" s="170">
        <v>45971</v>
      </c>
      <c r="M2693" s="116">
        <v>1513.5</v>
      </c>
      <c r="N2693" s="116">
        <v>1520</v>
      </c>
      <c r="O2693" s="116">
        <v>1490</v>
      </c>
      <c r="P2693" s="116">
        <v>1490.1</v>
      </c>
      <c r="Q2693" s="116">
        <v>1513.5</v>
      </c>
      <c r="R2693">
        <v>9787975</v>
      </c>
    </row>
    <row r="2694" spans="1:18" x14ac:dyDescent="0.25">
      <c r="A2694" s="170">
        <v>45972</v>
      </c>
      <c r="B2694" s="116">
        <v>1532.5</v>
      </c>
      <c r="C2694" s="116">
        <v>1530.6</v>
      </c>
      <c r="D2694" s="116">
        <v>1511</v>
      </c>
      <c r="E2694" s="116">
        <v>1523.25</v>
      </c>
      <c r="F2694" s="116">
        <v>1530.6</v>
      </c>
      <c r="G2694">
        <v>521626</v>
      </c>
      <c r="H2694" s="116"/>
      <c r="I2694" s="116"/>
      <c r="L2694" s="170">
        <v>45972</v>
      </c>
      <c r="M2694" s="116">
        <v>1530.3</v>
      </c>
      <c r="N2694" s="116">
        <v>1533.4</v>
      </c>
      <c r="O2694" s="116">
        <v>1511.1</v>
      </c>
      <c r="P2694" s="116">
        <v>1525</v>
      </c>
      <c r="Q2694" s="116">
        <v>1530.3</v>
      </c>
      <c r="R2694">
        <v>13692989</v>
      </c>
    </row>
    <row r="2695" spans="1:18" x14ac:dyDescent="0.25">
      <c r="A2695" s="170">
        <v>45973</v>
      </c>
      <c r="B2695" s="116">
        <v>1557.9</v>
      </c>
      <c r="C2695" s="116">
        <v>1551.4</v>
      </c>
      <c r="D2695" s="116">
        <v>1538.25</v>
      </c>
      <c r="E2695" s="116">
        <v>1541.2</v>
      </c>
      <c r="F2695" s="116">
        <v>1551.4</v>
      </c>
      <c r="G2695">
        <v>641435</v>
      </c>
      <c r="H2695" s="116"/>
      <c r="I2695" s="116"/>
      <c r="L2695" s="170">
        <v>45973</v>
      </c>
      <c r="M2695" s="116">
        <v>1551.7</v>
      </c>
      <c r="N2695" s="116">
        <v>1559.2</v>
      </c>
      <c r="O2695" s="116">
        <v>1538.1</v>
      </c>
      <c r="P2695" s="116">
        <v>1540</v>
      </c>
      <c r="Q2695" s="116">
        <v>1551.7</v>
      </c>
      <c r="R2695">
        <v>14635417</v>
      </c>
    </row>
    <row r="2696" spans="1:18" x14ac:dyDescent="0.25">
      <c r="A2696" s="170">
        <v>45974</v>
      </c>
      <c r="B2696" s="116">
        <v>1558.95</v>
      </c>
      <c r="C2696" s="116">
        <v>1542.35</v>
      </c>
      <c r="D2696" s="116">
        <v>1530.4</v>
      </c>
      <c r="E2696" s="116">
        <v>1558.95</v>
      </c>
      <c r="F2696" s="116">
        <v>1542.35</v>
      </c>
      <c r="G2696">
        <v>1051410</v>
      </c>
      <c r="H2696" s="116"/>
      <c r="I2696" s="116"/>
      <c r="L2696" s="170">
        <v>45974</v>
      </c>
      <c r="M2696" s="116">
        <v>1541.8</v>
      </c>
      <c r="N2696" s="116">
        <v>1557.5</v>
      </c>
      <c r="O2696" s="116">
        <v>1530.3</v>
      </c>
      <c r="P2696" s="116">
        <v>1557.1</v>
      </c>
      <c r="Q2696" s="116">
        <v>1541.8</v>
      </c>
      <c r="R2696">
        <v>19655689</v>
      </c>
    </row>
    <row r="2697" spans="1:18" x14ac:dyDescent="0.25">
      <c r="A2697" s="170">
        <v>45975</v>
      </c>
      <c r="B2697" s="116">
        <v>1529.65</v>
      </c>
      <c r="C2697" s="116">
        <v>1502.5</v>
      </c>
      <c r="D2697" s="116">
        <v>1489.3</v>
      </c>
      <c r="E2697" s="116">
        <v>1510.65</v>
      </c>
      <c r="F2697" s="116">
        <v>1502.5</v>
      </c>
      <c r="G2697">
        <v>427328</v>
      </c>
      <c r="H2697" s="116"/>
      <c r="I2697" s="116"/>
      <c r="L2697" s="170">
        <v>45975</v>
      </c>
      <c r="M2697" s="116">
        <v>1502.8</v>
      </c>
      <c r="N2697" s="116">
        <v>1530</v>
      </c>
      <c r="O2697" s="116">
        <v>1488.8</v>
      </c>
      <c r="P2697" s="116">
        <v>1520</v>
      </c>
      <c r="Q2697" s="116">
        <v>1502.8</v>
      </c>
      <c r="R2697">
        <v>9739549</v>
      </c>
    </row>
    <row r="2698" spans="1:18" x14ac:dyDescent="0.25">
      <c r="A2698" s="170">
        <v>45978</v>
      </c>
      <c r="B2698" s="116">
        <v>1509.9</v>
      </c>
      <c r="C2698" s="116">
        <v>1507.6</v>
      </c>
      <c r="D2698" s="116">
        <v>1485.1</v>
      </c>
      <c r="E2698" s="116">
        <v>1485.1</v>
      </c>
      <c r="F2698" s="116">
        <v>1507.6</v>
      </c>
      <c r="G2698">
        <v>192848</v>
      </c>
      <c r="H2698" s="116"/>
      <c r="I2698" s="116"/>
      <c r="L2698" s="170">
        <v>45978</v>
      </c>
      <c r="M2698" s="116">
        <v>1507.6</v>
      </c>
      <c r="N2698" s="116">
        <v>1510.2</v>
      </c>
      <c r="O2698" s="116">
        <v>1492.5</v>
      </c>
      <c r="P2698" s="116">
        <v>1496</v>
      </c>
      <c r="Q2698" s="116">
        <v>1507.6</v>
      </c>
      <c r="R2698">
        <v>7910354</v>
      </c>
    </row>
    <row r="2699" spans="1:18" x14ac:dyDescent="0.25">
      <c r="A2699" s="170">
        <v>45979</v>
      </c>
      <c r="B2699" s="116">
        <v>1505.05</v>
      </c>
      <c r="C2699" s="116">
        <v>1485.65</v>
      </c>
      <c r="D2699" s="116">
        <v>1483.45</v>
      </c>
      <c r="E2699" s="116">
        <v>1505.05</v>
      </c>
      <c r="F2699" s="116">
        <v>1485.65</v>
      </c>
      <c r="G2699">
        <v>658521</v>
      </c>
      <c r="H2699" s="116"/>
      <c r="I2699" s="116"/>
      <c r="L2699" s="170">
        <v>45979</v>
      </c>
      <c r="M2699" s="116">
        <v>1486.4</v>
      </c>
      <c r="N2699" s="116">
        <v>1506</v>
      </c>
      <c r="O2699" s="116">
        <v>1483.2</v>
      </c>
      <c r="P2699" s="116">
        <v>1506</v>
      </c>
      <c r="Q2699" s="116">
        <v>1486.4</v>
      </c>
      <c r="R2699">
        <v>7525119</v>
      </c>
    </row>
    <row r="2700" spans="1:18" x14ac:dyDescent="0.25">
      <c r="A2700" s="170">
        <v>45980</v>
      </c>
      <c r="B2700" s="116">
        <v>1542.85</v>
      </c>
      <c r="C2700" s="116">
        <v>1541.25</v>
      </c>
      <c r="D2700" s="116">
        <v>1488.8</v>
      </c>
      <c r="E2700" s="116">
        <v>1488.8</v>
      </c>
      <c r="F2700" s="116">
        <v>1541.25</v>
      </c>
      <c r="G2700">
        <v>415125</v>
      </c>
      <c r="H2700" s="116"/>
      <c r="I2700" s="116"/>
      <c r="L2700" s="170">
        <v>45980</v>
      </c>
      <c r="M2700" s="116">
        <v>1541.1</v>
      </c>
      <c r="N2700" s="116">
        <v>1543</v>
      </c>
      <c r="O2700" s="116">
        <v>1490.5</v>
      </c>
      <c r="P2700" s="116">
        <v>1490.5</v>
      </c>
      <c r="Q2700" s="116">
        <v>1541.1</v>
      </c>
      <c r="R2700">
        <v>10981126</v>
      </c>
    </row>
    <row r="2701" spans="1:18" x14ac:dyDescent="0.25">
      <c r="A2701" s="170">
        <v>45981</v>
      </c>
      <c r="B2701" s="116">
        <v>1555</v>
      </c>
      <c r="C2701" s="116">
        <v>1536.75</v>
      </c>
      <c r="D2701" s="116">
        <v>1533.4</v>
      </c>
      <c r="E2701" s="116">
        <v>1541</v>
      </c>
      <c r="F2701" s="116">
        <v>1536.75</v>
      </c>
      <c r="G2701">
        <v>932233</v>
      </c>
      <c r="H2701" s="116"/>
      <c r="I2701" s="116"/>
      <c r="L2701" s="170">
        <v>45981</v>
      </c>
      <c r="M2701" s="116">
        <v>1536.5</v>
      </c>
      <c r="N2701" s="116">
        <v>1555</v>
      </c>
      <c r="O2701" s="116">
        <v>1534</v>
      </c>
      <c r="P2701" s="116">
        <v>1555</v>
      </c>
      <c r="Q2701" s="116">
        <v>1536.5</v>
      </c>
      <c r="R2701">
        <v>7387584</v>
      </c>
    </row>
    <row r="2702" spans="1:18" x14ac:dyDescent="0.25">
      <c r="A2702" s="170">
        <v>45982</v>
      </c>
      <c r="B2702" s="116">
        <v>1551.5</v>
      </c>
      <c r="C2702" s="116">
        <v>1544.6</v>
      </c>
      <c r="D2702" s="116">
        <v>1527.5</v>
      </c>
      <c r="E2702" s="116">
        <v>1530</v>
      </c>
      <c r="F2702" s="116">
        <v>1544.6</v>
      </c>
      <c r="G2702">
        <v>699948</v>
      </c>
      <c r="H2702" s="116"/>
      <c r="I2702" s="116"/>
      <c r="L2702" s="170">
        <v>45982</v>
      </c>
      <c r="M2702" s="116">
        <v>1545</v>
      </c>
      <c r="N2702" s="116">
        <v>1551.5</v>
      </c>
      <c r="O2702" s="116">
        <v>1526.3</v>
      </c>
      <c r="P2702" s="116">
        <v>1531</v>
      </c>
      <c r="Q2702" s="116">
        <v>1545</v>
      </c>
      <c r="R2702">
        <v>9186302</v>
      </c>
    </row>
    <row r="2703" spans="1:18" x14ac:dyDescent="0.25">
      <c r="A2703" s="170">
        <v>45985</v>
      </c>
      <c r="B2703" s="116">
        <v>1584.95</v>
      </c>
      <c r="C2703" s="116">
        <v>1549.4</v>
      </c>
      <c r="D2703" s="116">
        <v>1541.55</v>
      </c>
      <c r="E2703" s="116">
        <v>1557.15</v>
      </c>
      <c r="F2703" s="116">
        <v>1549.4</v>
      </c>
      <c r="G2703">
        <v>414633</v>
      </c>
      <c r="H2703" s="116"/>
      <c r="I2703" s="116"/>
      <c r="L2703" s="170">
        <v>45985</v>
      </c>
      <c r="M2703" s="116">
        <v>1548</v>
      </c>
      <c r="N2703" s="116">
        <v>1585</v>
      </c>
      <c r="O2703" s="116">
        <v>1541</v>
      </c>
      <c r="P2703" s="116">
        <v>1563.6</v>
      </c>
      <c r="Q2703" s="116">
        <v>1548</v>
      </c>
      <c r="R2703">
        <v>19270381</v>
      </c>
    </row>
    <row r="2704" spans="1:18" x14ac:dyDescent="0.25">
      <c r="A2704" s="170">
        <v>45986</v>
      </c>
      <c r="B2704" s="116">
        <v>1549.45</v>
      </c>
      <c r="C2704" s="116">
        <v>1530</v>
      </c>
      <c r="D2704" s="116">
        <v>1526</v>
      </c>
      <c r="E2704" s="116">
        <v>1549</v>
      </c>
      <c r="F2704" s="116">
        <v>1530</v>
      </c>
      <c r="G2704">
        <v>266157</v>
      </c>
      <c r="H2704" s="116"/>
      <c r="I2704" s="116"/>
      <c r="L2704" s="170">
        <v>45986</v>
      </c>
      <c r="M2704" s="116">
        <v>1530.6</v>
      </c>
      <c r="N2704" s="116">
        <v>1550.6</v>
      </c>
      <c r="O2704" s="116">
        <v>1525.9</v>
      </c>
      <c r="P2704" s="116">
        <v>1549</v>
      </c>
      <c r="Q2704" s="116">
        <v>1530.6</v>
      </c>
      <c r="R2704">
        <v>8107952</v>
      </c>
    </row>
    <row r="2705" spans="1:18" x14ac:dyDescent="0.25">
      <c r="A2705" s="170">
        <v>45987</v>
      </c>
      <c r="B2705" s="116">
        <v>1559.95</v>
      </c>
      <c r="C2705" s="116">
        <v>1557.75</v>
      </c>
      <c r="D2705" s="116">
        <v>1534.45</v>
      </c>
      <c r="E2705" s="116">
        <v>1534.55</v>
      </c>
      <c r="F2705" s="116">
        <v>1557.75</v>
      </c>
      <c r="G2705">
        <v>190827</v>
      </c>
      <c r="H2705" s="116"/>
      <c r="I2705" s="116"/>
      <c r="L2705" s="170">
        <v>45987</v>
      </c>
      <c r="M2705" s="116">
        <v>1557.9</v>
      </c>
      <c r="N2705" s="116">
        <v>1560.3</v>
      </c>
      <c r="O2705" s="116">
        <v>1532.1</v>
      </c>
      <c r="P2705" s="116">
        <v>1532.1</v>
      </c>
      <c r="Q2705" s="116">
        <v>1557.9</v>
      </c>
      <c r="R2705">
        <v>7575038</v>
      </c>
    </row>
    <row r="2706" spans="1:18" x14ac:dyDescent="0.25">
      <c r="A2706" s="170">
        <v>45988</v>
      </c>
      <c r="B2706" s="116">
        <v>1574.4</v>
      </c>
      <c r="C2706" s="116">
        <v>1566.15</v>
      </c>
      <c r="D2706" s="116">
        <v>1552.4</v>
      </c>
      <c r="E2706" s="116">
        <v>1557.05</v>
      </c>
      <c r="F2706" s="116">
        <v>1566.15</v>
      </c>
      <c r="G2706">
        <v>866615</v>
      </c>
      <c r="H2706" s="116"/>
      <c r="I2706" s="116"/>
      <c r="L2706" s="170">
        <v>45988</v>
      </c>
      <c r="M2706" s="116">
        <v>1566.4</v>
      </c>
      <c r="N2706" s="116">
        <v>1574.3</v>
      </c>
      <c r="O2706" s="116">
        <v>1552.2</v>
      </c>
      <c r="P2706" s="116">
        <v>1564</v>
      </c>
      <c r="Q2706" s="116">
        <v>1566.4</v>
      </c>
      <c r="R2706">
        <v>7552252</v>
      </c>
    </row>
    <row r="2707" spans="1:18" x14ac:dyDescent="0.25">
      <c r="A2707" s="170">
        <v>45989</v>
      </c>
      <c r="B2707" s="116">
        <v>1569.1</v>
      </c>
      <c r="C2707" s="116">
        <v>1559.7</v>
      </c>
      <c r="D2707" s="116">
        <v>1556.95</v>
      </c>
      <c r="E2707" s="116">
        <v>1569.1</v>
      </c>
      <c r="F2707" s="116">
        <v>1559.7</v>
      </c>
      <c r="G2707">
        <v>220809</v>
      </c>
      <c r="H2707" s="116"/>
      <c r="I2707" s="116"/>
      <c r="L2707" s="170">
        <v>45989</v>
      </c>
      <c r="M2707" s="116">
        <v>1560.1</v>
      </c>
      <c r="N2707" s="116">
        <v>1568.4</v>
      </c>
      <c r="O2707" s="116">
        <v>1557</v>
      </c>
      <c r="P2707" s="116">
        <v>1565</v>
      </c>
      <c r="Q2707" s="116">
        <v>1560.1</v>
      </c>
      <c r="R2707">
        <v>4453221</v>
      </c>
    </row>
    <row r="2708" spans="1:18" x14ac:dyDescent="0.25">
      <c r="A2708" s="170">
        <v>45992</v>
      </c>
      <c r="B2708" s="116">
        <v>1573.7</v>
      </c>
      <c r="C2708" s="116">
        <v>1563.15</v>
      </c>
      <c r="D2708" s="116">
        <v>1557</v>
      </c>
      <c r="E2708" s="116">
        <v>1560.25</v>
      </c>
      <c r="F2708" s="116">
        <v>1563.15</v>
      </c>
      <c r="G2708">
        <v>217785</v>
      </c>
      <c r="H2708" s="116"/>
      <c r="I2708" s="116"/>
      <c r="L2708" s="170">
        <v>45992</v>
      </c>
      <c r="M2708" s="116">
        <v>1564</v>
      </c>
      <c r="N2708" s="116">
        <v>1574</v>
      </c>
      <c r="O2708" s="116">
        <v>1556</v>
      </c>
      <c r="P2708" s="116">
        <v>1562.5</v>
      </c>
      <c r="Q2708" s="116">
        <v>1564</v>
      </c>
      <c r="R2708">
        <v>5341800</v>
      </c>
    </row>
    <row r="2709" spans="1:18" x14ac:dyDescent="0.25">
      <c r="A2709" s="170">
        <v>45993</v>
      </c>
      <c r="B2709">
        <v>1579.55</v>
      </c>
      <c r="C2709">
        <v>1560.75</v>
      </c>
      <c r="D2709">
        <v>1556</v>
      </c>
      <c r="E2709">
        <v>1564.05</v>
      </c>
      <c r="F2709">
        <v>1560.75</v>
      </c>
      <c r="G2709">
        <v>267203</v>
      </c>
      <c r="H2709" s="116"/>
      <c r="I2709" s="116"/>
      <c r="L2709" s="170">
        <v>45993</v>
      </c>
      <c r="M2709" s="116">
        <v>1561</v>
      </c>
      <c r="N2709" s="116">
        <v>1579.9</v>
      </c>
      <c r="O2709" s="116">
        <v>1556.1</v>
      </c>
      <c r="P2709" s="116">
        <v>1567</v>
      </c>
      <c r="Q2709" s="116">
        <v>1561</v>
      </c>
      <c r="R2709">
        <v>6335969</v>
      </c>
    </row>
    <row r="2710" spans="1:18" x14ac:dyDescent="0.25">
      <c r="A2710" s="170">
        <v>45994</v>
      </c>
      <c r="B2710">
        <v>1585.6</v>
      </c>
      <c r="C2710">
        <v>1578.3</v>
      </c>
      <c r="D2710">
        <v>1551.1</v>
      </c>
      <c r="E2710">
        <v>1555</v>
      </c>
      <c r="F2710">
        <v>1578.3</v>
      </c>
      <c r="G2710">
        <v>462341</v>
      </c>
      <c r="H2710" s="116"/>
      <c r="I2710" s="116"/>
      <c r="L2710" s="170">
        <v>45994</v>
      </c>
      <c r="M2710" s="116">
        <v>1578.7</v>
      </c>
      <c r="N2710" s="116">
        <v>1586</v>
      </c>
      <c r="O2710" s="116">
        <v>1554.1</v>
      </c>
      <c r="P2710" s="116">
        <v>1555.1</v>
      </c>
      <c r="Q2710" s="116">
        <v>1578.7</v>
      </c>
      <c r="R2710">
        <v>12895312</v>
      </c>
    </row>
    <row r="2711" spans="1:18" x14ac:dyDescent="0.25">
      <c r="A2711" s="170">
        <v>45995</v>
      </c>
      <c r="B2711">
        <v>1599.75</v>
      </c>
      <c r="C2711">
        <v>1597.8</v>
      </c>
      <c r="D2711">
        <v>1560.75</v>
      </c>
      <c r="E2711">
        <v>1560.75</v>
      </c>
      <c r="F2711">
        <v>1597.8</v>
      </c>
      <c r="G2711">
        <v>1501246</v>
      </c>
      <c r="H2711" s="116"/>
      <c r="I2711" s="116"/>
      <c r="L2711" s="170">
        <v>45995</v>
      </c>
      <c r="M2711" s="116">
        <v>1597.6</v>
      </c>
      <c r="N2711" s="116">
        <v>1599</v>
      </c>
      <c r="O2711" s="116">
        <v>1568</v>
      </c>
      <c r="P2711" s="116">
        <v>1568</v>
      </c>
      <c r="Q2711" s="116">
        <v>1597.6</v>
      </c>
      <c r="R2711">
        <v>12609619</v>
      </c>
    </row>
    <row r="2712" spans="1:18" x14ac:dyDescent="0.25">
      <c r="A2712" s="170">
        <v>45996</v>
      </c>
      <c r="B2712">
        <v>1631.2</v>
      </c>
      <c r="C2712">
        <v>1615.95</v>
      </c>
      <c r="D2712">
        <v>1600.85</v>
      </c>
      <c r="E2712">
        <v>1607.35</v>
      </c>
      <c r="F2712">
        <v>1615.95</v>
      </c>
      <c r="G2712">
        <v>687186</v>
      </c>
      <c r="H2712" s="116"/>
      <c r="I2712" s="116"/>
      <c r="L2712" s="170">
        <v>45996</v>
      </c>
      <c r="M2712" s="116">
        <v>1616.2</v>
      </c>
      <c r="N2712" s="116">
        <v>1631.8</v>
      </c>
      <c r="O2712" s="116">
        <v>1600</v>
      </c>
      <c r="P2712" s="116">
        <v>1610</v>
      </c>
      <c r="Q2712" s="116">
        <v>1616.2</v>
      </c>
      <c r="R2712">
        <v>10344725</v>
      </c>
    </row>
    <row r="2713" spans="1:18" x14ac:dyDescent="0.25">
      <c r="A2713" s="170">
        <v>45999</v>
      </c>
      <c r="B2713">
        <v>1629.8</v>
      </c>
      <c r="C2713">
        <v>1610.05</v>
      </c>
      <c r="D2713">
        <v>1600.6</v>
      </c>
      <c r="E2713">
        <v>1615.95</v>
      </c>
      <c r="F2713">
        <v>1610.05</v>
      </c>
      <c r="G2713">
        <v>255146</v>
      </c>
      <c r="H2713" s="116"/>
      <c r="I2713" s="116"/>
      <c r="L2713" s="170">
        <v>45999</v>
      </c>
      <c r="M2713" s="116">
        <v>1610.8</v>
      </c>
      <c r="N2713" s="116">
        <v>1630</v>
      </c>
      <c r="O2713" s="116">
        <v>1600.2</v>
      </c>
      <c r="P2713" s="116">
        <v>1617.1</v>
      </c>
      <c r="Q2713" s="116">
        <v>1610.8</v>
      </c>
      <c r="R2713">
        <v>7550413</v>
      </c>
    </row>
    <row r="2714" spans="1:18" x14ac:dyDescent="0.25">
      <c r="A2714" s="170">
        <v>46000</v>
      </c>
      <c r="B2714">
        <v>1606.15</v>
      </c>
      <c r="C2714">
        <v>1599.35</v>
      </c>
      <c r="D2714">
        <v>1582.5</v>
      </c>
      <c r="E2714">
        <v>1600.05</v>
      </c>
      <c r="F2714">
        <v>1599.35</v>
      </c>
      <c r="G2714">
        <v>146401</v>
      </c>
      <c r="H2714" s="116"/>
      <c r="I2714" s="116"/>
      <c r="L2714" s="170">
        <v>46000</v>
      </c>
      <c r="M2714" s="116">
        <v>1599</v>
      </c>
      <c r="N2714" s="116">
        <v>1606.9</v>
      </c>
      <c r="O2714" s="116">
        <v>1582.4</v>
      </c>
      <c r="P2714" s="116">
        <v>1601.2</v>
      </c>
      <c r="Q2714" s="116">
        <v>1599</v>
      </c>
      <c r="R2714">
        <v>6957599</v>
      </c>
    </row>
    <row r="2715" spans="1:18" x14ac:dyDescent="0.25">
      <c r="A2715" s="170">
        <v>46001</v>
      </c>
      <c r="B2715">
        <v>1606.3</v>
      </c>
      <c r="C2715">
        <v>1584.65</v>
      </c>
      <c r="D2715">
        <v>1582.45</v>
      </c>
      <c r="E2715">
        <v>1600.55</v>
      </c>
      <c r="F2715">
        <v>1584.65</v>
      </c>
      <c r="G2715">
        <v>574014</v>
      </c>
      <c r="H2715" s="116"/>
      <c r="I2715" s="116"/>
      <c r="L2715" s="170">
        <v>46001</v>
      </c>
      <c r="M2715" s="116">
        <v>1584.8</v>
      </c>
      <c r="N2715" s="116">
        <v>1608</v>
      </c>
      <c r="O2715" s="116">
        <v>1582.8</v>
      </c>
      <c r="P2715" s="116">
        <v>1608</v>
      </c>
      <c r="Q2715" s="116">
        <v>1584.8</v>
      </c>
      <c r="R2715">
        <v>5116140</v>
      </c>
    </row>
    <row r="2716" spans="1:18" x14ac:dyDescent="0.25">
      <c r="A2716" s="170">
        <v>46002</v>
      </c>
      <c r="B2716">
        <v>1605.8</v>
      </c>
      <c r="C2716">
        <v>1597.8</v>
      </c>
      <c r="D2716">
        <v>1580.95</v>
      </c>
      <c r="E2716">
        <v>1598.8</v>
      </c>
      <c r="F2716">
        <v>1597.8</v>
      </c>
      <c r="G2716">
        <v>762589</v>
      </c>
      <c r="H2716" s="116"/>
      <c r="I2716" s="116"/>
      <c r="L2716" s="170">
        <v>46002</v>
      </c>
      <c r="M2716" s="116">
        <v>1598</v>
      </c>
      <c r="N2716" s="116">
        <v>1607.4</v>
      </c>
      <c r="O2716" s="116">
        <v>1580.5</v>
      </c>
      <c r="P2716" s="116">
        <v>1598</v>
      </c>
      <c r="Q2716" s="116">
        <v>1598</v>
      </c>
      <c r="R2716">
        <v>5159319</v>
      </c>
    </row>
    <row r="2717" spans="1:18" x14ac:dyDescent="0.25">
      <c r="A2717" s="170">
        <v>46003</v>
      </c>
      <c r="B2717">
        <v>1602.05</v>
      </c>
      <c r="C2717">
        <v>1598.75</v>
      </c>
      <c r="D2717">
        <v>1582.3</v>
      </c>
      <c r="E2717">
        <v>1602.05</v>
      </c>
      <c r="F2717">
        <v>1598.75</v>
      </c>
      <c r="G2717">
        <v>398050</v>
      </c>
      <c r="H2717" s="116"/>
      <c r="I2717" s="116"/>
      <c r="L2717" s="170">
        <v>46003</v>
      </c>
      <c r="M2717" s="116">
        <v>1598.2</v>
      </c>
      <c r="N2717" s="116">
        <v>1601.8</v>
      </c>
      <c r="O2717" s="116">
        <v>1582.6</v>
      </c>
      <c r="P2717" s="116">
        <v>1601.4</v>
      </c>
      <c r="Q2717" s="116">
        <v>1598.2</v>
      </c>
      <c r="R2717">
        <v>4633912</v>
      </c>
    </row>
    <row r="2718" spans="1:18" x14ac:dyDescent="0.25">
      <c r="A2718" s="170">
        <v>46006</v>
      </c>
      <c r="B2718">
        <v>1610.7</v>
      </c>
      <c r="C2718">
        <v>1607.05</v>
      </c>
      <c r="D2718">
        <v>1581</v>
      </c>
      <c r="E2718">
        <v>1581</v>
      </c>
      <c r="F2718">
        <v>1607.05</v>
      </c>
      <c r="G2718">
        <v>231199</v>
      </c>
      <c r="H2718" s="116"/>
      <c r="I2718" s="116"/>
      <c r="L2718" s="170">
        <v>46006</v>
      </c>
      <c r="M2718" s="116">
        <v>1606.8</v>
      </c>
      <c r="N2718" s="116">
        <v>1610.8</v>
      </c>
      <c r="O2718" s="116">
        <v>1585</v>
      </c>
      <c r="P2718" s="116">
        <v>1585</v>
      </c>
      <c r="Q2718" s="116">
        <v>1606.8</v>
      </c>
      <c r="R2718">
        <v>4190558</v>
      </c>
    </row>
    <row r="2719" spans="1:18" x14ac:dyDescent="0.25">
      <c r="A2719" s="170">
        <v>46007</v>
      </c>
      <c r="B2719">
        <v>1603.2</v>
      </c>
      <c r="C2719">
        <v>1592.35</v>
      </c>
      <c r="D2719">
        <v>1585.9</v>
      </c>
      <c r="E2719">
        <v>1598.05</v>
      </c>
      <c r="F2719">
        <v>1592.35</v>
      </c>
      <c r="G2719">
        <v>342763</v>
      </c>
      <c r="H2719" s="116"/>
      <c r="I2719" s="116"/>
      <c r="L2719" s="170">
        <v>46007</v>
      </c>
      <c r="M2719" s="116">
        <v>1592.9</v>
      </c>
      <c r="N2719" s="116">
        <v>1603</v>
      </c>
      <c r="O2719" s="116">
        <v>1585.6</v>
      </c>
      <c r="P2719" s="116">
        <v>1600</v>
      </c>
      <c r="Q2719" s="116">
        <v>1592.9</v>
      </c>
      <c r="R2719">
        <v>5499258</v>
      </c>
    </row>
    <row r="2720" spans="1:18" x14ac:dyDescent="0.25">
      <c r="A2720" s="170">
        <v>46008</v>
      </c>
      <c r="B2720">
        <v>1606.5</v>
      </c>
      <c r="C2720">
        <v>1602.1</v>
      </c>
      <c r="D2720">
        <v>1586.45</v>
      </c>
      <c r="E2720">
        <v>1590</v>
      </c>
      <c r="F2720">
        <v>1602.1</v>
      </c>
      <c r="G2720">
        <v>173930</v>
      </c>
      <c r="H2720" s="116"/>
      <c r="I2720" s="116"/>
      <c r="L2720" s="170">
        <v>46008</v>
      </c>
      <c r="M2720" s="116">
        <v>1602</v>
      </c>
      <c r="N2720" s="116">
        <v>1606.9</v>
      </c>
      <c r="O2720" s="116">
        <v>1586</v>
      </c>
      <c r="P2720" s="116">
        <v>1587.2</v>
      </c>
      <c r="Q2720" s="116">
        <v>1602</v>
      </c>
      <c r="R2720">
        <v>4817628</v>
      </c>
    </row>
    <row r="2721" spans="1:18" x14ac:dyDescent="0.25">
      <c r="A2721" s="170">
        <v>46009</v>
      </c>
      <c r="B2721">
        <v>1629</v>
      </c>
      <c r="C2721">
        <v>1626.35</v>
      </c>
      <c r="D2721">
        <v>1607</v>
      </c>
      <c r="E2721">
        <v>1610</v>
      </c>
      <c r="F2721">
        <v>1626.35</v>
      </c>
      <c r="G2721">
        <v>713643</v>
      </c>
      <c r="H2721" s="116"/>
      <c r="I2721" s="116"/>
      <c r="L2721" s="170">
        <v>46009</v>
      </c>
      <c r="M2721" s="116">
        <v>1626.8</v>
      </c>
      <c r="N2721" s="116">
        <v>1630</v>
      </c>
      <c r="O2721" s="116">
        <v>1606.7</v>
      </c>
      <c r="P2721" s="116">
        <v>1610.5</v>
      </c>
      <c r="Q2721" s="116">
        <v>1626.8</v>
      </c>
      <c r="R2721">
        <v>6577293</v>
      </c>
    </row>
    <row r="2722" spans="1:18" x14ac:dyDescent="0.25">
      <c r="A2722" s="170">
        <v>46010</v>
      </c>
      <c r="B2722">
        <v>1655</v>
      </c>
      <c r="C2722">
        <v>1639.6</v>
      </c>
      <c r="D2722">
        <v>1629.7</v>
      </c>
      <c r="E2722">
        <v>1645.05</v>
      </c>
      <c r="F2722">
        <v>1639.6</v>
      </c>
      <c r="G2722">
        <v>434492</v>
      </c>
      <c r="H2722" s="116"/>
      <c r="I2722" s="116"/>
      <c r="L2722" s="170">
        <v>46010</v>
      </c>
      <c r="M2722" s="116">
        <v>1638.7</v>
      </c>
      <c r="N2722" s="116">
        <v>1654.9</v>
      </c>
      <c r="O2722" s="116">
        <v>1629.8</v>
      </c>
      <c r="P2722" s="116">
        <v>1650</v>
      </c>
      <c r="Q2722" s="116">
        <v>1638.7</v>
      </c>
      <c r="R2722">
        <v>13149023</v>
      </c>
    </row>
    <row r="2723" spans="1:18" x14ac:dyDescent="0.25">
      <c r="A2723" s="170">
        <v>46013</v>
      </c>
      <c r="B2723">
        <v>1692.9</v>
      </c>
      <c r="C2723">
        <v>1689.7</v>
      </c>
      <c r="D2723">
        <v>1662.8</v>
      </c>
      <c r="E2723">
        <v>1669.95</v>
      </c>
      <c r="F2723">
        <v>1689.7</v>
      </c>
      <c r="G2723">
        <v>831315</v>
      </c>
      <c r="H2723" s="116"/>
      <c r="I2723" s="116"/>
      <c r="L2723" s="170">
        <v>46013</v>
      </c>
      <c r="M2723" s="116">
        <v>1689.6</v>
      </c>
      <c r="N2723" s="116">
        <v>1693.2</v>
      </c>
      <c r="O2723" s="116">
        <v>1664</v>
      </c>
      <c r="P2723" s="116">
        <v>1664</v>
      </c>
      <c r="Q2723" s="116">
        <v>1689.6</v>
      </c>
      <c r="R2723">
        <v>23098923</v>
      </c>
    </row>
    <row r="2724" spans="1:18" x14ac:dyDescent="0.25">
      <c r="A2724" s="170">
        <v>46014</v>
      </c>
      <c r="B2724">
        <v>1681.95</v>
      </c>
      <c r="C2724">
        <v>1668.1</v>
      </c>
      <c r="D2724">
        <v>1655.95</v>
      </c>
      <c r="E2724">
        <v>1681.95</v>
      </c>
      <c r="F2724">
        <v>1668.1</v>
      </c>
      <c r="G2724">
        <v>289480</v>
      </c>
      <c r="H2724" s="116"/>
      <c r="I2724" s="116"/>
      <c r="L2724" s="170">
        <v>46014</v>
      </c>
      <c r="M2724" s="116">
        <v>1668.3</v>
      </c>
      <c r="N2724" s="116">
        <v>1679</v>
      </c>
      <c r="O2724" s="116">
        <v>1656.4</v>
      </c>
      <c r="P2724" s="116">
        <v>1679</v>
      </c>
      <c r="Q2724" s="116">
        <v>1668.3</v>
      </c>
      <c r="R2724">
        <v>6593060</v>
      </c>
    </row>
    <row r="2725" spans="1:18" x14ac:dyDescent="0.25">
      <c r="A2725" s="170">
        <v>46015</v>
      </c>
      <c r="B2725">
        <v>1667.7</v>
      </c>
      <c r="C2725">
        <v>1662.4</v>
      </c>
      <c r="D2725">
        <v>1652.25</v>
      </c>
      <c r="E2725">
        <v>1660</v>
      </c>
      <c r="F2725">
        <v>1662.4</v>
      </c>
      <c r="G2725">
        <v>243609</v>
      </c>
      <c r="H2725" s="116"/>
      <c r="I2725" s="116"/>
      <c r="L2725" s="170">
        <v>46015</v>
      </c>
      <c r="M2725" s="116">
        <v>1663.4</v>
      </c>
      <c r="N2725" s="116">
        <v>1667.6</v>
      </c>
      <c r="O2725" s="116">
        <v>1652.5</v>
      </c>
      <c r="P2725" s="116">
        <v>1661</v>
      </c>
      <c r="Q2725" s="116">
        <v>1663.4</v>
      </c>
      <c r="R2725">
        <v>4271167</v>
      </c>
    </row>
    <row r="2726" spans="1:18" x14ac:dyDescent="0.25">
      <c r="A2726" s="170">
        <v>46017</v>
      </c>
      <c r="B2726">
        <v>1668.3</v>
      </c>
      <c r="C2726">
        <v>1655.55</v>
      </c>
      <c r="D2726">
        <v>1651.15</v>
      </c>
      <c r="E2726">
        <v>1658.3</v>
      </c>
      <c r="F2726">
        <v>1655.55</v>
      </c>
      <c r="G2726">
        <v>206425</v>
      </c>
      <c r="H2726" s="116"/>
      <c r="I2726" s="116"/>
      <c r="L2726" s="170">
        <v>46017</v>
      </c>
      <c r="M2726" s="116">
        <v>1656.1</v>
      </c>
      <c r="N2726" s="116">
        <v>1668.8</v>
      </c>
      <c r="O2726" s="116">
        <v>1651.7</v>
      </c>
      <c r="P2726" s="116">
        <v>1663.4</v>
      </c>
      <c r="Q2726" s="116">
        <v>1656.1</v>
      </c>
      <c r="R2726">
        <v>2006491</v>
      </c>
    </row>
    <row r="2727" spans="1:18" x14ac:dyDescent="0.25">
      <c r="A2727" s="170">
        <v>46020</v>
      </c>
      <c r="B2727">
        <v>1672</v>
      </c>
      <c r="C2727">
        <v>1645.5</v>
      </c>
      <c r="D2727">
        <v>1638</v>
      </c>
      <c r="E2727">
        <v>1655.55</v>
      </c>
      <c r="F2727">
        <v>1645.5</v>
      </c>
      <c r="G2727">
        <v>153008</v>
      </c>
      <c r="H2727" s="116"/>
      <c r="I2727" s="116"/>
      <c r="L2727" s="170">
        <v>46020</v>
      </c>
      <c r="M2727" s="116">
        <v>1644.7</v>
      </c>
      <c r="N2727" s="116">
        <v>1673.1</v>
      </c>
      <c r="O2727" s="116">
        <v>1637.1</v>
      </c>
      <c r="P2727" s="116">
        <v>1658</v>
      </c>
      <c r="Q2727" s="116">
        <v>1644.7</v>
      </c>
      <c r="R2727">
        <v>4062817</v>
      </c>
    </row>
    <row r="2728" spans="1:18" x14ac:dyDescent="0.25">
      <c r="A2728" s="170">
        <v>46021</v>
      </c>
      <c r="B2728">
        <v>1648</v>
      </c>
      <c r="C2728">
        <v>1624.4</v>
      </c>
      <c r="D2728">
        <v>1618.5</v>
      </c>
      <c r="E2728">
        <v>1640</v>
      </c>
      <c r="F2728">
        <v>1624.4</v>
      </c>
      <c r="G2728">
        <v>230266</v>
      </c>
      <c r="H2728" s="116"/>
      <c r="I2728" s="116"/>
      <c r="L2728" s="170">
        <v>46021</v>
      </c>
      <c r="M2728" s="116">
        <v>1621.6</v>
      </c>
      <c r="N2728" s="116">
        <v>1647.9</v>
      </c>
      <c r="O2728" s="116">
        <v>1616.8</v>
      </c>
      <c r="P2728" s="116">
        <v>1647</v>
      </c>
      <c r="Q2728" s="116">
        <v>1621.6</v>
      </c>
      <c r="R2728">
        <v>9395937</v>
      </c>
    </row>
    <row r="2729" spans="1:18" x14ac:dyDescent="0.25">
      <c r="A2729" s="170">
        <v>46022</v>
      </c>
      <c r="B2729">
        <v>1628.95</v>
      </c>
      <c r="C2729">
        <v>1616.45</v>
      </c>
      <c r="D2729">
        <v>1609.9</v>
      </c>
      <c r="E2729">
        <v>1623.95</v>
      </c>
      <c r="F2729">
        <v>1616.45</v>
      </c>
      <c r="G2729">
        <v>331554</v>
      </c>
      <c r="H2729" s="116"/>
      <c r="I2729" s="116"/>
      <c r="L2729" s="170">
        <v>46022</v>
      </c>
      <c r="M2729" s="116">
        <v>1615.4</v>
      </c>
      <c r="N2729" s="116">
        <v>1628.6</v>
      </c>
      <c r="O2729" s="116">
        <v>1609.2</v>
      </c>
      <c r="P2729" s="116">
        <v>1621</v>
      </c>
      <c r="Q2729" s="116">
        <v>1615.4</v>
      </c>
      <c r="R2729">
        <v>6538656</v>
      </c>
    </row>
    <row r="2730" spans="1:18" x14ac:dyDescent="0.25">
      <c r="A2730" s="170">
        <v>46023</v>
      </c>
      <c r="B2730">
        <v>1639.4</v>
      </c>
      <c r="C2730">
        <v>1629.5</v>
      </c>
      <c r="D2730">
        <v>1608.95</v>
      </c>
      <c r="E2730">
        <v>1608.95</v>
      </c>
      <c r="F2730">
        <v>1629.5</v>
      </c>
      <c r="G2730">
        <v>484748</v>
      </c>
      <c r="H2730" s="116"/>
      <c r="I2730" s="116"/>
      <c r="L2730" s="170">
        <v>46023</v>
      </c>
      <c r="M2730" s="116">
        <v>1629.8</v>
      </c>
      <c r="N2730" s="116">
        <v>1639.6</v>
      </c>
      <c r="O2730" s="116">
        <v>1614.1</v>
      </c>
      <c r="P2730" s="116">
        <v>1615.4</v>
      </c>
      <c r="Q2730" s="116">
        <v>1629.8</v>
      </c>
      <c r="R2730">
        <v>3658165</v>
      </c>
    </row>
    <row r="2731" spans="1:18" x14ac:dyDescent="0.25">
      <c r="A2731" s="170">
        <v>46024</v>
      </c>
      <c r="B2731">
        <v>1643.2</v>
      </c>
      <c r="C2731">
        <v>1640.65</v>
      </c>
      <c r="D2731">
        <v>1628</v>
      </c>
      <c r="E2731">
        <v>1633.05</v>
      </c>
      <c r="F2731">
        <v>1640.65</v>
      </c>
      <c r="G2731">
        <v>139635</v>
      </c>
      <c r="H2731" s="116"/>
      <c r="I2731" s="116"/>
      <c r="L2731" s="170">
        <v>46024</v>
      </c>
      <c r="M2731" s="116">
        <v>1640.4</v>
      </c>
      <c r="N2731" s="116">
        <v>1643.5</v>
      </c>
      <c r="O2731" s="116">
        <v>1627.5</v>
      </c>
      <c r="P2731" s="116">
        <v>1635.9</v>
      </c>
      <c r="Q2731" s="116">
        <v>1640.4</v>
      </c>
      <c r="R2731">
        <v>2524526</v>
      </c>
    </row>
    <row r="2732" spans="1:18" x14ac:dyDescent="0.25">
      <c r="A2732" s="170">
        <v>46027</v>
      </c>
      <c r="B2732">
        <v>1636.65</v>
      </c>
      <c r="C2732">
        <v>1606.4</v>
      </c>
      <c r="D2732">
        <v>1583.5</v>
      </c>
      <c r="E2732">
        <v>1632.05</v>
      </c>
      <c r="F2732">
        <v>1606.4</v>
      </c>
      <c r="G2732">
        <v>322979</v>
      </c>
      <c r="H2732" s="116"/>
      <c r="I2732" s="116"/>
      <c r="L2732" s="170">
        <v>46027</v>
      </c>
      <c r="M2732" s="116">
        <v>1606.4</v>
      </c>
      <c r="N2732" s="116">
        <v>1637</v>
      </c>
      <c r="O2732" s="116">
        <v>1583.1</v>
      </c>
      <c r="P2732" s="116">
        <v>1637</v>
      </c>
      <c r="Q2732" s="116">
        <v>1606.4</v>
      </c>
      <c r="R2732">
        <v>5917885</v>
      </c>
    </row>
    <row r="2733" spans="1:18" x14ac:dyDescent="0.25">
      <c r="A2733" s="170">
        <v>46028</v>
      </c>
      <c r="B2733">
        <v>1619.85</v>
      </c>
      <c r="C2733">
        <v>1611.15</v>
      </c>
      <c r="D2733">
        <v>1599</v>
      </c>
      <c r="E2733">
        <v>1601.5</v>
      </c>
      <c r="F2733">
        <v>1611.15</v>
      </c>
      <c r="G2733">
        <v>220594</v>
      </c>
      <c r="H2733" s="116"/>
      <c r="I2733" s="116"/>
      <c r="L2733" s="170">
        <v>46028</v>
      </c>
      <c r="M2733" s="116">
        <v>1612.2</v>
      </c>
      <c r="N2733" s="116">
        <v>1619.9</v>
      </c>
      <c r="O2733" s="116">
        <v>1599</v>
      </c>
      <c r="P2733" s="116">
        <v>1600.1</v>
      </c>
      <c r="Q2733" s="116">
        <v>1612.2</v>
      </c>
      <c r="R2733">
        <v>4466729</v>
      </c>
    </row>
    <row r="2734" spans="1:18" x14ac:dyDescent="0.25">
      <c r="A2734" s="170">
        <v>46029</v>
      </c>
      <c r="B2734">
        <v>1642</v>
      </c>
      <c r="C2734">
        <v>1638.9</v>
      </c>
      <c r="D2734">
        <v>1613.05</v>
      </c>
      <c r="E2734">
        <v>1613.05</v>
      </c>
      <c r="F2734">
        <v>1638.9</v>
      </c>
      <c r="G2734">
        <v>312847</v>
      </c>
      <c r="H2734" s="116"/>
      <c r="I2734" s="116"/>
      <c r="L2734" s="170">
        <v>46029</v>
      </c>
      <c r="M2734" s="116">
        <v>1639</v>
      </c>
      <c r="N2734" s="116">
        <v>1642</v>
      </c>
      <c r="O2734" s="116">
        <v>1615</v>
      </c>
      <c r="P2734" s="116">
        <v>1615</v>
      </c>
      <c r="Q2734" s="116">
        <v>1639</v>
      </c>
      <c r="R2734">
        <v>4508079</v>
      </c>
    </row>
    <row r="2735" spans="1:18" x14ac:dyDescent="0.25">
      <c r="A2735" s="170">
        <v>46030</v>
      </c>
      <c r="B2735">
        <v>1644.15</v>
      </c>
      <c r="C2735">
        <v>1613.15</v>
      </c>
      <c r="D2735">
        <v>1608.8</v>
      </c>
      <c r="E2735">
        <v>1636.1</v>
      </c>
      <c r="F2735">
        <v>1613.15</v>
      </c>
      <c r="G2735">
        <v>526375</v>
      </c>
      <c r="H2735" s="116"/>
      <c r="I2735" s="116"/>
      <c r="L2735" s="170">
        <v>46030</v>
      </c>
      <c r="M2735" s="116">
        <v>1613.3</v>
      </c>
      <c r="N2735" s="116">
        <v>1644.3</v>
      </c>
      <c r="O2735" s="116">
        <v>1608.6</v>
      </c>
      <c r="P2735" s="116">
        <v>1638.9</v>
      </c>
      <c r="Q2735" s="116">
        <v>1613.3</v>
      </c>
      <c r="R2735">
        <v>3942131</v>
      </c>
    </row>
    <row r="2736" spans="1:18" x14ac:dyDescent="0.25">
      <c r="A2736" s="170">
        <v>46031</v>
      </c>
      <c r="B2736">
        <v>1630.9</v>
      </c>
      <c r="C2736">
        <v>1614.75</v>
      </c>
      <c r="D2736">
        <v>1607.2</v>
      </c>
      <c r="E2736">
        <v>1607.2</v>
      </c>
      <c r="F2736">
        <v>1614.75</v>
      </c>
      <c r="G2736">
        <v>172509</v>
      </c>
      <c r="H2736" s="116"/>
      <c r="I2736" s="116"/>
      <c r="L2736" s="170">
        <v>46031</v>
      </c>
      <c r="M2736" s="116">
        <v>1614.1</v>
      </c>
      <c r="N2736" s="116">
        <v>1631.3</v>
      </c>
      <c r="O2736" s="116">
        <v>1607</v>
      </c>
      <c r="P2736" s="116">
        <v>1610</v>
      </c>
      <c r="Q2736" s="116">
        <v>1614.1</v>
      </c>
      <c r="R2736">
        <v>6816681</v>
      </c>
    </row>
    <row r="2737" spans="1:18" x14ac:dyDescent="0.25">
      <c r="A2737" s="170">
        <v>46034</v>
      </c>
      <c r="B2737">
        <v>1612.85</v>
      </c>
      <c r="C2737">
        <v>1595.95</v>
      </c>
      <c r="D2737">
        <v>1592.35</v>
      </c>
      <c r="E2737">
        <v>1603.15</v>
      </c>
      <c r="F2737">
        <v>1595.95</v>
      </c>
      <c r="G2737">
        <v>305622</v>
      </c>
      <c r="H2737" s="116"/>
      <c r="I2737" s="116"/>
      <c r="L2737" s="170">
        <v>46034</v>
      </c>
      <c r="M2737" s="116">
        <v>1595.9</v>
      </c>
      <c r="N2737" s="116">
        <v>1613.3</v>
      </c>
      <c r="O2737" s="116">
        <v>1592.6</v>
      </c>
      <c r="P2737" s="116">
        <v>1610.1</v>
      </c>
      <c r="Q2737" s="116">
        <v>1595.9</v>
      </c>
      <c r="R2737">
        <v>6985362</v>
      </c>
    </row>
    <row r="2738" spans="1:18" x14ac:dyDescent="0.25">
      <c r="A2738" s="170">
        <v>46035</v>
      </c>
      <c r="B2738">
        <v>1616</v>
      </c>
      <c r="C2738">
        <v>1597.95</v>
      </c>
      <c r="D2738">
        <v>1586.55</v>
      </c>
      <c r="E2738">
        <v>1606.2</v>
      </c>
      <c r="F2738">
        <v>1597.95</v>
      </c>
      <c r="G2738">
        <v>256066</v>
      </c>
      <c r="H2738" s="116"/>
      <c r="I2738" s="116"/>
      <c r="L2738" s="170">
        <v>46035</v>
      </c>
      <c r="M2738" s="116">
        <v>1599</v>
      </c>
      <c r="N2738" s="116">
        <v>1618</v>
      </c>
      <c r="O2738" s="116">
        <v>1586.4</v>
      </c>
      <c r="P2738" s="116">
        <v>1618</v>
      </c>
      <c r="Q2738" s="116">
        <v>1599</v>
      </c>
      <c r="R2738">
        <v>8080618</v>
      </c>
    </row>
    <row r="2739" spans="1:18" x14ac:dyDescent="0.25">
      <c r="A2739" s="170">
        <v>46036</v>
      </c>
      <c r="B2739">
        <v>1616.2</v>
      </c>
      <c r="C2739">
        <v>1599.05</v>
      </c>
      <c r="D2739">
        <v>1583.75</v>
      </c>
      <c r="E2739">
        <v>1589.95</v>
      </c>
      <c r="F2739">
        <v>1599.05</v>
      </c>
      <c r="G2739">
        <v>600427</v>
      </c>
      <c r="H2739" s="116"/>
      <c r="I2739" s="116"/>
      <c r="L2739" s="170">
        <v>46036</v>
      </c>
      <c r="M2739" s="116">
        <v>1599.8</v>
      </c>
      <c r="N2739" s="116">
        <v>1617</v>
      </c>
      <c r="O2739" s="116">
        <v>1583.1</v>
      </c>
      <c r="P2739" s="116">
        <v>1588</v>
      </c>
      <c r="Q2739" s="116">
        <v>1599.8</v>
      </c>
      <c r="R2739">
        <v>7557157</v>
      </c>
    </row>
    <row r="2740" spans="1:18" x14ac:dyDescent="0.25">
      <c r="A2740" s="170">
        <v>46038</v>
      </c>
      <c r="B2740">
        <v>1693</v>
      </c>
      <c r="C2740">
        <v>1689.4</v>
      </c>
      <c r="D2740">
        <v>1654.55</v>
      </c>
      <c r="E2740">
        <v>1670.3</v>
      </c>
      <c r="F2740">
        <v>1689.4</v>
      </c>
      <c r="G2740">
        <v>808316</v>
      </c>
      <c r="H2740" s="116"/>
      <c r="I2740" s="116"/>
      <c r="L2740" s="170">
        <v>46038</v>
      </c>
      <c r="M2740" s="116">
        <v>1689.8</v>
      </c>
      <c r="N2740" s="116">
        <v>1694</v>
      </c>
      <c r="O2740" s="116">
        <v>1653.4</v>
      </c>
      <c r="P2740" s="116">
        <v>1663.7</v>
      </c>
      <c r="Q2740" s="116">
        <v>1689.8</v>
      </c>
      <c r="R2740">
        <v>19335957</v>
      </c>
    </row>
    <row r="2741" spans="1:18" x14ac:dyDescent="0.25">
      <c r="A2741" s="170">
        <v>46041</v>
      </c>
      <c r="B2741">
        <v>1689.2</v>
      </c>
      <c r="C2741">
        <v>1680.35</v>
      </c>
      <c r="D2741">
        <v>1666.45</v>
      </c>
      <c r="E2741">
        <v>1689.2</v>
      </c>
      <c r="F2741">
        <v>1680.35</v>
      </c>
      <c r="G2741">
        <v>195927</v>
      </c>
      <c r="H2741" s="116"/>
      <c r="I2741" s="116"/>
      <c r="L2741" s="170">
        <v>46041</v>
      </c>
      <c r="M2741" s="116">
        <v>1681.2</v>
      </c>
      <c r="N2741" s="116">
        <v>1685</v>
      </c>
      <c r="O2741" s="116">
        <v>1666.5</v>
      </c>
      <c r="P2741" s="116">
        <v>1685</v>
      </c>
      <c r="Q2741" s="116">
        <v>1681.2</v>
      </c>
      <c r="R2741">
        <v>5104958</v>
      </c>
    </row>
    <row r="2742" spans="1:18" x14ac:dyDescent="0.25">
      <c r="A2742" s="170">
        <v>46042</v>
      </c>
      <c r="B2742">
        <v>1679.5</v>
      </c>
      <c r="C2742">
        <v>1657.7</v>
      </c>
      <c r="D2742">
        <v>1652.65</v>
      </c>
      <c r="E2742">
        <v>1674</v>
      </c>
      <c r="F2742">
        <v>1657.7</v>
      </c>
      <c r="G2742">
        <v>272328</v>
      </c>
      <c r="H2742" s="116"/>
      <c r="I2742" s="116"/>
      <c r="L2742" s="170">
        <v>46042</v>
      </c>
      <c r="M2742" s="116">
        <v>1658.9</v>
      </c>
      <c r="N2742" s="116">
        <v>1680.2</v>
      </c>
      <c r="O2742" s="116">
        <v>1652.9</v>
      </c>
      <c r="P2742" s="116">
        <v>1673</v>
      </c>
      <c r="Q2742" s="116">
        <v>1658.9</v>
      </c>
      <c r="R2742">
        <v>6406503</v>
      </c>
    </row>
    <row r="2743" spans="1:18" x14ac:dyDescent="0.25">
      <c r="A2743" s="170">
        <v>46043</v>
      </c>
      <c r="B2743">
        <v>1658.4</v>
      </c>
      <c r="C2743">
        <v>1654.6</v>
      </c>
      <c r="D2743">
        <v>1631</v>
      </c>
      <c r="E2743">
        <v>1644.95</v>
      </c>
      <c r="F2743">
        <v>1654.6</v>
      </c>
      <c r="G2743">
        <v>228866</v>
      </c>
      <c r="H2743" s="116"/>
      <c r="I2743" s="116"/>
      <c r="L2743" s="170">
        <v>46043</v>
      </c>
      <c r="M2743" s="116">
        <v>1654.4</v>
      </c>
      <c r="N2743" s="116">
        <v>1657</v>
      </c>
      <c r="O2743" s="116">
        <v>1631.2</v>
      </c>
      <c r="P2743" s="116">
        <v>1651</v>
      </c>
      <c r="Q2743" s="116">
        <v>1654.4</v>
      </c>
      <c r="R2743">
        <v>6224582</v>
      </c>
    </row>
    <row r="2744" spans="1:18" x14ac:dyDescent="0.25">
      <c r="A2744" s="170">
        <v>46044</v>
      </c>
      <c r="B2744">
        <v>1670.9</v>
      </c>
      <c r="C2744">
        <v>1663.35</v>
      </c>
      <c r="D2744">
        <v>1653.55</v>
      </c>
      <c r="E2744">
        <v>1666.15</v>
      </c>
      <c r="F2744">
        <v>1663.35</v>
      </c>
      <c r="G2744">
        <v>263908</v>
      </c>
      <c r="H2744" s="116"/>
      <c r="I2744" s="116"/>
      <c r="L2744" s="170">
        <v>46044</v>
      </c>
      <c r="M2744" s="116">
        <v>1663.5</v>
      </c>
      <c r="N2744" s="116">
        <v>1671.2</v>
      </c>
      <c r="O2744" s="116">
        <v>1653.8</v>
      </c>
      <c r="P2744" s="116">
        <v>1666</v>
      </c>
      <c r="Q2744" s="116">
        <v>1663.5</v>
      </c>
      <c r="R2744">
        <v>6228892</v>
      </c>
    </row>
    <row r="2745" spans="1:18" x14ac:dyDescent="0.25">
      <c r="A2745" s="170">
        <v>46045</v>
      </c>
      <c r="B2745">
        <v>1676.7</v>
      </c>
      <c r="C2745">
        <v>1670.6</v>
      </c>
      <c r="D2745">
        <v>1650.35</v>
      </c>
      <c r="E2745">
        <v>1650.35</v>
      </c>
      <c r="F2745">
        <v>1670.6</v>
      </c>
      <c r="G2745">
        <v>399514</v>
      </c>
      <c r="H2745" s="116"/>
      <c r="I2745" s="116"/>
      <c r="L2745" s="170">
        <v>46045</v>
      </c>
      <c r="M2745" s="116">
        <v>1670.8</v>
      </c>
      <c r="N2745" s="116">
        <v>1675.7</v>
      </c>
      <c r="O2745" s="116">
        <v>1662.2</v>
      </c>
      <c r="P2745" s="116">
        <v>1667.2</v>
      </c>
      <c r="Q2745" s="116">
        <v>1670.8</v>
      </c>
      <c r="R2745">
        <v>5869137</v>
      </c>
    </row>
    <row r="2746" spans="1:18" x14ac:dyDescent="0.25">
      <c r="A2746" s="170">
        <v>46049</v>
      </c>
      <c r="B2746">
        <v>1689</v>
      </c>
      <c r="C2746">
        <v>1683.4</v>
      </c>
      <c r="D2746">
        <v>1661.25</v>
      </c>
      <c r="E2746">
        <v>1683</v>
      </c>
      <c r="F2746">
        <v>1683.4</v>
      </c>
      <c r="G2746">
        <v>492611</v>
      </c>
      <c r="H2746" s="116"/>
      <c r="I2746" s="116"/>
      <c r="L2746" s="170">
        <v>46049</v>
      </c>
      <c r="M2746" s="116">
        <v>1682.7</v>
      </c>
      <c r="N2746" s="116">
        <v>1689.4</v>
      </c>
      <c r="O2746" s="116">
        <v>1661.1</v>
      </c>
      <c r="P2746" s="116">
        <v>1685.8</v>
      </c>
      <c r="Q2746" s="116">
        <v>1682.7</v>
      </c>
      <c r="R2746">
        <v>10673087</v>
      </c>
    </row>
    <row r="2747" spans="1:18" x14ac:dyDescent="0.25">
      <c r="A2747" s="170">
        <v>46050</v>
      </c>
      <c r="B2747">
        <v>1688.65</v>
      </c>
      <c r="C2747">
        <v>1666.4</v>
      </c>
      <c r="D2747">
        <v>1650</v>
      </c>
      <c r="E2747">
        <v>1675.25</v>
      </c>
      <c r="F2747">
        <v>1666.4</v>
      </c>
      <c r="G2747">
        <v>374328</v>
      </c>
      <c r="H2747" s="116"/>
      <c r="I2747" s="116"/>
      <c r="L2747" s="170">
        <v>46050</v>
      </c>
      <c r="M2747" s="116">
        <v>1666.5</v>
      </c>
      <c r="N2747" s="116">
        <v>1688.8</v>
      </c>
      <c r="O2747" s="116">
        <v>1650</v>
      </c>
      <c r="P2747" s="116">
        <v>1680</v>
      </c>
      <c r="Q2747" s="116">
        <v>1666.5</v>
      </c>
      <c r="R2747">
        <v>8588664</v>
      </c>
    </row>
    <row r="2748" spans="1:18" x14ac:dyDescent="0.25">
      <c r="A2748" s="170">
        <v>46051</v>
      </c>
      <c r="B2748">
        <v>1664.7</v>
      </c>
      <c r="C2748">
        <v>1657.7</v>
      </c>
      <c r="D2748">
        <v>1641.6</v>
      </c>
      <c r="E2748">
        <v>1659</v>
      </c>
      <c r="F2748">
        <v>1657.7</v>
      </c>
      <c r="G2748">
        <v>545656</v>
      </c>
      <c r="H2748" s="116"/>
      <c r="I2748" s="116"/>
      <c r="L2748" s="170">
        <v>46051</v>
      </c>
      <c r="M2748" s="116">
        <v>1659.5</v>
      </c>
      <c r="N2748" s="116">
        <v>1666.5</v>
      </c>
      <c r="O2748" s="116">
        <v>1642.1</v>
      </c>
      <c r="P2748" s="116">
        <v>1658</v>
      </c>
      <c r="Q2748" s="116">
        <v>1659.5</v>
      </c>
      <c r="R2748">
        <v>4749582</v>
      </c>
    </row>
    <row r="2749" spans="1:18" x14ac:dyDescent="0.25">
      <c r="A2749" s="170">
        <v>46052</v>
      </c>
      <c r="B2749">
        <v>1652.85</v>
      </c>
      <c r="C2749">
        <v>1640.45</v>
      </c>
      <c r="D2749">
        <v>1617.35</v>
      </c>
      <c r="E2749">
        <v>1650.05</v>
      </c>
      <c r="F2749">
        <v>1640.45</v>
      </c>
      <c r="G2749">
        <v>244007</v>
      </c>
      <c r="H2749" s="116"/>
      <c r="I2749" s="116"/>
      <c r="L2749" s="170">
        <v>46052</v>
      </c>
      <c r="M2749" s="116">
        <v>1641</v>
      </c>
      <c r="N2749" s="116">
        <v>1655</v>
      </c>
      <c r="O2749" s="116">
        <v>1618.1</v>
      </c>
      <c r="P2749" s="116">
        <v>1655</v>
      </c>
      <c r="Q2749" s="116">
        <v>1641</v>
      </c>
      <c r="R2749">
        <v>9207926</v>
      </c>
    </row>
    <row r="2750" spans="1:18" x14ac:dyDescent="0.25">
      <c r="A2750" s="170">
        <v>46054</v>
      </c>
      <c r="B2750">
        <v>1677.3</v>
      </c>
      <c r="C2750">
        <v>1659.65</v>
      </c>
      <c r="D2750">
        <v>1604.3</v>
      </c>
      <c r="E2750">
        <v>1639.15</v>
      </c>
      <c r="F2750">
        <v>1659.65</v>
      </c>
      <c r="G2750">
        <v>488819</v>
      </c>
      <c r="H2750" s="116"/>
      <c r="I2750" s="116"/>
      <c r="L2750" s="170">
        <v>46054</v>
      </c>
      <c r="M2750" s="116">
        <v>1654.5</v>
      </c>
      <c r="N2750" s="116">
        <v>1677.3</v>
      </c>
      <c r="O2750" s="116">
        <v>1604</v>
      </c>
      <c r="P2750" s="116">
        <v>1630</v>
      </c>
      <c r="Q2750" s="116">
        <v>1654.5</v>
      </c>
      <c r="R2750">
        <v>6241188</v>
      </c>
    </row>
    <row r="2751" spans="1:18" x14ac:dyDescent="0.25">
      <c r="A2751" s="170">
        <v>46055</v>
      </c>
      <c r="B2751">
        <v>1660.75</v>
      </c>
      <c r="C2751">
        <v>1629</v>
      </c>
      <c r="D2751">
        <v>1618</v>
      </c>
      <c r="E2751">
        <v>1660</v>
      </c>
      <c r="F2751">
        <v>1629</v>
      </c>
      <c r="G2751">
        <v>310284</v>
      </c>
      <c r="H2751" s="116"/>
      <c r="I2751" s="116"/>
      <c r="L2751" s="170">
        <v>46055</v>
      </c>
      <c r="M2751" s="116">
        <v>1629.4</v>
      </c>
      <c r="N2751" s="116">
        <v>1662</v>
      </c>
      <c r="O2751" s="116">
        <v>1618</v>
      </c>
      <c r="P2751" s="116">
        <v>1662</v>
      </c>
      <c r="Q2751" s="116">
        <v>1629.4</v>
      </c>
      <c r="R2751">
        <v>6784887</v>
      </c>
    </row>
    <row r="2752" spans="1:18" x14ac:dyDescent="0.25">
      <c r="A2752" s="170">
        <v>46056</v>
      </c>
      <c r="B2752">
        <v>1727.85</v>
      </c>
      <c r="C2752">
        <v>1654.95</v>
      </c>
      <c r="D2752">
        <v>1653</v>
      </c>
      <c r="E2752">
        <v>1703</v>
      </c>
      <c r="F2752">
        <v>1654.95</v>
      </c>
      <c r="G2752">
        <v>336120</v>
      </c>
      <c r="H2752" s="116"/>
      <c r="I2752" s="116"/>
      <c r="L2752" s="170">
        <v>46056</v>
      </c>
      <c r="M2752" s="116">
        <v>1656</v>
      </c>
      <c r="N2752" s="116">
        <v>1728</v>
      </c>
      <c r="O2752" s="116">
        <v>1653</v>
      </c>
      <c r="P2752" s="116">
        <v>1727.2</v>
      </c>
      <c r="Q2752" s="116">
        <v>1656</v>
      </c>
      <c r="R2752">
        <v>8805868</v>
      </c>
    </row>
    <row r="2753" spans="1:18" x14ac:dyDescent="0.25">
      <c r="A2753" s="170">
        <v>46057</v>
      </c>
      <c r="B2753">
        <v>1584</v>
      </c>
      <c r="C2753">
        <v>1535.9</v>
      </c>
      <c r="D2753">
        <v>1510.1</v>
      </c>
      <c r="E2753">
        <v>1580.35</v>
      </c>
      <c r="F2753">
        <v>1535.9</v>
      </c>
      <c r="G2753">
        <v>1355424</v>
      </c>
      <c r="H2753" s="116"/>
      <c r="I2753" s="116"/>
      <c r="L2753" s="170">
        <v>46057</v>
      </c>
      <c r="M2753" s="116">
        <v>1535.8</v>
      </c>
      <c r="N2753" s="116">
        <v>1584.9</v>
      </c>
      <c r="O2753" s="116">
        <v>1510.1</v>
      </c>
      <c r="P2753" s="116">
        <v>1574</v>
      </c>
      <c r="Q2753" s="116">
        <v>1535.8</v>
      </c>
      <c r="R2753">
        <v>28828622</v>
      </c>
    </row>
    <row r="2754" spans="1:18" x14ac:dyDescent="0.25">
      <c r="A2754" s="170">
        <v>46058</v>
      </c>
      <c r="B2754">
        <v>1551</v>
      </c>
      <c r="C2754">
        <v>1519.8</v>
      </c>
      <c r="D2754">
        <v>1515.75</v>
      </c>
      <c r="E2754">
        <v>1530</v>
      </c>
      <c r="F2754">
        <v>1519.8</v>
      </c>
      <c r="G2754">
        <v>642619</v>
      </c>
      <c r="H2754" s="116"/>
      <c r="I2754" s="116"/>
      <c r="L2754" s="170">
        <v>46058</v>
      </c>
      <c r="M2754" s="116">
        <v>1520.2</v>
      </c>
      <c r="N2754" s="116">
        <v>1551</v>
      </c>
      <c r="O2754" s="116">
        <v>1515.7</v>
      </c>
      <c r="P2754" s="116">
        <v>1534</v>
      </c>
      <c r="Q2754" s="116">
        <v>1520.2</v>
      </c>
      <c r="R2754">
        <v>10628127</v>
      </c>
    </row>
    <row r="2755" spans="1:18" x14ac:dyDescent="0.25">
      <c r="A2755" s="170">
        <v>46059</v>
      </c>
      <c r="B2755">
        <v>1523.35</v>
      </c>
      <c r="C2755">
        <v>1506.9</v>
      </c>
      <c r="D2755">
        <v>1480.15</v>
      </c>
      <c r="E2755">
        <v>1518.2</v>
      </c>
      <c r="F2755">
        <v>1506.9</v>
      </c>
      <c r="G2755">
        <v>368330</v>
      </c>
      <c r="H2755" s="116"/>
      <c r="I2755" s="116"/>
      <c r="L2755" s="170">
        <v>46059</v>
      </c>
      <c r="M2755" s="116">
        <v>1507.1</v>
      </c>
      <c r="N2755" s="116">
        <v>1525</v>
      </c>
      <c r="O2755" s="116">
        <v>1480</v>
      </c>
      <c r="P2755" s="116">
        <v>1522.1</v>
      </c>
      <c r="Q2755" s="116">
        <v>1507.1</v>
      </c>
      <c r="R2755">
        <v>13900866</v>
      </c>
    </row>
    <row r="2756" spans="1:18" x14ac:dyDescent="0.25">
      <c r="A2756" s="170">
        <v>46062</v>
      </c>
      <c r="B2756">
        <v>1527.8</v>
      </c>
      <c r="C2756">
        <v>1497.05</v>
      </c>
      <c r="D2756">
        <v>1493</v>
      </c>
      <c r="E2756">
        <v>1515.4</v>
      </c>
      <c r="F2756">
        <v>1497.05</v>
      </c>
      <c r="G2756">
        <v>347778</v>
      </c>
      <c r="H2756" s="116"/>
      <c r="I2756" s="116"/>
      <c r="L2756" s="170">
        <v>46062</v>
      </c>
      <c r="M2756" s="116">
        <v>1497.2</v>
      </c>
      <c r="N2756" s="116">
        <v>1528</v>
      </c>
      <c r="O2756" s="116">
        <v>1493</v>
      </c>
      <c r="P2756" s="116">
        <v>1522.1</v>
      </c>
      <c r="Q2756" s="116">
        <v>1497.2</v>
      </c>
      <c r="R2756">
        <v>8294615</v>
      </c>
    </row>
    <row r="2757" spans="1:18" x14ac:dyDescent="0.25">
      <c r="A2757" s="170">
        <v>46063</v>
      </c>
      <c r="B2757">
        <v>1516.05</v>
      </c>
      <c r="C2757">
        <v>1498.7</v>
      </c>
      <c r="D2757">
        <v>1491.05</v>
      </c>
      <c r="E2757">
        <v>1497.05</v>
      </c>
      <c r="F2757">
        <v>1498.7</v>
      </c>
      <c r="G2757">
        <v>222457</v>
      </c>
      <c r="H2757" s="116"/>
      <c r="I2757" s="116"/>
      <c r="L2757" s="170">
        <v>46063</v>
      </c>
      <c r="M2757" s="116">
        <v>1497.8</v>
      </c>
      <c r="N2757" s="116">
        <v>1515.9</v>
      </c>
      <c r="O2757" s="116">
        <v>1491</v>
      </c>
      <c r="P2757" s="116">
        <v>1500</v>
      </c>
      <c r="Q2757" s="116">
        <v>1497.8</v>
      </c>
      <c r="R2757">
        <v>8657000</v>
      </c>
    </row>
    <row r="2758" spans="1:18" x14ac:dyDescent="0.25">
      <c r="A2758" s="170">
        <v>46064</v>
      </c>
      <c r="B2758">
        <v>1505.9</v>
      </c>
      <c r="C2758">
        <v>1472.4</v>
      </c>
      <c r="D2758">
        <v>1469</v>
      </c>
      <c r="E2758">
        <v>1498.4</v>
      </c>
      <c r="F2758">
        <v>1472.4</v>
      </c>
      <c r="G2758">
        <v>368572</v>
      </c>
      <c r="H2758" s="116"/>
      <c r="I2758" s="116"/>
      <c r="L2758" s="170">
        <v>46064</v>
      </c>
      <c r="M2758" s="116">
        <v>1471.9</v>
      </c>
      <c r="N2758" s="116">
        <v>1505.9</v>
      </c>
      <c r="O2758" s="116">
        <v>1469</v>
      </c>
      <c r="P2758" s="116">
        <v>1501.2</v>
      </c>
      <c r="Q2758" s="116">
        <v>1471.9</v>
      </c>
      <c r="R2758">
        <v>7934411</v>
      </c>
    </row>
    <row r="2759" spans="1:18" x14ac:dyDescent="0.25">
      <c r="A2759" s="170">
        <v>46065</v>
      </c>
      <c r="B2759">
        <v>1434.95</v>
      </c>
      <c r="C2759">
        <v>1387.2</v>
      </c>
      <c r="D2759">
        <v>1381</v>
      </c>
      <c r="E2759">
        <v>1433.95</v>
      </c>
      <c r="F2759">
        <v>1387.2</v>
      </c>
      <c r="G2759">
        <v>1366397</v>
      </c>
      <c r="H2759" s="116"/>
      <c r="I2759" s="116"/>
      <c r="L2759" s="170">
        <v>46065</v>
      </c>
      <c r="M2759" s="116">
        <v>1386</v>
      </c>
      <c r="N2759" s="116">
        <v>1435.7</v>
      </c>
      <c r="O2759" s="116">
        <v>1380.5</v>
      </c>
      <c r="P2759" s="116">
        <v>1428.9</v>
      </c>
      <c r="Q2759" s="116">
        <v>1386</v>
      </c>
      <c r="R2759">
        <v>26048896</v>
      </c>
    </row>
    <row r="2760" spans="1:18" x14ac:dyDescent="0.25">
      <c r="A2760" s="170">
        <v>46066</v>
      </c>
      <c r="B2760">
        <v>1377</v>
      </c>
      <c r="C2760">
        <v>1369.5</v>
      </c>
      <c r="D2760">
        <v>1281.55</v>
      </c>
      <c r="E2760">
        <v>1298</v>
      </c>
      <c r="F2760">
        <v>1369.5</v>
      </c>
      <c r="G2760">
        <v>2817503</v>
      </c>
      <c r="H2760" s="116"/>
      <c r="I2760" s="116"/>
      <c r="L2760" s="170">
        <v>46066</v>
      </c>
      <c r="M2760" s="116">
        <v>1369.1</v>
      </c>
      <c r="N2760" s="116">
        <v>1377.3</v>
      </c>
      <c r="O2760" s="116">
        <v>1281.5</v>
      </c>
      <c r="P2760" s="116">
        <v>1293.9000000000001</v>
      </c>
      <c r="Q2760" s="116">
        <v>1369.1</v>
      </c>
      <c r="R2760">
        <v>45785709</v>
      </c>
    </row>
    <row r="2761" spans="1:18" x14ac:dyDescent="0.25">
      <c r="A2761" s="170">
        <v>46069</v>
      </c>
      <c r="B2761">
        <v>1384.85</v>
      </c>
      <c r="C2761">
        <v>1366.25</v>
      </c>
      <c r="D2761">
        <v>1339</v>
      </c>
      <c r="E2761">
        <v>1384.85</v>
      </c>
      <c r="F2761">
        <v>1366.25</v>
      </c>
      <c r="G2761">
        <v>834292</v>
      </c>
      <c r="H2761" s="116"/>
      <c r="I2761" s="116"/>
      <c r="L2761" s="170">
        <v>46069</v>
      </c>
      <c r="M2761" s="116">
        <v>1365.6</v>
      </c>
      <c r="N2761" s="116">
        <v>1376</v>
      </c>
      <c r="O2761" s="116">
        <v>1338.3</v>
      </c>
      <c r="P2761" s="116">
        <v>1373.7</v>
      </c>
      <c r="Q2761" s="116">
        <v>1365.6</v>
      </c>
      <c r="R2761">
        <v>14621891</v>
      </c>
    </row>
    <row r="2762" spans="1:18" x14ac:dyDescent="0.25">
      <c r="A2762" s="170">
        <v>46070</v>
      </c>
      <c r="B2762">
        <v>1430.95</v>
      </c>
      <c r="C2762">
        <v>1391.2</v>
      </c>
      <c r="D2762">
        <v>1366.7</v>
      </c>
      <c r="E2762">
        <v>1370</v>
      </c>
      <c r="F2762">
        <v>1391.2</v>
      </c>
      <c r="G2762">
        <v>1811853</v>
      </c>
      <c r="H2762" s="116"/>
      <c r="I2762" s="116"/>
      <c r="L2762" s="170">
        <v>46070</v>
      </c>
      <c r="M2762" s="116">
        <v>1391.2</v>
      </c>
      <c r="N2762" s="116">
        <v>1431</v>
      </c>
      <c r="O2762" s="116">
        <v>1367</v>
      </c>
      <c r="P2762" s="116">
        <v>1370</v>
      </c>
      <c r="Q2762" s="116">
        <v>1391.2</v>
      </c>
      <c r="R2762">
        <v>25347684</v>
      </c>
    </row>
    <row r="2763" spans="1:18" x14ac:dyDescent="0.25">
      <c r="A2763" s="170">
        <v>46071</v>
      </c>
      <c r="B2763">
        <v>1400.55</v>
      </c>
      <c r="C2763">
        <v>1373.55</v>
      </c>
      <c r="D2763">
        <v>1345.2</v>
      </c>
      <c r="E2763">
        <v>1397.55</v>
      </c>
      <c r="F2763">
        <v>1373.55</v>
      </c>
      <c r="G2763">
        <v>1093343</v>
      </c>
      <c r="H2763" s="116"/>
      <c r="I2763" s="116"/>
      <c r="L2763" s="170">
        <v>46071</v>
      </c>
      <c r="M2763" s="116">
        <v>1373.7</v>
      </c>
      <c r="N2763" s="116">
        <v>1401</v>
      </c>
      <c r="O2763" s="116">
        <v>1345.3</v>
      </c>
      <c r="P2763" s="116">
        <v>1390.9</v>
      </c>
      <c r="Q2763" s="116">
        <v>1373.7</v>
      </c>
      <c r="R2763">
        <v>20241373</v>
      </c>
    </row>
    <row r="2764" spans="1:18" x14ac:dyDescent="0.25">
      <c r="A2764" s="170">
        <v>46072</v>
      </c>
      <c r="B2764">
        <v>1401.85</v>
      </c>
      <c r="C2764">
        <v>1369.6</v>
      </c>
      <c r="D2764">
        <v>1363.9</v>
      </c>
      <c r="E2764">
        <v>1384.7</v>
      </c>
      <c r="F2764">
        <v>1369.6</v>
      </c>
      <c r="G2764">
        <v>670346</v>
      </c>
      <c r="H2764" s="116"/>
      <c r="I2764" s="116"/>
      <c r="L2764" s="170">
        <v>46072</v>
      </c>
      <c r="M2764" s="116">
        <v>1370.5</v>
      </c>
      <c r="N2764" s="116">
        <v>1402</v>
      </c>
      <c r="O2764" s="116">
        <v>1363.2</v>
      </c>
      <c r="P2764" s="116">
        <v>1385</v>
      </c>
      <c r="Q2764" s="116">
        <v>1370.5</v>
      </c>
      <c r="R2764">
        <v>14574228</v>
      </c>
    </row>
    <row r="2765" spans="1:18" x14ac:dyDescent="0.25">
      <c r="A2765" s="170">
        <v>46073</v>
      </c>
      <c r="B2765">
        <v>1365.75</v>
      </c>
      <c r="C2765">
        <v>1352.75</v>
      </c>
      <c r="D2765">
        <v>1338.85</v>
      </c>
      <c r="E2765">
        <v>1355.05</v>
      </c>
      <c r="F2765">
        <v>1352.75</v>
      </c>
      <c r="G2765">
        <v>596719</v>
      </c>
      <c r="H2765" s="116"/>
      <c r="I2765" s="116"/>
      <c r="L2765" s="170">
        <v>46073</v>
      </c>
      <c r="M2765" s="116">
        <v>1353.2</v>
      </c>
      <c r="N2765" s="116">
        <v>1365</v>
      </c>
      <c r="O2765" s="116">
        <v>1338.2</v>
      </c>
      <c r="P2765" s="116">
        <v>1359.2</v>
      </c>
      <c r="Q2765" s="116">
        <v>1353.2</v>
      </c>
      <c r="R2765">
        <v>12633552</v>
      </c>
    </row>
    <row r="2766" spans="1:18" x14ac:dyDescent="0.25">
      <c r="A2766" s="170">
        <v>46076</v>
      </c>
      <c r="B2766">
        <v>1354</v>
      </c>
      <c r="C2766">
        <v>1328.45</v>
      </c>
      <c r="D2766">
        <v>1318.55</v>
      </c>
      <c r="E2766">
        <v>1354</v>
      </c>
      <c r="F2766">
        <v>1328.45</v>
      </c>
      <c r="G2766">
        <v>535284</v>
      </c>
      <c r="H2766" s="116"/>
      <c r="I2766" s="116"/>
      <c r="L2766" s="170">
        <v>46076</v>
      </c>
      <c r="M2766" s="116">
        <v>1327.5</v>
      </c>
      <c r="N2766" s="116">
        <v>1352</v>
      </c>
      <c r="O2766" s="116">
        <v>1318</v>
      </c>
      <c r="P2766" s="116">
        <v>1352</v>
      </c>
      <c r="Q2766" s="116">
        <v>1327.5</v>
      </c>
      <c r="R2766">
        <v>12887826</v>
      </c>
    </row>
    <row r="2767" spans="1:18" x14ac:dyDescent="0.25">
      <c r="A2767" s="170">
        <v>46077</v>
      </c>
      <c r="B2767">
        <v>1304.95</v>
      </c>
      <c r="C2767">
        <v>1276.55</v>
      </c>
      <c r="D2767">
        <v>1265</v>
      </c>
      <c r="E2767">
        <v>1304.95</v>
      </c>
      <c r="F2767">
        <v>1276.55</v>
      </c>
      <c r="G2767">
        <v>1622178</v>
      </c>
      <c r="H2767" s="116"/>
      <c r="I2767" s="116"/>
      <c r="L2767" s="170">
        <v>46077</v>
      </c>
      <c r="M2767" s="116">
        <v>1275.5</v>
      </c>
      <c r="N2767" s="116">
        <v>1303.5999999999999</v>
      </c>
      <c r="O2767" s="116">
        <v>1264.0999999999999</v>
      </c>
      <c r="P2767" s="116">
        <v>1301</v>
      </c>
      <c r="Q2767" s="116">
        <v>1275.5</v>
      </c>
      <c r="R2767">
        <v>27839061</v>
      </c>
    </row>
    <row r="2768" spans="1:18" x14ac:dyDescent="0.25">
      <c r="A2768" s="170">
        <v>46078</v>
      </c>
      <c r="B2768">
        <v>1323.45</v>
      </c>
      <c r="C2768">
        <v>1290.3499999999999</v>
      </c>
      <c r="D2768">
        <v>1285</v>
      </c>
      <c r="E2768">
        <v>1285</v>
      </c>
      <c r="F2768">
        <v>1290.3499999999999</v>
      </c>
      <c r="G2768">
        <v>1098396</v>
      </c>
      <c r="H2768" s="116"/>
      <c r="I2768" s="116"/>
      <c r="L2768" s="170">
        <v>46078</v>
      </c>
      <c r="M2768" s="116">
        <v>1290.0999999999999</v>
      </c>
      <c r="N2768" s="116">
        <v>1323.6</v>
      </c>
      <c r="O2768" s="116">
        <v>1286.2</v>
      </c>
      <c r="P2768" s="116">
        <v>1286.2</v>
      </c>
      <c r="Q2768" s="116">
        <v>1290.0999999999999</v>
      </c>
      <c r="R2768">
        <v>16669618</v>
      </c>
    </row>
    <row r="2769" spans="1:18" x14ac:dyDescent="0.25">
      <c r="A2769" s="170">
        <v>46079</v>
      </c>
      <c r="B2769">
        <v>1314.3</v>
      </c>
      <c r="C2769">
        <v>1289.3499999999999</v>
      </c>
      <c r="D2769">
        <v>1286.2</v>
      </c>
      <c r="E2769">
        <v>1304</v>
      </c>
      <c r="F2769">
        <v>1289.3499999999999</v>
      </c>
      <c r="G2769">
        <v>569573</v>
      </c>
      <c r="H2769" s="116"/>
      <c r="I2769" s="116"/>
      <c r="L2769" s="170">
        <v>46079</v>
      </c>
      <c r="M2769" s="116">
        <v>1289.0999999999999</v>
      </c>
      <c r="N2769" s="116">
        <v>1314</v>
      </c>
      <c r="O2769" s="116">
        <v>1286.3</v>
      </c>
      <c r="P2769" s="116">
        <v>1305.5</v>
      </c>
      <c r="Q2769" s="116">
        <v>1289.0999999999999</v>
      </c>
      <c r="R2769">
        <v>11493914</v>
      </c>
    </row>
    <row r="2770" spans="1:18" x14ac:dyDescent="0.25">
      <c r="A2770" s="170">
        <v>46080</v>
      </c>
      <c r="B2770">
        <v>1335</v>
      </c>
      <c r="C2770">
        <v>1299.95</v>
      </c>
      <c r="D2770">
        <v>1296</v>
      </c>
      <c r="E2770">
        <v>1319.4</v>
      </c>
      <c r="F2770">
        <v>1299.95</v>
      </c>
      <c r="G2770">
        <v>708313</v>
      </c>
      <c r="H2770" s="116"/>
      <c r="I2770" s="116"/>
      <c r="L2770" s="170">
        <v>46080</v>
      </c>
      <c r="M2770" s="116">
        <v>1300.0999999999999</v>
      </c>
      <c r="N2770" s="116">
        <v>1335</v>
      </c>
      <c r="O2770" s="116">
        <v>1294.2</v>
      </c>
      <c r="P2770" s="116">
        <v>1326.3</v>
      </c>
      <c r="Q2770" s="116">
        <v>1300.0999999999999</v>
      </c>
      <c r="R2770">
        <v>23141724</v>
      </c>
    </row>
    <row r="2771" spans="1:18" x14ac:dyDescent="0.25">
      <c r="A2771" s="170">
        <v>46083</v>
      </c>
      <c r="B2771">
        <v>1298.8499999999999</v>
      </c>
      <c r="C2771">
        <v>1288.1500000000001</v>
      </c>
      <c r="D2771">
        <v>1273</v>
      </c>
      <c r="E2771">
        <v>1276.5</v>
      </c>
      <c r="F2771">
        <v>1288.1500000000001</v>
      </c>
      <c r="G2771">
        <v>374931</v>
      </c>
      <c r="H2771" s="116"/>
      <c r="I2771" s="116"/>
      <c r="L2771" s="170">
        <v>46083</v>
      </c>
      <c r="M2771" s="116">
        <v>1288.9000000000001</v>
      </c>
      <c r="N2771" s="116">
        <v>1298.8</v>
      </c>
      <c r="O2771" s="116">
        <v>1273</v>
      </c>
      <c r="P2771" s="116">
        <v>1291</v>
      </c>
      <c r="Q2771" s="116">
        <v>1288.9000000000001</v>
      </c>
      <c r="R2771">
        <v>9700361</v>
      </c>
    </row>
    <row r="2772" spans="1:18" x14ac:dyDescent="0.25">
      <c r="A2772" s="170">
        <v>46085</v>
      </c>
      <c r="B2772">
        <v>1316.85</v>
      </c>
      <c r="C2772">
        <v>1307.5</v>
      </c>
      <c r="D2772">
        <v>1285.1500000000001</v>
      </c>
      <c r="E2772">
        <v>1285.1500000000001</v>
      </c>
      <c r="F2772">
        <v>1307.5</v>
      </c>
      <c r="G2772">
        <v>474704</v>
      </c>
      <c r="H2772" s="116"/>
      <c r="I2772" s="116"/>
      <c r="L2772" s="170">
        <v>46085</v>
      </c>
      <c r="M2772" s="116">
        <v>1307.4000000000001</v>
      </c>
      <c r="N2772" s="116">
        <v>1317</v>
      </c>
      <c r="O2772" s="116">
        <v>1292</v>
      </c>
      <c r="P2772" s="116">
        <v>1292</v>
      </c>
      <c r="Q2772" s="116">
        <v>1307.4000000000001</v>
      </c>
      <c r="R2772">
        <v>15154950</v>
      </c>
    </row>
    <row r="2773" spans="1:18" x14ac:dyDescent="0.25">
      <c r="A2773" s="170">
        <v>46086</v>
      </c>
      <c r="B2773">
        <v>1319.35</v>
      </c>
      <c r="C2773">
        <v>1304.9000000000001</v>
      </c>
      <c r="D2773">
        <v>1290.3</v>
      </c>
      <c r="E2773">
        <v>1315.95</v>
      </c>
      <c r="F2773">
        <v>1304.9000000000001</v>
      </c>
      <c r="G2773">
        <v>366996</v>
      </c>
      <c r="H2773" s="116"/>
      <c r="I2773" s="116"/>
      <c r="L2773" s="170">
        <v>46086</v>
      </c>
      <c r="M2773" s="116">
        <v>1305.8</v>
      </c>
      <c r="N2773" s="116">
        <v>1320</v>
      </c>
      <c r="O2773" s="116">
        <v>1290.0999999999999</v>
      </c>
      <c r="P2773" s="116">
        <v>1320</v>
      </c>
      <c r="Q2773" s="116">
        <v>1305.8</v>
      </c>
      <c r="R2773">
        <v>10362147</v>
      </c>
    </row>
    <row r="2774" spans="1:18" x14ac:dyDescent="0.25">
      <c r="A2774" s="170">
        <v>46087</v>
      </c>
      <c r="B2774">
        <v>1327.15</v>
      </c>
      <c r="C2774">
        <v>1308.25</v>
      </c>
      <c r="D2774">
        <v>1304</v>
      </c>
      <c r="E2774">
        <v>1304.8499999999999</v>
      </c>
      <c r="F2774">
        <v>1308.25</v>
      </c>
      <c r="G2774">
        <v>222654</v>
      </c>
      <c r="H2774" s="116"/>
      <c r="I2774" s="116"/>
      <c r="L2774" s="170">
        <v>46087</v>
      </c>
      <c r="M2774" s="116">
        <v>1308.4000000000001</v>
      </c>
      <c r="N2774" s="116">
        <v>1327.2</v>
      </c>
      <c r="O2774" s="116">
        <v>1303</v>
      </c>
      <c r="P2774" s="116">
        <v>1303</v>
      </c>
      <c r="Q2774" s="116">
        <v>1308.4000000000001</v>
      </c>
      <c r="R2774">
        <v>8724291</v>
      </c>
    </row>
    <row r="2775" spans="1:18" x14ac:dyDescent="0.25">
      <c r="A2775" s="170">
        <v>46090</v>
      </c>
      <c r="B2775">
        <v>1317.25</v>
      </c>
      <c r="C2775">
        <v>1314.35</v>
      </c>
      <c r="D2775">
        <v>1282.5</v>
      </c>
      <c r="E2775">
        <v>1294.55</v>
      </c>
      <c r="F2775">
        <v>1314.35</v>
      </c>
      <c r="G2775">
        <v>226288</v>
      </c>
      <c r="H2775" s="116"/>
      <c r="I2775" s="116"/>
      <c r="L2775" s="170">
        <v>46090</v>
      </c>
      <c r="M2775" s="116">
        <v>1315</v>
      </c>
      <c r="N2775" s="116">
        <v>1318</v>
      </c>
      <c r="O2775" s="116">
        <v>1282.5</v>
      </c>
      <c r="P2775" s="116">
        <v>1290</v>
      </c>
      <c r="Q2775" s="116">
        <v>1315</v>
      </c>
      <c r="R2775">
        <v>10068514</v>
      </c>
    </row>
    <row r="2776" spans="1:18" x14ac:dyDescent="0.25">
      <c r="A2776" s="170">
        <v>46091</v>
      </c>
      <c r="B2776">
        <v>1321.75</v>
      </c>
      <c r="C2776">
        <v>1295.55</v>
      </c>
      <c r="D2776">
        <v>1284.3</v>
      </c>
      <c r="E2776">
        <v>1319</v>
      </c>
      <c r="F2776">
        <v>1295.55</v>
      </c>
      <c r="G2776">
        <v>218689</v>
      </c>
      <c r="H2776" s="116"/>
      <c r="I2776" s="116"/>
      <c r="L2776" s="170">
        <v>46091</v>
      </c>
      <c r="M2776" s="116">
        <v>1295.5999999999999</v>
      </c>
      <c r="N2776" s="116">
        <v>1321</v>
      </c>
      <c r="O2776" s="116">
        <v>1284.0999999999999</v>
      </c>
      <c r="P2776" s="116">
        <v>1320</v>
      </c>
      <c r="Q2776" s="116">
        <v>1295.5999999999999</v>
      </c>
      <c r="R2776">
        <v>9600171</v>
      </c>
    </row>
    <row r="2777" spans="1:18" x14ac:dyDescent="0.25">
      <c r="A2777" s="170">
        <v>46092</v>
      </c>
      <c r="B2777">
        <v>1299</v>
      </c>
      <c r="C2777">
        <v>1276.3499999999999</v>
      </c>
      <c r="D2777">
        <v>1272</v>
      </c>
      <c r="E2777">
        <v>1294</v>
      </c>
      <c r="F2777">
        <v>1276.3499999999999</v>
      </c>
      <c r="G2777">
        <v>587976</v>
      </c>
      <c r="H2777" s="116"/>
      <c r="I2777" s="116"/>
      <c r="L2777" s="170">
        <v>46092</v>
      </c>
      <c r="M2777" s="116">
        <v>1276.3</v>
      </c>
      <c r="N2777" s="116">
        <v>1299.5</v>
      </c>
      <c r="O2777" s="116">
        <v>1271.3</v>
      </c>
      <c r="P2777" s="116">
        <v>1288</v>
      </c>
      <c r="Q2777" s="116">
        <v>1276.3</v>
      </c>
      <c r="R2777">
        <v>7868891</v>
      </c>
    </row>
    <row r="2778" spans="1:18" x14ac:dyDescent="0.25">
      <c r="A2778" s="170">
        <v>46093</v>
      </c>
      <c r="B2778">
        <v>1278.5999999999999</v>
      </c>
      <c r="C2778">
        <v>1265.8499999999999</v>
      </c>
      <c r="D2778">
        <v>1257.8</v>
      </c>
      <c r="E2778">
        <v>1273.95</v>
      </c>
      <c r="F2778">
        <v>1265.8499999999999</v>
      </c>
      <c r="G2778">
        <v>678263</v>
      </c>
      <c r="H2778" s="116"/>
      <c r="I2778" s="116"/>
      <c r="L2778" s="170">
        <v>46093</v>
      </c>
      <c r="M2778" s="116">
        <v>1265.8</v>
      </c>
      <c r="N2778" s="116">
        <v>1278.5999999999999</v>
      </c>
      <c r="O2778" s="116">
        <v>1258</v>
      </c>
      <c r="P2778" s="116">
        <v>1272.5</v>
      </c>
      <c r="Q2778" s="116">
        <v>1265.8</v>
      </c>
      <c r="R2778">
        <v>7599940</v>
      </c>
    </row>
    <row r="2779" spans="1:18" x14ac:dyDescent="0.25">
      <c r="A2779" s="170">
        <v>46094</v>
      </c>
      <c r="B2779">
        <v>1269.5999999999999</v>
      </c>
      <c r="C2779">
        <v>1248.5</v>
      </c>
      <c r="D2779">
        <v>1243.0999999999999</v>
      </c>
      <c r="E2779">
        <v>1253</v>
      </c>
      <c r="F2779">
        <v>1248.5</v>
      </c>
      <c r="G2779">
        <v>362194</v>
      </c>
      <c r="H2779" s="116"/>
      <c r="I2779" s="116"/>
      <c r="L2779" s="170">
        <v>46094</v>
      </c>
      <c r="M2779" s="116">
        <v>1248.3</v>
      </c>
      <c r="N2779" s="116">
        <v>1269.5999999999999</v>
      </c>
      <c r="O2779" s="116">
        <v>1242.5999999999999</v>
      </c>
      <c r="P2779" s="116">
        <v>1251</v>
      </c>
      <c r="Q2779" s="116">
        <v>1248.3</v>
      </c>
      <c r="R2779">
        <v>7366098</v>
      </c>
    </row>
    <row r="2780" spans="1:18" x14ac:dyDescent="0.25">
      <c r="A2780" s="170">
        <v>46097</v>
      </c>
      <c r="B2780">
        <v>1253.6500000000001</v>
      </c>
      <c r="C2780">
        <v>1249.5999999999999</v>
      </c>
      <c r="D2780">
        <v>1225</v>
      </c>
      <c r="E2780">
        <v>1244.75</v>
      </c>
      <c r="F2780">
        <v>1249.5999999999999</v>
      </c>
      <c r="G2780">
        <v>426450</v>
      </c>
      <c r="H2780" s="116"/>
      <c r="I2780" s="116"/>
      <c r="L2780" s="170">
        <v>46097</v>
      </c>
      <c r="M2780" s="116">
        <v>1249.8</v>
      </c>
      <c r="N2780" s="116">
        <v>1254.3</v>
      </c>
      <c r="O2780" s="116">
        <v>1224.2</v>
      </c>
      <c r="P2780" s="116">
        <v>1240.2</v>
      </c>
      <c r="Q2780" s="116">
        <v>1249.8</v>
      </c>
      <c r="R2780">
        <v>12314450</v>
      </c>
    </row>
    <row r="2781" spans="1:18" x14ac:dyDescent="0.25">
      <c r="A2781" s="170">
        <v>46098</v>
      </c>
      <c r="B2781">
        <v>1249.5</v>
      </c>
      <c r="C2781">
        <v>1232.5</v>
      </c>
      <c r="D2781">
        <v>1215.1500000000001</v>
      </c>
      <c r="E2781">
        <v>1249.5</v>
      </c>
      <c r="F2781">
        <v>1232.5</v>
      </c>
      <c r="G2781">
        <v>340022</v>
      </c>
      <c r="H2781" s="116"/>
      <c r="I2781" s="116"/>
      <c r="L2781" s="170">
        <v>46098</v>
      </c>
      <c r="M2781" s="116">
        <v>1232.9000000000001</v>
      </c>
      <c r="N2781" s="116">
        <v>1245</v>
      </c>
      <c r="O2781" s="116">
        <v>1215.0999999999999</v>
      </c>
      <c r="P2781" s="116">
        <v>1245</v>
      </c>
      <c r="Q2781" s="116">
        <v>1232.9000000000001</v>
      </c>
      <c r="R2781">
        <v>11223276</v>
      </c>
    </row>
    <row r="2782" spans="1:18" x14ac:dyDescent="0.25">
      <c r="A2782" s="170">
        <v>46099</v>
      </c>
      <c r="B2782">
        <v>1290.5999999999999</v>
      </c>
      <c r="C2782">
        <v>1267.45</v>
      </c>
      <c r="D2782">
        <v>1236.1500000000001</v>
      </c>
      <c r="E2782">
        <v>1239.7</v>
      </c>
      <c r="F2782">
        <v>1267.45</v>
      </c>
      <c r="G2782">
        <v>448968</v>
      </c>
      <c r="H2782" s="116"/>
      <c r="I2782" s="116"/>
      <c r="L2782" s="170">
        <v>46099</v>
      </c>
      <c r="M2782" s="116">
        <v>1267.0999999999999</v>
      </c>
      <c r="N2782" s="116">
        <v>1290.8</v>
      </c>
      <c r="O2782" s="116">
        <v>1234.9000000000001</v>
      </c>
      <c r="P2782" s="116">
        <v>1238</v>
      </c>
      <c r="Q2782" s="116">
        <v>1267.0999999999999</v>
      </c>
      <c r="R2782">
        <v>12365381</v>
      </c>
    </row>
    <row r="2783" spans="1:18" x14ac:dyDescent="0.25">
      <c r="A2783" s="170">
        <v>46100</v>
      </c>
      <c r="B2783">
        <v>1255</v>
      </c>
      <c r="C2783">
        <v>1220.6500000000001</v>
      </c>
      <c r="D2783">
        <v>1215.25</v>
      </c>
      <c r="E2783">
        <v>1240.8</v>
      </c>
      <c r="F2783">
        <v>1220.6500000000001</v>
      </c>
      <c r="G2783">
        <v>762931</v>
      </c>
      <c r="H2783" s="116"/>
      <c r="I2783" s="116"/>
      <c r="L2783" s="170">
        <v>46100</v>
      </c>
      <c r="M2783" s="116">
        <v>1220.8</v>
      </c>
      <c r="N2783" s="116">
        <v>1255</v>
      </c>
      <c r="O2783" s="116">
        <v>1215.0999999999999</v>
      </c>
      <c r="P2783" s="116">
        <v>1244.2</v>
      </c>
      <c r="Q2783" s="116">
        <v>1220.8</v>
      </c>
      <c r="R2783">
        <v>9156461</v>
      </c>
    </row>
    <row r="2784" spans="1:18" x14ac:dyDescent="0.25">
      <c r="A2784" s="170">
        <v>46101</v>
      </c>
      <c r="B2784">
        <v>1264</v>
      </c>
      <c r="C2784">
        <v>1254.5999999999999</v>
      </c>
      <c r="D2784">
        <v>1229.3</v>
      </c>
      <c r="E2784">
        <v>1240.8</v>
      </c>
      <c r="F2784">
        <v>1254.5999999999999</v>
      </c>
      <c r="G2784">
        <v>324038</v>
      </c>
      <c r="H2784" s="116"/>
      <c r="I2784" s="116"/>
      <c r="L2784" s="170">
        <v>46101</v>
      </c>
      <c r="M2784" s="116">
        <v>1255.9000000000001</v>
      </c>
      <c r="N2784" s="116">
        <v>1264.8</v>
      </c>
      <c r="O2784" s="116">
        <v>1229.2</v>
      </c>
      <c r="P2784" s="116">
        <v>1242</v>
      </c>
      <c r="Q2784" s="116">
        <v>1255.9000000000001</v>
      </c>
      <c r="R2784">
        <v>27299975</v>
      </c>
    </row>
    <row r="2785" spans="1:18" x14ac:dyDescent="0.25">
      <c r="A2785" s="170">
        <v>46104</v>
      </c>
      <c r="B2785">
        <v>1261</v>
      </c>
      <c r="C2785">
        <v>1258.0999999999999</v>
      </c>
      <c r="D2785">
        <v>1227.55</v>
      </c>
      <c r="E2785">
        <v>1249.5999999999999</v>
      </c>
      <c r="F2785">
        <v>1258.0999999999999</v>
      </c>
      <c r="G2785">
        <v>532794</v>
      </c>
      <c r="H2785" s="116"/>
      <c r="I2785" s="116"/>
      <c r="L2785" s="170">
        <v>46104</v>
      </c>
      <c r="M2785" s="116">
        <v>1256.8</v>
      </c>
      <c r="N2785" s="116">
        <v>1261.0999999999999</v>
      </c>
      <c r="O2785" s="116">
        <v>1227.4000000000001</v>
      </c>
      <c r="P2785" s="116">
        <v>1238.2</v>
      </c>
      <c r="Q2785" s="116">
        <v>1256.8</v>
      </c>
      <c r="R2785">
        <v>12420293</v>
      </c>
    </row>
    <row r="2786" spans="1:18" x14ac:dyDescent="0.25">
      <c r="A2786" s="170">
        <v>46105</v>
      </c>
      <c r="B2786">
        <v>1296.7</v>
      </c>
      <c r="C2786">
        <v>1278.2</v>
      </c>
      <c r="D2786">
        <v>1250.6500000000001</v>
      </c>
      <c r="E2786">
        <v>1269.95</v>
      </c>
      <c r="F2786">
        <v>1278.2</v>
      </c>
      <c r="G2786">
        <v>654550</v>
      </c>
      <c r="H2786" s="116"/>
      <c r="I2786" s="116"/>
      <c r="L2786" s="170">
        <v>46105</v>
      </c>
      <c r="M2786" s="116">
        <v>1278.3</v>
      </c>
      <c r="N2786" s="116">
        <v>1297</v>
      </c>
      <c r="O2786" s="116">
        <v>1251</v>
      </c>
      <c r="P2786" s="116">
        <v>1269</v>
      </c>
      <c r="Q2786" s="116">
        <v>1278.3</v>
      </c>
      <c r="R2786">
        <v>13613495</v>
      </c>
    </row>
    <row r="2787" spans="1:18" x14ac:dyDescent="0.25">
      <c r="A2787" s="170">
        <v>46106</v>
      </c>
      <c r="B2787">
        <v>1290.4000000000001</v>
      </c>
      <c r="C2787">
        <v>1279.3499999999999</v>
      </c>
      <c r="D2787">
        <v>1258.3</v>
      </c>
      <c r="E2787">
        <v>1277.8499999999999</v>
      </c>
      <c r="F2787">
        <v>1279.3499999999999</v>
      </c>
      <c r="G2787">
        <v>1045824</v>
      </c>
      <c r="H2787" s="116"/>
      <c r="I2787" s="116"/>
      <c r="L2787" s="170">
        <v>46106</v>
      </c>
      <c r="M2787" s="116">
        <v>1279.0999999999999</v>
      </c>
      <c r="N2787" s="116">
        <v>1290.5999999999999</v>
      </c>
      <c r="O2787" s="116">
        <v>1257.0999999999999</v>
      </c>
      <c r="P2787" s="116">
        <v>1270</v>
      </c>
      <c r="Q2787" s="116">
        <v>1279.0999999999999</v>
      </c>
      <c r="R2787">
        <v>10824030</v>
      </c>
    </row>
    <row r="2788" spans="1:18" x14ac:dyDescent="0.25">
      <c r="A2788" s="170">
        <v>46108</v>
      </c>
      <c r="B2788">
        <v>1295</v>
      </c>
      <c r="C2788">
        <v>1270</v>
      </c>
      <c r="D2788">
        <v>1263.7</v>
      </c>
      <c r="E2788">
        <v>1278</v>
      </c>
      <c r="F2788">
        <v>1270</v>
      </c>
      <c r="G2788">
        <v>572992</v>
      </c>
      <c r="H2788" s="116"/>
      <c r="I2788" s="116"/>
      <c r="L2788" s="170">
        <v>46108</v>
      </c>
      <c r="M2788" s="116">
        <v>1269.7</v>
      </c>
      <c r="N2788" s="116">
        <v>1294.8</v>
      </c>
      <c r="O2788" s="116">
        <v>1263.2</v>
      </c>
      <c r="P2788" s="116">
        <v>1285.2</v>
      </c>
      <c r="Q2788" s="116">
        <v>1269.7</v>
      </c>
      <c r="R2788">
        <v>13092541</v>
      </c>
    </row>
    <row r="2789" spans="1:18" x14ac:dyDescent="0.25">
      <c r="A2789" s="170">
        <v>46111</v>
      </c>
      <c r="B2789">
        <v>1265</v>
      </c>
      <c r="C2789">
        <v>1251.2</v>
      </c>
      <c r="D2789">
        <v>1242.8</v>
      </c>
      <c r="E2789">
        <v>1245.3</v>
      </c>
      <c r="F2789">
        <v>1251.2</v>
      </c>
      <c r="G2789">
        <v>645516</v>
      </c>
      <c r="H2789" s="116"/>
      <c r="I2789" s="116"/>
      <c r="L2789" s="170">
        <v>46111</v>
      </c>
      <c r="M2789" s="116">
        <v>1250.5999999999999</v>
      </c>
      <c r="N2789" s="116">
        <v>1265.5</v>
      </c>
      <c r="O2789" s="116">
        <v>1243</v>
      </c>
      <c r="P2789" s="116">
        <v>1250</v>
      </c>
      <c r="Q2789" s="116">
        <v>1250.5999999999999</v>
      </c>
      <c r="R2789">
        <v>14108486</v>
      </c>
    </row>
    <row r="2790" spans="1:18" x14ac:dyDescent="0.25">
      <c r="A2790" s="170">
        <v>46113</v>
      </c>
      <c r="B2790">
        <v>1303.2</v>
      </c>
      <c r="C2790">
        <v>1276.25</v>
      </c>
      <c r="D2790">
        <v>1269.7</v>
      </c>
      <c r="E2790">
        <v>1284</v>
      </c>
      <c r="F2790">
        <v>1276.25</v>
      </c>
      <c r="G2790">
        <v>433015</v>
      </c>
      <c r="H2790" s="116"/>
      <c r="I2790" s="116"/>
      <c r="L2790" s="170">
        <v>46113</v>
      </c>
      <c r="M2790" s="116">
        <v>1275.7</v>
      </c>
      <c r="N2790" s="116">
        <v>1303</v>
      </c>
      <c r="O2790" s="116">
        <v>1269.5</v>
      </c>
      <c r="P2790" s="116">
        <v>1290</v>
      </c>
      <c r="Q2790" s="116">
        <v>1275.7</v>
      </c>
      <c r="R2790">
        <v>8137156</v>
      </c>
    </row>
    <row r="2791" spans="1:18" x14ac:dyDescent="0.25">
      <c r="A2791" s="170">
        <v>46114</v>
      </c>
      <c r="B2791">
        <v>1305</v>
      </c>
      <c r="C2791">
        <v>1300.45</v>
      </c>
      <c r="D2791">
        <v>1260</v>
      </c>
      <c r="E2791">
        <v>1260</v>
      </c>
      <c r="F2791">
        <v>1300.45</v>
      </c>
      <c r="G2791">
        <v>917797</v>
      </c>
      <c r="H2791" s="116"/>
      <c r="I2791" s="116"/>
      <c r="L2791" s="170">
        <v>46114</v>
      </c>
      <c r="M2791" s="116">
        <v>1300.8</v>
      </c>
      <c r="N2791" s="116">
        <v>1305.4000000000001</v>
      </c>
      <c r="O2791" s="116">
        <v>1259.8</v>
      </c>
      <c r="P2791" s="116">
        <v>1260</v>
      </c>
      <c r="Q2791" s="116">
        <v>1300.8</v>
      </c>
      <c r="R2791">
        <v>12873492</v>
      </c>
    </row>
    <row r="2792" spans="1:18" x14ac:dyDescent="0.25">
      <c r="A2792" s="170">
        <v>46118</v>
      </c>
      <c r="B2792">
        <v>1320.1</v>
      </c>
      <c r="C2792">
        <v>1306.1500000000001</v>
      </c>
      <c r="D2792">
        <v>1299.3499999999999</v>
      </c>
      <c r="E2792">
        <v>1307.3</v>
      </c>
      <c r="F2792">
        <v>1306.1500000000001</v>
      </c>
      <c r="G2792">
        <v>212075</v>
      </c>
      <c r="H2792" s="116"/>
      <c r="I2792" s="116"/>
      <c r="L2792" s="170">
        <v>46118</v>
      </c>
      <c r="M2792" s="116">
        <v>1306.2</v>
      </c>
      <c r="N2792" s="116">
        <v>1320</v>
      </c>
      <c r="O2792" s="116">
        <v>1299</v>
      </c>
      <c r="P2792" s="116">
        <v>1301.4000000000001</v>
      </c>
      <c r="Q2792" s="116">
        <v>1306.2</v>
      </c>
      <c r="R2792">
        <v>10208682</v>
      </c>
    </row>
    <row r="2793" spans="1:18" x14ac:dyDescent="0.25">
      <c r="A2793" s="170">
        <v>46119</v>
      </c>
      <c r="B2793">
        <v>1344.1</v>
      </c>
      <c r="C2793">
        <v>1340.15</v>
      </c>
      <c r="D2793">
        <v>1293.8499999999999</v>
      </c>
      <c r="E2793">
        <v>1302.95</v>
      </c>
      <c r="F2793">
        <v>1340.15</v>
      </c>
      <c r="G2793">
        <v>308256</v>
      </c>
      <c r="H2793" s="116"/>
      <c r="I2793" s="116"/>
      <c r="L2793" s="170">
        <v>46119</v>
      </c>
      <c r="M2793" s="116">
        <v>1339.4</v>
      </c>
      <c r="N2793" s="116">
        <v>1345.1</v>
      </c>
      <c r="O2793" s="116">
        <v>1293.5</v>
      </c>
      <c r="P2793" s="116">
        <v>1302</v>
      </c>
      <c r="Q2793" s="116">
        <v>1339.4</v>
      </c>
      <c r="R2793">
        <v>15355792</v>
      </c>
    </row>
    <row r="2794" spans="1:18" x14ac:dyDescent="0.25">
      <c r="A2794" s="170">
        <v>46120</v>
      </c>
      <c r="B2794">
        <v>1377.3</v>
      </c>
      <c r="C2794">
        <v>1346.25</v>
      </c>
      <c r="D2794">
        <v>1331.25</v>
      </c>
      <c r="E2794">
        <v>1347.95</v>
      </c>
      <c r="F2794">
        <v>1346.25</v>
      </c>
      <c r="G2794">
        <v>1448676</v>
      </c>
      <c r="H2794" s="116"/>
      <c r="I2794" s="116"/>
      <c r="L2794" s="170">
        <v>46120</v>
      </c>
      <c r="M2794" s="116">
        <v>1346.2</v>
      </c>
      <c r="N2794" s="116">
        <v>1376.9</v>
      </c>
      <c r="O2794" s="116">
        <v>1331</v>
      </c>
      <c r="P2794" s="116">
        <v>1349</v>
      </c>
      <c r="Q2794" s="116">
        <v>1346.2</v>
      </c>
      <c r="R2794">
        <v>16030133</v>
      </c>
    </row>
    <row r="2795" spans="1:18" x14ac:dyDescent="0.25">
      <c r="A2795" s="170">
        <v>46121</v>
      </c>
      <c r="B2795">
        <v>1337</v>
      </c>
      <c r="C2795">
        <v>1331.5</v>
      </c>
      <c r="D2795">
        <v>1314.2</v>
      </c>
      <c r="E2795">
        <v>1330</v>
      </c>
      <c r="F2795">
        <v>1331.5</v>
      </c>
      <c r="G2795">
        <v>1927233</v>
      </c>
      <c r="H2795" s="116"/>
      <c r="I2795" s="116"/>
      <c r="L2795" s="170">
        <v>46121</v>
      </c>
      <c r="M2795" s="116">
        <v>1331.6</v>
      </c>
      <c r="N2795" s="116">
        <v>1337.5</v>
      </c>
      <c r="O2795" s="116">
        <v>1314</v>
      </c>
      <c r="P2795" s="116">
        <v>1329.9</v>
      </c>
      <c r="Q2795" s="116">
        <v>1331.6</v>
      </c>
      <c r="R2795">
        <v>14894607</v>
      </c>
    </row>
    <row r="2796" spans="1:18" x14ac:dyDescent="0.25">
      <c r="A2796" s="170">
        <v>46122</v>
      </c>
      <c r="B2796">
        <v>1323</v>
      </c>
      <c r="C2796">
        <v>1292.3499999999999</v>
      </c>
      <c r="D2796">
        <v>1283.5999999999999</v>
      </c>
      <c r="E2796">
        <v>1321.5</v>
      </c>
      <c r="F2796">
        <v>1292.3499999999999</v>
      </c>
      <c r="G2796">
        <v>627408</v>
      </c>
      <c r="H2796" s="116"/>
      <c r="I2796" s="116"/>
      <c r="L2796" s="170">
        <v>46122</v>
      </c>
      <c r="M2796" s="116">
        <v>1292.5</v>
      </c>
      <c r="N2796" s="116">
        <v>1318.9</v>
      </c>
      <c r="O2796" s="116">
        <v>1283.3</v>
      </c>
      <c r="P2796" s="116">
        <v>1318</v>
      </c>
      <c r="Q2796" s="116">
        <v>1292.5</v>
      </c>
      <c r="R2796">
        <v>19233369</v>
      </c>
    </row>
    <row r="2797" spans="1:18" x14ac:dyDescent="0.25">
      <c r="A2797" s="170">
        <v>46125</v>
      </c>
      <c r="B2797">
        <v>1288.55</v>
      </c>
      <c r="C2797">
        <v>1277.3499999999999</v>
      </c>
      <c r="D2797">
        <v>1265.3499999999999</v>
      </c>
      <c r="E2797">
        <v>1279.0999999999999</v>
      </c>
      <c r="F2797">
        <v>1277.3499999999999</v>
      </c>
      <c r="G2797">
        <v>220053</v>
      </c>
      <c r="H2797" s="116"/>
      <c r="I2797" s="116"/>
      <c r="L2797" s="170">
        <v>46125</v>
      </c>
      <c r="M2797" s="116">
        <v>1276.8</v>
      </c>
      <c r="N2797" s="116">
        <v>1289</v>
      </c>
      <c r="O2797" s="116">
        <v>1265.7</v>
      </c>
      <c r="P2797" s="116">
        <v>1272</v>
      </c>
      <c r="Q2797" s="116">
        <v>1276.8</v>
      </c>
      <c r="R2797">
        <v>10366082</v>
      </c>
    </row>
    <row r="2798" spans="1:18" x14ac:dyDescent="0.25">
      <c r="A2798" s="170">
        <v>46127</v>
      </c>
      <c r="B2798">
        <v>1322.5</v>
      </c>
      <c r="C2798">
        <v>1305.2</v>
      </c>
      <c r="D2798">
        <v>1300.05</v>
      </c>
      <c r="E2798">
        <v>1300.05</v>
      </c>
      <c r="F2798">
        <v>1305.2</v>
      </c>
      <c r="G2798">
        <v>768935</v>
      </c>
      <c r="H2798" s="116"/>
      <c r="I2798" s="116"/>
      <c r="L2798" s="170">
        <v>46127</v>
      </c>
      <c r="M2798" s="116">
        <v>1305.3</v>
      </c>
      <c r="N2798" s="116">
        <v>1322.5</v>
      </c>
      <c r="O2798" s="116">
        <v>1300.5</v>
      </c>
      <c r="P2798" s="116">
        <v>1306.3</v>
      </c>
      <c r="Q2798" s="116">
        <v>1305.3</v>
      </c>
      <c r="R2798">
        <v>12098912</v>
      </c>
    </row>
    <row r="2799" spans="1:18" x14ac:dyDescent="0.25">
      <c r="A2799" s="170">
        <v>46128</v>
      </c>
      <c r="B2799">
        <v>1331.55</v>
      </c>
      <c r="C2799">
        <v>1318.9</v>
      </c>
      <c r="D2799">
        <v>1308.75</v>
      </c>
      <c r="E2799">
        <v>1320.05</v>
      </c>
      <c r="F2799">
        <v>1318.9</v>
      </c>
      <c r="G2799">
        <v>1793931</v>
      </c>
      <c r="H2799" s="116"/>
      <c r="I2799" s="116"/>
      <c r="L2799" s="170">
        <v>46128</v>
      </c>
      <c r="M2799" s="116">
        <v>1319.2</v>
      </c>
      <c r="N2799" s="116">
        <v>1331</v>
      </c>
      <c r="O2799" s="116">
        <v>1309</v>
      </c>
      <c r="P2799" s="116">
        <v>1322.1</v>
      </c>
      <c r="Q2799" s="116">
        <v>1319.2</v>
      </c>
      <c r="R2799">
        <v>18527029</v>
      </c>
    </row>
    <row r="2800" spans="1:18" x14ac:dyDescent="0.25">
      <c r="A2800" s="170">
        <v>46129</v>
      </c>
      <c r="B2800">
        <v>1328.1</v>
      </c>
      <c r="C2800">
        <v>1318.6</v>
      </c>
      <c r="D2800">
        <v>1306.25</v>
      </c>
      <c r="E2800">
        <v>1310.0999999999999</v>
      </c>
      <c r="F2800">
        <v>1318.6</v>
      </c>
      <c r="G2800">
        <v>379897</v>
      </c>
      <c r="H2800" s="116"/>
      <c r="I2800" s="116"/>
      <c r="L2800" s="170">
        <v>46129</v>
      </c>
      <c r="M2800" s="116">
        <v>1318.7</v>
      </c>
      <c r="N2800" s="116">
        <v>1328.3</v>
      </c>
      <c r="O2800" s="116">
        <v>1306.0999999999999</v>
      </c>
      <c r="P2800" s="116">
        <v>1313</v>
      </c>
      <c r="Q2800" s="116">
        <v>1318.7</v>
      </c>
      <c r="R2800">
        <v>12064048</v>
      </c>
    </row>
    <row r="2801" spans="1:18" x14ac:dyDescent="0.25">
      <c r="A2801" s="170">
        <v>46132</v>
      </c>
      <c r="B2801">
        <v>1324.9</v>
      </c>
      <c r="C2801">
        <v>1311.95</v>
      </c>
      <c r="D2801">
        <v>1308.2</v>
      </c>
      <c r="E2801">
        <v>1323.8</v>
      </c>
      <c r="F2801">
        <v>1311.95</v>
      </c>
      <c r="G2801">
        <v>154548</v>
      </c>
      <c r="H2801" s="116"/>
      <c r="I2801" s="116"/>
      <c r="L2801" s="170">
        <v>46132</v>
      </c>
      <c r="M2801" s="116">
        <v>1312.6</v>
      </c>
      <c r="N2801" s="116">
        <v>1324.9</v>
      </c>
      <c r="O2801" s="116">
        <v>1308.0999999999999</v>
      </c>
      <c r="P2801" s="116">
        <v>1320</v>
      </c>
      <c r="Q2801" s="116">
        <v>1312.6</v>
      </c>
      <c r="R2801">
        <v>7172300</v>
      </c>
    </row>
    <row r="2802" spans="1:18" x14ac:dyDescent="0.25">
      <c r="A2802" s="170">
        <v>46133</v>
      </c>
      <c r="B2802">
        <v>1325</v>
      </c>
      <c r="C2802">
        <v>1313.1</v>
      </c>
      <c r="D2802">
        <v>1298.75</v>
      </c>
      <c r="E2802">
        <v>1311.9</v>
      </c>
      <c r="F2802">
        <v>1313.1</v>
      </c>
      <c r="G2802">
        <v>417755</v>
      </c>
      <c r="H2802" s="116"/>
      <c r="I2802" s="116"/>
      <c r="L2802" s="170">
        <v>46133</v>
      </c>
      <c r="M2802" s="116">
        <v>1313.2</v>
      </c>
      <c r="N2802" s="116">
        <v>1325</v>
      </c>
      <c r="O2802" s="116">
        <v>1299.3</v>
      </c>
      <c r="P2802" s="116">
        <v>1310</v>
      </c>
      <c r="Q2802" s="116">
        <v>1313.2</v>
      </c>
      <c r="R2802">
        <v>10057440</v>
      </c>
    </row>
    <row r="2803" spans="1:18" x14ac:dyDescent="0.25">
      <c r="A2803" s="170">
        <v>46134</v>
      </c>
      <c r="B2803">
        <v>1298.3</v>
      </c>
      <c r="C2803">
        <v>1268.45</v>
      </c>
      <c r="D2803">
        <v>1255.55</v>
      </c>
      <c r="E2803">
        <v>1298.3</v>
      </c>
      <c r="F2803">
        <v>1268.45</v>
      </c>
      <c r="G2803">
        <v>865131</v>
      </c>
      <c r="H2803" s="116"/>
      <c r="I2803" s="116"/>
      <c r="L2803" s="170">
        <v>46134</v>
      </c>
      <c r="M2803" s="116">
        <v>1268.5999999999999</v>
      </c>
      <c r="N2803" s="116">
        <v>1297.7</v>
      </c>
      <c r="O2803" s="116">
        <v>1255.9000000000001</v>
      </c>
      <c r="P2803" s="116">
        <v>1295</v>
      </c>
      <c r="Q2803" s="116">
        <v>1268.5999999999999</v>
      </c>
      <c r="R2803">
        <v>20088378</v>
      </c>
    </row>
    <row r="2804" spans="1:18" x14ac:dyDescent="0.25">
      <c r="A2804" s="170">
        <v>46135</v>
      </c>
      <c r="B2804">
        <v>1265.5999999999999</v>
      </c>
      <c r="C2804">
        <v>1242.5999999999999</v>
      </c>
      <c r="D2804">
        <v>1226.8</v>
      </c>
      <c r="E2804">
        <v>1259.8499999999999</v>
      </c>
      <c r="F2804">
        <v>1242.5999999999999</v>
      </c>
      <c r="G2804">
        <v>1220075</v>
      </c>
      <c r="H2804" s="116"/>
      <c r="I2804" s="116"/>
      <c r="L2804" s="170">
        <v>46135</v>
      </c>
      <c r="M2804" s="116">
        <v>1240.5999999999999</v>
      </c>
      <c r="N2804" s="116">
        <v>1265.7</v>
      </c>
      <c r="O2804" s="116">
        <v>1226</v>
      </c>
      <c r="P2804" s="116">
        <v>1254</v>
      </c>
      <c r="Q2804" s="116">
        <v>1240.5999999999999</v>
      </c>
      <c r="R2804">
        <v>14792854</v>
      </c>
    </row>
    <row r="2805" spans="1:18" x14ac:dyDescent="0.25">
      <c r="A2805" s="170">
        <v>46136</v>
      </c>
      <c r="B2805">
        <v>1224</v>
      </c>
      <c r="C2805">
        <v>1154.45</v>
      </c>
      <c r="D2805">
        <v>1152.3499999999999</v>
      </c>
      <c r="E2805">
        <v>1205.9000000000001</v>
      </c>
      <c r="F2805">
        <v>1154.45</v>
      </c>
      <c r="G2805">
        <v>3323197</v>
      </c>
      <c r="H2805" s="116"/>
      <c r="I2805" s="116"/>
      <c r="L2805" s="170">
        <v>46136</v>
      </c>
      <c r="M2805" s="116">
        <v>1154.5999999999999</v>
      </c>
      <c r="N2805" s="116">
        <v>1223.9000000000001</v>
      </c>
      <c r="O2805" s="116">
        <v>1152.2</v>
      </c>
      <c r="P2805" s="116">
        <v>1200</v>
      </c>
      <c r="Q2805" s="116">
        <v>1154.5999999999999</v>
      </c>
      <c r="R2805">
        <v>42078914</v>
      </c>
    </row>
    <row r="2806" spans="1:18" x14ac:dyDescent="0.25">
      <c r="A2806" s="170">
        <v>46139</v>
      </c>
      <c r="B2806">
        <v>1179.95</v>
      </c>
      <c r="C2806">
        <v>1169.95</v>
      </c>
      <c r="D2806">
        <v>1155.3</v>
      </c>
      <c r="E2806">
        <v>1169.5</v>
      </c>
      <c r="F2806">
        <v>1169.95</v>
      </c>
      <c r="G2806">
        <v>601354</v>
      </c>
      <c r="H2806" s="116"/>
      <c r="I2806" s="116"/>
      <c r="L2806" s="170">
        <v>46139</v>
      </c>
      <c r="M2806" s="116">
        <v>1170.3</v>
      </c>
      <c r="N2806" s="116">
        <v>1179.9000000000001</v>
      </c>
      <c r="O2806" s="116">
        <v>1154.5</v>
      </c>
      <c r="P2806" s="116">
        <v>1154.5999999999999</v>
      </c>
      <c r="Q2806" s="116">
        <v>1170.3</v>
      </c>
      <c r="R2806">
        <v>19579883</v>
      </c>
    </row>
    <row r="2807" spans="1:18" x14ac:dyDescent="0.25">
      <c r="A2807" s="170">
        <v>46140</v>
      </c>
      <c r="B2807">
        <v>1169.0999999999999</v>
      </c>
      <c r="C2807">
        <v>1152.5999999999999</v>
      </c>
      <c r="D2807">
        <v>1149.8</v>
      </c>
      <c r="E2807">
        <v>1168.8</v>
      </c>
      <c r="F2807">
        <v>1152.5999999999999</v>
      </c>
      <c r="G2807">
        <v>526282</v>
      </c>
      <c r="H2807" s="116"/>
      <c r="I2807" s="116"/>
      <c r="L2807" s="170">
        <v>46140</v>
      </c>
      <c r="M2807" s="116">
        <v>1152.0999999999999</v>
      </c>
      <c r="N2807" s="116">
        <v>1169.4000000000001</v>
      </c>
      <c r="O2807" s="116">
        <v>1149.8</v>
      </c>
      <c r="P2807" s="116">
        <v>1162.7</v>
      </c>
      <c r="Q2807" s="116">
        <v>1152.0999999999999</v>
      </c>
      <c r="R2807">
        <v>12720276</v>
      </c>
    </row>
    <row r="2808" spans="1:18" x14ac:dyDescent="0.25">
      <c r="A2808" s="170">
        <v>46141</v>
      </c>
      <c r="B2808">
        <v>1178.5</v>
      </c>
      <c r="C2808">
        <v>1167.5</v>
      </c>
      <c r="D2808">
        <v>1157.0999999999999</v>
      </c>
      <c r="E2808">
        <v>1157.5999999999999</v>
      </c>
      <c r="F2808">
        <v>1167.5</v>
      </c>
      <c r="G2808">
        <v>581768</v>
      </c>
      <c r="H2808" s="116"/>
      <c r="I2808" s="116"/>
      <c r="L2808" s="170">
        <v>46141</v>
      </c>
      <c r="M2808" s="116">
        <v>1167.5</v>
      </c>
      <c r="N2808" s="116">
        <v>1178.2</v>
      </c>
      <c r="O2808" s="116">
        <v>1156.8</v>
      </c>
      <c r="P2808" s="116">
        <v>1158.5</v>
      </c>
      <c r="Q2808" s="116">
        <v>1167.5</v>
      </c>
      <c r="R2808">
        <v>8303109</v>
      </c>
    </row>
    <row r="2809" spans="1:18" x14ac:dyDescent="0.25">
      <c r="A2809" s="170">
        <v>46142</v>
      </c>
      <c r="B2809">
        <v>1189.95</v>
      </c>
      <c r="C2809">
        <v>1181.5</v>
      </c>
      <c r="D2809">
        <v>1159.4000000000001</v>
      </c>
      <c r="E2809">
        <v>1167.5</v>
      </c>
      <c r="F2809">
        <v>1181.5</v>
      </c>
      <c r="G2809">
        <v>1281504</v>
      </c>
      <c r="H2809" s="116"/>
      <c r="I2809" s="116"/>
      <c r="L2809" s="170">
        <v>46142</v>
      </c>
      <c r="M2809" s="116">
        <v>1181.8</v>
      </c>
      <c r="N2809" s="116">
        <v>1189.8</v>
      </c>
      <c r="O2809" s="116">
        <v>1159.5999999999999</v>
      </c>
      <c r="P2809" s="116">
        <v>1167.5</v>
      </c>
      <c r="Q2809" s="116">
        <v>1181.8</v>
      </c>
      <c r="R2809">
        <v>12205669</v>
      </c>
    </row>
    <row r="2810" spans="1:18" x14ac:dyDescent="0.25">
      <c r="A2810" s="170">
        <v>46146</v>
      </c>
      <c r="B2810">
        <v>1196</v>
      </c>
      <c r="C2810">
        <v>1168.4000000000001</v>
      </c>
      <c r="D2810">
        <v>1165.2</v>
      </c>
      <c r="E2810">
        <v>1196</v>
      </c>
      <c r="F2810">
        <v>1168.4000000000001</v>
      </c>
      <c r="G2810">
        <v>537919</v>
      </c>
      <c r="H2810" s="116"/>
      <c r="I2810" s="116"/>
      <c r="L2810" s="170">
        <v>46146</v>
      </c>
      <c r="M2810" s="116">
        <v>1168.4000000000001</v>
      </c>
      <c r="N2810" s="116">
        <v>1195</v>
      </c>
      <c r="O2810" s="116">
        <v>1165.2</v>
      </c>
      <c r="P2810" s="116">
        <v>1195</v>
      </c>
      <c r="Q2810" s="116">
        <v>1168.4000000000001</v>
      </c>
      <c r="R2810">
        <v>7735811</v>
      </c>
    </row>
    <row r="2811" spans="1:18" x14ac:dyDescent="0.25">
      <c r="A2811" s="170">
        <v>46147</v>
      </c>
      <c r="B2811">
        <v>1185</v>
      </c>
      <c r="C2811">
        <v>1177.7</v>
      </c>
      <c r="D2811">
        <v>1160.5</v>
      </c>
      <c r="E2811">
        <v>1168.4000000000001</v>
      </c>
      <c r="F2811">
        <v>1177.7</v>
      </c>
      <c r="G2811">
        <v>343502</v>
      </c>
      <c r="H2811" s="116"/>
      <c r="I2811" s="116"/>
      <c r="L2811" s="170">
        <v>46147</v>
      </c>
      <c r="M2811" s="116">
        <v>1178.0999999999999</v>
      </c>
      <c r="N2811" s="116">
        <v>1185.2</v>
      </c>
      <c r="O2811" s="116">
        <v>1160.0999999999999</v>
      </c>
      <c r="P2811" s="116">
        <v>1169.5</v>
      </c>
      <c r="Q2811" s="116">
        <v>1178.0999999999999</v>
      </c>
      <c r="R2811">
        <v>8164108</v>
      </c>
    </row>
    <row r="2812" spans="1:18" x14ac:dyDescent="0.25">
      <c r="A2812" s="170">
        <v>46148</v>
      </c>
      <c r="B2812">
        <v>1191.9000000000001</v>
      </c>
      <c r="C2812">
        <v>1167.3</v>
      </c>
      <c r="D2812">
        <v>1165</v>
      </c>
      <c r="E2812">
        <v>1188.2</v>
      </c>
      <c r="F2812">
        <v>1167.3</v>
      </c>
      <c r="G2812">
        <v>317491</v>
      </c>
      <c r="H2812" s="116"/>
      <c r="I2812" s="116"/>
      <c r="L2812" s="170">
        <v>46148</v>
      </c>
      <c r="M2812" s="116">
        <v>1167.2</v>
      </c>
      <c r="N2812" s="116">
        <v>1191.5</v>
      </c>
      <c r="O2812" s="116">
        <v>1164.0999999999999</v>
      </c>
      <c r="P2812" s="116">
        <v>1187</v>
      </c>
      <c r="Q2812" s="116">
        <v>1167.2</v>
      </c>
      <c r="R2812">
        <v>9856963</v>
      </c>
    </row>
    <row r="2813" spans="1:18" x14ac:dyDescent="0.25">
      <c r="A2813" s="170">
        <v>46149</v>
      </c>
      <c r="B2813">
        <v>1175.5</v>
      </c>
      <c r="C2813">
        <v>1162.5</v>
      </c>
      <c r="D2813">
        <v>1160</v>
      </c>
      <c r="E2813">
        <v>1174.9000000000001</v>
      </c>
      <c r="F2813">
        <v>1162.5</v>
      </c>
      <c r="G2813">
        <v>1068826</v>
      </c>
      <c r="H2813" s="116"/>
      <c r="I2813" s="116"/>
      <c r="L2813" s="170">
        <v>46149</v>
      </c>
      <c r="M2813" s="116">
        <v>1162.7</v>
      </c>
      <c r="N2813" s="116">
        <v>1175.4000000000001</v>
      </c>
      <c r="O2813" s="116">
        <v>1159.2</v>
      </c>
      <c r="P2813" s="116">
        <v>1173</v>
      </c>
      <c r="Q2813" s="116">
        <v>1162.7</v>
      </c>
      <c r="R2813">
        <v>12013987</v>
      </c>
    </row>
    <row r="2814" spans="1:18" x14ac:dyDescent="0.25">
      <c r="A2814" s="170">
        <v>46150</v>
      </c>
      <c r="B2814">
        <v>1183.6500000000001</v>
      </c>
      <c r="C2814">
        <v>1179.2</v>
      </c>
      <c r="D2814">
        <v>1159.3</v>
      </c>
      <c r="E2814">
        <v>1161.95</v>
      </c>
      <c r="F2814">
        <v>1179.2</v>
      </c>
      <c r="G2814">
        <v>226621</v>
      </c>
      <c r="H2814" s="116"/>
      <c r="I2814" s="116"/>
      <c r="L2814" s="170">
        <v>46150</v>
      </c>
      <c r="M2814" s="116">
        <v>1179.2</v>
      </c>
      <c r="N2814" s="116">
        <v>1183.5</v>
      </c>
      <c r="O2814" s="116">
        <v>1158.8</v>
      </c>
      <c r="P2814" s="116">
        <v>1161</v>
      </c>
      <c r="Q2814" s="116">
        <v>1179.2</v>
      </c>
      <c r="R2814">
        <v>7582770</v>
      </c>
    </row>
    <row r="2815" spans="1:18" x14ac:dyDescent="0.25">
      <c r="A2815" s="170">
        <v>46153</v>
      </c>
      <c r="B2815">
        <v>1186.95</v>
      </c>
      <c r="C2815">
        <v>1176.8</v>
      </c>
      <c r="D2815">
        <v>1171.5999999999999</v>
      </c>
      <c r="E2815">
        <v>1176</v>
      </c>
      <c r="F2815">
        <v>1176.8</v>
      </c>
      <c r="G2815">
        <v>299777</v>
      </c>
      <c r="H2815" s="116"/>
      <c r="I2815" s="116"/>
      <c r="L2815" s="170">
        <v>46153</v>
      </c>
      <c r="M2815" s="116">
        <v>1177</v>
      </c>
      <c r="N2815" s="116">
        <v>1187</v>
      </c>
      <c r="O2815" s="116">
        <v>1172.0999999999999</v>
      </c>
      <c r="P2815" s="116">
        <v>1176</v>
      </c>
      <c r="Q2815" s="116">
        <v>1177</v>
      </c>
      <c r="R2815">
        <v>7336288</v>
      </c>
    </row>
    <row r="2816" spans="1:18" x14ac:dyDescent="0.25">
      <c r="A2816" s="170">
        <v>46154</v>
      </c>
      <c r="B2816">
        <v>1167.95</v>
      </c>
      <c r="C2816">
        <v>1140.45</v>
      </c>
      <c r="D2816">
        <v>1123.0999999999999</v>
      </c>
      <c r="E2816">
        <v>1167.95</v>
      </c>
      <c r="F2816">
        <v>1140.45</v>
      </c>
      <c r="G2816">
        <v>634798</v>
      </c>
      <c r="H2816" s="116"/>
      <c r="I2816" s="116"/>
      <c r="L2816" s="170">
        <v>46154</v>
      </c>
      <c r="M2816" s="116">
        <v>1140.3</v>
      </c>
      <c r="N2816" s="116">
        <v>1162</v>
      </c>
      <c r="O2816" s="116">
        <v>1123</v>
      </c>
      <c r="P2816" s="116">
        <v>1162</v>
      </c>
      <c r="Q2816" s="116">
        <v>1140.3</v>
      </c>
      <c r="R2816">
        <v>16891948</v>
      </c>
    </row>
    <row r="2817" spans="1:18" x14ac:dyDescent="0.25">
      <c r="A2817" s="170">
        <v>46155</v>
      </c>
      <c r="B2817">
        <v>1142.8499999999999</v>
      </c>
      <c r="C2817">
        <v>1123.25</v>
      </c>
      <c r="D2817">
        <v>1121</v>
      </c>
      <c r="E2817">
        <v>1132.5999999999999</v>
      </c>
      <c r="F2817">
        <v>1123.25</v>
      </c>
      <c r="G2817">
        <v>532551</v>
      </c>
      <c r="H2817" s="116"/>
      <c r="I2817" s="116"/>
      <c r="L2817" s="170">
        <v>46155</v>
      </c>
      <c r="M2817" s="116">
        <v>1123.0999999999999</v>
      </c>
      <c r="N2817" s="116">
        <v>1142.5999999999999</v>
      </c>
      <c r="O2817" s="116">
        <v>1121</v>
      </c>
      <c r="P2817" s="116">
        <v>1136.5999999999999</v>
      </c>
      <c r="Q2817" s="116">
        <v>1123.0999999999999</v>
      </c>
      <c r="R2817">
        <v>6664111</v>
      </c>
    </row>
    <row r="2818" spans="1:18" x14ac:dyDescent="0.25">
      <c r="A2818" s="170">
        <v>46156</v>
      </c>
      <c r="B2818">
        <v>1123.2</v>
      </c>
      <c r="C2818">
        <v>1095.5999999999999</v>
      </c>
      <c r="D2818">
        <v>1089.0999999999999</v>
      </c>
      <c r="E2818">
        <v>1123.2</v>
      </c>
      <c r="F2818">
        <v>1095.5999999999999</v>
      </c>
      <c r="G2818">
        <v>1817470</v>
      </c>
      <c r="H2818" s="116"/>
      <c r="I2818" s="116"/>
      <c r="L2818" s="170">
        <v>46156</v>
      </c>
      <c r="M2818" s="116">
        <v>1095</v>
      </c>
      <c r="N2818" s="116">
        <v>1121.9000000000001</v>
      </c>
      <c r="O2818" s="116">
        <v>1089</v>
      </c>
      <c r="P2818" s="116">
        <v>1119.8</v>
      </c>
      <c r="Q2818" s="116">
        <v>1095</v>
      </c>
      <c r="R2818">
        <v>16914842</v>
      </c>
    </row>
    <row r="2819" spans="1:18" x14ac:dyDescent="0.25">
      <c r="A2819" s="170">
        <v>46157</v>
      </c>
      <c r="B2819">
        <v>1133.0999999999999</v>
      </c>
      <c r="C2819">
        <v>1118.4000000000001</v>
      </c>
      <c r="D2819">
        <v>1095.8</v>
      </c>
      <c r="E2819">
        <v>1095.8</v>
      </c>
      <c r="F2819">
        <v>1118.4000000000001</v>
      </c>
      <c r="G2819">
        <v>638780</v>
      </c>
      <c r="H2819" s="116"/>
      <c r="I2819" s="116"/>
      <c r="L2819" s="170">
        <v>46157</v>
      </c>
      <c r="M2819" s="116">
        <v>1119</v>
      </c>
      <c r="N2819" s="116">
        <v>1133.2</v>
      </c>
      <c r="O2819" s="116">
        <v>1101.5999999999999</v>
      </c>
      <c r="P2819" s="116">
        <v>1102</v>
      </c>
      <c r="Q2819" s="116">
        <v>1119</v>
      </c>
      <c r="R2819">
        <v>17482450</v>
      </c>
    </row>
    <row r="2820" spans="1:18" x14ac:dyDescent="0.25">
      <c r="A2820" s="170">
        <v>46160</v>
      </c>
      <c r="B2820">
        <v>1146</v>
      </c>
      <c r="C2820">
        <v>1142.4000000000001</v>
      </c>
      <c r="D2820">
        <v>1118.4000000000001</v>
      </c>
      <c r="E2820">
        <v>1120</v>
      </c>
      <c r="F2820">
        <v>1142.4000000000001</v>
      </c>
      <c r="G2820">
        <v>429671</v>
      </c>
      <c r="H2820" s="116"/>
      <c r="I2820" s="116"/>
      <c r="L2820" s="170">
        <v>46160</v>
      </c>
      <c r="M2820" s="116">
        <v>1142.5</v>
      </c>
      <c r="N2820" s="116">
        <v>1146.0999999999999</v>
      </c>
      <c r="O2820" s="116">
        <v>1118</v>
      </c>
      <c r="P2820" s="116">
        <v>1119</v>
      </c>
      <c r="Q2820" s="116">
        <v>1142.5</v>
      </c>
      <c r="R2820">
        <v>12096377</v>
      </c>
    </row>
    <row r="2821" spans="1:18" x14ac:dyDescent="0.25">
      <c r="A2821" s="170">
        <v>46161</v>
      </c>
      <c r="B2821">
        <v>1198.4000000000001</v>
      </c>
      <c r="C2821">
        <v>1196.9000000000001</v>
      </c>
      <c r="D2821">
        <v>1159.7</v>
      </c>
      <c r="E2821">
        <v>1159.75</v>
      </c>
      <c r="F2821">
        <v>1196.9000000000001</v>
      </c>
      <c r="G2821">
        <v>982702</v>
      </c>
      <c r="H2821" s="116"/>
      <c r="I2821" s="116"/>
      <c r="L2821" s="170">
        <v>46161</v>
      </c>
      <c r="M2821" s="116">
        <v>1196.9000000000001</v>
      </c>
      <c r="N2821" s="116">
        <v>1198.4000000000001</v>
      </c>
      <c r="O2821" s="116">
        <v>1162</v>
      </c>
      <c r="P2821" s="116">
        <v>1162</v>
      </c>
      <c r="Q2821" s="116">
        <v>1196.9000000000001</v>
      </c>
      <c r="R2821">
        <v>32175705</v>
      </c>
    </row>
    <row r="2822" spans="1:18" x14ac:dyDescent="0.25">
      <c r="A2822" s="170">
        <v>46162</v>
      </c>
      <c r="B2822">
        <v>1206.7</v>
      </c>
      <c r="C2822">
        <v>1196.8</v>
      </c>
      <c r="D2822">
        <v>1171</v>
      </c>
      <c r="E2822">
        <v>1190.3499999999999</v>
      </c>
      <c r="F2822">
        <v>1196.8</v>
      </c>
      <c r="G2822">
        <v>936586</v>
      </c>
      <c r="H2822" s="116"/>
      <c r="I2822" s="116"/>
      <c r="L2822" s="170">
        <v>46162</v>
      </c>
      <c r="M2822" s="116">
        <v>1193.7</v>
      </c>
      <c r="N2822" s="116">
        <v>1206.9000000000001</v>
      </c>
      <c r="O2822" s="116">
        <v>1184.9000000000001</v>
      </c>
      <c r="P2822" s="116">
        <v>1187</v>
      </c>
      <c r="Q2822" s="116">
        <v>1193.7</v>
      </c>
      <c r="R2822">
        <v>15121010</v>
      </c>
    </row>
    <row r="2823" spans="1:18" x14ac:dyDescent="0.25">
      <c r="A2823" s="170">
        <v>46163</v>
      </c>
      <c r="B2823">
        <v>1200</v>
      </c>
      <c r="C2823">
        <v>1181.6500000000001</v>
      </c>
      <c r="D2823">
        <v>1177.05</v>
      </c>
      <c r="E2823">
        <v>1196</v>
      </c>
      <c r="F2823">
        <v>1181.6500000000001</v>
      </c>
      <c r="G2823">
        <v>886684</v>
      </c>
      <c r="H2823" s="116"/>
      <c r="I2823" s="116"/>
      <c r="L2823" s="170">
        <v>46163</v>
      </c>
      <c r="M2823" s="116">
        <v>1181.2</v>
      </c>
      <c r="N2823" s="116">
        <v>1201.8</v>
      </c>
      <c r="O2823" s="116">
        <v>1177</v>
      </c>
      <c r="P2823" s="116">
        <v>1196.0999999999999</v>
      </c>
      <c r="Q2823" s="116">
        <v>1181.2</v>
      </c>
      <c r="R2823">
        <v>10021033</v>
      </c>
    </row>
    <row r="2824" spans="1:18" x14ac:dyDescent="0.25">
      <c r="A2824" s="170">
        <v>46164</v>
      </c>
      <c r="B2824">
        <v>1191.55</v>
      </c>
      <c r="C2824">
        <v>1174.4000000000001</v>
      </c>
      <c r="D2824">
        <v>1173</v>
      </c>
      <c r="E2824">
        <v>1181.75</v>
      </c>
      <c r="F2824">
        <v>1174.4000000000001</v>
      </c>
      <c r="G2824">
        <v>300327</v>
      </c>
      <c r="H2824" s="116"/>
      <c r="I2824" s="116"/>
      <c r="L2824" s="170">
        <v>46164</v>
      </c>
      <c r="M2824" s="116">
        <v>1174.5</v>
      </c>
      <c r="N2824" s="116">
        <v>1191.8</v>
      </c>
      <c r="O2824" s="116">
        <v>1172.5</v>
      </c>
      <c r="P2824" s="116">
        <v>1182.5</v>
      </c>
      <c r="Q2824" s="116">
        <v>1174.5</v>
      </c>
      <c r="R2824">
        <v>8803066</v>
      </c>
    </row>
    <row r="2825" spans="1:18" x14ac:dyDescent="0.25">
      <c r="A2825" s="170">
        <v>46167</v>
      </c>
      <c r="B2825">
        <v>1184.5999999999999</v>
      </c>
      <c r="C2825">
        <v>1168.6500000000001</v>
      </c>
      <c r="D2825">
        <v>1166.5</v>
      </c>
      <c r="E2825">
        <v>1184</v>
      </c>
      <c r="F2825">
        <v>1168.6500000000001</v>
      </c>
      <c r="G2825">
        <v>204386</v>
      </c>
      <c r="H2825" s="116"/>
      <c r="I2825" s="116"/>
      <c r="L2825" s="170">
        <v>46167</v>
      </c>
      <c r="M2825" s="116">
        <v>1168.5</v>
      </c>
      <c r="N2825" s="116">
        <v>1185</v>
      </c>
      <c r="O2825" s="116">
        <v>1166.0999999999999</v>
      </c>
      <c r="P2825" s="116">
        <v>1183</v>
      </c>
      <c r="Q2825" s="116">
        <v>1168.5</v>
      </c>
      <c r="R2825">
        <v>5856136</v>
      </c>
    </row>
    <row r="2826" spans="1:18" x14ac:dyDescent="0.25">
      <c r="A2826" s="170">
        <v>46168</v>
      </c>
      <c r="B2826">
        <v>1180.8</v>
      </c>
      <c r="C2826">
        <v>1167.45</v>
      </c>
      <c r="D2826">
        <v>1163.6500000000001</v>
      </c>
      <c r="E2826">
        <v>1166.1500000000001</v>
      </c>
      <c r="F2826">
        <v>1167.45</v>
      </c>
      <c r="G2826">
        <v>249328</v>
      </c>
      <c r="H2826" s="116"/>
      <c r="I2826" s="116"/>
      <c r="L2826" s="170">
        <v>46168</v>
      </c>
      <c r="M2826" s="116">
        <v>1167.7</v>
      </c>
      <c r="N2826" s="116">
        <v>1180.7</v>
      </c>
      <c r="O2826" s="116">
        <v>1162.9000000000001</v>
      </c>
      <c r="P2826" s="116">
        <v>1166.3</v>
      </c>
      <c r="Q2826" s="116">
        <v>1167.7</v>
      </c>
      <c r="R2826">
        <v>8005767</v>
      </c>
    </row>
    <row r="2827" spans="1:18" x14ac:dyDescent="0.25">
      <c r="A2827" s="170">
        <v>46169</v>
      </c>
      <c r="B2827">
        <v>1167.2</v>
      </c>
      <c r="C2827">
        <v>1159.1500000000001</v>
      </c>
      <c r="D2827">
        <v>1154.8499999999999</v>
      </c>
      <c r="E2827">
        <v>1158.45</v>
      </c>
      <c r="F2827">
        <v>1159.1500000000001</v>
      </c>
      <c r="G2827">
        <v>725295</v>
      </c>
      <c r="H2827" s="116"/>
      <c r="I2827" s="116"/>
      <c r="L2827" s="170">
        <v>46169</v>
      </c>
      <c r="M2827" s="116">
        <v>1159.9000000000001</v>
      </c>
      <c r="N2827" s="116">
        <v>1167.3</v>
      </c>
      <c r="O2827" s="116">
        <v>1155</v>
      </c>
      <c r="P2827" s="116">
        <v>1161</v>
      </c>
      <c r="Q2827" s="116">
        <v>1159.9000000000001</v>
      </c>
      <c r="R2827">
        <v>6371871</v>
      </c>
    </row>
    <row r="2828" spans="1:18" x14ac:dyDescent="0.25">
      <c r="A2828" s="170">
        <v>46171</v>
      </c>
      <c r="B2828">
        <v>1210</v>
      </c>
      <c r="C2828">
        <v>1159.75</v>
      </c>
      <c r="D2828">
        <v>1154</v>
      </c>
      <c r="E2828">
        <v>1184.4000000000001</v>
      </c>
      <c r="F2828">
        <v>1159.75</v>
      </c>
      <c r="G2828">
        <v>1130989</v>
      </c>
      <c r="H2828" s="116"/>
      <c r="I2828" s="116"/>
      <c r="L2828" s="170">
        <v>46171</v>
      </c>
      <c r="M2828" s="116">
        <v>1160.9000000000001</v>
      </c>
      <c r="N2828" s="116">
        <v>1210</v>
      </c>
      <c r="O2828" s="116">
        <v>1153.5999999999999</v>
      </c>
      <c r="P2828" s="116">
        <v>1182</v>
      </c>
      <c r="Q2828" s="116">
        <v>1160.9000000000001</v>
      </c>
      <c r="R2828">
        <v>69085430</v>
      </c>
    </row>
    <row r="2829" spans="1:18" x14ac:dyDescent="0.25">
      <c r="A2829" s="170">
        <v>46174</v>
      </c>
      <c r="B2829">
        <v>1217.5</v>
      </c>
      <c r="C2829">
        <v>1202.7</v>
      </c>
      <c r="D2829">
        <v>1175</v>
      </c>
      <c r="E2829">
        <v>1180.05</v>
      </c>
      <c r="F2829">
        <v>1202.7</v>
      </c>
      <c r="G2829">
        <v>694371</v>
      </c>
      <c r="H2829" s="116"/>
      <c r="I2829" s="116"/>
      <c r="L2829" s="170">
        <v>46174</v>
      </c>
      <c r="M2829" s="116">
        <v>1202.5</v>
      </c>
      <c r="N2829" s="116">
        <v>1217</v>
      </c>
      <c r="O2829" s="116">
        <v>1173.7</v>
      </c>
      <c r="P2829" s="116">
        <v>1175</v>
      </c>
      <c r="Q2829" s="116">
        <v>1202.5</v>
      </c>
      <c r="R2829">
        <v>19439331</v>
      </c>
    </row>
    <row r="2830" spans="1:18" x14ac:dyDescent="0.25">
      <c r="A2830" s="170">
        <v>46175</v>
      </c>
      <c r="B2830">
        <v>1278.9000000000001</v>
      </c>
      <c r="C2830">
        <v>1270.75</v>
      </c>
      <c r="D2830">
        <v>1228.6500000000001</v>
      </c>
      <c r="E2830">
        <v>1228.6500000000001</v>
      </c>
      <c r="F2830">
        <v>1270.75</v>
      </c>
      <c r="G2830">
        <v>1903964</v>
      </c>
      <c r="H2830" s="116"/>
      <c r="I2830" s="116"/>
      <c r="L2830" s="170">
        <v>46175</v>
      </c>
      <c r="M2830" s="116">
        <v>1270.8</v>
      </c>
      <c r="N2830" s="116">
        <v>1278.9000000000001</v>
      </c>
      <c r="O2830" s="116">
        <v>1232.5</v>
      </c>
      <c r="P2830" s="116">
        <v>1232.5</v>
      </c>
      <c r="Q2830" s="116">
        <v>1270.8</v>
      </c>
      <c r="R2830">
        <v>36032600</v>
      </c>
    </row>
    <row r="2831" spans="1:18" x14ac:dyDescent="0.25">
      <c r="A2831" s="170">
        <v>46176</v>
      </c>
      <c r="B2831">
        <v>1253.95</v>
      </c>
      <c r="C2831">
        <v>1222.2</v>
      </c>
      <c r="D2831">
        <v>1216</v>
      </c>
      <c r="E2831">
        <v>1253.95</v>
      </c>
      <c r="F2831">
        <v>1222.2</v>
      </c>
      <c r="G2831">
        <v>484096</v>
      </c>
      <c r="H2831" s="116"/>
      <c r="I2831" s="116"/>
      <c r="L2831" s="170">
        <v>46176</v>
      </c>
      <c r="M2831" s="116">
        <v>1222.5999999999999</v>
      </c>
      <c r="N2831" s="116">
        <v>1249.9000000000001</v>
      </c>
      <c r="O2831" s="116">
        <v>1216</v>
      </c>
      <c r="P2831" s="116">
        <v>1242.0999999999999</v>
      </c>
      <c r="Q2831" s="116">
        <v>1222.5999999999999</v>
      </c>
      <c r="R2831">
        <v>18534303</v>
      </c>
    </row>
    <row r="2832" spans="1:18" x14ac:dyDescent="0.25">
      <c r="A2832" s="170">
        <v>46177</v>
      </c>
      <c r="B2832">
        <v>1215</v>
      </c>
      <c r="C2832">
        <v>1200.6500000000001</v>
      </c>
      <c r="D2832">
        <v>1196.8499999999999</v>
      </c>
      <c r="E2832">
        <v>1210</v>
      </c>
      <c r="F2832">
        <v>1200.6500000000001</v>
      </c>
      <c r="G2832">
        <v>492837</v>
      </c>
      <c r="H2832" s="116"/>
      <c r="I2832" s="116"/>
      <c r="L2832" s="170">
        <v>46177</v>
      </c>
      <c r="M2832" s="116">
        <v>1201.3</v>
      </c>
      <c r="N2832" s="116">
        <v>1215.2</v>
      </c>
      <c r="O2832" s="116">
        <v>1196.2</v>
      </c>
      <c r="P2832" s="116">
        <v>1208</v>
      </c>
      <c r="Q2832" s="116">
        <v>1201.3</v>
      </c>
      <c r="R2832">
        <v>12755957</v>
      </c>
    </row>
    <row r="2833" spans="1:18" x14ac:dyDescent="0.25">
      <c r="A2833" s="170">
        <v>46178</v>
      </c>
      <c r="B2833">
        <v>1223.55</v>
      </c>
      <c r="C2833">
        <v>1197</v>
      </c>
      <c r="D2833">
        <v>1194.3</v>
      </c>
      <c r="E2833">
        <v>1220.7</v>
      </c>
      <c r="F2833">
        <v>1197</v>
      </c>
      <c r="G2833">
        <v>399820</v>
      </c>
      <c r="H2833" s="116"/>
      <c r="I2833" s="116"/>
      <c r="L2833" s="170">
        <v>46178</v>
      </c>
      <c r="M2833" s="116">
        <v>1197.5</v>
      </c>
      <c r="N2833" s="116">
        <v>1223.8</v>
      </c>
      <c r="O2833" s="116">
        <v>1194.3</v>
      </c>
      <c r="P2833" s="116">
        <v>1220</v>
      </c>
      <c r="Q2833" s="116">
        <v>1197.5</v>
      </c>
      <c r="R2833">
        <v>8692290</v>
      </c>
    </row>
    <row r="2834" spans="1:18" x14ac:dyDescent="0.25">
      <c r="A2834" s="170">
        <v>46181</v>
      </c>
      <c r="B2834">
        <v>1200.9000000000001</v>
      </c>
      <c r="C2834">
        <v>1187.25</v>
      </c>
      <c r="D2834">
        <v>1176.3499999999999</v>
      </c>
      <c r="E2834">
        <v>1183.75</v>
      </c>
      <c r="F2834">
        <v>1187.25</v>
      </c>
      <c r="G2834">
        <v>257617</v>
      </c>
      <c r="H2834" s="116"/>
      <c r="I2834" s="116"/>
      <c r="L2834" s="170">
        <v>46181</v>
      </c>
      <c r="M2834" s="116">
        <v>1187.5999999999999</v>
      </c>
      <c r="N2834" s="116">
        <v>1200.7</v>
      </c>
      <c r="O2834" s="116">
        <v>1176.5</v>
      </c>
      <c r="P2834" s="116">
        <v>1177.5</v>
      </c>
      <c r="Q2834" s="116">
        <v>1187.5999999999999</v>
      </c>
      <c r="R2834">
        <v>8631711</v>
      </c>
    </row>
    <row r="2835" spans="1:18" x14ac:dyDescent="0.25">
      <c r="A2835" s="170">
        <v>46182</v>
      </c>
      <c r="B2835">
        <v>1199.6500000000001</v>
      </c>
      <c r="C2835">
        <v>1180.45</v>
      </c>
      <c r="D2835">
        <v>1167.4000000000001</v>
      </c>
      <c r="E2835">
        <v>1199.6500000000001</v>
      </c>
      <c r="F2835">
        <v>1180.45</v>
      </c>
      <c r="G2835">
        <v>367020</v>
      </c>
      <c r="H2835" s="116"/>
      <c r="I2835" s="116"/>
      <c r="L2835" s="170">
        <v>46182</v>
      </c>
      <c r="M2835" s="116">
        <v>1180.3</v>
      </c>
      <c r="N2835" s="116">
        <v>1193.5999999999999</v>
      </c>
      <c r="O2835" s="116">
        <v>1167.3</v>
      </c>
      <c r="P2835" s="116">
        <v>1193.5999999999999</v>
      </c>
      <c r="Q2835" s="116">
        <v>1180.3</v>
      </c>
      <c r="R2835">
        <v>10984054</v>
      </c>
    </row>
    <row r="2836" spans="1:18" x14ac:dyDescent="0.25">
      <c r="A2836" s="170">
        <v>46183</v>
      </c>
      <c r="B2836">
        <v>1171.5</v>
      </c>
      <c r="C2836">
        <v>1145.05</v>
      </c>
      <c r="D2836">
        <v>1143.05</v>
      </c>
      <c r="E2836">
        <v>1160</v>
      </c>
      <c r="F2836">
        <v>1145.05</v>
      </c>
      <c r="G2836">
        <v>571245</v>
      </c>
      <c r="H2836" s="116"/>
      <c r="I2836" s="116"/>
      <c r="L2836" s="170">
        <v>46183</v>
      </c>
      <c r="M2836" s="116">
        <v>1145.3</v>
      </c>
      <c r="N2836" s="116">
        <v>1171.4000000000001</v>
      </c>
      <c r="O2836" s="116">
        <v>1143.3</v>
      </c>
      <c r="P2836" s="116">
        <v>1160.0999999999999</v>
      </c>
      <c r="Q2836" s="116">
        <v>1145.3</v>
      </c>
      <c r="R2836">
        <v>8887626</v>
      </c>
    </row>
    <row r="2837" spans="1:18" x14ac:dyDescent="0.25">
      <c r="A2837" s="170">
        <v>46184</v>
      </c>
      <c r="B2837">
        <v>1135.95</v>
      </c>
      <c r="C2837">
        <v>1114</v>
      </c>
      <c r="D2837">
        <v>1109</v>
      </c>
      <c r="E2837">
        <v>1131.95</v>
      </c>
      <c r="F2837">
        <v>1114</v>
      </c>
      <c r="G2837">
        <v>843548</v>
      </c>
      <c r="H2837" s="116"/>
      <c r="I2837" s="116"/>
      <c r="L2837" s="170">
        <v>46184</v>
      </c>
      <c r="M2837" s="116">
        <v>1114.5999999999999</v>
      </c>
      <c r="N2837" s="116">
        <v>1133.7</v>
      </c>
      <c r="O2837" s="116">
        <v>1109</v>
      </c>
      <c r="P2837" s="116">
        <v>1129.7</v>
      </c>
      <c r="Q2837" s="116">
        <v>1114.5999999999999</v>
      </c>
      <c r="R2837">
        <v>9372176</v>
      </c>
    </row>
    <row r="2838" spans="1:18" x14ac:dyDescent="0.25">
      <c r="A2838" s="170">
        <v>46185</v>
      </c>
      <c r="B2838">
        <v>1123.5999999999999</v>
      </c>
      <c r="C2838">
        <v>1116.45</v>
      </c>
      <c r="D2838">
        <v>1111.5</v>
      </c>
      <c r="E2838">
        <v>1121.2</v>
      </c>
      <c r="F2838">
        <v>1116.45</v>
      </c>
      <c r="G2838">
        <v>260436</v>
      </c>
      <c r="H2838" s="116"/>
      <c r="I2838" s="116"/>
      <c r="L2838" s="170">
        <v>46185</v>
      </c>
      <c r="M2838" s="116">
        <v>1116.4000000000001</v>
      </c>
      <c r="N2838" s="116">
        <v>1123.3</v>
      </c>
      <c r="O2838" s="116">
        <v>1111.5</v>
      </c>
      <c r="P2838" s="116">
        <v>1120</v>
      </c>
      <c r="Q2838" s="116">
        <v>1116.4000000000001</v>
      </c>
      <c r="R2838">
        <v>8075333</v>
      </c>
    </row>
    <row r="2839" spans="1:18" x14ac:dyDescent="0.25">
      <c r="A2839" s="170">
        <v>46188</v>
      </c>
      <c r="B2839">
        <v>1150.75</v>
      </c>
      <c r="C2839">
        <v>1135.2</v>
      </c>
      <c r="D2839">
        <v>1123.5</v>
      </c>
      <c r="E2839">
        <v>1128.25</v>
      </c>
      <c r="F2839">
        <v>1135.2</v>
      </c>
      <c r="G2839">
        <v>478518</v>
      </c>
      <c r="H2839" s="116"/>
      <c r="I2839" s="116"/>
      <c r="L2839" s="170">
        <v>46188</v>
      </c>
      <c r="M2839" s="116">
        <v>1134.9000000000001</v>
      </c>
      <c r="N2839" s="116">
        <v>1151</v>
      </c>
      <c r="O2839" s="116">
        <v>1123</v>
      </c>
      <c r="P2839" s="116">
        <v>1130</v>
      </c>
      <c r="Q2839" s="116">
        <v>1134.9000000000001</v>
      </c>
      <c r="R2839">
        <v>7856192</v>
      </c>
    </row>
    <row r="2840" spans="1:18" x14ac:dyDescent="0.25">
      <c r="A2840" s="170">
        <v>46189</v>
      </c>
      <c r="B2840">
        <v>1153.5</v>
      </c>
      <c r="C2840">
        <v>1143.3</v>
      </c>
      <c r="D2840">
        <v>1122.95</v>
      </c>
      <c r="E2840">
        <v>1141.8499999999999</v>
      </c>
      <c r="F2840">
        <v>1143.3</v>
      </c>
      <c r="G2840">
        <v>431795</v>
      </c>
      <c r="H2840" s="116"/>
      <c r="I2840" s="116"/>
      <c r="L2840" s="170">
        <v>46189</v>
      </c>
      <c r="M2840" s="116">
        <v>1143.5999999999999</v>
      </c>
      <c r="N2840" s="116">
        <v>1153.8</v>
      </c>
      <c r="O2840" s="116">
        <v>1123.2</v>
      </c>
      <c r="P2840" s="116">
        <v>1136.9000000000001</v>
      </c>
      <c r="Q2840" s="116">
        <v>1143.5999999999999</v>
      </c>
      <c r="R2840">
        <v>10456090</v>
      </c>
    </row>
    <row r="2841" spans="1:18" x14ac:dyDescent="0.25">
      <c r="A2841" s="170">
        <v>46190</v>
      </c>
      <c r="B2841">
        <v>1162.5999999999999</v>
      </c>
      <c r="C2841">
        <v>1158.0999999999999</v>
      </c>
      <c r="D2841">
        <v>1148.7</v>
      </c>
      <c r="E2841">
        <v>1154.2</v>
      </c>
      <c r="F2841">
        <v>1158.0999999999999</v>
      </c>
      <c r="G2841">
        <v>268806</v>
      </c>
      <c r="H2841" s="116"/>
      <c r="I2841" s="116"/>
      <c r="L2841" s="170">
        <v>46190</v>
      </c>
      <c r="M2841" s="116">
        <v>1157.7</v>
      </c>
      <c r="N2841" s="116">
        <v>1162.5</v>
      </c>
      <c r="O2841" s="116">
        <v>1148</v>
      </c>
      <c r="P2841" s="116">
        <v>1149</v>
      </c>
      <c r="Q2841" s="116">
        <v>1157.7</v>
      </c>
      <c r="R2841">
        <v>5995119</v>
      </c>
    </row>
    <row r="2842" spans="1:18" x14ac:dyDescent="0.25">
      <c r="H2842" s="116"/>
      <c r="I2842" s="116"/>
    </row>
    <row r="2843" spans="1:18" x14ac:dyDescent="0.25">
      <c r="H2843" s="116"/>
      <c r="I2843" s="116"/>
    </row>
    <row r="2844" spans="1:18" x14ac:dyDescent="0.25">
      <c r="H2844" s="116"/>
      <c r="I2844" s="116"/>
    </row>
    <row r="2845" spans="1:18" x14ac:dyDescent="0.25">
      <c r="H2845" s="116"/>
      <c r="I2845" s="116"/>
    </row>
    <row r="2846" spans="1:18" x14ac:dyDescent="0.25">
      <c r="H2846" s="116"/>
      <c r="I2846" s="116"/>
    </row>
    <row r="2847" spans="1:18" x14ac:dyDescent="0.25">
      <c r="H2847" s="116"/>
      <c r="I2847" s="116"/>
    </row>
    <row r="2848" spans="1:18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2026-06-17T13:29:17Z</dcterms:modified>
  <cp:category/>
  <cp:contentStatus/>
</cp:coreProperties>
</file>